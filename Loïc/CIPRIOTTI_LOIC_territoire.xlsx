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unes_HDF" sheetId="1" r:id="rId5"/>
    <sheet state="visible" name="TCD" sheetId="2" r:id="rId6"/>
    <sheet state="hidden" name="Marche_immobilier_2024" sheetId="3" r:id="rId7"/>
    <sheet state="visible" name="INSEE_Communes" sheetId="4" r:id="rId8"/>
    <sheet state="visible" name="INSEE_EPCI" sheetId="5" r:id="rId9"/>
    <sheet state="visible" name="Jointure" sheetId="6" r:id="rId10"/>
    <sheet state="visible" name="Analyse" sheetId="7" r:id="rId11"/>
    <sheet state="visible" name="Tableau croisé dynamique 3" sheetId="8" r:id="rId12"/>
    <sheet state="visible" name="Indicateurs" sheetId="9" r:id="rId13"/>
    <sheet state="visible" name="Methode" sheetId="10" r:id="rId14"/>
    <sheet state="visible" name="Decision" sheetId="11" r:id="rId15"/>
    <sheet state="visible" name="Sources" sheetId="12" r:id="rId16"/>
    <sheet state="visible" name="INSEE_Source" sheetId="13" r:id="rId17"/>
    <sheet state="visible" name="Dictionnaire" sheetId="14" r:id="rId18"/>
  </sheets>
  <definedNames>
    <definedName hidden="1" localSheetId="0" name="_xlnm._FilterDatabase">Communes_HDF!$A$1:$I$3783</definedName>
    <definedName hidden="1" localSheetId="1" name="_xlnm._FilterDatabase">TCD!$B$1:$B$6053</definedName>
    <definedName hidden="1" localSheetId="2" name="_xlnm._FilterDatabase">Marche_immobilier_2024!$A$1:$G$1813</definedName>
    <definedName hidden="1" localSheetId="3" name="_xlnm._FilterDatabase">INSEE_Communes!$F$1:$F$3783</definedName>
    <definedName hidden="1" localSheetId="7" name="_xlnm._FilterDatabase">'Tableau croisé dynamique 3'!$B$1:$B$16</definedName>
    <definedName hidden="1" localSheetId="11" name="_xlnm._FilterDatabase">Sources!$A$1:$E$8</definedName>
    <definedName hidden="1" localSheetId="13" name="_xlnm._FilterDatabase">Dictionnaire!$A$1:$C$14</definedName>
  </definedNames>
  <calcPr/>
  <pivotCaches>
    <pivotCache cacheId="0" r:id="rId19"/>
    <pivotCache cacheId="1" r:id="rId20"/>
  </pivotCaches>
</workbook>
</file>

<file path=xl/sharedStrings.xml><?xml version="1.0" encoding="utf-8"?>
<sst xmlns="http://schemas.openxmlformats.org/spreadsheetml/2006/main" count="39815" uniqueCount="7819">
  <si>
    <t>Code_INSEE</t>
  </si>
  <si>
    <t>Commune</t>
  </si>
  <si>
    <t>Departement</t>
  </si>
  <si>
    <t>Nb_ventes_2024</t>
  </si>
  <si>
    <t>Prix_median_m2</t>
  </si>
  <si>
    <t>EPCI</t>
  </si>
  <si>
    <t>Prix_moyen_m2</t>
  </si>
  <si>
    <t>Prix_median_vente</t>
  </si>
  <si>
    <t>Code_EPCI</t>
  </si>
  <si>
    <t>02001</t>
  </si>
  <si>
    <t>Population</t>
  </si>
  <si>
    <t>Abbécourt</t>
  </si>
  <si>
    <t>Aisne</t>
  </si>
  <si>
    <t>Superficie_km2</t>
  </si>
  <si>
    <t>02002</t>
  </si>
  <si>
    <t>Achery</t>
  </si>
  <si>
    <t>Densite_hab_km2</t>
  </si>
  <si>
    <t>02003</t>
  </si>
  <si>
    <t>Taille_commune</t>
  </si>
  <si>
    <t>Acy</t>
  </si>
  <si>
    <t>02011</t>
  </si>
  <si>
    <t>Ambleny</t>
  </si>
  <si>
    <t>CA Chauny Tergnier La Fère</t>
  </si>
  <si>
    <t>200071785</t>
  </si>
  <si>
    <t>02014</t>
  </si>
  <si>
    <t>Amigny-Rouy</t>
  </si>
  <si>
    <t>02018</t>
  </si>
  <si>
    <t>500 a 2 000</t>
  </si>
  <si>
    <t>Anizy-le-Grand</t>
  </si>
  <si>
    <t>02020</t>
  </si>
  <si>
    <t>Any-Martin-Rieux</t>
  </si>
  <si>
    <t>02027</t>
  </si>
  <si>
    <t>Assis-sur-Serre</t>
  </si>
  <si>
    <t>02028</t>
  </si>
  <si>
    <t>Athies-sous-Laon</t>
  </si>
  <si>
    <t>CA GrandSoissons Agglomération</t>
  </si>
  <si>
    <t>240200477</t>
  </si>
  <si>
    <t>02031</t>
  </si>
  <si>
    <t>Aubenton</t>
  </si>
  <si>
    <t>02004</t>
  </si>
  <si>
    <t>02037</t>
  </si>
  <si>
    <t>Agnicourt-et-Séchelles</t>
  </si>
  <si>
    <t>Aulnois-sous-Laon</t>
  </si>
  <si>
    <t>CC du Pays de la Serre</t>
  </si>
  <si>
    <t>240200469</t>
  </si>
  <si>
    <t>02041</t>
  </si>
  <si>
    <t>Autreville</t>
  </si>
  <si>
    <t>&lt; 500 hab.</t>
  </si>
  <si>
    <t>02005</t>
  </si>
  <si>
    <t>02046</t>
  </si>
  <si>
    <t>Aguilcourt</t>
  </si>
  <si>
    <t>Barenton-Bugny</t>
  </si>
  <si>
    <t>CC de la Champagne Picarde</t>
  </si>
  <si>
    <t>240200576</t>
  </si>
  <si>
    <t>02054</t>
  </si>
  <si>
    <t>Bazoches-et-Saint-Thibaut</t>
  </si>
  <si>
    <t>02006</t>
  </si>
  <si>
    <t>Aisonville-et-Bernoville</t>
  </si>
  <si>
    <t>CC Thiérache Sambre et Oise</t>
  </si>
  <si>
    <t>200071983</t>
  </si>
  <si>
    <t>02057</t>
  </si>
  <si>
    <t>Beaurevoir</t>
  </si>
  <si>
    <t>02007</t>
  </si>
  <si>
    <t>02059</t>
  </si>
  <si>
    <t>Aizelles</t>
  </si>
  <si>
    <t>Beautor</t>
  </si>
  <si>
    <t>CC du Chemin des Dames</t>
  </si>
  <si>
    <t>240200592</t>
  </si>
  <si>
    <t>02063</t>
  </si>
  <si>
    <t>Bellenglise</t>
  </si>
  <si>
    <t>02008</t>
  </si>
  <si>
    <t>Aizy-Jouy</t>
  </si>
  <si>
    <t>02064</t>
  </si>
  <si>
    <t>CC du Val de l'Aisne</t>
  </si>
  <si>
    <t>Belleu</t>
  </si>
  <si>
    <t>240200501</t>
  </si>
  <si>
    <t>02009</t>
  </si>
  <si>
    <t>02065</t>
  </si>
  <si>
    <t>Alaincourt</t>
  </si>
  <si>
    <t>Bellicourt</t>
  </si>
  <si>
    <t>CC du Val de l'Oise</t>
  </si>
  <si>
    <t>200040426</t>
  </si>
  <si>
    <t>02067</t>
  </si>
  <si>
    <t>Bergues-sur-Sambre</t>
  </si>
  <si>
    <t>02010</t>
  </si>
  <si>
    <t>Allemant</t>
  </si>
  <si>
    <t>02564</t>
  </si>
  <si>
    <t>Bernoy-le-Château</t>
  </si>
  <si>
    <t>02074</t>
  </si>
  <si>
    <t>Bertaucourt-Epourdon</t>
  </si>
  <si>
    <t>CC Retz en Valois</t>
  </si>
  <si>
    <t>200071991</t>
  </si>
  <si>
    <t>02083</t>
  </si>
  <si>
    <t>Beuvardes</t>
  </si>
  <si>
    <t>02086</t>
  </si>
  <si>
    <t>02012</t>
  </si>
  <si>
    <t>Bichancourt</t>
  </si>
  <si>
    <t>Ambrief</t>
  </si>
  <si>
    <t>CC du Canton d'Oulchy-le-Château</t>
  </si>
  <si>
    <t>02089</t>
  </si>
  <si>
    <t>240200519</t>
  </si>
  <si>
    <t>Billy-sur-Aisne</t>
  </si>
  <si>
    <t>02093</t>
  </si>
  <si>
    <t>02013</t>
  </si>
  <si>
    <t>Blérancourt</t>
  </si>
  <si>
    <t>Amifontaine</t>
  </si>
  <si>
    <t>02095</t>
  </si>
  <si>
    <t>Bohain-en-Vermandois</t>
  </si>
  <si>
    <t>02098</t>
  </si>
  <si>
    <t>Bonneil</t>
  </si>
  <si>
    <t>02106</t>
  </si>
  <si>
    <t>Bourg-et-Comin</t>
  </si>
  <si>
    <t>02103</t>
  </si>
  <si>
    <t>02015</t>
  </si>
  <si>
    <t>Boué</t>
  </si>
  <si>
    <t>Ancienville</t>
  </si>
  <si>
    <t>02110</t>
  </si>
  <si>
    <t>Braine</t>
  </si>
  <si>
    <t>02016</t>
  </si>
  <si>
    <t>Andelain</t>
  </si>
  <si>
    <t>02114</t>
  </si>
  <si>
    <t>Brasles</t>
  </si>
  <si>
    <t>02124</t>
  </si>
  <si>
    <t>Brissy-Hamégicourt</t>
  </si>
  <si>
    <t>02017</t>
  </si>
  <si>
    <t>Anguilcourt-le-Sart</t>
  </si>
  <si>
    <t>02126</t>
  </si>
  <si>
    <t>Brunehamel</t>
  </si>
  <si>
    <t>02128</t>
  </si>
  <si>
    <t>Bruyères-et-Montbérault</t>
  </si>
  <si>
    <t>Population_2017</t>
  </si>
  <si>
    <t>02131</t>
  </si>
  <si>
    <t>Bucy-le-Long</t>
  </si>
  <si>
    <t>Population_2023</t>
  </si>
  <si>
    <t>CC Picardie des Châteaux</t>
  </si>
  <si>
    <t>200071769</t>
  </si>
  <si>
    <t>Niveau_vie_median_2023</t>
  </si>
  <si>
    <t>02133</t>
  </si>
  <si>
    <t>2 000 a 10 000</t>
  </si>
  <si>
    <t>Bucy-lès-Pierrepont</t>
  </si>
  <si>
    <t>Taux_pauvrete_2023</t>
  </si>
  <si>
    <t>02019</t>
  </si>
  <si>
    <t>Annois</t>
  </si>
  <si>
    <t>02134</t>
  </si>
  <si>
    <t>Buire</t>
  </si>
  <si>
    <t>CA du Saint-Quentinois</t>
  </si>
  <si>
    <t>200071892</t>
  </si>
  <si>
    <t>02135</t>
  </si>
  <si>
    <t>Buironfosse</t>
  </si>
  <si>
    <t>02085</t>
  </si>
  <si>
    <t>non publié</t>
  </si>
  <si>
    <t>Bézu-Saint-Germain</t>
  </si>
  <si>
    <t>CC des Trois Rivières</t>
  </si>
  <si>
    <t>240200600</t>
  </si>
  <si>
    <t>02140</t>
  </si>
  <si>
    <t>Camelin</t>
  </si>
  <si>
    <t>02021</t>
  </si>
  <si>
    <t>02153</t>
  </si>
  <si>
    <t>Archon</t>
  </si>
  <si>
    <t>Cessières-Suzy</t>
  </si>
  <si>
    <t>CC des Portes de la Thiérache</t>
  </si>
  <si>
    <t>240200634</t>
  </si>
  <si>
    <t>02156</t>
  </si>
  <si>
    <t>Chalandry</t>
  </si>
  <si>
    <t>02022</t>
  </si>
  <si>
    <t>02160</t>
  </si>
  <si>
    <t>Chaourse</t>
  </si>
  <si>
    <t>Arcy-Sainte-Restitue</t>
  </si>
  <si>
    <t>02163</t>
  </si>
  <si>
    <t>Charly-sur-Marne</t>
  </si>
  <si>
    <t>02023</t>
  </si>
  <si>
    <t>Armentières-sur-Ourcq</t>
  </si>
  <si>
    <t>02165</t>
  </si>
  <si>
    <t>Charmes</t>
  </si>
  <si>
    <t>CA de la Région de Château-Thierry</t>
  </si>
  <si>
    <t>200072031</t>
  </si>
  <si>
    <t>02166</t>
  </si>
  <si>
    <t>Chartèves</t>
  </si>
  <si>
    <t>02024</t>
  </si>
  <si>
    <t>02167</t>
  </si>
  <si>
    <t>Arrancy</t>
  </si>
  <si>
    <t>Chassemy</t>
  </si>
  <si>
    <t>CA du Pays de Laon</t>
  </si>
  <si>
    <t>02173</t>
  </si>
  <si>
    <t>200043495</t>
  </si>
  <si>
    <t>Chauny</t>
  </si>
  <si>
    <t>02174</t>
  </si>
  <si>
    <t>Chavignon</t>
  </si>
  <si>
    <t>02025</t>
  </si>
  <si>
    <t>Artemps</t>
  </si>
  <si>
    <t>02187</t>
  </si>
  <si>
    <t>Chierry</t>
  </si>
  <si>
    <t>02191</t>
  </si>
  <si>
    <t>Chivy-lès-Étouvelles</t>
  </si>
  <si>
    <t>02192</t>
  </si>
  <si>
    <t>Chouy</t>
  </si>
  <si>
    <t>02168</t>
  </si>
  <si>
    <t>Château-Thierry</t>
  </si>
  <si>
    <t>02179</t>
  </si>
  <si>
    <t>Chéry-Chartreuve</t>
  </si>
  <si>
    <t>02029</t>
  </si>
  <si>
    <t>02180</t>
  </si>
  <si>
    <t>Attilly</t>
  </si>
  <si>
    <t>Chéry-lès-Pouilly</t>
  </si>
  <si>
    <t>CC du Pays du Vermandois</t>
  </si>
  <si>
    <t>240200493</t>
  </si>
  <si>
    <t>02186</t>
  </si>
  <si>
    <t>Chézy-sur-Marne</t>
  </si>
  <si>
    <t>02030</t>
  </si>
  <si>
    <t>02197</t>
  </si>
  <si>
    <t>Aubencheul-aux-Bois</t>
  </si>
  <si>
    <t>Clairfontaine</t>
  </si>
  <si>
    <t>02198</t>
  </si>
  <si>
    <t>Clamecy</t>
  </si>
  <si>
    <t>02199</t>
  </si>
  <si>
    <t>Clastres</t>
  </si>
  <si>
    <t>02203</t>
  </si>
  <si>
    <t>Coincy</t>
  </si>
  <si>
    <t>02032</t>
  </si>
  <si>
    <t>Aubigny-aux-Kaisnes</t>
  </si>
  <si>
    <t>02205</t>
  </si>
  <si>
    <t>Colligis-Crandelain</t>
  </si>
  <si>
    <t>02212</t>
  </si>
  <si>
    <t>Condren</t>
  </si>
  <si>
    <t>02033</t>
  </si>
  <si>
    <t>Aubigny-en-Laonnois</t>
  </si>
  <si>
    <t>02034</t>
  </si>
  <si>
    <t>Audignicourt</t>
  </si>
  <si>
    <t>02035</t>
  </si>
  <si>
    <t>Audigny</t>
  </si>
  <si>
    <t>02209</t>
  </si>
  <si>
    <t>Condé-en-Brie</t>
  </si>
  <si>
    <t>02036</t>
  </si>
  <si>
    <t>Augy</t>
  </si>
  <si>
    <t>02210</t>
  </si>
  <si>
    <t>Condé-sur-Aisne</t>
  </si>
  <si>
    <t>02215</t>
  </si>
  <si>
    <t>Corbeny</t>
  </si>
  <si>
    <t>02217</t>
  </si>
  <si>
    <t>Coucy-le-Château-Auffrique</t>
  </si>
  <si>
    <t>02221</t>
  </si>
  <si>
    <t>Coupru</t>
  </si>
  <si>
    <t>02039</t>
  </si>
  <si>
    <t>Autremencourt</t>
  </si>
  <si>
    <t>02226</t>
  </si>
  <si>
    <t>Courmelles</t>
  </si>
  <si>
    <t>02040</t>
  </si>
  <si>
    <t>02228</t>
  </si>
  <si>
    <t>Autreppes</t>
  </si>
  <si>
    <t>Courtemont-Varennes</t>
  </si>
  <si>
    <t>CC de la Thiérache du Centre</t>
  </si>
  <si>
    <t>240200444</t>
  </si>
  <si>
    <t>02231</t>
  </si>
  <si>
    <t>Couvron-et-Aumencourt</t>
  </si>
  <si>
    <t>02242</t>
  </si>
  <si>
    <t>Crouttes-sur-Marne</t>
  </si>
  <si>
    <t>02243</t>
  </si>
  <si>
    <t>Crouy</t>
  </si>
  <si>
    <t>02042</t>
  </si>
  <si>
    <t>Azy-sur-Marne</t>
  </si>
  <si>
    <t>02237</t>
  </si>
  <si>
    <t>Crécy-sur-Serre</t>
  </si>
  <si>
    <t>02043</t>
  </si>
  <si>
    <t>02238</t>
  </si>
  <si>
    <t>Bagneux</t>
  </si>
  <si>
    <t>Crépy</t>
  </si>
  <si>
    <t>02239</t>
  </si>
  <si>
    <t>Crézancy</t>
  </si>
  <si>
    <t>02245</t>
  </si>
  <si>
    <t>Cuffies</t>
  </si>
  <si>
    <t>02254</t>
  </si>
  <si>
    <t>Cutry</t>
  </si>
  <si>
    <t>02044</t>
  </si>
  <si>
    <t>Bancigny</t>
  </si>
  <si>
    <t>02201</t>
  </si>
  <si>
    <t>Cœuvres-et-Valsery</t>
  </si>
  <si>
    <t>02038</t>
  </si>
  <si>
    <t>02259</t>
  </si>
  <si>
    <t>Dampleux</t>
  </si>
  <si>
    <t>Les Autels</t>
  </si>
  <si>
    <t>02260</t>
  </si>
  <si>
    <t>Danizy</t>
  </si>
  <si>
    <t>02047</t>
  </si>
  <si>
    <t>Barenton-Cel</t>
  </si>
  <si>
    <t>02261</t>
  </si>
  <si>
    <t>Dercy</t>
  </si>
  <si>
    <t>02458</t>
  </si>
  <si>
    <t>Dhuys et Morin-en-Brie</t>
  </si>
  <si>
    <t>02048</t>
  </si>
  <si>
    <t>Barenton-sur-Serre</t>
  </si>
  <si>
    <t>02264</t>
  </si>
  <si>
    <t>Dizy-le-Gros</t>
  </si>
  <si>
    <t>02268</t>
  </si>
  <si>
    <t>02049</t>
  </si>
  <si>
    <t>Domptin</t>
  </si>
  <si>
    <t>Barisis-aux-Bois</t>
  </si>
  <si>
    <t>02286</t>
  </si>
  <si>
    <t>Esquéhéries</t>
  </si>
  <si>
    <t>02050</t>
  </si>
  <si>
    <t>Barzy-en-Thiérache</t>
  </si>
  <si>
    <t>02287</t>
  </si>
  <si>
    <t>Essigny-le-Grand</t>
  </si>
  <si>
    <t>02288</t>
  </si>
  <si>
    <t>Essigny-le-Petit</t>
  </si>
  <si>
    <t>02051</t>
  </si>
  <si>
    <t>Barzy-sur-Marne</t>
  </si>
  <si>
    <t>02290</t>
  </si>
  <si>
    <t>Essômes-sur-Marne</t>
  </si>
  <si>
    <t>02052</t>
  </si>
  <si>
    <t>02303</t>
  </si>
  <si>
    <t>Bassoles-Aulers</t>
  </si>
  <si>
    <t>Fayet</t>
  </si>
  <si>
    <t>02308</t>
  </si>
  <si>
    <t>Fesmy-le-Sart</t>
  </si>
  <si>
    <t>02309</t>
  </si>
  <si>
    <t>Festieux</t>
  </si>
  <si>
    <t>02315</t>
  </si>
  <si>
    <t>02056</t>
  </si>
  <si>
    <t>Flavy-le-Martel</t>
  </si>
  <si>
    <t>Beaumont-en-Beine</t>
  </si>
  <si>
    <t>02318</t>
  </si>
  <si>
    <t>Folembray</t>
  </si>
  <si>
    <t>02055</t>
  </si>
  <si>
    <t>Beaumé</t>
  </si>
  <si>
    <t>02319</t>
  </si>
  <si>
    <t>Fonsomme</t>
  </si>
  <si>
    <t>02053</t>
  </si>
  <si>
    <t>Vallées en Champagne</t>
  </si>
  <si>
    <t>02321</t>
  </si>
  <si>
    <t>Fontaine-lès-Vervins</t>
  </si>
  <si>
    <t>02326</t>
  </si>
  <si>
    <t>Fontenoy</t>
  </si>
  <si>
    <t>02327</t>
  </si>
  <si>
    <t>Foreste</t>
  </si>
  <si>
    <t>02058</t>
  </si>
  <si>
    <t>Beaurieux</t>
  </si>
  <si>
    <t>02329</t>
  </si>
  <si>
    <t>Fourdrain</t>
  </si>
  <si>
    <t>02332</t>
  </si>
  <si>
    <t>Fresnes-en-Tardenois</t>
  </si>
  <si>
    <t>02334</t>
  </si>
  <si>
    <t>Fresnoy-le-Grand</t>
  </si>
  <si>
    <t>02336</t>
  </si>
  <si>
    <t>Frières-Faillouël</t>
  </si>
  <si>
    <t>02060</t>
  </si>
  <si>
    <t>Beauvois-en-Vermandois</t>
  </si>
  <si>
    <t>02305</t>
  </si>
  <si>
    <t>Fère-en-Tardenois</t>
  </si>
  <si>
    <t>02339</t>
  </si>
  <si>
    <t>02061</t>
  </si>
  <si>
    <t>Gandelu</t>
  </si>
  <si>
    <t>Becquigny</t>
  </si>
  <si>
    <t>02340</t>
  </si>
  <si>
    <t>Gauchy</t>
  </si>
  <si>
    <t>02062</t>
  </si>
  <si>
    <t>02346</t>
  </si>
  <si>
    <t>Belleau</t>
  </si>
  <si>
    <t>Gizy</t>
  </si>
  <si>
    <t>02352</t>
  </si>
  <si>
    <t>Gouy</t>
  </si>
  <si>
    <t>02359</t>
  </si>
  <si>
    <t>Grugies</t>
  </si>
  <si>
    <t>02361</t>
  </si>
  <si>
    <t>Guise</t>
  </si>
  <si>
    <t>02366</t>
  </si>
  <si>
    <t>Hannapes</t>
  </si>
  <si>
    <t>02371</t>
  </si>
  <si>
    <t>Harly</t>
  </si>
  <si>
    <t>02372</t>
  </si>
  <si>
    <t>Hartennes-et-Taux</t>
  </si>
  <si>
    <t>02066</t>
  </si>
  <si>
    <t>Benay</t>
  </si>
  <si>
    <t>02381</t>
  </si>
  <si>
    <t>Hirson</t>
  </si>
  <si>
    <t>02382</t>
  </si>
  <si>
    <t>Holnon</t>
  </si>
  <si>
    <t>02068</t>
  </si>
  <si>
    <t>Berlancourt</t>
  </si>
  <si>
    <t>02383</t>
  </si>
  <si>
    <t>Homblières</t>
  </si>
  <si>
    <t>02388</t>
  </si>
  <si>
    <t>Iviers</t>
  </si>
  <si>
    <t>02389</t>
  </si>
  <si>
    <t>Jaulgonne</t>
  </si>
  <si>
    <t>02069</t>
  </si>
  <si>
    <t>Berlise</t>
  </si>
  <si>
    <t>02070</t>
  </si>
  <si>
    <t>Bernot</t>
  </si>
  <si>
    <t>02071</t>
  </si>
  <si>
    <t>Berny-Rivière</t>
  </si>
  <si>
    <t>02072</t>
  </si>
  <si>
    <t>Berrieux</t>
  </si>
  <si>
    <t>02073</t>
  </si>
  <si>
    <t>Berry-au-Bac</t>
  </si>
  <si>
    <t>02075</t>
  </si>
  <si>
    <t>Berthenicourt</t>
  </si>
  <si>
    <t>02076</t>
  </si>
  <si>
    <t>Bertricourt</t>
  </si>
  <si>
    <t>02078</t>
  </si>
  <si>
    <t>Besmé</t>
  </si>
  <si>
    <t>02397</t>
  </si>
  <si>
    <t>Jussy</t>
  </si>
  <si>
    <t>02079</t>
  </si>
  <si>
    <t>Besmont</t>
  </si>
  <si>
    <t>02399</t>
  </si>
  <si>
    <t>02080</t>
  </si>
  <si>
    <t>Besny-et-Loizy</t>
  </si>
  <si>
    <t>Juvincourt-et-Damary</t>
  </si>
  <si>
    <t>02081</t>
  </si>
  <si>
    <t>Béthancourt-en-Vaux</t>
  </si>
  <si>
    <t>02141</t>
  </si>
  <si>
    <t>La Capelle</t>
  </si>
  <si>
    <t>02082</t>
  </si>
  <si>
    <t>Beugneux</t>
  </si>
  <si>
    <t>02306</t>
  </si>
  <si>
    <t>La Ferté-Chevresis</t>
  </si>
  <si>
    <t>02084</t>
  </si>
  <si>
    <t>Bézu-le-Guéry</t>
  </si>
  <si>
    <t>02307</t>
  </si>
  <si>
    <t>La Ferté-Milon</t>
  </si>
  <si>
    <t>02312</t>
  </si>
  <si>
    <t>La Flamengrie</t>
  </si>
  <si>
    <t>02087</t>
  </si>
  <si>
    <t>Bieuxy</t>
  </si>
  <si>
    <t>02304</t>
  </si>
  <si>
    <t>La Fère</t>
  </si>
  <si>
    <t>02088</t>
  </si>
  <si>
    <t>02403</t>
  </si>
  <si>
    <t>Bièvres</t>
  </si>
  <si>
    <t>Landifay-et-Bertaignemont</t>
  </si>
  <si>
    <t>02408</t>
  </si>
  <si>
    <t>Laon</t>
  </si>
  <si>
    <t>02090</t>
  </si>
  <si>
    <t>Billy-sur-Ourcq</t>
  </si>
  <si>
    <t>02558</t>
  </si>
  <si>
    <t>02091</t>
  </si>
  <si>
    <t>Le Nouvion-en-Thiérache</t>
  </si>
  <si>
    <t>Blanzy-lès-Fismes</t>
  </si>
  <si>
    <t>02374</t>
  </si>
  <si>
    <t>Lehaucourt</t>
  </si>
  <si>
    <t>02094</t>
  </si>
  <si>
    <t>Blesmes</t>
  </si>
  <si>
    <t>02096</t>
  </si>
  <si>
    <t>Bois-lès-Pargny</t>
  </si>
  <si>
    <t>02097</t>
  </si>
  <si>
    <t>Boncourt</t>
  </si>
  <si>
    <t>02416</t>
  </si>
  <si>
    <t>Lemé</t>
  </si>
  <si>
    <t>02099</t>
  </si>
  <si>
    <t>Bonnesvalyn</t>
  </si>
  <si>
    <t>02418</t>
  </si>
  <si>
    <t>Lerzy</t>
  </si>
  <si>
    <t>02100</t>
  </si>
  <si>
    <t>Bony</t>
  </si>
  <si>
    <t>02439</t>
  </si>
  <si>
    <t>Les Septvallons</t>
  </si>
  <si>
    <t>02101</t>
  </si>
  <si>
    <t>Bosmont-sur-Serre</t>
  </si>
  <si>
    <t>02422</t>
  </si>
  <si>
    <t>Lesquielles-Saint-Germain</t>
  </si>
  <si>
    <t>02102</t>
  </si>
  <si>
    <t>Bouconville-Vauclair</t>
  </si>
  <si>
    <t>02423</t>
  </si>
  <si>
    <t>Leuilly-sous-Coucy</t>
  </si>
  <si>
    <t>02104</t>
  </si>
  <si>
    <t>Bouffignereux</t>
  </si>
  <si>
    <t>02426</t>
  </si>
  <si>
    <t>Levergies</t>
  </si>
  <si>
    <t>02105</t>
  </si>
  <si>
    <t>Bouresches</t>
  </si>
  <si>
    <t>02427</t>
  </si>
  <si>
    <t>Lhuys</t>
  </si>
  <si>
    <t>02430</t>
  </si>
  <si>
    <t>02107</t>
  </si>
  <si>
    <t>Bourguignon-sous-Coucy</t>
  </si>
  <si>
    <t>Liesse-Notre-Dame</t>
  </si>
  <si>
    <t>02108</t>
  </si>
  <si>
    <t>Bourguignon-sous-Montbavin</t>
  </si>
  <si>
    <t>02431</t>
  </si>
  <si>
    <t>Liez</t>
  </si>
  <si>
    <t>02109</t>
  </si>
  <si>
    <t>La Bouteille</t>
  </si>
  <si>
    <t>02453</t>
  </si>
  <si>
    <t>Maizy</t>
  </si>
  <si>
    <t>02462</t>
  </si>
  <si>
    <t>02111</t>
  </si>
  <si>
    <t>Mareuil-en-Dôle</t>
  </si>
  <si>
    <t>Brancourt-en-Laonnois</t>
  </si>
  <si>
    <t>02112</t>
  </si>
  <si>
    <t>02464</t>
  </si>
  <si>
    <t>Brancourt-le-Grand</t>
  </si>
  <si>
    <t>Margival</t>
  </si>
  <si>
    <t>02465</t>
  </si>
  <si>
    <t>Marigny-en-Orxois</t>
  </si>
  <si>
    <t>02115</t>
  </si>
  <si>
    <t>02468</t>
  </si>
  <si>
    <t>Marle</t>
  </si>
  <si>
    <t>Braye-en-Laonnois</t>
  </si>
  <si>
    <t>02116</t>
  </si>
  <si>
    <t>02472</t>
  </si>
  <si>
    <t>Mauregny-en-Haye</t>
  </si>
  <si>
    <t>Braye-en-Thiérache</t>
  </si>
  <si>
    <t>02117</t>
  </si>
  <si>
    <t>Bray-Saint-Christophe</t>
  </si>
  <si>
    <t>02118</t>
  </si>
  <si>
    <t>Braye</t>
  </si>
  <si>
    <t>02474</t>
  </si>
  <si>
    <t>Mennessis</t>
  </si>
  <si>
    <t>02119</t>
  </si>
  <si>
    <t>Brécy</t>
  </si>
  <si>
    <t>02476</t>
  </si>
  <si>
    <t>Mennevret</t>
  </si>
  <si>
    <t>02120</t>
  </si>
  <si>
    <t>Brenelle</t>
  </si>
  <si>
    <t>02477</t>
  </si>
  <si>
    <t>Mercin-et-Vaux</t>
  </si>
  <si>
    <t>02121</t>
  </si>
  <si>
    <t>Breny</t>
  </si>
  <si>
    <t>02487</t>
  </si>
  <si>
    <t>Missy-sur-Aisne</t>
  </si>
  <si>
    <t>02122</t>
  </si>
  <si>
    <t>Brie</t>
  </si>
  <si>
    <t>02123</t>
  </si>
  <si>
    <t>02489</t>
  </si>
  <si>
    <t>Brissay-Choigny</t>
  </si>
  <si>
    <t>Molinchart</t>
  </si>
  <si>
    <t>02493</t>
  </si>
  <si>
    <t>Monceau-le-Waast</t>
  </si>
  <si>
    <t>02125</t>
  </si>
  <si>
    <t>Brumetz</t>
  </si>
  <si>
    <t>02495</t>
  </si>
  <si>
    <t>Mondrepuis</t>
  </si>
  <si>
    <t>02497</t>
  </si>
  <si>
    <t>Mons-en-Laonnois</t>
  </si>
  <si>
    <t>02127</t>
  </si>
  <si>
    <t>Bruyères-sur-Fère</t>
  </si>
  <si>
    <t>02520</t>
  </si>
  <si>
    <t>Mont-Notre-Dame</t>
  </si>
  <si>
    <t>02524</t>
  </si>
  <si>
    <t>02129</t>
  </si>
  <si>
    <t>Bruys</t>
  </si>
  <si>
    <t>Mont-Saint-Père</t>
  </si>
  <si>
    <t>02130</t>
  </si>
  <si>
    <t>02503</t>
  </si>
  <si>
    <t>Bucilly</t>
  </si>
  <si>
    <t>Mont-d'Origny</t>
  </si>
  <si>
    <t>02498</t>
  </si>
  <si>
    <t>Montaigu</t>
  </si>
  <si>
    <t>02132</t>
  </si>
  <si>
    <t>Bucy-lès-Cerny</t>
  </si>
  <si>
    <t>02500</t>
  </si>
  <si>
    <t>Montbrehain</t>
  </si>
  <si>
    <t>02502</t>
  </si>
  <si>
    <t>Montcornet</t>
  </si>
  <si>
    <t>02504</t>
  </si>
  <si>
    <t>Montescourt-Lizerolles</t>
  </si>
  <si>
    <t>02517</t>
  </si>
  <si>
    <t>Montigny-sur-Crécy</t>
  </si>
  <si>
    <t>02136</t>
  </si>
  <si>
    <t>Burelles</t>
  </si>
  <si>
    <t>02521</t>
  </si>
  <si>
    <t>Montreuil-aux-Lions</t>
  </si>
  <si>
    <t>02532</t>
  </si>
  <si>
    <t>02137</t>
  </si>
  <si>
    <t>Bussiares</t>
  </si>
  <si>
    <t>Moÿ-de-l'Aisne</t>
  </si>
  <si>
    <t>02138</t>
  </si>
  <si>
    <t>02483</t>
  </si>
  <si>
    <t>Buzancy</t>
  </si>
  <si>
    <t>Mézières-sur-Oise</t>
  </si>
  <si>
    <t>02139</t>
  </si>
  <si>
    <t>02484</t>
  </si>
  <si>
    <t>Caillouël-Crépigny</t>
  </si>
  <si>
    <t>Mézy-Moulins</t>
  </si>
  <si>
    <t>02539</t>
  </si>
  <si>
    <t>Nauroy</t>
  </si>
  <si>
    <t>02540</t>
  </si>
  <si>
    <t>Nesles-la-Montagne</t>
  </si>
  <si>
    <t>02142</t>
  </si>
  <si>
    <t>Castres</t>
  </si>
  <si>
    <t>02541</t>
  </si>
  <si>
    <t>Neufchâtel-sur-Aisne</t>
  </si>
  <si>
    <t>02143</t>
  </si>
  <si>
    <t>Le Catelet</t>
  </si>
  <si>
    <t>02543</t>
  </si>
  <si>
    <t>Neuilly-Saint-Front</t>
  </si>
  <si>
    <t>02144</t>
  </si>
  <si>
    <t>Caulaincourt</t>
  </si>
  <si>
    <t>02544</t>
  </si>
  <si>
    <t>Neuve-Maison</t>
  </si>
  <si>
    <t>02549</t>
  </si>
  <si>
    <t>Neuville-Saint-Amand</t>
  </si>
  <si>
    <t>02145</t>
  </si>
  <si>
    <t>Caumont</t>
  </si>
  <si>
    <t>02555</t>
  </si>
  <si>
    <t>Nogent-l'Artaud</t>
  </si>
  <si>
    <t>02146</t>
  </si>
  <si>
    <t>Celles-lès-Condé</t>
  </si>
  <si>
    <t>02554</t>
  </si>
  <si>
    <t>Nogentel</t>
  </si>
  <si>
    <t>02148</t>
  </si>
  <si>
    <t>Celles-sur-Aisne</t>
  </si>
  <si>
    <t>02559</t>
  </si>
  <si>
    <t>Nouvion-et-Catillon</t>
  </si>
  <si>
    <t>02560</t>
  </si>
  <si>
    <t>02149</t>
  </si>
  <si>
    <t>Nouvion-le-Comte</t>
  </si>
  <si>
    <t>Cerizy</t>
  </si>
  <si>
    <t>02566</t>
  </si>
  <si>
    <t>02150</t>
  </si>
  <si>
    <t>Ognes</t>
  </si>
  <si>
    <t>Cerny-en-Laonnois</t>
  </si>
  <si>
    <t>02151</t>
  </si>
  <si>
    <t>02569</t>
  </si>
  <si>
    <t>Cerny-lès-Bucy</t>
  </si>
  <si>
    <t>Oisy</t>
  </si>
  <si>
    <t>02152</t>
  </si>
  <si>
    <t>02575</t>
  </si>
  <si>
    <t>Cerseuil</t>
  </si>
  <si>
    <t>Origny-Sainte-Benoite</t>
  </si>
  <si>
    <t>02574</t>
  </si>
  <si>
    <t>Origny-en-Thiérache</t>
  </si>
  <si>
    <t>02154</t>
  </si>
  <si>
    <t>Chacrise</t>
  </si>
  <si>
    <t>02580</t>
  </si>
  <si>
    <t>Oulchy-le-Château</t>
  </si>
  <si>
    <t>02155</t>
  </si>
  <si>
    <t>Chaillevois</t>
  </si>
  <si>
    <t>02593</t>
  </si>
  <si>
    <t>Pasly</t>
  </si>
  <si>
    <t>02596</t>
  </si>
  <si>
    <t>Pavant</t>
  </si>
  <si>
    <t>02157</t>
  </si>
  <si>
    <t>Chambry</t>
  </si>
  <si>
    <t>02598</t>
  </si>
  <si>
    <t>02158</t>
  </si>
  <si>
    <t>Pernant</t>
  </si>
  <si>
    <t>Chamouille</t>
  </si>
  <si>
    <t>02159</t>
  </si>
  <si>
    <t>02602</t>
  </si>
  <si>
    <t>Pinon</t>
  </si>
  <si>
    <t>Champs</t>
  </si>
  <si>
    <t>02608</t>
  </si>
  <si>
    <t>Plomion</t>
  </si>
  <si>
    <t>02613</t>
  </si>
  <si>
    <t>Pontavert</t>
  </si>
  <si>
    <t>02162</t>
  </si>
  <si>
    <t>La Chapelle-sur-Chézy</t>
  </si>
  <si>
    <t>02620</t>
  </si>
  <si>
    <t>Presles-et-Boves</t>
  </si>
  <si>
    <t>02621</t>
  </si>
  <si>
    <t>Presles-et-Thierny</t>
  </si>
  <si>
    <t>02618</t>
  </si>
  <si>
    <t>02164</t>
  </si>
  <si>
    <t>Prémont</t>
  </si>
  <si>
    <t>Le Charmel</t>
  </si>
  <si>
    <t>02619</t>
  </si>
  <si>
    <t>Prémontré</t>
  </si>
  <si>
    <t>02631</t>
  </si>
  <si>
    <t>Quierzy</t>
  </si>
  <si>
    <t>02637</t>
  </si>
  <si>
    <t>Remaucourt</t>
  </si>
  <si>
    <t>02638</t>
  </si>
  <si>
    <t>Remies</t>
  </si>
  <si>
    <t>02169</t>
  </si>
  <si>
    <t>Châtillon-lès-Sons</t>
  </si>
  <si>
    <t>02643</t>
  </si>
  <si>
    <t>Ressons-le-Long</t>
  </si>
  <si>
    <t>02170</t>
  </si>
  <si>
    <t>Châtillon-sur-Oise</t>
  </si>
  <si>
    <t>02648</t>
  </si>
  <si>
    <t>Ribemont</t>
  </si>
  <si>
    <t>02171</t>
  </si>
  <si>
    <t>Chaudardes</t>
  </si>
  <si>
    <t>02656</t>
  </si>
  <si>
    <t>Roucy</t>
  </si>
  <si>
    <t>02172</t>
  </si>
  <si>
    <t>Chaudun</t>
  </si>
  <si>
    <t>02659</t>
  </si>
  <si>
    <t>Rouvroy</t>
  </si>
  <si>
    <t>02662</t>
  </si>
  <si>
    <t>Rozet-Saint-Albin</t>
  </si>
  <si>
    <t>02175</t>
  </si>
  <si>
    <t>02666</t>
  </si>
  <si>
    <t>Rozoy-sur-Serre</t>
  </si>
  <si>
    <t>Chavigny</t>
  </si>
  <si>
    <t>CC du Canton de Charly-sur-Marne</t>
  </si>
  <si>
    <t>02176</t>
  </si>
  <si>
    <t>02642</t>
  </si>
  <si>
    <t>Chavonne</t>
  </si>
  <si>
    <t>Résigny</t>
  </si>
  <si>
    <t>240200584</t>
  </si>
  <si>
    <t>02177</t>
  </si>
  <si>
    <t>Chérêt</t>
  </si>
  <si>
    <t>02668</t>
  </si>
  <si>
    <t>Sains-Richaumont</t>
  </si>
  <si>
    <t>02178</t>
  </si>
  <si>
    <t>Chermizy-Ailles</t>
  </si>
  <si>
    <t>02673</t>
  </si>
  <si>
    <t>Saint-Christophe-à-Berry</t>
  </si>
  <si>
    <t>02676</t>
  </si>
  <si>
    <t>Saint-Erme-Outre-et-Ramecourt</t>
  </si>
  <si>
    <t>02680</t>
  </si>
  <si>
    <t>Saint-Gobain</t>
  </si>
  <si>
    <t>02181</t>
  </si>
  <si>
    <t>Chéry-lès-Rozoy</t>
  </si>
  <si>
    <t>02684</t>
  </si>
  <si>
    <t>Saint-Michel</t>
  </si>
  <si>
    <t>02182</t>
  </si>
  <si>
    <t>02691</t>
  </si>
  <si>
    <t>Saint-Quentin</t>
  </si>
  <si>
    <t>02694</t>
  </si>
  <si>
    <t>Chevennes</t>
  </si>
  <si>
    <t>Saint-Simon</t>
  </si>
  <si>
    <t>02183</t>
  </si>
  <si>
    <t>02701</t>
  </si>
  <si>
    <t>Chevregny</t>
  </si>
  <si>
    <t>Saulchery</t>
  </si>
  <si>
    <t>02184</t>
  </si>
  <si>
    <t>Chevresis-Monceau</t>
  </si>
  <si>
    <t>02703</t>
  </si>
  <si>
    <t>Seboncourt</t>
  </si>
  <si>
    <t>02185</t>
  </si>
  <si>
    <t>Chézy-en-Orxois</t>
  </si>
  <si>
    <t>02706</t>
  </si>
  <si>
    <t>Septmonts</t>
  </si>
  <si>
    <t>02719</t>
  </si>
  <si>
    <t>Sinceny</t>
  </si>
  <si>
    <t>02720</t>
  </si>
  <si>
    <t>Sissonne</t>
  </si>
  <si>
    <t>02188</t>
  </si>
  <si>
    <t>Chigny</t>
  </si>
  <si>
    <t>02721</t>
  </si>
  <si>
    <t>02189</t>
  </si>
  <si>
    <t>Sissy</t>
  </si>
  <si>
    <t>Chivres-en-Laonnois</t>
  </si>
  <si>
    <t>02722</t>
  </si>
  <si>
    <t>02190</t>
  </si>
  <si>
    <t>Soissons</t>
  </si>
  <si>
    <t>Chivres-Val</t>
  </si>
  <si>
    <t>02717</t>
  </si>
  <si>
    <t>Séry-lès-Mézières</t>
  </si>
  <si>
    <t>02737</t>
  </si>
  <si>
    <t>Tavaux-et-Pontséricourt</t>
  </si>
  <si>
    <t>02193</t>
  </si>
  <si>
    <t>02738</t>
  </si>
  <si>
    <t>Tergnier</t>
  </si>
  <si>
    <t>Cierges</t>
  </si>
  <si>
    <t>02194</t>
  </si>
  <si>
    <t>Cilly</t>
  </si>
  <si>
    <t>02741</t>
  </si>
  <si>
    <t>Thenelles</t>
  </si>
  <si>
    <t>02195</t>
  </si>
  <si>
    <t>Ciry-Salsogne</t>
  </si>
  <si>
    <t>02746</t>
  </si>
  <si>
    <t>Travecy</t>
  </si>
  <si>
    <t>02750</t>
  </si>
  <si>
    <t>Trosly-Loire</t>
  </si>
  <si>
    <t>02196</t>
  </si>
  <si>
    <t>Clacy-et-Thierret</t>
  </si>
  <si>
    <t>02748</t>
  </si>
  <si>
    <t>Trélou-sur-Marne</t>
  </si>
  <si>
    <t>02752</t>
  </si>
  <si>
    <t>Tugny-et-Pont</t>
  </si>
  <si>
    <t>02757</t>
  </si>
  <si>
    <t>Vadencourt</t>
  </si>
  <si>
    <t>02758</t>
  </si>
  <si>
    <t>Vailly-sur-Aisne</t>
  </si>
  <si>
    <t>02200</t>
  </si>
  <si>
    <t>Clermont-les-Fermes</t>
  </si>
  <si>
    <t>SUM de Population</t>
  </si>
  <si>
    <t>02204</t>
  </si>
  <si>
    <t>Coingt</t>
  </si>
  <si>
    <t>densité</t>
  </si>
  <si>
    <t>CA Amiens Métropole</t>
  </si>
  <si>
    <t>248000531</t>
  </si>
  <si>
    <t>02206</t>
  </si>
  <si>
    <t>Colonfay</t>
  </si>
  <si>
    <t>CA Coeur d'Ostrevent</t>
  </si>
  <si>
    <t>245901152</t>
  </si>
  <si>
    <t>CA Coeur de Flandre</t>
  </si>
  <si>
    <t>02207</t>
  </si>
  <si>
    <t>200040947</t>
  </si>
  <si>
    <t>Commenchon</t>
  </si>
  <si>
    <t>02769</t>
  </si>
  <si>
    <t>CA Creil Sud Oise</t>
  </si>
  <si>
    <t>02208</t>
  </si>
  <si>
    <t>200068047</t>
  </si>
  <si>
    <t>Concevreux</t>
  </si>
  <si>
    <t>CA d'Hénin-Carvin</t>
  </si>
  <si>
    <t>246200299</t>
  </si>
  <si>
    <t>Vaux-Andigny</t>
  </si>
  <si>
    <t>CA de Béthune-Bruay, Artois-Lys Romane</t>
  </si>
  <si>
    <t>200072460</t>
  </si>
  <si>
    <t>CA de Cambrai</t>
  </si>
  <si>
    <t>200068500</t>
  </si>
  <si>
    <t>CA de la Baie de Somme</t>
  </si>
  <si>
    <t>200070993</t>
  </si>
  <si>
    <t>02211</t>
  </si>
  <si>
    <t>Condé-sur-Suippe</t>
  </si>
  <si>
    <t>CA de la Porte du Hainaut</t>
  </si>
  <si>
    <t>200042190</t>
  </si>
  <si>
    <t>02768</t>
  </si>
  <si>
    <t>Vauxaillon</t>
  </si>
  <si>
    <t>CA de la Région de Compiègne et de la Basse Automne</t>
  </si>
  <si>
    <t>10 000 a 50 000</t>
  </si>
  <si>
    <t>200067965</t>
  </si>
  <si>
    <t>CA de Lens - Liévin</t>
  </si>
  <si>
    <t>246200364</t>
  </si>
  <si>
    <t>CA des Deux Baies en Montreuillois</t>
  </si>
  <si>
    <t>02775</t>
  </si>
  <si>
    <t>200069029</t>
  </si>
  <si>
    <t>Vendeuil</t>
  </si>
  <si>
    <t>CA Douaisis Agglo</t>
  </si>
  <si>
    <t>200044618</t>
  </si>
  <si>
    <t>02780</t>
  </si>
  <si>
    <t>Venizel</t>
  </si>
  <si>
    <t>CA du Beauvaisis</t>
  </si>
  <si>
    <t>200067999</t>
  </si>
  <si>
    <t>02781</t>
  </si>
  <si>
    <t>02213</t>
  </si>
  <si>
    <t>Verdilly</t>
  </si>
  <si>
    <t>Connigis</t>
  </si>
  <si>
    <t>CA du Boulonnais</t>
  </si>
  <si>
    <t>246200729</t>
  </si>
  <si>
    <t>02214</t>
  </si>
  <si>
    <t>CA du Caudrésis et du Catésis</t>
  </si>
  <si>
    <t>Contescourt</t>
  </si>
  <si>
    <t>02785</t>
  </si>
  <si>
    <t>200030633</t>
  </si>
  <si>
    <t>Vermand</t>
  </si>
  <si>
    <t>02787</t>
  </si>
  <si>
    <t>Verneuil-sur-Serre</t>
  </si>
  <si>
    <t>CA du Pays de Saint-Omer</t>
  </si>
  <si>
    <t>02216</t>
  </si>
  <si>
    <t>200069037</t>
  </si>
  <si>
    <t>02788</t>
  </si>
  <si>
    <t>Corcy</t>
  </si>
  <si>
    <t>Versigny</t>
  </si>
  <si>
    <t>02789</t>
  </si>
  <si>
    <t>CA Grand Calais Terres et Mers</t>
  </si>
  <si>
    <t>Vervins</t>
  </si>
  <si>
    <t>200090751</t>
  </si>
  <si>
    <t>02218</t>
  </si>
  <si>
    <t>02795</t>
  </si>
  <si>
    <t>Coucy-lès-Eppes</t>
  </si>
  <si>
    <t>Vic-sur-Aisne</t>
  </si>
  <si>
    <t>CA Maubeuge Val de Sambre</t>
  </si>
  <si>
    <t>200043396</t>
  </si>
  <si>
    <t>02219</t>
  </si>
  <si>
    <t>CA Valenciennes Métropole</t>
  </si>
  <si>
    <t>Coucy-la-Ville</t>
  </si>
  <si>
    <t>245901160</t>
  </si>
  <si>
    <t>CC Avre Luce Noye</t>
  </si>
  <si>
    <t>200070969</t>
  </si>
  <si>
    <t>02798</t>
  </si>
  <si>
    <t>02220</t>
  </si>
  <si>
    <t>Viels-Maisons</t>
  </si>
  <si>
    <t>CC Coeur de l'Avesnois</t>
  </si>
  <si>
    <t>200043263</t>
  </si>
  <si>
    <t>Coulonges-Cohan</t>
  </si>
  <si>
    <t>CC de Desvres-Samer</t>
  </si>
  <si>
    <t>200018083</t>
  </si>
  <si>
    <t>02799</t>
  </si>
  <si>
    <t>Vierzy</t>
  </si>
  <si>
    <t>CC de l'Aire Cantilienne</t>
  </si>
  <si>
    <t>246000764</t>
  </si>
  <si>
    <t>02805</t>
  </si>
  <si>
    <t>Villeneuve-Saint-Germain</t>
  </si>
  <si>
    <t>CC de l'Est de la Somme</t>
  </si>
  <si>
    <t>200070985</t>
  </si>
  <si>
    <t>02222</t>
  </si>
  <si>
    <t>Courbes</t>
  </si>
  <si>
    <t>CC de l'Oise Picarde</t>
  </si>
  <si>
    <t>02360</t>
  </si>
  <si>
    <t>Villeneuve-sur-Aisne</t>
  </si>
  <si>
    <t>200068005</t>
  </si>
  <si>
    <t>02223</t>
  </si>
  <si>
    <t>Courboin</t>
  </si>
  <si>
    <t>02224</t>
  </si>
  <si>
    <t>CC de la Haute Somme (Combles - Péronne - Roisel)</t>
  </si>
  <si>
    <t>200037059</t>
  </si>
  <si>
    <t>Courcelles-sur-Vesle</t>
  </si>
  <si>
    <t>CC de la Picardie Verte</t>
  </si>
  <si>
    <t>02225</t>
  </si>
  <si>
    <t>246000848</t>
  </si>
  <si>
    <t>CC de la Plaine d'Estrées</t>
  </si>
  <si>
    <t>246000897</t>
  </si>
  <si>
    <t>CC de la Région d'Audruicq</t>
  </si>
  <si>
    <t>246200844</t>
  </si>
  <si>
    <t>02807</t>
  </si>
  <si>
    <t>Villequier-Aumont</t>
  </si>
  <si>
    <t>CC de la Terre des Deux Caps</t>
  </si>
  <si>
    <t>246200380</t>
  </si>
  <si>
    <t>02810</t>
  </si>
  <si>
    <t>Courchamps</t>
  </si>
  <si>
    <t>Villers-Cotterêts</t>
  </si>
  <si>
    <t>02815</t>
  </si>
  <si>
    <t>Villers-Saint-Christophe</t>
  </si>
  <si>
    <t>CC des 7 Vallées</t>
  </si>
  <si>
    <t>200044030</t>
  </si>
  <si>
    <t>02227</t>
  </si>
  <si>
    <t>Courmont</t>
  </si>
  <si>
    <t>02816</t>
  </si>
  <si>
    <t>CC des Campagnes de l'Artois</t>
  </si>
  <si>
    <t>Villers-sur-Fère</t>
  </si>
  <si>
    <t>200069482</t>
  </si>
  <si>
    <t>CC des Deux Vallées</t>
  </si>
  <si>
    <t>02818</t>
  </si>
  <si>
    <t>246000772</t>
  </si>
  <si>
    <t>Villiers-Saint-Denis</t>
  </si>
  <si>
    <t>CC des Hauts de Flandre</t>
  </si>
  <si>
    <t>02229</t>
  </si>
  <si>
    <t>02820</t>
  </si>
  <si>
    <t>200040954</t>
  </si>
  <si>
    <t>Viry-Noureuil</t>
  </si>
  <si>
    <t>Courtrizy-et-Fussigny</t>
  </si>
  <si>
    <t>CC des Lisières de l'Oise</t>
  </si>
  <si>
    <t>246000749</t>
  </si>
  <si>
    <t>02821</t>
  </si>
  <si>
    <t>Vivaise</t>
  </si>
  <si>
    <t>CC des Pays d'Oise et d'Halatte</t>
  </si>
  <si>
    <t>02230</t>
  </si>
  <si>
    <t>Couvrelles</t>
  </si>
  <si>
    <t>246000921</t>
  </si>
  <si>
    <t>02827</t>
  </si>
  <si>
    <t>Voyenne</t>
  </si>
  <si>
    <t>CC des Sablons</t>
  </si>
  <si>
    <t>246000582</t>
  </si>
  <si>
    <t>02830</t>
  </si>
  <si>
    <t>Wassigny</t>
  </si>
  <si>
    <t>02232</t>
  </si>
  <si>
    <t>Coyolles</t>
  </si>
  <si>
    <t>02279</t>
  </si>
  <si>
    <t>02233</t>
  </si>
  <si>
    <t>Épaux-Bézu</t>
  </si>
  <si>
    <t>CC des Villes Soeurs</t>
  </si>
  <si>
    <t>247600588</t>
  </si>
  <si>
    <t>Cramaille</t>
  </si>
  <si>
    <t>02234</t>
  </si>
  <si>
    <t>Craonne</t>
  </si>
  <si>
    <t>02235</t>
  </si>
  <si>
    <t>Craonnelle</t>
  </si>
  <si>
    <t>CC du Clermontois</t>
  </si>
  <si>
    <t>02236</t>
  </si>
  <si>
    <t>246000376</t>
  </si>
  <si>
    <t>Crécy-au-Mont</t>
  </si>
  <si>
    <t>02292</t>
  </si>
  <si>
    <t>CC du Grand Roye</t>
  </si>
  <si>
    <t>Étampes-sur-Marne</t>
  </si>
  <si>
    <t>200070977</t>
  </si>
  <si>
    <t>CC du Haut Pays du Montreuillois</t>
  </si>
  <si>
    <t>02296</t>
  </si>
  <si>
    <t>200069235</t>
  </si>
  <si>
    <t>Étreillers</t>
  </si>
  <si>
    <t>CC du Liancourtois</t>
  </si>
  <si>
    <t>246000129</t>
  </si>
  <si>
    <t>CC du Pays de Bray</t>
  </si>
  <si>
    <t>246000913</t>
  </si>
  <si>
    <t>02298</t>
  </si>
  <si>
    <t>Étreux</t>
  </si>
  <si>
    <t>02240</t>
  </si>
  <si>
    <t>CC du Pays de Lumbres</t>
  </si>
  <si>
    <t>Croix-Fonsomme</t>
  </si>
  <si>
    <t>02295</t>
  </si>
  <si>
    <t>246201016</t>
  </si>
  <si>
    <t>Étréaupont</t>
  </si>
  <si>
    <t>02241</t>
  </si>
  <si>
    <t>CC du Pays de Mormal</t>
  </si>
  <si>
    <t>La Croix-sur-Ourcq</t>
  </si>
  <si>
    <t>02299</t>
  </si>
  <si>
    <t>200043321</t>
  </si>
  <si>
    <t>Évergnicourt</t>
  </si>
  <si>
    <t>CC du Pays de Valois</t>
  </si>
  <si>
    <t>246000871</t>
  </si>
  <si>
    <t>59002</t>
  </si>
  <si>
    <t>Abscon</t>
  </si>
  <si>
    <t>CC du Pays des Sources</t>
  </si>
  <si>
    <t>246000855</t>
  </si>
  <si>
    <t>Nord</t>
  </si>
  <si>
    <t>CC du Pays du Coquelicot</t>
  </si>
  <si>
    <t>248000747</t>
  </si>
  <si>
    <t>59004</t>
  </si>
  <si>
    <t>Aix-en-Pévèle</t>
  </si>
  <si>
    <t>02244</t>
  </si>
  <si>
    <t>CC du Pays Noyonnais</t>
  </si>
  <si>
    <t>Crupilly</t>
  </si>
  <si>
    <t>59005</t>
  </si>
  <si>
    <t>246000756</t>
  </si>
  <si>
    <t>Allennes-les-Marais</t>
  </si>
  <si>
    <t>CC du Pays Solesmois</t>
  </si>
  <si>
    <t>245901038</t>
  </si>
  <si>
    <t>59007</t>
  </si>
  <si>
    <t>CC du Plateau Picard</t>
  </si>
  <si>
    <t>246000566</t>
  </si>
  <si>
    <t>02246</t>
  </si>
  <si>
    <t>Anhiers</t>
  </si>
  <si>
    <t>CC du Sud Artois</t>
  </si>
  <si>
    <t>59008</t>
  </si>
  <si>
    <t>200035442</t>
  </si>
  <si>
    <t>Aniche</t>
  </si>
  <si>
    <t>CC du Sud Avesnois</t>
  </si>
  <si>
    <t>200043404</t>
  </si>
  <si>
    <t>59010</t>
  </si>
  <si>
    <t>CC du Ternois</t>
  </si>
  <si>
    <t>Anneux</t>
  </si>
  <si>
    <t>200069672</t>
  </si>
  <si>
    <t>59011</t>
  </si>
  <si>
    <t>Annœullin</t>
  </si>
  <si>
    <t>CC du Territoire Nord Picardie</t>
  </si>
  <si>
    <t>200070951</t>
  </si>
  <si>
    <t>59012</t>
  </si>
  <si>
    <t>Anor</t>
  </si>
  <si>
    <t>Cugny</t>
  </si>
  <si>
    <t>59013</t>
  </si>
  <si>
    <t>Anstaing</t>
  </si>
  <si>
    <t>CC du Val de Somme</t>
  </si>
  <si>
    <t>248000499</t>
  </si>
  <si>
    <t>59014</t>
  </si>
  <si>
    <t>CC du Vexin-Thelle</t>
  </si>
  <si>
    <t>Anzin</t>
  </si>
  <si>
    <t>246000707</t>
  </si>
  <si>
    <t>CC du Vimeu</t>
  </si>
  <si>
    <t>02248</t>
  </si>
  <si>
    <t>59015</t>
  </si>
  <si>
    <t>200070944</t>
  </si>
  <si>
    <t>Arleux</t>
  </si>
  <si>
    <t>Cuirieux</t>
  </si>
  <si>
    <t>CC Flandre Lys</t>
  </si>
  <si>
    <t>245900758</t>
  </si>
  <si>
    <t>59016</t>
  </si>
  <si>
    <t>Armbouts-Cappel</t>
  </si>
  <si>
    <t>CC Interrégionale Aumale - Blangy-sur-Bresle</t>
  </si>
  <si>
    <t>200069722</t>
  </si>
  <si>
    <t>59017</t>
  </si>
  <si>
    <t>CC Nièvre et Somme</t>
  </si>
  <si>
    <t>Armentières</t>
  </si>
  <si>
    <t>200071223</t>
  </si>
  <si>
    <t>CC Osartis Marquion</t>
  </si>
  <si>
    <t>200044048</t>
  </si>
  <si>
    <t>02249</t>
  </si>
  <si>
    <t>59018</t>
  </si>
  <si>
    <t>CC Pays d'Opale</t>
  </si>
  <si>
    <t>200072478</t>
  </si>
  <si>
    <t>Arnèke</t>
  </si>
  <si>
    <t>CC Pévèle-Carembault</t>
  </si>
  <si>
    <t>200041960</t>
  </si>
  <si>
    <t>59019</t>
  </si>
  <si>
    <t>Cuiry-Housse</t>
  </si>
  <si>
    <t>Artres</t>
  </si>
  <si>
    <t>02250</t>
  </si>
  <si>
    <t>CC Ponthieu-Marquenterre</t>
  </si>
  <si>
    <t>Cuiry-lès-Chaudardes</t>
  </si>
  <si>
    <t>200070936</t>
  </si>
  <si>
    <t>59021</t>
  </si>
  <si>
    <t>Assevent</t>
  </si>
  <si>
    <t>02251</t>
  </si>
  <si>
    <t>Cuiry-lès-Iviers</t>
  </si>
  <si>
    <t>59022</t>
  </si>
  <si>
    <t>Attiches</t>
  </si>
  <si>
    <t>CC Senlis Sud Oise</t>
  </si>
  <si>
    <t>59023</t>
  </si>
  <si>
    <t>200066975</t>
  </si>
  <si>
    <t>Aubencheul-au-Bac</t>
  </si>
  <si>
    <t>02252</t>
  </si>
  <si>
    <t>Cuissy-et-Geny</t>
  </si>
  <si>
    <t>CC Somme Sud-Ouest</t>
  </si>
  <si>
    <t>59024</t>
  </si>
  <si>
    <t>Auberchicourt</t>
  </si>
  <si>
    <t>200071181</t>
  </si>
  <si>
    <t>02253</t>
  </si>
  <si>
    <t>CC Terre de Picardie</t>
  </si>
  <si>
    <t>59025</t>
  </si>
  <si>
    <t>Cuisy-en-Almont</t>
  </si>
  <si>
    <t>Aubers</t>
  </si>
  <si>
    <t>200070928</t>
  </si>
  <si>
    <t>CC Thelloise</t>
  </si>
  <si>
    <t>59026</t>
  </si>
  <si>
    <t>200067973</t>
  </si>
  <si>
    <t>Aubigny-au-Bac</t>
  </si>
  <si>
    <t>02255</t>
  </si>
  <si>
    <t>Cys-la-Commune</t>
  </si>
  <si>
    <t>CU d'Arras</t>
  </si>
  <si>
    <t>02256</t>
  </si>
  <si>
    <t>200033579</t>
  </si>
  <si>
    <t>Dagny-Lambercy</t>
  </si>
  <si>
    <t>CU de Dunkerque</t>
  </si>
  <si>
    <t>245900428</t>
  </si>
  <si>
    <t>02257</t>
  </si>
  <si>
    <t>59027</t>
  </si>
  <si>
    <t>Dallon</t>
  </si>
  <si>
    <t>Aubry-du-Hainaut</t>
  </si>
  <si>
    <t>Métropole Européenne de Lille</t>
  </si>
  <si>
    <t>200093201</t>
  </si>
  <si>
    <t>02258</t>
  </si>
  <si>
    <t>Dammard</t>
  </si>
  <si>
    <t>Total général</t>
  </si>
  <si>
    <t>59028</t>
  </si>
  <si>
    <t>Auby</t>
  </si>
  <si>
    <t>59029</t>
  </si>
  <si>
    <t>Auchy-lez-Orchies</t>
  </si>
  <si>
    <t>59031</t>
  </si>
  <si>
    <t>Audignies</t>
  </si>
  <si>
    <t>59032</t>
  </si>
  <si>
    <t>Aulnoy-lez-Valenciennes</t>
  </si>
  <si>
    <t>59033</t>
  </si>
  <si>
    <t>Aulnoye-Aymeries</t>
  </si>
  <si>
    <t>59034</t>
  </si>
  <si>
    <t>Avelin</t>
  </si>
  <si>
    <t>02262</t>
  </si>
  <si>
    <t>59035</t>
  </si>
  <si>
    <t>Deuillet</t>
  </si>
  <si>
    <t>Avesnelles</t>
  </si>
  <si>
    <t>02263</t>
  </si>
  <si>
    <t>59038</t>
  </si>
  <si>
    <t>Dhuizel</t>
  </si>
  <si>
    <t>Avesnes-le-Sec</t>
  </si>
  <si>
    <t>59037</t>
  </si>
  <si>
    <t>Avesnes-les-Aubert</t>
  </si>
  <si>
    <t>02265</t>
  </si>
  <si>
    <t>Dohis</t>
  </si>
  <si>
    <t>59036</t>
  </si>
  <si>
    <t>Avesnes-sur-Helpe</t>
  </si>
  <si>
    <t>02266</t>
  </si>
  <si>
    <t>Dolignon</t>
  </si>
  <si>
    <t>59039</t>
  </si>
  <si>
    <t>Awoingt</t>
  </si>
  <si>
    <t>02267</t>
  </si>
  <si>
    <t>Dommiers</t>
  </si>
  <si>
    <t>59041</t>
  </si>
  <si>
    <t>Bachant</t>
  </si>
  <si>
    <t>59042</t>
  </si>
  <si>
    <t>02269</t>
  </si>
  <si>
    <t>Bachy</t>
  </si>
  <si>
    <t>Dorengt</t>
  </si>
  <si>
    <t>02270</t>
  </si>
  <si>
    <t>59043</t>
  </si>
  <si>
    <t>Bailleul</t>
  </si>
  <si>
    <t>Douchy</t>
  </si>
  <si>
    <t>02271</t>
  </si>
  <si>
    <t>59044</t>
  </si>
  <si>
    <t>Dravegny</t>
  </si>
  <si>
    <t>Baisieux</t>
  </si>
  <si>
    <t>02272</t>
  </si>
  <si>
    <t>Droizy</t>
  </si>
  <si>
    <t>59046</t>
  </si>
  <si>
    <t>Bambecque</t>
  </si>
  <si>
    <t>02273</t>
  </si>
  <si>
    <t>Dury</t>
  </si>
  <si>
    <t>59048</t>
  </si>
  <si>
    <t>Bantigny</t>
  </si>
  <si>
    <t>02274</t>
  </si>
  <si>
    <t>Ébouleau</t>
  </si>
  <si>
    <t>59052</t>
  </si>
  <si>
    <t>Bauvin</t>
  </si>
  <si>
    <t>02275</t>
  </si>
  <si>
    <t>Effry</t>
  </si>
  <si>
    <t>59053</t>
  </si>
  <si>
    <t>Bavay</t>
  </si>
  <si>
    <t>02276</t>
  </si>
  <si>
    <t>Englancourt</t>
  </si>
  <si>
    <t>59054</t>
  </si>
  <si>
    <t>Bavinchove</t>
  </si>
  <si>
    <t>02277</t>
  </si>
  <si>
    <t>Épagny</t>
  </si>
  <si>
    <t>59055</t>
  </si>
  <si>
    <t>02278</t>
  </si>
  <si>
    <t>Bazuel</t>
  </si>
  <si>
    <t>Éparcy</t>
  </si>
  <si>
    <t>59056</t>
  </si>
  <si>
    <t>Beaucamps-Ligny</t>
  </si>
  <si>
    <t>02280</t>
  </si>
  <si>
    <t>Épieds</t>
  </si>
  <si>
    <t>59058</t>
  </si>
  <si>
    <t>Beaufort</t>
  </si>
  <si>
    <t>02281</t>
  </si>
  <si>
    <t>L'Épine-aux-Bois</t>
  </si>
  <si>
    <t>59063</t>
  </si>
  <si>
    <t>02282</t>
  </si>
  <si>
    <t>Beauvois-en-Cambrésis</t>
  </si>
  <si>
    <t>Eppes</t>
  </si>
  <si>
    <t>59064</t>
  </si>
  <si>
    <t>Bellaing</t>
  </si>
  <si>
    <t>02283</t>
  </si>
  <si>
    <t>Erlon</t>
  </si>
  <si>
    <t>59065</t>
  </si>
  <si>
    <t>Bellignies</t>
  </si>
  <si>
    <t>02284</t>
  </si>
  <si>
    <t>Erloy</t>
  </si>
  <si>
    <t>59067</t>
  </si>
  <si>
    <t>Bergues</t>
  </si>
  <si>
    <t>59068</t>
  </si>
  <si>
    <t>Berlaimont</t>
  </si>
  <si>
    <t>59069</t>
  </si>
  <si>
    <t>Bermerain</t>
  </si>
  <si>
    <t>59071</t>
  </si>
  <si>
    <t>Bersée</t>
  </si>
  <si>
    <t>02289</t>
  </si>
  <si>
    <t>Essises</t>
  </si>
  <si>
    <t>59074</t>
  </si>
  <si>
    <t>Bertry</t>
  </si>
  <si>
    <t>59078</t>
  </si>
  <si>
    <t>Beugnies</t>
  </si>
  <si>
    <t>02291</t>
  </si>
  <si>
    <t>Estrées</t>
  </si>
  <si>
    <t>59079</t>
  </si>
  <si>
    <t>Beuvrages</t>
  </si>
  <si>
    <t>59080</t>
  </si>
  <si>
    <t>02293</t>
  </si>
  <si>
    <t>Beuvry-la-Forêt</t>
  </si>
  <si>
    <t>Étaves-et-Bocquiaux</t>
  </si>
  <si>
    <t>02294</t>
  </si>
  <si>
    <t>Étouvelles</t>
  </si>
  <si>
    <t>59082</t>
  </si>
  <si>
    <t>Bierne</t>
  </si>
  <si>
    <t>59084</t>
  </si>
  <si>
    <t>Blaringhem</t>
  </si>
  <si>
    <t>59086</t>
  </si>
  <si>
    <t>Boeschepe</t>
  </si>
  <si>
    <t>02297</t>
  </si>
  <si>
    <t>Étrépilly</t>
  </si>
  <si>
    <t>59088</t>
  </si>
  <si>
    <t>Bois-Grenier</t>
  </si>
  <si>
    <t>59089</t>
  </si>
  <si>
    <t>Bollezeele</t>
  </si>
  <si>
    <t>59090</t>
  </si>
  <si>
    <t>Bondues</t>
  </si>
  <si>
    <t>02302</t>
  </si>
  <si>
    <t>Faverolles</t>
  </si>
  <si>
    <t>59091</t>
  </si>
  <si>
    <t>Borre</t>
  </si>
  <si>
    <t>59092</t>
  </si>
  <si>
    <t>Bouchain</t>
  </si>
  <si>
    <t>59094</t>
  </si>
  <si>
    <t>Bourbourg</t>
  </si>
  <si>
    <t>59096</t>
  </si>
  <si>
    <t>Bourghelles</t>
  </si>
  <si>
    <t>59098</t>
  </si>
  <si>
    <t>Bousbecque</t>
  </si>
  <si>
    <t>59099</t>
  </si>
  <si>
    <t>Bousies</t>
  </si>
  <si>
    <t>59100</t>
  </si>
  <si>
    <t>Bousignies</t>
  </si>
  <si>
    <t>02310</t>
  </si>
  <si>
    <t>Fieulaine</t>
  </si>
  <si>
    <t>59101</t>
  </si>
  <si>
    <t>Bousignies-sur-Roc</t>
  </si>
  <si>
    <t>59103</t>
  </si>
  <si>
    <t>Boussières-sur-Sambre</t>
  </si>
  <si>
    <t>59104</t>
  </si>
  <si>
    <t>Boussois</t>
  </si>
  <si>
    <t>59105</t>
  </si>
  <si>
    <t>Bouvignies</t>
  </si>
  <si>
    <t>02313</t>
  </si>
  <si>
    <t>Flavigny-le-Grand-et-Beaurain</t>
  </si>
  <si>
    <t>59107</t>
  </si>
  <si>
    <t>Bray-Dunes</t>
  </si>
  <si>
    <t>59108</t>
  </si>
  <si>
    <t>02316</t>
  </si>
  <si>
    <t>Briastre</t>
  </si>
  <si>
    <t>Fleury</t>
  </si>
  <si>
    <t>02317</t>
  </si>
  <si>
    <t>Fluquières</t>
  </si>
  <si>
    <t>59109</t>
  </si>
  <si>
    <t>Brillon</t>
  </si>
  <si>
    <t>59110</t>
  </si>
  <si>
    <t>Brouckerque</t>
  </si>
  <si>
    <t>59112</t>
  </si>
  <si>
    <t>Bruay-sur-l'Escaut</t>
  </si>
  <si>
    <t>02320</t>
  </si>
  <si>
    <t>Fontaine-lès-Clercs</t>
  </si>
  <si>
    <t>59114</t>
  </si>
  <si>
    <t>Bruille-Saint-Amand</t>
  </si>
  <si>
    <t>59113</t>
  </si>
  <si>
    <t>Bruille-lez-Marchiennes</t>
  </si>
  <si>
    <t>02322</t>
  </si>
  <si>
    <t>59115</t>
  </si>
  <si>
    <t>Fontaine-Notre-Dame</t>
  </si>
  <si>
    <t>Brunémont</t>
  </si>
  <si>
    <t>02323</t>
  </si>
  <si>
    <t>59116</t>
  </si>
  <si>
    <t>Bry</t>
  </si>
  <si>
    <t>Fontaine-Uterte</t>
  </si>
  <si>
    <t>02324</t>
  </si>
  <si>
    <t>Fontenelle</t>
  </si>
  <si>
    <t>59117</t>
  </si>
  <si>
    <t>Bugnicourt</t>
  </si>
  <si>
    <t>59118</t>
  </si>
  <si>
    <t>Busigny</t>
  </si>
  <si>
    <t>02328</t>
  </si>
  <si>
    <t>Fossoy</t>
  </si>
  <si>
    <t>59075</t>
  </si>
  <si>
    <t>Béthencourt</t>
  </si>
  <si>
    <t>59081</t>
  </si>
  <si>
    <t>Bévillers</t>
  </si>
  <si>
    <t>02330</t>
  </si>
  <si>
    <t>Francilly-Selency</t>
  </si>
  <si>
    <t>59121</t>
  </si>
  <si>
    <t>Cagnoncles</t>
  </si>
  <si>
    <t>02331</t>
  </si>
  <si>
    <t>Franqueville</t>
  </si>
  <si>
    <t>59122</t>
  </si>
  <si>
    <t>Cambrai</t>
  </si>
  <si>
    <t>59123</t>
  </si>
  <si>
    <t>Camphin-en-Carembault</t>
  </si>
  <si>
    <t>02333</t>
  </si>
  <si>
    <t>Fresnes-sous-Coucy</t>
  </si>
  <si>
    <t>59124</t>
  </si>
  <si>
    <t>Camphin-en-Pévèle</t>
  </si>
  <si>
    <t>59126</t>
  </si>
  <si>
    <t>02335</t>
  </si>
  <si>
    <t>Cantin</t>
  </si>
  <si>
    <t>Fressancourt</t>
  </si>
  <si>
    <t>59128</t>
  </si>
  <si>
    <t>Capinghem</t>
  </si>
  <si>
    <t>02337</t>
  </si>
  <si>
    <t>59130</t>
  </si>
  <si>
    <t>Froidestrées</t>
  </si>
  <si>
    <t>02338</t>
  </si>
  <si>
    <t>Froidmont-Cohartille</t>
  </si>
  <si>
    <t>Cappelle-Brouck</t>
  </si>
  <si>
    <t>59129</t>
  </si>
  <si>
    <t>Cappelle-en-Pévèle</t>
  </si>
  <si>
    <t>59131</t>
  </si>
  <si>
    <t>Cappelle-la-Grande</t>
  </si>
  <si>
    <t>02341</t>
  </si>
  <si>
    <t>Gercy</t>
  </si>
  <si>
    <t>59133</t>
  </si>
  <si>
    <t>Carnin</t>
  </si>
  <si>
    <t>02342</t>
  </si>
  <si>
    <t>59132</t>
  </si>
  <si>
    <t>Gergny</t>
  </si>
  <si>
    <t>Carnières</t>
  </si>
  <si>
    <t>59134</t>
  </si>
  <si>
    <t>02343</t>
  </si>
  <si>
    <t>Cartignies</t>
  </si>
  <si>
    <t>Germaine</t>
  </si>
  <si>
    <t>59135</t>
  </si>
  <si>
    <t>02345</t>
  </si>
  <si>
    <t>Cassel</t>
  </si>
  <si>
    <t>Gibercourt</t>
  </si>
  <si>
    <t>59137</t>
  </si>
  <si>
    <t>Catillon-sur-Sambre</t>
  </si>
  <si>
    <t>02347</t>
  </si>
  <si>
    <t>Gland</t>
  </si>
  <si>
    <t>59138</t>
  </si>
  <si>
    <t>Cattenières</t>
  </si>
  <si>
    <t>02349</t>
  </si>
  <si>
    <t>Goudelancourt-lès-Berrieux</t>
  </si>
  <si>
    <t>59139</t>
  </si>
  <si>
    <t>Caudry</t>
  </si>
  <si>
    <t>02350</t>
  </si>
  <si>
    <t>Goudelancourt-lès-Pierrepont</t>
  </si>
  <si>
    <t>59141</t>
  </si>
  <si>
    <t>Cauroir</t>
  </si>
  <si>
    <t>02351</t>
  </si>
  <si>
    <t>Goussancourt</t>
  </si>
  <si>
    <t>59120</t>
  </si>
  <si>
    <t>Caëstre</t>
  </si>
  <si>
    <t>59142</t>
  </si>
  <si>
    <t>02353</t>
  </si>
  <si>
    <t>Cerfontaine</t>
  </si>
  <si>
    <t>Grandlup-et-Fay</t>
  </si>
  <si>
    <t>59144</t>
  </si>
  <si>
    <t>02354</t>
  </si>
  <si>
    <t>Château-l'Abbaye</t>
  </si>
  <si>
    <t>Grandrieux</t>
  </si>
  <si>
    <t>02355</t>
  </si>
  <si>
    <t>59146</t>
  </si>
  <si>
    <t>Gricourt</t>
  </si>
  <si>
    <t>Chéreng</t>
  </si>
  <si>
    <t>02356</t>
  </si>
  <si>
    <t>Grisolles</t>
  </si>
  <si>
    <t>59149</t>
  </si>
  <si>
    <t>Clary</t>
  </si>
  <si>
    <t>02357</t>
  </si>
  <si>
    <t>Gronard</t>
  </si>
  <si>
    <t>59150</t>
  </si>
  <si>
    <t>Cobrieux</t>
  </si>
  <si>
    <t>02358</t>
  </si>
  <si>
    <t>Grougis</t>
  </si>
  <si>
    <t>59151</t>
  </si>
  <si>
    <t>Colleret</t>
  </si>
  <si>
    <t>59152</t>
  </si>
  <si>
    <t>Comines</t>
  </si>
  <si>
    <t>59153</t>
  </si>
  <si>
    <t>Condé-sur-l'Escaut</t>
  </si>
  <si>
    <t>59155</t>
  </si>
  <si>
    <t>02362</t>
  </si>
  <si>
    <t>Coudekerque-Branche</t>
  </si>
  <si>
    <t>Guivry</t>
  </si>
  <si>
    <t>02363</t>
  </si>
  <si>
    <t>59156</t>
  </si>
  <si>
    <t>Guny</t>
  </si>
  <si>
    <t>Courchelettes</t>
  </si>
  <si>
    <t>02364</t>
  </si>
  <si>
    <t>59157</t>
  </si>
  <si>
    <t>Cousolre</t>
  </si>
  <si>
    <t>Guyencourt</t>
  </si>
  <si>
    <t>59158</t>
  </si>
  <si>
    <t>Coutiches</t>
  </si>
  <si>
    <t>02367</t>
  </si>
  <si>
    <t>59159</t>
  </si>
  <si>
    <t>Happencourt</t>
  </si>
  <si>
    <t>Craywick</t>
  </si>
  <si>
    <t>02368</t>
  </si>
  <si>
    <t>Haramont</t>
  </si>
  <si>
    <t>59160</t>
  </si>
  <si>
    <t>Crespin</t>
  </si>
  <si>
    <t>02369</t>
  </si>
  <si>
    <t>Harcigny</t>
  </si>
  <si>
    <t>59163</t>
  </si>
  <si>
    <t>Croix</t>
  </si>
  <si>
    <t>02370</t>
  </si>
  <si>
    <t>Hargicourt</t>
  </si>
  <si>
    <t>59161</t>
  </si>
  <si>
    <t>Crèvecœur-sur-l'Escaut</t>
  </si>
  <si>
    <t>59165</t>
  </si>
  <si>
    <t>Cuincy</t>
  </si>
  <si>
    <t>02373</t>
  </si>
  <si>
    <t>Hary</t>
  </si>
  <si>
    <t>59166</t>
  </si>
  <si>
    <t>Curgies</t>
  </si>
  <si>
    <t>59168</t>
  </si>
  <si>
    <t>Cysoing</t>
  </si>
  <si>
    <t>02375</t>
  </si>
  <si>
    <t>59170</t>
  </si>
  <si>
    <t>Hautevesnes</t>
  </si>
  <si>
    <t>Dechy</t>
  </si>
  <si>
    <t>02376</t>
  </si>
  <si>
    <t>59172</t>
  </si>
  <si>
    <t>Hauteville</t>
  </si>
  <si>
    <t>Denain</t>
  </si>
  <si>
    <t>02377</t>
  </si>
  <si>
    <t>Haution</t>
  </si>
  <si>
    <t>59173</t>
  </si>
  <si>
    <t>Deûlémont</t>
  </si>
  <si>
    <t>02378</t>
  </si>
  <si>
    <t>La Hérie</t>
  </si>
  <si>
    <t>59176</t>
  </si>
  <si>
    <t>Doignies</t>
  </si>
  <si>
    <t>02379</t>
  </si>
  <si>
    <t>Le Hérie-la-Viéville</t>
  </si>
  <si>
    <t>59177</t>
  </si>
  <si>
    <t>Dompierre-sur-Helpe</t>
  </si>
  <si>
    <t>02380</t>
  </si>
  <si>
    <t>59670</t>
  </si>
  <si>
    <t>Don</t>
  </si>
  <si>
    <t>Hinacourt</t>
  </si>
  <si>
    <t>59178</t>
  </si>
  <si>
    <t>Douai</t>
  </si>
  <si>
    <t>59179</t>
  </si>
  <si>
    <t>Douchy-les-Mines</t>
  </si>
  <si>
    <t>59181</t>
  </si>
  <si>
    <t>Dourlers</t>
  </si>
  <si>
    <t>02384</t>
  </si>
  <si>
    <t>59183</t>
  </si>
  <si>
    <t>Houry</t>
  </si>
  <si>
    <t>Dunkerque</t>
  </si>
  <si>
    <t>02385</t>
  </si>
  <si>
    <t>59184</t>
  </si>
  <si>
    <t>Housset</t>
  </si>
  <si>
    <t>Ebblinghem</t>
  </si>
  <si>
    <t>02386</t>
  </si>
  <si>
    <t>59189</t>
  </si>
  <si>
    <t>Iron</t>
  </si>
  <si>
    <t>Eecke</t>
  </si>
  <si>
    <t>02387</t>
  </si>
  <si>
    <t>Itancourt</t>
  </si>
  <si>
    <t>59193</t>
  </si>
  <si>
    <t>Emmerin</t>
  </si>
  <si>
    <t>59194</t>
  </si>
  <si>
    <t>Englefontaine</t>
  </si>
  <si>
    <t>59195</t>
  </si>
  <si>
    <t>Englos</t>
  </si>
  <si>
    <t>02390</t>
  </si>
  <si>
    <t>Jeancourt</t>
  </si>
  <si>
    <t>59196</t>
  </si>
  <si>
    <t>Ennetières-en-Weppes</t>
  </si>
  <si>
    <t>02391</t>
  </si>
  <si>
    <t>Jeantes</t>
  </si>
  <si>
    <t>59197</t>
  </si>
  <si>
    <t>02392</t>
  </si>
  <si>
    <t>Ennevelin</t>
  </si>
  <si>
    <t>Joncourt</t>
  </si>
  <si>
    <t>02393</t>
  </si>
  <si>
    <t>Jouaignes</t>
  </si>
  <si>
    <t>59202</t>
  </si>
  <si>
    <t>Erquinghem-Lys</t>
  </si>
  <si>
    <t>02395</t>
  </si>
  <si>
    <t>Jumencourt</t>
  </si>
  <si>
    <t>59203</t>
  </si>
  <si>
    <t>02396</t>
  </si>
  <si>
    <t>Erre</t>
  </si>
  <si>
    <t>Jumigny</t>
  </si>
  <si>
    <t>59205</t>
  </si>
  <si>
    <t>Escaudain</t>
  </si>
  <si>
    <t>59206</t>
  </si>
  <si>
    <t>02398</t>
  </si>
  <si>
    <t>Juvigny</t>
  </si>
  <si>
    <t>Escaudœuvres</t>
  </si>
  <si>
    <t>59207</t>
  </si>
  <si>
    <t>Escautpont</t>
  </si>
  <si>
    <t>59209</t>
  </si>
  <si>
    <t>Esnes</t>
  </si>
  <si>
    <t>02400</t>
  </si>
  <si>
    <t>Laffaux</t>
  </si>
  <si>
    <t>59210</t>
  </si>
  <si>
    <t>Esquelbecq</t>
  </si>
  <si>
    <t>02401</t>
  </si>
  <si>
    <t>Laigny</t>
  </si>
  <si>
    <t>59211</t>
  </si>
  <si>
    <t>02402</t>
  </si>
  <si>
    <t>Esquerchin</t>
  </si>
  <si>
    <t>Lanchy</t>
  </si>
  <si>
    <t>59212</t>
  </si>
  <si>
    <t>Estaires</t>
  </si>
  <si>
    <t>59213</t>
  </si>
  <si>
    <t>Estourmel</t>
  </si>
  <si>
    <t>02404</t>
  </si>
  <si>
    <t>Landouzy-la-Cour</t>
  </si>
  <si>
    <t>59215</t>
  </si>
  <si>
    <t>Estreux</t>
  </si>
  <si>
    <t>02405</t>
  </si>
  <si>
    <t>Landouzy-la-Ville</t>
  </si>
  <si>
    <t>59214</t>
  </si>
  <si>
    <t>02406</t>
  </si>
  <si>
    <t>Landricourt</t>
  </si>
  <si>
    <t>02407</t>
  </si>
  <si>
    <t>59220</t>
  </si>
  <si>
    <t>Laniscourt</t>
  </si>
  <si>
    <t>Faches-Thumesnil</t>
  </si>
  <si>
    <t>59221</t>
  </si>
  <si>
    <t>Famars</t>
  </si>
  <si>
    <t>02409</t>
  </si>
  <si>
    <t>Lappion</t>
  </si>
  <si>
    <t>59222</t>
  </si>
  <si>
    <t>Faumont</t>
  </si>
  <si>
    <t>59225</t>
  </si>
  <si>
    <t>Feignies</t>
  </si>
  <si>
    <t>59226</t>
  </si>
  <si>
    <t>Felleries</t>
  </si>
  <si>
    <t>59227</t>
  </si>
  <si>
    <t>02410</t>
  </si>
  <si>
    <t>Fenain</t>
  </si>
  <si>
    <t>Largny-sur-Automne</t>
  </si>
  <si>
    <t>59230</t>
  </si>
  <si>
    <t>Ferrière-la-Grande</t>
  </si>
  <si>
    <t>02411</t>
  </si>
  <si>
    <t>Latilly</t>
  </si>
  <si>
    <t>59231</t>
  </si>
  <si>
    <t>Ferrière-la-Petite</t>
  </si>
  <si>
    <t>02412</t>
  </si>
  <si>
    <t>Launoy</t>
  </si>
  <si>
    <t>59233</t>
  </si>
  <si>
    <t>Flaumont-Waudrechies</t>
  </si>
  <si>
    <t>02413</t>
  </si>
  <si>
    <t>Laval-en-Laonnois</t>
  </si>
  <si>
    <t>59234</t>
  </si>
  <si>
    <t>Flers-en-Escrebieux</t>
  </si>
  <si>
    <t>02414</t>
  </si>
  <si>
    <t>Lavaqueresse</t>
  </si>
  <si>
    <t>59239</t>
  </si>
  <si>
    <t>Flines-lez-Raches</t>
  </si>
  <si>
    <t>02415</t>
  </si>
  <si>
    <t>Laversine</t>
  </si>
  <si>
    <t>59238</t>
  </si>
  <si>
    <t>Flines-lès-Mortagne</t>
  </si>
  <si>
    <t>59241</t>
  </si>
  <si>
    <t>02417</t>
  </si>
  <si>
    <t>Floyon</t>
  </si>
  <si>
    <t>Lempire</t>
  </si>
  <si>
    <t>59237</t>
  </si>
  <si>
    <t>Flêtre</t>
  </si>
  <si>
    <t>02419</t>
  </si>
  <si>
    <t>Leschelle</t>
  </si>
  <si>
    <t>02420</t>
  </si>
  <si>
    <t>Lesdins</t>
  </si>
  <si>
    <t>02421</t>
  </si>
  <si>
    <t>Lesges</t>
  </si>
  <si>
    <t>59244</t>
  </si>
  <si>
    <t>02424</t>
  </si>
  <si>
    <t>Leury</t>
  </si>
  <si>
    <t>59242</t>
  </si>
  <si>
    <t>Fontaine-au-Bois</t>
  </si>
  <si>
    <t>02425</t>
  </si>
  <si>
    <t>Leuze</t>
  </si>
  <si>
    <t>59243</t>
  </si>
  <si>
    <t>Fontaine-au-Pire</t>
  </si>
  <si>
    <t>59246</t>
  </si>
  <si>
    <t>Forest-en-Cambrésis</t>
  </si>
  <si>
    <t>59247</t>
  </si>
  <si>
    <t>Forest-sur-Marque</t>
  </si>
  <si>
    <t>02428</t>
  </si>
  <si>
    <t>Licy-Clignon</t>
  </si>
  <si>
    <t>59249</t>
  </si>
  <si>
    <t>Fourmies</t>
  </si>
  <si>
    <t>02429</t>
  </si>
  <si>
    <t>59250</t>
  </si>
  <si>
    <t>Lierval</t>
  </si>
  <si>
    <t>Fournes-en-Weppes</t>
  </si>
  <si>
    <t>59252</t>
  </si>
  <si>
    <t>Frelinghien</t>
  </si>
  <si>
    <t>59253</t>
  </si>
  <si>
    <t>Fresnes-sur-Escaut</t>
  </si>
  <si>
    <t>02432</t>
  </si>
  <si>
    <t>Limé</t>
  </si>
  <si>
    <t>59254</t>
  </si>
  <si>
    <t>Fressain</t>
  </si>
  <si>
    <t>02433</t>
  </si>
  <si>
    <t>Lislet</t>
  </si>
  <si>
    <t>59256</t>
  </si>
  <si>
    <t>Fretin</t>
  </si>
  <si>
    <t>02435</t>
  </si>
  <si>
    <t>Logny-lès-Aubenton</t>
  </si>
  <si>
    <t>59257</t>
  </si>
  <si>
    <t>Fromelles</t>
  </si>
  <si>
    <t>02438</t>
  </si>
  <si>
    <t>59224</t>
  </si>
  <si>
    <t>Longpont</t>
  </si>
  <si>
    <t>Féchain</t>
  </si>
  <si>
    <t>59228</t>
  </si>
  <si>
    <t>Férin</t>
  </si>
  <si>
    <t>02440</t>
  </si>
  <si>
    <t>59258</t>
  </si>
  <si>
    <t>Lor</t>
  </si>
  <si>
    <t>Genech</t>
  </si>
  <si>
    <t>02441</t>
  </si>
  <si>
    <t>Louâtre</t>
  </si>
  <si>
    <t>59260</t>
  </si>
  <si>
    <t>02442</t>
  </si>
  <si>
    <t>Ghyvelde</t>
  </si>
  <si>
    <t>Loupeigne</t>
  </si>
  <si>
    <t>02443</t>
  </si>
  <si>
    <t>59261</t>
  </si>
  <si>
    <t>Lucy-le-Bocage</t>
  </si>
  <si>
    <t>Glageon</t>
  </si>
  <si>
    <t>02444</t>
  </si>
  <si>
    <t>Lugny</t>
  </si>
  <si>
    <t>59262</t>
  </si>
  <si>
    <t>Godewaersvelde</t>
  </si>
  <si>
    <t>02445</t>
  </si>
  <si>
    <t>Luzoir</t>
  </si>
  <si>
    <t>59264</t>
  </si>
  <si>
    <t>Gognies-Chaussée</t>
  </si>
  <si>
    <t>02446</t>
  </si>
  <si>
    <t>59265</t>
  </si>
  <si>
    <t>Ly-Fontaine</t>
  </si>
  <si>
    <t>Gommegnies</t>
  </si>
  <si>
    <t>02447</t>
  </si>
  <si>
    <t>59266</t>
  </si>
  <si>
    <t>Maast-et-Violaine</t>
  </si>
  <si>
    <t>Gondecourt</t>
  </si>
  <si>
    <t>02448</t>
  </si>
  <si>
    <t>59269</t>
  </si>
  <si>
    <t>Gouzeaucourt</t>
  </si>
  <si>
    <t>Mâchecourt</t>
  </si>
  <si>
    <t>02449</t>
  </si>
  <si>
    <t>59270</t>
  </si>
  <si>
    <t>Macogny</t>
  </si>
  <si>
    <t>Grand-Fayt</t>
  </si>
  <si>
    <t>02450</t>
  </si>
  <si>
    <t>59272</t>
  </si>
  <si>
    <t>Macquigny</t>
  </si>
  <si>
    <t>Grand-Fort-Philippe</t>
  </si>
  <si>
    <t>02451</t>
  </si>
  <si>
    <t>59271</t>
  </si>
  <si>
    <t>Magny-la-Fosse</t>
  </si>
  <si>
    <t>Grande-Synthe</t>
  </si>
  <si>
    <t>59273</t>
  </si>
  <si>
    <t>02452</t>
  </si>
  <si>
    <t>Gravelines</t>
  </si>
  <si>
    <t>Maissemy</t>
  </si>
  <si>
    <t>59276</t>
  </si>
  <si>
    <t>Guesnain</t>
  </si>
  <si>
    <t>59263</t>
  </si>
  <si>
    <t>Gœulzin</t>
  </si>
  <si>
    <t>02454</t>
  </si>
  <si>
    <t>La Malmaison</t>
  </si>
  <si>
    <t>59278</t>
  </si>
  <si>
    <t>Hallennes-lez-Haubourdin</t>
  </si>
  <si>
    <t>02455</t>
  </si>
  <si>
    <t>Malzy</t>
  </si>
  <si>
    <t>59279</t>
  </si>
  <si>
    <t>Halluin</t>
  </si>
  <si>
    <t>02456</t>
  </si>
  <si>
    <t>Manicamp</t>
  </si>
  <si>
    <t>59280</t>
  </si>
  <si>
    <t>Hamel</t>
  </si>
  <si>
    <t>02457</t>
  </si>
  <si>
    <t>Marchais</t>
  </si>
  <si>
    <t>59281</t>
  </si>
  <si>
    <t>Hantay</t>
  </si>
  <si>
    <t>59282</t>
  </si>
  <si>
    <t>Hardifort</t>
  </si>
  <si>
    <t>02459</t>
  </si>
  <si>
    <t>59284</t>
  </si>
  <si>
    <t>Hasnon</t>
  </si>
  <si>
    <t>Marcy</t>
  </si>
  <si>
    <t>59285</t>
  </si>
  <si>
    <t>02460</t>
  </si>
  <si>
    <t>Haspres</t>
  </si>
  <si>
    <t>Marcy-sous-Marle</t>
  </si>
  <si>
    <t>02461</t>
  </si>
  <si>
    <t>59286</t>
  </si>
  <si>
    <t>Haubourdin</t>
  </si>
  <si>
    <t>Marest-Dampcourt</t>
  </si>
  <si>
    <t>59288</t>
  </si>
  <si>
    <t>Haulchin</t>
  </si>
  <si>
    <t>59289</t>
  </si>
  <si>
    <t>Haussy</t>
  </si>
  <si>
    <t>02463</t>
  </si>
  <si>
    <t>59290</t>
  </si>
  <si>
    <t>Marfontaine</t>
  </si>
  <si>
    <t>Haut-Lieu</t>
  </si>
  <si>
    <t>59291</t>
  </si>
  <si>
    <t>Hautmont</t>
  </si>
  <si>
    <t>59292</t>
  </si>
  <si>
    <t>Haveluy</t>
  </si>
  <si>
    <t>59293</t>
  </si>
  <si>
    <t>02466</t>
  </si>
  <si>
    <t>Haverskerque</t>
  </si>
  <si>
    <t>59295</t>
  </si>
  <si>
    <t>Marizy-Sainte-Geneviève</t>
  </si>
  <si>
    <t>Hazebrouck</t>
  </si>
  <si>
    <t>59296</t>
  </si>
  <si>
    <t>02467</t>
  </si>
  <si>
    <t>Marizy-Saint-Mard</t>
  </si>
  <si>
    <t>Hecq</t>
  </si>
  <si>
    <t>59299</t>
  </si>
  <si>
    <t>Hem</t>
  </si>
  <si>
    <t>59300</t>
  </si>
  <si>
    <t>Hem-Lenglet</t>
  </si>
  <si>
    <t>02469</t>
  </si>
  <si>
    <t>Marly-Gomont</t>
  </si>
  <si>
    <t>59301</t>
  </si>
  <si>
    <t>Hergnies</t>
  </si>
  <si>
    <t>02470</t>
  </si>
  <si>
    <t>59303</t>
  </si>
  <si>
    <t>Herlies</t>
  </si>
  <si>
    <t>Martigny</t>
  </si>
  <si>
    <t>59305</t>
  </si>
  <si>
    <t>Herzeele</t>
  </si>
  <si>
    <t>02471</t>
  </si>
  <si>
    <t>Martigny-Courpierre</t>
  </si>
  <si>
    <t>59307</t>
  </si>
  <si>
    <t>Holque</t>
  </si>
  <si>
    <t>59310</t>
  </si>
  <si>
    <t>Hon-Hergies</t>
  </si>
  <si>
    <t>02473</t>
  </si>
  <si>
    <t>Mayot</t>
  </si>
  <si>
    <t>59308</t>
  </si>
  <si>
    <t>Hondeghem</t>
  </si>
  <si>
    <t>59309</t>
  </si>
  <si>
    <t>Hondschoote</t>
  </si>
  <si>
    <t>59311</t>
  </si>
  <si>
    <t>Honnechy</t>
  </si>
  <si>
    <t>59312</t>
  </si>
  <si>
    <t>Honnecourt-sur-Escaut</t>
  </si>
  <si>
    <t>59313</t>
  </si>
  <si>
    <t>Hordain</t>
  </si>
  <si>
    <t>59314</t>
  </si>
  <si>
    <t>Hornaing</t>
  </si>
  <si>
    <t>59315</t>
  </si>
  <si>
    <t>Houdain-lez-Bavay</t>
  </si>
  <si>
    <t>59316</t>
  </si>
  <si>
    <t>Houplin-Ancoisne</t>
  </si>
  <si>
    <t>59317</t>
  </si>
  <si>
    <t>Houplines</t>
  </si>
  <si>
    <t>59318</t>
  </si>
  <si>
    <t>Houtkerque</t>
  </si>
  <si>
    <t>59319</t>
  </si>
  <si>
    <t>Hoymille</t>
  </si>
  <si>
    <t>02478</t>
  </si>
  <si>
    <t>59297</t>
  </si>
  <si>
    <t>Merlieux-et-Fouquerolles</t>
  </si>
  <si>
    <t>Hélesmes</t>
  </si>
  <si>
    <t>59302</t>
  </si>
  <si>
    <t>Hérin</t>
  </si>
  <si>
    <t>02480</t>
  </si>
  <si>
    <t>Mesbrecourt-Richecourt</t>
  </si>
  <si>
    <t>59320</t>
  </si>
  <si>
    <t>Illies</t>
  </si>
  <si>
    <t>02481</t>
  </si>
  <si>
    <t>Mesnil-Saint-Laurent</t>
  </si>
  <si>
    <t>59322</t>
  </si>
  <si>
    <t>Iwuy</t>
  </si>
  <si>
    <t>02482</t>
  </si>
  <si>
    <t>Meurival</t>
  </si>
  <si>
    <t>59323</t>
  </si>
  <si>
    <t>Jenlain</t>
  </si>
  <si>
    <t>59324</t>
  </si>
  <si>
    <t>Jeumont</t>
  </si>
  <si>
    <t>59326</t>
  </si>
  <si>
    <t>Killem</t>
  </si>
  <si>
    <t>59051</t>
  </si>
  <si>
    <t>La Bassée</t>
  </si>
  <si>
    <t>59143</t>
  </si>
  <si>
    <t>La Chapelle-d'Armentières</t>
  </si>
  <si>
    <t>59232</t>
  </si>
  <si>
    <t>02485</t>
  </si>
  <si>
    <t>02665</t>
  </si>
  <si>
    <t>Missy-aux-Bois</t>
  </si>
  <si>
    <t>59268</t>
  </si>
  <si>
    <t>Grand-Rozoy</t>
  </si>
  <si>
    <t>La Gorgue</t>
  </si>
  <si>
    <t>02486</t>
  </si>
  <si>
    <t>59357</t>
  </si>
  <si>
    <t>Missy-lès-Pierrepont</t>
  </si>
  <si>
    <t>La Longueville</t>
  </si>
  <si>
    <t>59368</t>
  </si>
  <si>
    <t>02783</t>
  </si>
  <si>
    <t>La Madeleine</t>
  </si>
  <si>
    <t>Grand-Verly</t>
  </si>
  <si>
    <t>59427</t>
  </si>
  <si>
    <t>La Neuville</t>
  </si>
  <si>
    <t>02488</t>
  </si>
  <si>
    <t>Molain</t>
  </si>
  <si>
    <t>59564</t>
  </si>
  <si>
    <t>La Sentinelle</t>
  </si>
  <si>
    <t>59327</t>
  </si>
  <si>
    <t>Lallaing</t>
  </si>
  <si>
    <t>02490</t>
  </si>
  <si>
    <t>59328</t>
  </si>
  <si>
    <t>Monampteuil</t>
  </si>
  <si>
    <t>Lambersart</t>
  </si>
  <si>
    <t>02491</t>
  </si>
  <si>
    <t>Monceau-le-Neuf-et-Faucouzy</t>
  </si>
  <si>
    <t>59329</t>
  </si>
  <si>
    <t>Lambres-lez-Douai</t>
  </si>
  <si>
    <t>02492</t>
  </si>
  <si>
    <t>59330</t>
  </si>
  <si>
    <t>Landas</t>
  </si>
  <si>
    <t>Monceau-lès-Leups</t>
  </si>
  <si>
    <t>59331</t>
  </si>
  <si>
    <t>Landrecies</t>
  </si>
  <si>
    <t>59332</t>
  </si>
  <si>
    <t>Lannoy</t>
  </si>
  <si>
    <t>02494</t>
  </si>
  <si>
    <t>Monceau-sur-Oise</t>
  </si>
  <si>
    <t>59333</t>
  </si>
  <si>
    <t>Larouillies</t>
  </si>
  <si>
    <t>59334</t>
  </si>
  <si>
    <t>Lauwin-Planque</t>
  </si>
  <si>
    <t>59136</t>
  </si>
  <si>
    <t>Le Cateau-Cambrésis</t>
  </si>
  <si>
    <t>59180</t>
  </si>
  <si>
    <t>Le Doulieu</t>
  </si>
  <si>
    <t>02496</t>
  </si>
  <si>
    <t>Monnes</t>
  </si>
  <si>
    <t>59371</t>
  </si>
  <si>
    <t>Le Maisnil</t>
  </si>
  <si>
    <t>59481</t>
  </si>
  <si>
    <t>Le Quesnoy</t>
  </si>
  <si>
    <t>59335</t>
  </si>
  <si>
    <t>Lecelles</t>
  </si>
  <si>
    <t>59337</t>
  </si>
  <si>
    <t>Lederzeele</t>
  </si>
  <si>
    <t>02499</t>
  </si>
  <si>
    <t>Montbavin</t>
  </si>
  <si>
    <t>59338</t>
  </si>
  <si>
    <t>Ledringhem</t>
  </si>
  <si>
    <t>59339</t>
  </si>
  <si>
    <t>Leers</t>
  </si>
  <si>
    <t>02501</t>
  </si>
  <si>
    <t>Montchâlons</t>
  </si>
  <si>
    <t>59340</t>
  </si>
  <si>
    <t>Leffrinckoucke</t>
  </si>
  <si>
    <t>59517</t>
  </si>
  <si>
    <t>Les Rues-des-Vignes</t>
  </si>
  <si>
    <t>59343</t>
  </si>
  <si>
    <t>Lesquin</t>
  </si>
  <si>
    <t>59344</t>
  </si>
  <si>
    <t>Leval</t>
  </si>
  <si>
    <t>02505</t>
  </si>
  <si>
    <t>Montfaucon</t>
  </si>
  <si>
    <t>59345</t>
  </si>
  <si>
    <t>Lewarde</t>
  </si>
  <si>
    <t>02506</t>
  </si>
  <si>
    <t>59346</t>
  </si>
  <si>
    <t>Montgobert</t>
  </si>
  <si>
    <t>Lezennes</t>
  </si>
  <si>
    <t>59347</t>
  </si>
  <si>
    <t>Liessies</t>
  </si>
  <si>
    <t>59348</t>
  </si>
  <si>
    <t>Lieu-Saint-Amand</t>
  </si>
  <si>
    <t>59349</t>
  </si>
  <si>
    <t>Ligny-en-Cambrésis</t>
  </si>
  <si>
    <t>02507</t>
  </si>
  <si>
    <t>Montgru-Saint-Hilaire</t>
  </si>
  <si>
    <t>59350</t>
  </si>
  <si>
    <t>Lille</t>
  </si>
  <si>
    <t>59351</t>
  </si>
  <si>
    <t>Limont-Fontaine</t>
  </si>
  <si>
    <t>02508</t>
  </si>
  <si>
    <t>Monthenault</t>
  </si>
  <si>
    <t>59352</t>
  </si>
  <si>
    <t>Linselles</t>
  </si>
  <si>
    <t>02509</t>
  </si>
  <si>
    <t>Monthiers</t>
  </si>
  <si>
    <t>59354</t>
  </si>
  <si>
    <t>Loffre</t>
  </si>
  <si>
    <t>02510</t>
  </si>
  <si>
    <t>Monthurel</t>
  </si>
  <si>
    <t>59356</t>
  </si>
  <si>
    <t>Lompret</t>
  </si>
  <si>
    <t>02511</t>
  </si>
  <si>
    <t>59358</t>
  </si>
  <si>
    <t>Montigny-en-Arrouaise</t>
  </si>
  <si>
    <t>Looberghe</t>
  </si>
  <si>
    <t>59359</t>
  </si>
  <si>
    <t>Loon-Plage</t>
  </si>
  <si>
    <t>02512</t>
  </si>
  <si>
    <t>Montigny-l'Allier</t>
  </si>
  <si>
    <t>59360</t>
  </si>
  <si>
    <t>Loos</t>
  </si>
  <si>
    <t>02513</t>
  </si>
  <si>
    <t>Montigny-le-Franc</t>
  </si>
  <si>
    <t>59361</t>
  </si>
  <si>
    <t>Lourches</t>
  </si>
  <si>
    <t>59363</t>
  </si>
  <si>
    <t>Louvignies-Quesnoy</t>
  </si>
  <si>
    <t>02514</t>
  </si>
  <si>
    <t>Montigny-Lengrain</t>
  </si>
  <si>
    <t>59365</t>
  </si>
  <si>
    <t>Louvroil</t>
  </si>
  <si>
    <t>02515</t>
  </si>
  <si>
    <t>Montigny-lès-Condé</t>
  </si>
  <si>
    <t>59366</t>
  </si>
  <si>
    <t>Lynde</t>
  </si>
  <si>
    <t>02516</t>
  </si>
  <si>
    <t>Montigny-sous-Marle</t>
  </si>
  <si>
    <t>59367</t>
  </si>
  <si>
    <t>Lys-lez-Lannoy</t>
  </si>
  <si>
    <t>59336</t>
  </si>
  <si>
    <t>Lécluse</t>
  </si>
  <si>
    <t>59369</t>
  </si>
  <si>
    <t>Maing</t>
  </si>
  <si>
    <t>02518</t>
  </si>
  <si>
    <t>Montlevon</t>
  </si>
  <si>
    <t>59370</t>
  </si>
  <si>
    <t>Mairieux</t>
  </si>
  <si>
    <t>02519</t>
  </si>
  <si>
    <t>Montloué</t>
  </si>
  <si>
    <t>59375</t>
  </si>
  <si>
    <t>Marchiennes</t>
  </si>
  <si>
    <t>59377</t>
  </si>
  <si>
    <t>Marcoing</t>
  </si>
  <si>
    <t>59378</t>
  </si>
  <si>
    <t>Marcq-en-Barœul</t>
  </si>
  <si>
    <t>02522</t>
  </si>
  <si>
    <t>Mont-Saint-Jean</t>
  </si>
  <si>
    <t>59379</t>
  </si>
  <si>
    <t>Marcq-en-Ostrevent</t>
  </si>
  <si>
    <t>02523</t>
  </si>
  <si>
    <t>Mont-Saint-Martin</t>
  </si>
  <si>
    <t>59381</t>
  </si>
  <si>
    <t>Maresches</t>
  </si>
  <si>
    <t>59382</t>
  </si>
  <si>
    <t>Maretz</t>
  </si>
  <si>
    <t>02525</t>
  </si>
  <si>
    <t>Morcourt</t>
  </si>
  <si>
    <t>59383</t>
  </si>
  <si>
    <t>Marly</t>
  </si>
  <si>
    <t>02526</t>
  </si>
  <si>
    <t>59384</t>
  </si>
  <si>
    <t>Morgny-en-Thiérache</t>
  </si>
  <si>
    <t>Maroilles</t>
  </si>
  <si>
    <t>59385</t>
  </si>
  <si>
    <t>Marpent</t>
  </si>
  <si>
    <t>59387</t>
  </si>
  <si>
    <t>Marquette-en-Ostrevant</t>
  </si>
  <si>
    <t>59386</t>
  </si>
  <si>
    <t>Marquette-lez-Lille</t>
  </si>
  <si>
    <t>02527</t>
  </si>
  <si>
    <t>Morsain</t>
  </si>
  <si>
    <t>59388</t>
  </si>
  <si>
    <t>Marquillies</t>
  </si>
  <si>
    <t>02528</t>
  </si>
  <si>
    <t>Mortefontaine</t>
  </si>
  <si>
    <t>59389</t>
  </si>
  <si>
    <t>Masnières</t>
  </si>
  <si>
    <t>59390</t>
  </si>
  <si>
    <t>02529</t>
  </si>
  <si>
    <t>Mortiers</t>
  </si>
  <si>
    <t>Masny</t>
  </si>
  <si>
    <t>02530</t>
  </si>
  <si>
    <t>59391</t>
  </si>
  <si>
    <t>Moulins</t>
  </si>
  <si>
    <t>Mastaing</t>
  </si>
  <si>
    <t>59392</t>
  </si>
  <si>
    <t>02531</t>
  </si>
  <si>
    <t>Moussy-Verneuil</t>
  </si>
  <si>
    <t>Maubeuge</t>
  </si>
  <si>
    <t>59393</t>
  </si>
  <si>
    <t>Maulde</t>
  </si>
  <si>
    <t>02533</t>
  </si>
  <si>
    <t>59394</t>
  </si>
  <si>
    <t>Maurois</t>
  </si>
  <si>
    <t>Muret-et-Crouttes</t>
  </si>
  <si>
    <t>02534</t>
  </si>
  <si>
    <t>59395</t>
  </si>
  <si>
    <t>Muscourt</t>
  </si>
  <si>
    <t>Mazinghien</t>
  </si>
  <si>
    <t>02535</t>
  </si>
  <si>
    <t>59396</t>
  </si>
  <si>
    <t>Nampcelles-la-Cour</t>
  </si>
  <si>
    <t>Mecquignies</t>
  </si>
  <si>
    <t>59397</t>
  </si>
  <si>
    <t>Merckeghem</t>
  </si>
  <si>
    <t>02536</t>
  </si>
  <si>
    <t>59399</t>
  </si>
  <si>
    <t>Nampteuil-sous-Muret</t>
  </si>
  <si>
    <t>Merris</t>
  </si>
  <si>
    <t>59400</t>
  </si>
  <si>
    <t>02537</t>
  </si>
  <si>
    <t>Merville</t>
  </si>
  <si>
    <t>Nanteuil-la-Fosse</t>
  </si>
  <si>
    <t>59402</t>
  </si>
  <si>
    <t>Millam</t>
  </si>
  <si>
    <t>02538</t>
  </si>
  <si>
    <t>Nanteuil-Notre-Dame</t>
  </si>
  <si>
    <t>59403</t>
  </si>
  <si>
    <t>Millonfosse</t>
  </si>
  <si>
    <t>59406</t>
  </si>
  <si>
    <t>Monceau-Saint-Waast</t>
  </si>
  <si>
    <t>59407</t>
  </si>
  <si>
    <t>Monchaux-sur-Écaillon</t>
  </si>
  <si>
    <t>59408</t>
  </si>
  <si>
    <t>Moncheaux</t>
  </si>
  <si>
    <t>59409</t>
  </si>
  <si>
    <t>Monchecourt</t>
  </si>
  <si>
    <t>59410</t>
  </si>
  <si>
    <t>Mons-en-Barœul</t>
  </si>
  <si>
    <t>02542</t>
  </si>
  <si>
    <t>Neuflieux</t>
  </si>
  <si>
    <t>59411</t>
  </si>
  <si>
    <t>Mons-en-Pévèle</t>
  </si>
  <si>
    <t>59413</t>
  </si>
  <si>
    <t>Montigny-en-Cambrésis</t>
  </si>
  <si>
    <t>59414</t>
  </si>
  <si>
    <t>Montigny-en-Ostrevent</t>
  </si>
  <si>
    <t>59416</t>
  </si>
  <si>
    <t>Morbecque</t>
  </si>
  <si>
    <t>02545</t>
  </si>
  <si>
    <t>La Neuville-Bosmont</t>
  </si>
  <si>
    <t>59418</t>
  </si>
  <si>
    <t>02546</t>
  </si>
  <si>
    <t>Mortagne-du-Nord</t>
  </si>
  <si>
    <t>La Neuville-en-Beine</t>
  </si>
  <si>
    <t>59419</t>
  </si>
  <si>
    <t>02547</t>
  </si>
  <si>
    <t>Mouchin</t>
  </si>
  <si>
    <t>La Neuville-Housset</t>
  </si>
  <si>
    <t>59421</t>
  </si>
  <si>
    <t>Mouvaux</t>
  </si>
  <si>
    <t>02548</t>
  </si>
  <si>
    <t>La Neuville-lès-Dorengt</t>
  </si>
  <si>
    <t>59398</t>
  </si>
  <si>
    <t>Mérignies</t>
  </si>
  <si>
    <t>59401</t>
  </si>
  <si>
    <t>02550</t>
  </si>
  <si>
    <t>Neuville-sur-Ailette</t>
  </si>
  <si>
    <t>Méteren</t>
  </si>
  <si>
    <t>02551</t>
  </si>
  <si>
    <t>59422</t>
  </si>
  <si>
    <t>Neuville-sur-Margival</t>
  </si>
  <si>
    <t>Naves</t>
  </si>
  <si>
    <t>02552</t>
  </si>
  <si>
    <t>Neuvillette</t>
  </si>
  <si>
    <t>59423</t>
  </si>
  <si>
    <t>Neuf-Berquin</t>
  </si>
  <si>
    <t>02553</t>
  </si>
  <si>
    <t>Nizy-le-Comte</t>
  </si>
  <si>
    <t>59424</t>
  </si>
  <si>
    <t>Neuf-Mesnil</t>
  </si>
  <si>
    <t>59428</t>
  </si>
  <si>
    <t>Neuville-Saint-Rémy</t>
  </si>
  <si>
    <t>59426</t>
  </si>
  <si>
    <t>Neuville-en-Ferrain</t>
  </si>
  <si>
    <t>59429</t>
  </si>
  <si>
    <t>Neuville-sur-Escaut</t>
  </si>
  <si>
    <t>02556</t>
  </si>
  <si>
    <t>Noircourt</t>
  </si>
  <si>
    <t>59430</t>
  </si>
  <si>
    <t>Neuvilly</t>
  </si>
  <si>
    <t>02557</t>
  </si>
  <si>
    <t>59431</t>
  </si>
  <si>
    <t>Noroy-sur-Ourcq</t>
  </si>
  <si>
    <t>Nieppe</t>
  </si>
  <si>
    <t>59432</t>
  </si>
  <si>
    <t>Niergnies</t>
  </si>
  <si>
    <t>59434</t>
  </si>
  <si>
    <t>Nivelle</t>
  </si>
  <si>
    <t>59435</t>
  </si>
  <si>
    <t>Nomain</t>
  </si>
  <si>
    <t>59436</t>
  </si>
  <si>
    <t>Noordpeene</t>
  </si>
  <si>
    <t>59440</t>
  </si>
  <si>
    <t>Noyelles-sur-Selle</t>
  </si>
  <si>
    <t>02561</t>
  </si>
  <si>
    <t>Nouvion-le-Vineux</t>
  </si>
  <si>
    <t>59444</t>
  </si>
  <si>
    <t>02562</t>
  </si>
  <si>
    <t>Odomez</t>
  </si>
  <si>
    <t>Nouvron-Vingré</t>
  </si>
  <si>
    <t>59445</t>
  </si>
  <si>
    <t>02563</t>
  </si>
  <si>
    <t>Ohain</t>
  </si>
  <si>
    <t>Noyales</t>
  </si>
  <si>
    <t>59446</t>
  </si>
  <si>
    <t>59447</t>
  </si>
  <si>
    <t>Onnaing</t>
  </si>
  <si>
    <t>02565</t>
  </si>
  <si>
    <t>Œuilly</t>
  </si>
  <si>
    <t>59448</t>
  </si>
  <si>
    <t>Oost-Cappel</t>
  </si>
  <si>
    <t>59449</t>
  </si>
  <si>
    <t>Orchies</t>
  </si>
  <si>
    <t>02567</t>
  </si>
  <si>
    <t>Ohis</t>
  </si>
  <si>
    <t>59451</t>
  </si>
  <si>
    <t>Orsinval</t>
  </si>
  <si>
    <t>02568</t>
  </si>
  <si>
    <t>Oigny-en-Valois</t>
  </si>
  <si>
    <t>59452</t>
  </si>
  <si>
    <t>Ostricourt</t>
  </si>
  <si>
    <t>59453</t>
  </si>
  <si>
    <t>Oudezeele</t>
  </si>
  <si>
    <t>59454</t>
  </si>
  <si>
    <t>02570</t>
  </si>
  <si>
    <t>Oxelaëre</t>
  </si>
  <si>
    <t>Ollezy</t>
  </si>
  <si>
    <t>59455</t>
  </si>
  <si>
    <t>Paillencourt</t>
  </si>
  <si>
    <t>02571</t>
  </si>
  <si>
    <t>Omissy</t>
  </si>
  <si>
    <t>59456</t>
  </si>
  <si>
    <t>Pecquencourt</t>
  </si>
  <si>
    <t>02572</t>
  </si>
  <si>
    <t>Orainville</t>
  </si>
  <si>
    <t>59459</t>
  </si>
  <si>
    <t>Petite-Forêt</t>
  </si>
  <si>
    <t>02573</t>
  </si>
  <si>
    <t>Orgeval</t>
  </si>
  <si>
    <t>59462</t>
  </si>
  <si>
    <t>02705</t>
  </si>
  <si>
    <t>Phalempin</t>
  </si>
  <si>
    <t>La Selve</t>
  </si>
  <si>
    <t>59463</t>
  </si>
  <si>
    <t>Pitgam</t>
  </si>
  <si>
    <t>59464</t>
  </si>
  <si>
    <t>Poix-du-Nord</t>
  </si>
  <si>
    <t>02760</t>
  </si>
  <si>
    <t>La Vallée-Mulâtre</t>
  </si>
  <si>
    <t>59465</t>
  </si>
  <si>
    <t>Pommereuil</t>
  </si>
  <si>
    <t>59467</t>
  </si>
  <si>
    <t>Pont-sur-Sambre</t>
  </si>
  <si>
    <t>02576</t>
  </si>
  <si>
    <t>02759</t>
  </si>
  <si>
    <t>Osly-Courtil</t>
  </si>
  <si>
    <t>La Vallée-au-Blé</t>
  </si>
  <si>
    <t>02577</t>
  </si>
  <si>
    <t>59466</t>
  </si>
  <si>
    <t>Ostel</t>
  </si>
  <si>
    <t>Pont-à-Marcq</t>
  </si>
  <si>
    <t>02802</t>
  </si>
  <si>
    <t>59472</t>
  </si>
  <si>
    <t>La Ville-aux-Bois-lès-Dizy</t>
  </si>
  <si>
    <t>02578</t>
  </si>
  <si>
    <t>Preux-au-Bois</t>
  </si>
  <si>
    <t>Oulches-la-Vallée-Foulon</t>
  </si>
  <si>
    <t>59474</t>
  </si>
  <si>
    <t>Prisches</t>
  </si>
  <si>
    <t>02579</t>
  </si>
  <si>
    <t>Oulchy-la-Ville</t>
  </si>
  <si>
    <t>59475</t>
  </si>
  <si>
    <t>02803</t>
  </si>
  <si>
    <t>Prouvy</t>
  </si>
  <si>
    <t>La Ville-aux-Bois-lès-Pontavert</t>
  </si>
  <si>
    <t>59476</t>
  </si>
  <si>
    <t>Proville</t>
  </si>
  <si>
    <t>59477</t>
  </si>
  <si>
    <t>Provin</t>
  </si>
  <si>
    <t>02581</t>
  </si>
  <si>
    <t>Paars</t>
  </si>
  <si>
    <t>59470</t>
  </si>
  <si>
    <t>Prémesques</t>
  </si>
  <si>
    <t>02582</t>
  </si>
  <si>
    <t>Paissy</t>
  </si>
  <si>
    <t>59471</t>
  </si>
  <si>
    <t>Préseau</t>
  </si>
  <si>
    <t>02583</t>
  </si>
  <si>
    <t>59457</t>
  </si>
  <si>
    <t>Pancy-Courtecon</t>
  </si>
  <si>
    <t>Pérenchies</t>
  </si>
  <si>
    <t>59458</t>
  </si>
  <si>
    <t>02584</t>
  </si>
  <si>
    <t>Péronne-en-Mélantois</t>
  </si>
  <si>
    <t>Papleux</t>
  </si>
  <si>
    <t>59479</t>
  </si>
  <si>
    <t>Quarouble</t>
  </si>
  <si>
    <t>02585</t>
  </si>
  <si>
    <t>Parcy-et-Tigny</t>
  </si>
  <si>
    <t>59478</t>
  </si>
  <si>
    <t>Quaëdypre</t>
  </si>
  <si>
    <t>02586</t>
  </si>
  <si>
    <t>Parfondeval</t>
  </si>
  <si>
    <t>59482</t>
  </si>
  <si>
    <t>Quesnoy-sur-Deûle</t>
  </si>
  <si>
    <t>02587</t>
  </si>
  <si>
    <t>Parfondru</t>
  </si>
  <si>
    <t>59484</t>
  </si>
  <si>
    <t>Quiévrechain</t>
  </si>
  <si>
    <t>02588</t>
  </si>
  <si>
    <t>Pargnan</t>
  </si>
  <si>
    <t>59485</t>
  </si>
  <si>
    <t>Quiévy</t>
  </si>
  <si>
    <t>02589</t>
  </si>
  <si>
    <t>59480</t>
  </si>
  <si>
    <t>Pargny-et-Filain</t>
  </si>
  <si>
    <t>Quérénaing</t>
  </si>
  <si>
    <t>59487</t>
  </si>
  <si>
    <t>02590</t>
  </si>
  <si>
    <t>Radinghem-en-Weppes</t>
  </si>
  <si>
    <t>Pargny-la-Dhuys</t>
  </si>
  <si>
    <t>59488</t>
  </si>
  <si>
    <t>Raillencourt-Sainte-Olle</t>
  </si>
  <si>
    <t>02591</t>
  </si>
  <si>
    <t>Pargny-les-Bois</t>
  </si>
  <si>
    <t>59489</t>
  </si>
  <si>
    <t>Raimbeaucourt</t>
  </si>
  <si>
    <t>02592</t>
  </si>
  <si>
    <t>Parpeville</t>
  </si>
  <si>
    <t>59491</t>
  </si>
  <si>
    <t>Raismes</t>
  </si>
  <si>
    <t>59492</t>
  </si>
  <si>
    <t>Ramillies</t>
  </si>
  <si>
    <t>02594</t>
  </si>
  <si>
    <t>Passy-en-Valois</t>
  </si>
  <si>
    <t>59495</t>
  </si>
  <si>
    <t>Recquignies</t>
  </si>
  <si>
    <t>02595</t>
  </si>
  <si>
    <t>59497</t>
  </si>
  <si>
    <t>Passy-sur-Marne</t>
  </si>
  <si>
    <t>Renescure</t>
  </si>
  <si>
    <t>59499</t>
  </si>
  <si>
    <t>Rexpoëde</t>
  </si>
  <si>
    <t>59500</t>
  </si>
  <si>
    <t>Ribécourt-la-Tour</t>
  </si>
  <si>
    <t>59501</t>
  </si>
  <si>
    <t>Rieulay</t>
  </si>
  <si>
    <t>02599</t>
  </si>
  <si>
    <t>Pierremande</t>
  </si>
  <si>
    <t>59502</t>
  </si>
  <si>
    <t>Rieux-en-Cambrésis</t>
  </si>
  <si>
    <t>02600</t>
  </si>
  <si>
    <t>59505</t>
  </si>
  <si>
    <t>Pierrepont</t>
  </si>
  <si>
    <t>Rombies-et-Marchipont</t>
  </si>
  <si>
    <t>02601</t>
  </si>
  <si>
    <t>Pignicourt</t>
  </si>
  <si>
    <t>59506</t>
  </si>
  <si>
    <t>Romeries</t>
  </si>
  <si>
    <t>59507</t>
  </si>
  <si>
    <t>Ronchin</t>
  </si>
  <si>
    <t>02604</t>
  </si>
  <si>
    <t>Pithon</t>
  </si>
  <si>
    <t>59508</t>
  </si>
  <si>
    <t>Roncq</t>
  </si>
  <si>
    <t>02605</t>
  </si>
  <si>
    <t>Pleine-Selve</t>
  </si>
  <si>
    <t>59509</t>
  </si>
  <si>
    <t>Roost-Warendin</t>
  </si>
  <si>
    <t>02606</t>
  </si>
  <si>
    <t>Le Plessier-Huleu</t>
  </si>
  <si>
    <t>59511</t>
  </si>
  <si>
    <t>Rosult</t>
  </si>
  <si>
    <t>02607</t>
  </si>
  <si>
    <t>59512</t>
  </si>
  <si>
    <t>Ploisy</t>
  </si>
  <si>
    <t>Roubaix</t>
  </si>
  <si>
    <t>59514</t>
  </si>
  <si>
    <t>Rousies</t>
  </si>
  <si>
    <t>59515</t>
  </si>
  <si>
    <t>02609</t>
  </si>
  <si>
    <t>Rouvignies</t>
  </si>
  <si>
    <t>Ployart-et-Vaurseine</t>
  </si>
  <si>
    <t>59516</t>
  </si>
  <si>
    <t>Rubrouck</t>
  </si>
  <si>
    <t>02610</t>
  </si>
  <si>
    <t>Pommiers</t>
  </si>
  <si>
    <t>59518</t>
  </si>
  <si>
    <t>Ruesnes</t>
  </si>
  <si>
    <t>59519</t>
  </si>
  <si>
    <t>02612</t>
  </si>
  <si>
    <t>Rumegies</t>
  </si>
  <si>
    <t>Pont-Arcy</t>
  </si>
  <si>
    <t>59520</t>
  </si>
  <si>
    <t>Rumilly-en-Cambrésis</t>
  </si>
  <si>
    <t>59486</t>
  </si>
  <si>
    <t>Râches</t>
  </si>
  <si>
    <t>02614</t>
  </si>
  <si>
    <t>Pontru</t>
  </si>
  <si>
    <t>59504</t>
  </si>
  <si>
    <t>Rœulx</t>
  </si>
  <si>
    <t>02615</t>
  </si>
  <si>
    <t>Pontruet</t>
  </si>
  <si>
    <t>59521</t>
  </si>
  <si>
    <t>Sailly-lez-Cambrai</t>
  </si>
  <si>
    <t>02616</t>
  </si>
  <si>
    <t>59522</t>
  </si>
  <si>
    <t>Pont-Saint-Mard</t>
  </si>
  <si>
    <t>Sailly-lez-Lannoy</t>
  </si>
  <si>
    <t>02617</t>
  </si>
  <si>
    <t>59523</t>
  </si>
  <si>
    <t>Pouilly-sur-Serre</t>
  </si>
  <si>
    <t>Sainghin-en-Mélantois</t>
  </si>
  <si>
    <t>59524</t>
  </si>
  <si>
    <t>Sainghin-en-Weppes</t>
  </si>
  <si>
    <t>59525</t>
  </si>
  <si>
    <t>Sains-du-Nord</t>
  </si>
  <si>
    <t>02731</t>
  </si>
  <si>
    <t>Le Sourd</t>
  </si>
  <si>
    <t>59526</t>
  </si>
  <si>
    <t>Saint-Amand-les-Eaux</t>
  </si>
  <si>
    <t>59527</t>
  </si>
  <si>
    <t>Saint-André-lez-Lille</t>
  </si>
  <si>
    <t>02743</t>
  </si>
  <si>
    <t>59528</t>
  </si>
  <si>
    <t>Le Thuel</t>
  </si>
  <si>
    <t>Saint-Aubert</t>
  </si>
  <si>
    <t>59531</t>
  </si>
  <si>
    <t>02622</t>
  </si>
  <si>
    <t>Saint-Benin</t>
  </si>
  <si>
    <t>Priez</t>
  </si>
  <si>
    <t>02782</t>
  </si>
  <si>
    <t>59533</t>
  </si>
  <si>
    <t>Le Verguier</t>
  </si>
  <si>
    <t>Saint-Hilaire-lez-Cambrai</t>
  </si>
  <si>
    <t>02623</t>
  </si>
  <si>
    <t>Prisces</t>
  </si>
  <si>
    <t>59534</t>
  </si>
  <si>
    <t>Saint-Hilaire-sur-Helpe</t>
  </si>
  <si>
    <t>02624</t>
  </si>
  <si>
    <t>Proisy</t>
  </si>
  <si>
    <t>59535</t>
  </si>
  <si>
    <t>Saint-Jans-Cappel</t>
  </si>
  <si>
    <t>02625</t>
  </si>
  <si>
    <t>Proix</t>
  </si>
  <si>
    <t>59537</t>
  </si>
  <si>
    <t>Saint-Martin-sur-Écaillon</t>
  </si>
  <si>
    <t>02626</t>
  </si>
  <si>
    <t>59539</t>
  </si>
  <si>
    <t>Prouvais</t>
  </si>
  <si>
    <t>Saint-Pierre-Brouck</t>
  </si>
  <si>
    <t>02627</t>
  </si>
  <si>
    <t>59541</t>
  </si>
  <si>
    <t>Proviseux-et-Plesnoy</t>
  </si>
  <si>
    <t>Saint-Python</t>
  </si>
  <si>
    <t>02628</t>
  </si>
  <si>
    <t>59542</t>
  </si>
  <si>
    <t>Saint-Remy-Chaussée</t>
  </si>
  <si>
    <t>Puiseux-en-Retz</t>
  </si>
  <si>
    <t>59543</t>
  </si>
  <si>
    <t>Saint-Remy-du-Nord</t>
  </si>
  <si>
    <t>02629</t>
  </si>
  <si>
    <t>Puisieux-et-Clanlieu</t>
  </si>
  <si>
    <t>59544</t>
  </si>
  <si>
    <t>Saint-Saulve</t>
  </si>
  <si>
    <t>59545</t>
  </si>
  <si>
    <t>Saint-Souplet</t>
  </si>
  <si>
    <t>02632</t>
  </si>
  <si>
    <t>Quincy-Basse</t>
  </si>
  <si>
    <t>59546</t>
  </si>
  <si>
    <t>Saint-Sylvestre-Cappel</t>
  </si>
  <si>
    <t>02633</t>
  </si>
  <si>
    <t>Quincy-sous-le-Mont</t>
  </si>
  <si>
    <t>59547</t>
  </si>
  <si>
    <t>Saint-Vaast-en-Cambrésis</t>
  </si>
  <si>
    <t>02634</t>
  </si>
  <si>
    <t>Raillimont</t>
  </si>
  <si>
    <t>59548</t>
  </si>
  <si>
    <t>Saint-Waast</t>
  </si>
  <si>
    <t>02635</t>
  </si>
  <si>
    <t>Ramicourt</t>
  </si>
  <si>
    <t>59536</t>
  </si>
  <si>
    <t>Sainte-Marie-Cappel</t>
  </si>
  <si>
    <t>02636</t>
  </si>
  <si>
    <t>Regny</t>
  </si>
  <si>
    <t>59550</t>
  </si>
  <si>
    <t>Salomé</t>
  </si>
  <si>
    <t>59551</t>
  </si>
  <si>
    <t>Saméon</t>
  </si>
  <si>
    <t>59553</t>
  </si>
  <si>
    <t>Santes</t>
  </si>
  <si>
    <t>02639</t>
  </si>
  <si>
    <t>Remigny</t>
  </si>
  <si>
    <t>59555</t>
  </si>
  <si>
    <t>Sars-Poteries</t>
  </si>
  <si>
    <t>02640</t>
  </si>
  <si>
    <t>Renansart</t>
  </si>
  <si>
    <t>59554</t>
  </si>
  <si>
    <t>Sars-et-Rosières</t>
  </si>
  <si>
    <t>02641</t>
  </si>
  <si>
    <t>Renneval</t>
  </si>
  <si>
    <t>59557</t>
  </si>
  <si>
    <t>Saultain</t>
  </si>
  <si>
    <t>59558</t>
  </si>
  <si>
    <t>Saulzoir</t>
  </si>
  <si>
    <t>59559</t>
  </si>
  <si>
    <t>Sebourg</t>
  </si>
  <si>
    <t>59560</t>
  </si>
  <si>
    <t>Seclin</t>
  </si>
  <si>
    <t>02644</t>
  </si>
  <si>
    <t>59565</t>
  </si>
  <si>
    <t>Sepmeries</t>
  </si>
  <si>
    <t>Retheuil</t>
  </si>
  <si>
    <t>59566</t>
  </si>
  <si>
    <t>02645</t>
  </si>
  <si>
    <t>Sequedin</t>
  </si>
  <si>
    <t>Reuilly-Sauvigny</t>
  </si>
  <si>
    <t>59569</t>
  </si>
  <si>
    <t>Sin-le-Noble</t>
  </si>
  <si>
    <t>02647</t>
  </si>
  <si>
    <t>Ribeauville</t>
  </si>
  <si>
    <t>59570</t>
  </si>
  <si>
    <t>Socx</t>
  </si>
  <si>
    <t>02649</t>
  </si>
  <si>
    <t>Rocourt-Saint-Martin</t>
  </si>
  <si>
    <t>59571</t>
  </si>
  <si>
    <t>Solesmes</t>
  </si>
  <si>
    <t>02650</t>
  </si>
  <si>
    <t>Rocquigny</t>
  </si>
  <si>
    <t>59572</t>
  </si>
  <si>
    <t>Solre-le-Château</t>
  </si>
  <si>
    <t>02651</t>
  </si>
  <si>
    <t>Rogécourt</t>
  </si>
  <si>
    <t>59574</t>
  </si>
  <si>
    <t>Somain</t>
  </si>
  <si>
    <t>02652</t>
  </si>
  <si>
    <t>59576</t>
  </si>
  <si>
    <t>Rogny</t>
  </si>
  <si>
    <t>Spycker</t>
  </si>
  <si>
    <t>59577</t>
  </si>
  <si>
    <t>Staple</t>
  </si>
  <si>
    <t>02653</t>
  </si>
  <si>
    <t>59578</t>
  </si>
  <si>
    <t>Romeny-sur-Marne</t>
  </si>
  <si>
    <t>Steenbecque</t>
  </si>
  <si>
    <t>02654</t>
  </si>
  <si>
    <t>59579</t>
  </si>
  <si>
    <t>Steene</t>
  </si>
  <si>
    <t>Romery</t>
  </si>
  <si>
    <t>02655</t>
  </si>
  <si>
    <t>59580</t>
  </si>
  <si>
    <t>Ronchères</t>
  </si>
  <si>
    <t>Steenvoorde</t>
  </si>
  <si>
    <t>59581</t>
  </si>
  <si>
    <t>Steenwerck</t>
  </si>
  <si>
    <t>59582</t>
  </si>
  <si>
    <t>Strazeele</t>
  </si>
  <si>
    <t>02657</t>
  </si>
  <si>
    <t>Rougeries</t>
  </si>
  <si>
    <t>59562</t>
  </si>
  <si>
    <t>Sémeries</t>
  </si>
  <si>
    <t>02658</t>
  </si>
  <si>
    <t>Roupy</t>
  </si>
  <si>
    <t>59583</t>
  </si>
  <si>
    <t>Taisnières-en-Thiérache</t>
  </si>
  <si>
    <t>59584</t>
  </si>
  <si>
    <t>Taisnières-sur-Hon</t>
  </si>
  <si>
    <t>02660</t>
  </si>
  <si>
    <t>59585</t>
  </si>
  <si>
    <t>Rouvroy-sur-Serre</t>
  </si>
  <si>
    <t>Templemars</t>
  </si>
  <si>
    <t>02661</t>
  </si>
  <si>
    <t>Royaucourt-et-Chailvet</t>
  </si>
  <si>
    <t>59586</t>
  </si>
  <si>
    <t>Templeuve-en-Pévèle</t>
  </si>
  <si>
    <t>59589</t>
  </si>
  <si>
    <t>Thiant</t>
  </si>
  <si>
    <t>59592</t>
  </si>
  <si>
    <t>Thumeries</t>
  </si>
  <si>
    <t>02663</t>
  </si>
  <si>
    <t>Rozières-sur-Crise</t>
  </si>
  <si>
    <t>59594</t>
  </si>
  <si>
    <t>Thun-Saint-Amand</t>
  </si>
  <si>
    <t>02664</t>
  </si>
  <si>
    <t>Rozoy-Bellevalle</t>
  </si>
  <si>
    <t>59595</t>
  </si>
  <si>
    <t>Thun-Saint-Martin</t>
  </si>
  <si>
    <t>59593</t>
  </si>
  <si>
    <t>Thun-l'Évêque</t>
  </si>
  <si>
    <t>59598</t>
  </si>
  <si>
    <t>Toufflers</t>
  </si>
  <si>
    <t>02667</t>
  </si>
  <si>
    <t>Saconin-et-Breuil</t>
  </si>
  <si>
    <t>59599</t>
  </si>
  <si>
    <t>Tourcoing</t>
  </si>
  <si>
    <t>59600</t>
  </si>
  <si>
    <t>Tourmignies</t>
  </si>
  <si>
    <t>02670</t>
  </si>
  <si>
    <t>Saint-Algis</t>
  </si>
  <si>
    <t>59602</t>
  </si>
  <si>
    <t>Tressin</t>
  </si>
  <si>
    <t>02671</t>
  </si>
  <si>
    <t>Saint-Aubin</t>
  </si>
  <si>
    <t>59603</t>
  </si>
  <si>
    <t>Trith-Saint-Léger</t>
  </si>
  <si>
    <t>02672</t>
  </si>
  <si>
    <t>Saint-Bandry</t>
  </si>
  <si>
    <t>59604</t>
  </si>
  <si>
    <t>Troisvilles</t>
  </si>
  <si>
    <t>59601</t>
  </si>
  <si>
    <t>Trélon</t>
  </si>
  <si>
    <t>02674</t>
  </si>
  <si>
    <t>Saint-Clément</t>
  </si>
  <si>
    <t>59588</t>
  </si>
  <si>
    <t>Téteghem-Coudekerque-Village</t>
  </si>
  <si>
    <t>59605</t>
  </si>
  <si>
    <t>02675</t>
  </si>
  <si>
    <t>Uxem</t>
  </si>
  <si>
    <t>Sainte-Croix</t>
  </si>
  <si>
    <t>59606</t>
  </si>
  <si>
    <t>Valenciennes</t>
  </si>
  <si>
    <t>59608</t>
  </si>
  <si>
    <t>Vendegies-sur-Écaillon</t>
  </si>
  <si>
    <t>02677</t>
  </si>
  <si>
    <t>Saint-Eugène</t>
  </si>
  <si>
    <t>59609</t>
  </si>
  <si>
    <t>Vendeville</t>
  </si>
  <si>
    <t>02678</t>
  </si>
  <si>
    <t>Sainte-Geneviève</t>
  </si>
  <si>
    <t>59610</t>
  </si>
  <si>
    <t>Verchain-Maugré</t>
  </si>
  <si>
    <t>02679</t>
  </si>
  <si>
    <t>Saint-Gengoulph</t>
  </si>
  <si>
    <t>59611</t>
  </si>
  <si>
    <t>Verlinghem</t>
  </si>
  <si>
    <t>59612</t>
  </si>
  <si>
    <t>Vertain</t>
  </si>
  <si>
    <t>02681</t>
  </si>
  <si>
    <t>59613</t>
  </si>
  <si>
    <t>Saint-Gobert</t>
  </si>
  <si>
    <t>Vicq</t>
  </si>
  <si>
    <t>02682</t>
  </si>
  <si>
    <t>59614</t>
  </si>
  <si>
    <t>Saint-Mard</t>
  </si>
  <si>
    <t>Viesly</t>
  </si>
  <si>
    <t>02683</t>
  </si>
  <si>
    <t>59615</t>
  </si>
  <si>
    <t>Vieux-Berquin</t>
  </si>
  <si>
    <t>Saint-Martin-Rivière</t>
  </si>
  <si>
    <t>59616</t>
  </si>
  <si>
    <t>Vieux-Condé</t>
  </si>
  <si>
    <t>02685</t>
  </si>
  <si>
    <t>Saint-Nicolas-aux-Bois</t>
  </si>
  <si>
    <t>59617</t>
  </si>
  <si>
    <t>Vieux-Mesnil</t>
  </si>
  <si>
    <t>02686</t>
  </si>
  <si>
    <t>Saint-Paul-aux-Bois</t>
  </si>
  <si>
    <t>59618</t>
  </si>
  <si>
    <t>Vieux-Reng</t>
  </si>
  <si>
    <t>02687</t>
  </si>
  <si>
    <t>Saint-Pierre-Aigle</t>
  </si>
  <si>
    <t>59009</t>
  </si>
  <si>
    <t>Villeneuve-d'Ascq</t>
  </si>
  <si>
    <t>02688</t>
  </si>
  <si>
    <t>59623</t>
  </si>
  <si>
    <t>Saint-Pierre-lès-Franqueville</t>
  </si>
  <si>
    <t>Villers-Guislain</t>
  </si>
  <si>
    <t>02689</t>
  </si>
  <si>
    <t>59624</t>
  </si>
  <si>
    <t>Saint-Pierremont</t>
  </si>
  <si>
    <t>Villers-Outréaux</t>
  </si>
  <si>
    <t>02690</t>
  </si>
  <si>
    <t>59625</t>
  </si>
  <si>
    <t>Sainte-Preuve</t>
  </si>
  <si>
    <t>Villers-Plouich</t>
  </si>
  <si>
    <t>59626</t>
  </si>
  <si>
    <t>Villers-Pol</t>
  </si>
  <si>
    <t>02693</t>
  </si>
  <si>
    <t>Saint-Rémy-Blanzy</t>
  </si>
  <si>
    <t>59627</t>
  </si>
  <si>
    <t>Villers-Sire-Nicole</t>
  </si>
  <si>
    <t>59622</t>
  </si>
  <si>
    <t>Villers-en-Cauchies</t>
  </si>
  <si>
    <t>02696</t>
  </si>
  <si>
    <t>Saint-Thomas</t>
  </si>
  <si>
    <t>59628</t>
  </si>
  <si>
    <t>Volckerinckhove</t>
  </si>
  <si>
    <t>02697</t>
  </si>
  <si>
    <t>Samoussy</t>
  </si>
  <si>
    <t>02698</t>
  </si>
  <si>
    <t>Sancy-les-Cheminots</t>
  </si>
  <si>
    <t>59629</t>
  </si>
  <si>
    <t>Vred</t>
  </si>
  <si>
    <t>02699</t>
  </si>
  <si>
    <t>59630</t>
  </si>
  <si>
    <t>Wahagnies</t>
  </si>
  <si>
    <t>Saponay</t>
  </si>
  <si>
    <t>59631</t>
  </si>
  <si>
    <t>Walincourt-Selvigny</t>
  </si>
  <si>
    <t>59632</t>
  </si>
  <si>
    <t>Wallers</t>
  </si>
  <si>
    <t>02702</t>
  </si>
  <si>
    <t>Savy</t>
  </si>
  <si>
    <t>59634</t>
  </si>
  <si>
    <t>Wallon-Cappel</t>
  </si>
  <si>
    <t>59635</t>
  </si>
  <si>
    <t>Wambaix</t>
  </si>
  <si>
    <t>02704</t>
  </si>
  <si>
    <t>59636</t>
  </si>
  <si>
    <t>Selens</t>
  </si>
  <si>
    <t>Wambrechies</t>
  </si>
  <si>
    <t>59637</t>
  </si>
  <si>
    <t>Wandignies-Hamage</t>
  </si>
  <si>
    <t>59638</t>
  </si>
  <si>
    <t>Wannehain</t>
  </si>
  <si>
    <t>59639</t>
  </si>
  <si>
    <t>Wargnies-le-Grand</t>
  </si>
  <si>
    <t>02707</t>
  </si>
  <si>
    <t>Septvaux</t>
  </si>
  <si>
    <t>59640</t>
  </si>
  <si>
    <t>Wargnies-le-Petit</t>
  </si>
  <si>
    <t>02708</t>
  </si>
  <si>
    <t>Sequehart</t>
  </si>
  <si>
    <t>59641</t>
  </si>
  <si>
    <t>Warhem</t>
  </si>
  <si>
    <t>02709</t>
  </si>
  <si>
    <t>59645</t>
  </si>
  <si>
    <t>Serain</t>
  </si>
  <si>
    <t>Wasnes-au-Bac</t>
  </si>
  <si>
    <t>02710</t>
  </si>
  <si>
    <t>59646</t>
  </si>
  <si>
    <t>Wasquehal</t>
  </si>
  <si>
    <t>Seraucourt-le-Grand</t>
  </si>
  <si>
    <t>02711</t>
  </si>
  <si>
    <t>59647</t>
  </si>
  <si>
    <t>Serches</t>
  </si>
  <si>
    <t>Watten</t>
  </si>
  <si>
    <t>02712</t>
  </si>
  <si>
    <t>59648</t>
  </si>
  <si>
    <t>Sergy</t>
  </si>
  <si>
    <t>Wattignies</t>
  </si>
  <si>
    <t>59650</t>
  </si>
  <si>
    <t>Wattrelos</t>
  </si>
  <si>
    <t>02713</t>
  </si>
  <si>
    <t>Seringes-et-Nesles</t>
  </si>
  <si>
    <t>59651</t>
  </si>
  <si>
    <t>Wavrechain-sous-Denain</t>
  </si>
  <si>
    <t>02714</t>
  </si>
  <si>
    <t>59653</t>
  </si>
  <si>
    <t>Wavrin</t>
  </si>
  <si>
    <t>Sermoise</t>
  </si>
  <si>
    <t>59654</t>
  </si>
  <si>
    <t>02715</t>
  </si>
  <si>
    <t>Waziers</t>
  </si>
  <si>
    <t>Serval</t>
  </si>
  <si>
    <t>59656</t>
  </si>
  <si>
    <t>02716</t>
  </si>
  <si>
    <t>Wervicq-Sud</t>
  </si>
  <si>
    <t>Servais</t>
  </si>
  <si>
    <t>59657</t>
  </si>
  <si>
    <t>West-Cappel</t>
  </si>
  <si>
    <t>59658</t>
  </si>
  <si>
    <t>Wicres</t>
  </si>
  <si>
    <t>02718</t>
  </si>
  <si>
    <t>Silly-la-Poterie</t>
  </si>
  <si>
    <t>59659</t>
  </si>
  <si>
    <t>Wignehies</t>
  </si>
  <si>
    <t>59660</t>
  </si>
  <si>
    <t>Willems</t>
  </si>
  <si>
    <t>59662</t>
  </si>
  <si>
    <t>Winnezeele</t>
  </si>
  <si>
    <t>59663</t>
  </si>
  <si>
    <t>Wormhout</t>
  </si>
  <si>
    <t>59666</t>
  </si>
  <si>
    <t>Zegerscappel</t>
  </si>
  <si>
    <t>59668</t>
  </si>
  <si>
    <t>Zuydcoote</t>
  </si>
  <si>
    <t>02723</t>
  </si>
  <si>
    <t>59185</t>
  </si>
  <si>
    <t>Soize</t>
  </si>
  <si>
    <t>Écaillon</t>
  </si>
  <si>
    <t>59190</t>
  </si>
  <si>
    <t>02724</t>
  </si>
  <si>
    <t>Élesmes</t>
  </si>
  <si>
    <t>Sommelans</t>
  </si>
  <si>
    <t>59191</t>
  </si>
  <si>
    <t>Élincourt</t>
  </si>
  <si>
    <t>02725</t>
  </si>
  <si>
    <t>59192</t>
  </si>
  <si>
    <t>Sommeron</t>
  </si>
  <si>
    <t>Émerchicourt</t>
  </si>
  <si>
    <t>59218</t>
  </si>
  <si>
    <t>02726</t>
  </si>
  <si>
    <t>Étrœungt</t>
  </si>
  <si>
    <t>Sommette-Eaucourt</t>
  </si>
  <si>
    <t>60001</t>
  </si>
  <si>
    <t>Abancourt</t>
  </si>
  <si>
    <t>Oise</t>
  </si>
  <si>
    <t>02727</t>
  </si>
  <si>
    <t>Sons-et-Ronchères</t>
  </si>
  <si>
    <t>60002</t>
  </si>
  <si>
    <t>Abbecourt</t>
  </si>
  <si>
    <t>60005</t>
  </si>
  <si>
    <t>Acy-en-Multien</t>
  </si>
  <si>
    <t>02728</t>
  </si>
  <si>
    <t>Sorbais</t>
  </si>
  <si>
    <t>60007</t>
  </si>
  <si>
    <t>02729</t>
  </si>
  <si>
    <t>Soucy</t>
  </si>
  <si>
    <t>Agnetz</t>
  </si>
  <si>
    <t>02730</t>
  </si>
  <si>
    <t>60008</t>
  </si>
  <si>
    <t>Airion</t>
  </si>
  <si>
    <t>Soupir</t>
  </si>
  <si>
    <t>60009</t>
  </si>
  <si>
    <t>Allonne</t>
  </si>
  <si>
    <t>60010</t>
  </si>
  <si>
    <t>Amblainville</t>
  </si>
  <si>
    <t>02732</t>
  </si>
  <si>
    <t>Surfontaine</t>
  </si>
  <si>
    <t>60011</t>
  </si>
  <si>
    <t>Amy</t>
  </si>
  <si>
    <t>02734</t>
  </si>
  <si>
    <t>60012</t>
  </si>
  <si>
    <t>Taillefontaine</t>
  </si>
  <si>
    <t>Andeville</t>
  </si>
  <si>
    <t>60013</t>
  </si>
  <si>
    <t>02735</t>
  </si>
  <si>
    <t>Angicourt</t>
  </si>
  <si>
    <t>Tannières</t>
  </si>
  <si>
    <t>60015</t>
  </si>
  <si>
    <t>02736</t>
  </si>
  <si>
    <t>Angy</t>
  </si>
  <si>
    <t>Tartiers</t>
  </si>
  <si>
    <t>60017</t>
  </si>
  <si>
    <t>Ansauvillers</t>
  </si>
  <si>
    <t>60021</t>
  </si>
  <si>
    <t>Appilly</t>
  </si>
  <si>
    <t>60022</t>
  </si>
  <si>
    <t>Apremont</t>
  </si>
  <si>
    <t>02739</t>
  </si>
  <si>
    <t>Terny-Sorny</t>
  </si>
  <si>
    <t>60024</t>
  </si>
  <si>
    <t>Arsy</t>
  </si>
  <si>
    <t>02740</t>
  </si>
  <si>
    <t>Thenailles</t>
  </si>
  <si>
    <t>60025</t>
  </si>
  <si>
    <t>Attichy</t>
  </si>
  <si>
    <t>60027</t>
  </si>
  <si>
    <t>Auger-Saint-Vincent</t>
  </si>
  <si>
    <t>02742</t>
  </si>
  <si>
    <t>60029</t>
  </si>
  <si>
    <t>Thiernu</t>
  </si>
  <si>
    <t>Auneuil</t>
  </si>
  <si>
    <t>60030</t>
  </si>
  <si>
    <t>Auteuil</t>
  </si>
  <si>
    <t>60032</t>
  </si>
  <si>
    <t>02744</t>
  </si>
  <si>
    <t>Autrêches</t>
  </si>
  <si>
    <t>Torcy-en-Valois</t>
  </si>
  <si>
    <t>60703</t>
  </si>
  <si>
    <t>Aux Marais</t>
  </si>
  <si>
    <t>02745</t>
  </si>
  <si>
    <t>Toulis-et-Attencourt</t>
  </si>
  <si>
    <t>60033</t>
  </si>
  <si>
    <t>Avilly-Saint-Léonard</t>
  </si>
  <si>
    <t>60034</t>
  </si>
  <si>
    <t>Avrechy</t>
  </si>
  <si>
    <t>02747</t>
  </si>
  <si>
    <t>60036</t>
  </si>
  <si>
    <t>Trefcon</t>
  </si>
  <si>
    <t>Avrigny</t>
  </si>
  <si>
    <t>60037</t>
  </si>
  <si>
    <t>Babœuf</t>
  </si>
  <si>
    <t>60040</t>
  </si>
  <si>
    <t>02749</t>
  </si>
  <si>
    <t>Bailleul-le-Soc</t>
  </si>
  <si>
    <t>Troësnes</t>
  </si>
  <si>
    <t>60041</t>
  </si>
  <si>
    <t>Bailleul-sur-Thérain</t>
  </si>
  <si>
    <t>60042</t>
  </si>
  <si>
    <t>Bailleval</t>
  </si>
  <si>
    <t>02751</t>
  </si>
  <si>
    <t>Trucy</t>
  </si>
  <si>
    <t>60043</t>
  </si>
  <si>
    <t>Bailly</t>
  </si>
  <si>
    <t>60044</t>
  </si>
  <si>
    <t>Balagny-sur-Thérain</t>
  </si>
  <si>
    <t>60047</t>
  </si>
  <si>
    <t>Baron</t>
  </si>
  <si>
    <t>02753</t>
  </si>
  <si>
    <t>Tupigny</t>
  </si>
  <si>
    <t>60050</t>
  </si>
  <si>
    <t>Bazicourt</t>
  </si>
  <si>
    <t>02754</t>
  </si>
  <si>
    <t>Ugny-le-Gay</t>
  </si>
  <si>
    <t>60053</t>
  </si>
  <si>
    <t>Beaulieu-les-Fontaines</t>
  </si>
  <si>
    <t>02755</t>
  </si>
  <si>
    <t>Urcel</t>
  </si>
  <si>
    <t>60055</t>
  </si>
  <si>
    <t>02756</t>
  </si>
  <si>
    <t>Beaurains-lès-Noyon</t>
  </si>
  <si>
    <t>Urvillers</t>
  </si>
  <si>
    <t>60057</t>
  </si>
  <si>
    <t>Beauvais</t>
  </si>
  <si>
    <t>60060</t>
  </si>
  <si>
    <t>Belle-Église</t>
  </si>
  <si>
    <t>60063</t>
  </si>
  <si>
    <t>Berneuil-en-Bray</t>
  </si>
  <si>
    <t>60064</t>
  </si>
  <si>
    <t>Berneuil-sur-Aisne</t>
  </si>
  <si>
    <t>60065</t>
  </si>
  <si>
    <t>Berthecourt</t>
  </si>
  <si>
    <t>60069</t>
  </si>
  <si>
    <t>Betz</t>
  </si>
  <si>
    <t>60073</t>
  </si>
  <si>
    <t>02761</t>
  </si>
  <si>
    <t>Blacourt</t>
  </si>
  <si>
    <t>Variscourt</t>
  </si>
  <si>
    <t>60074</t>
  </si>
  <si>
    <t>02762</t>
  </si>
  <si>
    <t>Blaincourt-lès-Précy</t>
  </si>
  <si>
    <t>Vassens</t>
  </si>
  <si>
    <t>60079</t>
  </si>
  <si>
    <t>Boissy-Fresnoy</t>
  </si>
  <si>
    <t>02763</t>
  </si>
  <si>
    <t>Vasseny</t>
  </si>
  <si>
    <t>60083</t>
  </si>
  <si>
    <t>Bonneuil-en-Valois</t>
  </si>
  <si>
    <t>02764</t>
  </si>
  <si>
    <t>Vassogne</t>
  </si>
  <si>
    <t>60084</t>
  </si>
  <si>
    <t>Bonnières</t>
  </si>
  <si>
    <t>02765</t>
  </si>
  <si>
    <t>60086</t>
  </si>
  <si>
    <t>Vaucelles-et-Beffecourt</t>
  </si>
  <si>
    <t>Boran-sur-Oise</t>
  </si>
  <si>
    <t>02766</t>
  </si>
  <si>
    <t>60088</t>
  </si>
  <si>
    <t>Vaudesson</t>
  </si>
  <si>
    <t>Bornel</t>
  </si>
  <si>
    <t>02767</t>
  </si>
  <si>
    <t>Vauxrezis</t>
  </si>
  <si>
    <t>60090</t>
  </si>
  <si>
    <t>Bouconvillers</t>
  </si>
  <si>
    <t>60095</t>
  </si>
  <si>
    <t>Boury-en-Vexin</t>
  </si>
  <si>
    <t>60102</t>
  </si>
  <si>
    <t>02770</t>
  </si>
  <si>
    <t>Brenouille</t>
  </si>
  <si>
    <t>Vauxbuin</t>
  </si>
  <si>
    <t>02772</t>
  </si>
  <si>
    <t>Vaux-en-Vermandois</t>
  </si>
  <si>
    <t>60103</t>
  </si>
  <si>
    <t>Bresles</t>
  </si>
  <si>
    <t>02773</t>
  </si>
  <si>
    <t>Vauxtin</t>
  </si>
  <si>
    <t>60104</t>
  </si>
  <si>
    <t>Breteuil</t>
  </si>
  <si>
    <t>02774</t>
  </si>
  <si>
    <t>Vendelles</t>
  </si>
  <si>
    <t>60106</t>
  </si>
  <si>
    <t>Breuil-le-Sec</t>
  </si>
  <si>
    <t>60107</t>
  </si>
  <si>
    <t>Breuil-le-Vert</t>
  </si>
  <si>
    <t>02776</t>
  </si>
  <si>
    <t>Vendhuile</t>
  </si>
  <si>
    <t>60109</t>
  </si>
  <si>
    <t>Brombos</t>
  </si>
  <si>
    <t>02777</t>
  </si>
  <si>
    <t>Vendières</t>
  </si>
  <si>
    <t>60112</t>
  </si>
  <si>
    <t>Brunvillers-la-Motte</t>
  </si>
  <si>
    <t>02778</t>
  </si>
  <si>
    <t>60101</t>
  </si>
  <si>
    <t>Vendresse-Beaulne</t>
  </si>
  <si>
    <t>Brégy</t>
  </si>
  <si>
    <t>60105</t>
  </si>
  <si>
    <t>02779</t>
  </si>
  <si>
    <t>Brétigny</t>
  </si>
  <si>
    <t>Vénérolles</t>
  </si>
  <si>
    <t>60115</t>
  </si>
  <si>
    <t>Bulles</t>
  </si>
  <si>
    <t>60116</t>
  </si>
  <si>
    <t>Bury</t>
  </si>
  <si>
    <t>60067</t>
  </si>
  <si>
    <t>Béthisy-Saint-Martin</t>
  </si>
  <si>
    <t>60068</t>
  </si>
  <si>
    <t>Béthisy-Saint-Pierre</t>
  </si>
  <si>
    <t>60120</t>
  </si>
  <si>
    <t>Cambronne-lès-Clermont</t>
  </si>
  <si>
    <t>60119</t>
  </si>
  <si>
    <t>Cambronne-lès-Ribécourt</t>
  </si>
  <si>
    <t>02784</t>
  </si>
  <si>
    <t>60122</t>
  </si>
  <si>
    <t>Petit-Verly</t>
  </si>
  <si>
    <t>Campeaux</t>
  </si>
  <si>
    <t>60125</t>
  </si>
  <si>
    <t>Canly</t>
  </si>
  <si>
    <t>60129</t>
  </si>
  <si>
    <t>Carlepont</t>
  </si>
  <si>
    <t>02786</t>
  </si>
  <si>
    <t>Verneuil-sous-Coucy</t>
  </si>
  <si>
    <t>60130</t>
  </si>
  <si>
    <t>Catenoy</t>
  </si>
  <si>
    <t>60133</t>
  </si>
  <si>
    <t>Catillon-Fumechon</t>
  </si>
  <si>
    <t>60134</t>
  </si>
  <si>
    <t>Cauffry</t>
  </si>
  <si>
    <t>60135</t>
  </si>
  <si>
    <t>02790</t>
  </si>
  <si>
    <t>Vesles-et-Caumont</t>
  </si>
  <si>
    <t>Cauvigny</t>
  </si>
  <si>
    <t>02791</t>
  </si>
  <si>
    <t>Veslud</t>
  </si>
  <si>
    <t>02792</t>
  </si>
  <si>
    <t>Veuilly-la-Poterie</t>
  </si>
  <si>
    <t>02793</t>
  </si>
  <si>
    <t>Vézaponin</t>
  </si>
  <si>
    <t>02794</t>
  </si>
  <si>
    <t>Vézilly</t>
  </si>
  <si>
    <t>02796</t>
  </si>
  <si>
    <t>Vichel-Nanteuil</t>
  </si>
  <si>
    <t>02797</t>
  </si>
  <si>
    <t>Viel-Arcy</t>
  </si>
  <si>
    <t>60136</t>
  </si>
  <si>
    <t>02800</t>
  </si>
  <si>
    <t>Cempuis</t>
  </si>
  <si>
    <t>60138</t>
  </si>
  <si>
    <t>Chamant</t>
  </si>
  <si>
    <t>Viffort</t>
  </si>
  <si>
    <t>60139</t>
  </si>
  <si>
    <t>Chambly</t>
  </si>
  <si>
    <t>02801</t>
  </si>
  <si>
    <t>Vigneux-Hocquet</t>
  </si>
  <si>
    <t>60140</t>
  </si>
  <si>
    <t>Chambors</t>
  </si>
  <si>
    <t>60141</t>
  </si>
  <si>
    <t>Chantilly</t>
  </si>
  <si>
    <t>60143</t>
  </si>
  <si>
    <t>Chaumont-en-Vexin</t>
  </si>
  <si>
    <t>02804</t>
  </si>
  <si>
    <t>60145</t>
  </si>
  <si>
    <t>Chelles</t>
  </si>
  <si>
    <t>Villemontoire</t>
  </si>
  <si>
    <t>60146</t>
  </si>
  <si>
    <t>Chepoix</t>
  </si>
  <si>
    <t>60147</t>
  </si>
  <si>
    <t>Chevincourt</t>
  </si>
  <si>
    <t>02806</t>
  </si>
  <si>
    <t>Villeneuve-sur-Fère</t>
  </si>
  <si>
    <t>60149</t>
  </si>
  <si>
    <t>Chevrières</t>
  </si>
  <si>
    <t>60150</t>
  </si>
  <si>
    <t>Chiry-Ourscamp</t>
  </si>
  <si>
    <t>02808</t>
  </si>
  <si>
    <t>60151</t>
  </si>
  <si>
    <t>Villeret</t>
  </si>
  <si>
    <t>Choisy-au-Bac</t>
  </si>
  <si>
    <t>60154</t>
  </si>
  <si>
    <t>Cinqueux</t>
  </si>
  <si>
    <t>02809</t>
  </si>
  <si>
    <t>Villers-Agron-Aiguizy</t>
  </si>
  <si>
    <t>60155</t>
  </si>
  <si>
    <t>Cires-lès-Mello</t>
  </si>
  <si>
    <t>60156</t>
  </si>
  <si>
    <t>Clairoix</t>
  </si>
  <si>
    <t>02812</t>
  </si>
  <si>
    <t>Villers-Hélon</t>
  </si>
  <si>
    <t>60157</t>
  </si>
  <si>
    <t>Clermont</t>
  </si>
  <si>
    <t>02813</t>
  </si>
  <si>
    <t>Villers-le-Sec</t>
  </si>
  <si>
    <t>60159</t>
  </si>
  <si>
    <t>Compiègne</t>
  </si>
  <si>
    <t>02814</t>
  </si>
  <si>
    <t>Villers-lès-Guise</t>
  </si>
  <si>
    <t>60163</t>
  </si>
  <si>
    <t>Cormeilles</t>
  </si>
  <si>
    <t>02817</t>
  </si>
  <si>
    <t>Ville-Savoye</t>
  </si>
  <si>
    <t>60166</t>
  </si>
  <si>
    <t>Coudun</t>
  </si>
  <si>
    <t>60167</t>
  </si>
  <si>
    <t>Couloisy</t>
  </si>
  <si>
    <t>02819</t>
  </si>
  <si>
    <t>60169</t>
  </si>
  <si>
    <t>Vincy-Reuil-et-Magny</t>
  </si>
  <si>
    <t>Courcelles-lès-Gisors</t>
  </si>
  <si>
    <t>60170</t>
  </si>
  <si>
    <t>Courteuil</t>
  </si>
  <si>
    <t>60172</t>
  </si>
  <si>
    <t>Coye-la-Forêt</t>
  </si>
  <si>
    <t>02822</t>
  </si>
  <si>
    <t>Vivières</t>
  </si>
  <si>
    <t>60173</t>
  </si>
  <si>
    <t>Cramoisy</t>
  </si>
  <si>
    <t>02823</t>
  </si>
  <si>
    <t>60174</t>
  </si>
  <si>
    <t>Voharies</t>
  </si>
  <si>
    <t>Crapeaumesnil</t>
  </si>
  <si>
    <t>02824</t>
  </si>
  <si>
    <t>60175</t>
  </si>
  <si>
    <t>Vorges</t>
  </si>
  <si>
    <t>Creil</t>
  </si>
  <si>
    <t>02826</t>
  </si>
  <si>
    <t>60180</t>
  </si>
  <si>
    <t>Crillon</t>
  </si>
  <si>
    <t>Voulpaix</t>
  </si>
  <si>
    <t>60181</t>
  </si>
  <si>
    <t>Crisolles</t>
  </si>
  <si>
    <t>60185</t>
  </si>
  <si>
    <t>02828</t>
  </si>
  <si>
    <t>Vregny</t>
  </si>
  <si>
    <t>Crouy-en-Thelle</t>
  </si>
  <si>
    <t>60178</t>
  </si>
  <si>
    <t>02829</t>
  </si>
  <si>
    <t>Vuillery</t>
  </si>
  <si>
    <t>Crèvecœur-le-Grand</t>
  </si>
  <si>
    <t>60176</t>
  </si>
  <si>
    <t>Crépy-en-Valois</t>
  </si>
  <si>
    <t>02831</t>
  </si>
  <si>
    <t>60187</t>
  </si>
  <si>
    <t>Watigny</t>
  </si>
  <si>
    <t>Cuigy-en-Bray</t>
  </si>
  <si>
    <t>02832</t>
  </si>
  <si>
    <t>Wiège-Faty</t>
  </si>
  <si>
    <t>60188</t>
  </si>
  <si>
    <t>Cuise-la-Motte</t>
  </si>
  <si>
    <t>02833</t>
  </si>
  <si>
    <t>Wimy</t>
  </si>
  <si>
    <t>60189</t>
  </si>
  <si>
    <t>Cuts</t>
  </si>
  <si>
    <t>02834</t>
  </si>
  <si>
    <t>Wissignicourt</t>
  </si>
  <si>
    <t>60190</t>
  </si>
  <si>
    <t>Cuvergnon</t>
  </si>
  <si>
    <t>59001</t>
  </si>
  <si>
    <t>60191</t>
  </si>
  <si>
    <t>Cuvilly</t>
  </si>
  <si>
    <t>60194</t>
  </si>
  <si>
    <t>Dargies</t>
  </si>
  <si>
    <t>59003</t>
  </si>
  <si>
    <t>Aibes</t>
  </si>
  <si>
    <t>60197</t>
  </si>
  <si>
    <t>Dieudonné</t>
  </si>
  <si>
    <t>60198</t>
  </si>
  <si>
    <t>Dives</t>
  </si>
  <si>
    <t>59006</t>
  </si>
  <si>
    <t>L'Orée de Mormal</t>
  </si>
  <si>
    <t>60200</t>
  </si>
  <si>
    <t>Domfront</t>
  </si>
  <si>
    <t>60201</t>
  </si>
  <si>
    <t>Dompierre</t>
  </si>
  <si>
    <t>60212</t>
  </si>
  <si>
    <t>Ercuis</t>
  </si>
  <si>
    <t>60213</t>
  </si>
  <si>
    <t>Ermenonville</t>
  </si>
  <si>
    <t>60218</t>
  </si>
  <si>
    <t>Esches</t>
  </si>
  <si>
    <t>60221</t>
  </si>
  <si>
    <t>Esquennoy</t>
  </si>
  <si>
    <t>60222</t>
  </si>
  <si>
    <t>Essuiles</t>
  </si>
  <si>
    <t>60223</t>
  </si>
  <si>
    <t>Estrées-Saint-Denis</t>
  </si>
  <si>
    <t>60233</t>
  </si>
  <si>
    <t>Feuquières</t>
  </si>
  <si>
    <t>60234</t>
  </si>
  <si>
    <t>Fitz-James</t>
  </si>
  <si>
    <t>60235</t>
  </si>
  <si>
    <t>Flavacourt</t>
  </si>
  <si>
    <t>60238</t>
  </si>
  <si>
    <t>Fleurines</t>
  </si>
  <si>
    <t>60239</t>
  </si>
  <si>
    <t>60240</t>
  </si>
  <si>
    <t>Fontaine-Bonneleau</t>
  </si>
  <si>
    <t>60245</t>
  </si>
  <si>
    <t>Formerie</t>
  </si>
  <si>
    <t>60253</t>
  </si>
  <si>
    <t>Francastel</t>
  </si>
  <si>
    <t>60257</t>
  </si>
  <si>
    <t>Fresne-Léguillon</t>
  </si>
  <si>
    <t>60259</t>
  </si>
  <si>
    <t>Fresnoy-en-Thelle</t>
  </si>
  <si>
    <t>60260</t>
  </si>
  <si>
    <t>Fresnoy-la-Rivière</t>
  </si>
  <si>
    <t>60261</t>
  </si>
  <si>
    <t>Fresnoy-le-Luat</t>
  </si>
  <si>
    <t>60264</t>
  </si>
  <si>
    <t>Frocourt</t>
  </si>
  <si>
    <t>60269</t>
  </si>
  <si>
    <t>Gaudechart</t>
  </si>
  <si>
    <t>60277</t>
  </si>
  <si>
    <t>Goincourt</t>
  </si>
  <si>
    <t>60278</t>
  </si>
  <si>
    <t>Golancourt</t>
  </si>
  <si>
    <t>60281</t>
  </si>
  <si>
    <t>Gournay-sur-Aronde</t>
  </si>
  <si>
    <t>60282</t>
  </si>
  <si>
    <t>Gouvieux</t>
  </si>
  <si>
    <t>60284</t>
  </si>
  <si>
    <t>Grandfresnoy</t>
  </si>
  <si>
    <t>60286</t>
  </si>
  <si>
    <t>Grandvilliers</t>
  </si>
  <si>
    <t>60288</t>
  </si>
  <si>
    <t>Grémévillers</t>
  </si>
  <si>
    <t>60291</t>
  </si>
  <si>
    <t>Guiscard</t>
  </si>
  <si>
    <t>60298</t>
  </si>
  <si>
    <t>Hanvoile</t>
  </si>
  <si>
    <t>60299</t>
  </si>
  <si>
    <t>Hardivillers</t>
  </si>
  <si>
    <t>60302</t>
  </si>
  <si>
    <t>Haudivillers</t>
  </si>
  <si>
    <t>60307</t>
  </si>
  <si>
    <t>Heilles</t>
  </si>
  <si>
    <t>60310</t>
  </si>
  <si>
    <t>Herchies</t>
  </si>
  <si>
    <t>60313</t>
  </si>
  <si>
    <t>Hermes</t>
  </si>
  <si>
    <t>59045</t>
  </si>
  <si>
    <t>60317</t>
  </si>
  <si>
    <t>Baives</t>
  </si>
  <si>
    <t>Hondainville</t>
  </si>
  <si>
    <t>60309</t>
  </si>
  <si>
    <t>Hénonville</t>
  </si>
  <si>
    <t>60321</t>
  </si>
  <si>
    <t>Ivry-le-Temple</t>
  </si>
  <si>
    <t>59047</t>
  </si>
  <si>
    <t>Banteux</t>
  </si>
  <si>
    <t>60322</t>
  </si>
  <si>
    <t>Jaméricourt</t>
  </si>
  <si>
    <t>60323</t>
  </si>
  <si>
    <t>Janville</t>
  </si>
  <si>
    <t>59049</t>
  </si>
  <si>
    <t>Bantouzelle</t>
  </si>
  <si>
    <t>60324</t>
  </si>
  <si>
    <t>Jaulzy</t>
  </si>
  <si>
    <t>59050</t>
  </si>
  <si>
    <t>Bas-Lieu</t>
  </si>
  <si>
    <t>60325</t>
  </si>
  <si>
    <t>Jaux</t>
  </si>
  <si>
    <t>60326</t>
  </si>
  <si>
    <t>Jonquières</t>
  </si>
  <si>
    <t>60327</t>
  </si>
  <si>
    <t>Jouy-sous-Thelle</t>
  </si>
  <si>
    <t>60142</t>
  </si>
  <si>
    <t>La Chapelle-en-Serval</t>
  </si>
  <si>
    <t>60209</t>
  </si>
  <si>
    <t>La Corne-en-Vexin</t>
  </si>
  <si>
    <t>60196</t>
  </si>
  <si>
    <t>La Drenne</t>
  </si>
  <si>
    <t>60319</t>
  </si>
  <si>
    <t>La Houssoye</t>
  </si>
  <si>
    <t>60311</t>
  </si>
  <si>
    <t>59057</t>
  </si>
  <si>
    <t>Beaudignies</t>
  </si>
  <si>
    <t>La Hérelle</t>
  </si>
  <si>
    <t>60456</t>
  </si>
  <si>
    <t>La Neuville-Roy</t>
  </si>
  <si>
    <t>59059</t>
  </si>
  <si>
    <t>Beaumont-en-Cambrésis</t>
  </si>
  <si>
    <t>60454</t>
  </si>
  <si>
    <t>La Neuville-en-Hez</t>
  </si>
  <si>
    <t>59060</t>
  </si>
  <si>
    <t>Beaurain</t>
  </si>
  <si>
    <t>60559</t>
  </si>
  <si>
    <t>La Rue-Saint-Pierre</t>
  </si>
  <si>
    <t>59061</t>
  </si>
  <si>
    <t>Beaurepaire-sur-Sambre</t>
  </si>
  <si>
    <t>60330</t>
  </si>
  <si>
    <t>Laboissière-en-Thelle</t>
  </si>
  <si>
    <t>59062</t>
  </si>
  <si>
    <t>60334</t>
  </si>
  <si>
    <t>Lachapelle-Saint-Pierre</t>
  </si>
  <si>
    <t>60333</t>
  </si>
  <si>
    <t>Lachapelle-aux-Pots</t>
  </si>
  <si>
    <t>60337</t>
  </si>
  <si>
    <t>Lachelle</t>
  </si>
  <si>
    <t>60338</t>
  </si>
  <si>
    <t>Lacroix-Saint-Ouen</t>
  </si>
  <si>
    <t>59066</t>
  </si>
  <si>
    <t>Bérelles</t>
  </si>
  <si>
    <t>60340</t>
  </si>
  <si>
    <t>Lagny</t>
  </si>
  <si>
    <t>60341</t>
  </si>
  <si>
    <t>Lagny-le-Sec</t>
  </si>
  <si>
    <t>60342</t>
  </si>
  <si>
    <t>Laigneville</t>
  </si>
  <si>
    <t>60343</t>
  </si>
  <si>
    <t>Lalande-en-Son</t>
  </si>
  <si>
    <t>59072</t>
  </si>
  <si>
    <t>Bersillies</t>
  </si>
  <si>
    <t>60346</t>
  </si>
  <si>
    <t>Lamorlaye</t>
  </si>
  <si>
    <t>59073</t>
  </si>
  <si>
    <t>Berthen</t>
  </si>
  <si>
    <t>60348</t>
  </si>
  <si>
    <t>Larbroye</t>
  </si>
  <si>
    <t>60350</t>
  </si>
  <si>
    <t>Lassigny</t>
  </si>
  <si>
    <t>59076</t>
  </si>
  <si>
    <t>60355</t>
  </si>
  <si>
    <t>Bettignies</t>
  </si>
  <si>
    <t>Laversines</t>
  </si>
  <si>
    <t>59077</t>
  </si>
  <si>
    <t>60356</t>
  </si>
  <si>
    <t>Bettrechies</t>
  </si>
  <si>
    <t>Lavilletertre</t>
  </si>
  <si>
    <t>60164</t>
  </si>
  <si>
    <t>Le Coudray-Saint-Germer</t>
  </si>
  <si>
    <t>60230</t>
  </si>
  <si>
    <t>Le Fay-Saint-Quentin</t>
  </si>
  <si>
    <t>60297</t>
  </si>
  <si>
    <t>Le Hamel</t>
  </si>
  <si>
    <t>60401</t>
  </si>
  <si>
    <t>Le Mesnil-Théribus</t>
  </si>
  <si>
    <t>60398</t>
  </si>
  <si>
    <t>59083</t>
  </si>
  <si>
    <t>Bissezeele</t>
  </si>
  <si>
    <t>Le Mesnil-en-Thelle</t>
  </si>
  <si>
    <t>60402</t>
  </si>
  <si>
    <t>Le Meux</t>
  </si>
  <si>
    <t>59085</t>
  </si>
  <si>
    <t>60428</t>
  </si>
  <si>
    <t>Blécourt</t>
  </si>
  <si>
    <t>Le Mont-Saint-Adrien</t>
  </si>
  <si>
    <t>60498</t>
  </si>
  <si>
    <t>Le Plessier-sur-Saint-Just</t>
  </si>
  <si>
    <t>59087</t>
  </si>
  <si>
    <t>Boëseghem</t>
  </si>
  <si>
    <t>60500</t>
  </si>
  <si>
    <t>Le Plessis-Belleville</t>
  </si>
  <si>
    <t>60501</t>
  </si>
  <si>
    <t>Le Plessis-Brion</t>
  </si>
  <si>
    <t>60503</t>
  </si>
  <si>
    <t>Le Ployron</t>
  </si>
  <si>
    <t>60662</t>
  </si>
  <si>
    <t>Le Vauroux</t>
  </si>
  <si>
    <t>59093</t>
  </si>
  <si>
    <t>60006</t>
  </si>
  <si>
    <t>Boulogne-sur-Helpe</t>
  </si>
  <si>
    <t>Les Ageux</t>
  </si>
  <si>
    <t>60360</t>
  </si>
  <si>
    <t>Liancourt</t>
  </si>
  <si>
    <t>60361</t>
  </si>
  <si>
    <t>Liancourt-Saint-Pierre</t>
  </si>
  <si>
    <t>60364</t>
  </si>
  <si>
    <t>59097</t>
  </si>
  <si>
    <t>Lieuvillers</t>
  </si>
  <si>
    <t>Boursies</t>
  </si>
  <si>
    <t>60368</t>
  </si>
  <si>
    <t>Longueil-Annel</t>
  </si>
  <si>
    <t>60369</t>
  </si>
  <si>
    <t>Longueil-Sainte-Marie</t>
  </si>
  <si>
    <t>60370</t>
  </si>
  <si>
    <t>Lormaison</t>
  </si>
  <si>
    <t>60372</t>
  </si>
  <si>
    <t>Luchy</t>
  </si>
  <si>
    <t>60357</t>
  </si>
  <si>
    <t>Léglantiers</t>
  </si>
  <si>
    <t>59102</t>
  </si>
  <si>
    <t>Boussières-en-Cambrésis</t>
  </si>
  <si>
    <t>60358</t>
  </si>
  <si>
    <t>Lévignen</t>
  </si>
  <si>
    <t>60373</t>
  </si>
  <si>
    <t>Machemont</t>
  </si>
  <si>
    <t>60374</t>
  </si>
  <si>
    <t>Maignelay-Montigny</t>
  </si>
  <si>
    <t>60375</t>
  </si>
  <si>
    <t>Maimbeville</t>
  </si>
  <si>
    <t>59106</t>
  </si>
  <si>
    <t>Bouvines</t>
  </si>
  <si>
    <t>60380</t>
  </si>
  <si>
    <t>Mareuil-sur-Ourcq</t>
  </si>
  <si>
    <t>60382</t>
  </si>
  <si>
    <t>Margny-lès-Compiègne</t>
  </si>
  <si>
    <t>60385</t>
  </si>
  <si>
    <t>Marolles</t>
  </si>
  <si>
    <t>60386</t>
  </si>
  <si>
    <t>Marquéglise</t>
  </si>
  <si>
    <t>60387</t>
  </si>
  <si>
    <t>59111</t>
  </si>
  <si>
    <t>Marseille-en-Beauvaisis</t>
  </si>
  <si>
    <t>Broxeele</t>
  </si>
  <si>
    <t>60403</t>
  </si>
  <si>
    <t>Milly-sur-Thérain</t>
  </si>
  <si>
    <t>60404</t>
  </si>
  <si>
    <t>Mogneville</t>
  </si>
  <si>
    <t>60405</t>
  </si>
  <si>
    <t>Moliens</t>
  </si>
  <si>
    <t>60406</t>
  </si>
  <si>
    <t>Monceaux</t>
  </si>
  <si>
    <t>60408</t>
  </si>
  <si>
    <t>Monchy-Humières</t>
  </si>
  <si>
    <t>60409</t>
  </si>
  <si>
    <t>Monchy-Saint-Éloi</t>
  </si>
  <si>
    <t>60410</t>
  </si>
  <si>
    <t>Mondescourt</t>
  </si>
  <si>
    <t>60411</t>
  </si>
  <si>
    <t>Monneville</t>
  </si>
  <si>
    <t>59119</t>
  </si>
  <si>
    <t>Buysscheure</t>
  </si>
  <si>
    <t>60421</t>
  </si>
  <si>
    <t>Mont-l'Évêque</t>
  </si>
  <si>
    <t>60413</t>
  </si>
  <si>
    <t>Montagny-Sainte-Félicité</t>
  </si>
  <si>
    <t>60412</t>
  </si>
  <si>
    <t>Montagny-en-Vexin</t>
  </si>
  <si>
    <t>60414</t>
  </si>
  <si>
    <t>Montataire</t>
  </si>
  <si>
    <t>60256</t>
  </si>
  <si>
    <t>Montchevreuil</t>
  </si>
  <si>
    <t>59125</t>
  </si>
  <si>
    <t>Cantaing-sur-Escaut</t>
  </si>
  <si>
    <t>60420</t>
  </si>
  <si>
    <t>Montjavoult</t>
  </si>
  <si>
    <t>60423</t>
  </si>
  <si>
    <t>Montmacq</t>
  </si>
  <si>
    <t>59127</t>
  </si>
  <si>
    <t>Capelle</t>
  </si>
  <si>
    <t>60430</t>
  </si>
  <si>
    <t>Morienval</t>
  </si>
  <si>
    <t>60432</t>
  </si>
  <si>
    <t>60433</t>
  </si>
  <si>
    <t>Mortefontaine-en-Thelle</t>
  </si>
  <si>
    <t>60439</t>
  </si>
  <si>
    <t>Mouy</t>
  </si>
  <si>
    <t>60440</t>
  </si>
  <si>
    <t>Moyenneville</t>
  </si>
  <si>
    <t>60441</t>
  </si>
  <si>
    <t>Moyvillers</t>
  </si>
  <si>
    <t>60443</t>
  </si>
  <si>
    <t>Muirancourt</t>
  </si>
  <si>
    <t>60395</t>
  </si>
  <si>
    <t>Méru</t>
  </si>
  <si>
    <t>60446</t>
  </si>
  <si>
    <t>Nanteuil-le-Haudouin</t>
  </si>
  <si>
    <t>60448</t>
  </si>
  <si>
    <t>Neufchelles</t>
  </si>
  <si>
    <t>60450</t>
  </si>
  <si>
    <t>Neuilly-en-Thelle</t>
  </si>
  <si>
    <t>59140</t>
  </si>
  <si>
    <t>60451</t>
  </si>
  <si>
    <t>Caullery</t>
  </si>
  <si>
    <t>Neuilly-sous-Clermont</t>
  </si>
  <si>
    <t>60452</t>
  </si>
  <si>
    <t>Neuville-Bosc</t>
  </si>
  <si>
    <t>60462</t>
  </si>
  <si>
    <t>Noailles</t>
  </si>
  <si>
    <t>60463</t>
  </si>
  <si>
    <t>Nogent-sur-Oise</t>
  </si>
  <si>
    <t>60464</t>
  </si>
  <si>
    <t>59145</t>
  </si>
  <si>
    <t>Nointel</t>
  </si>
  <si>
    <t>Chemy</t>
  </si>
  <si>
    <t>60470</t>
  </si>
  <si>
    <t>Noyers-Saint-Martin</t>
  </si>
  <si>
    <t>60471</t>
  </si>
  <si>
    <t>59147</t>
  </si>
  <si>
    <t>Noyon</t>
  </si>
  <si>
    <t>Choisies</t>
  </si>
  <si>
    <t>59148</t>
  </si>
  <si>
    <t>60477</t>
  </si>
  <si>
    <t>Clairfayts</t>
  </si>
  <si>
    <t>Ons-en-Bray</t>
  </si>
  <si>
    <t>60479</t>
  </si>
  <si>
    <t>Ormoy-Villers</t>
  </si>
  <si>
    <t>60481</t>
  </si>
  <si>
    <t>Orrouy</t>
  </si>
  <si>
    <t>60482</t>
  </si>
  <si>
    <t>Orry-la-Ville</t>
  </si>
  <si>
    <t>60483</t>
  </si>
  <si>
    <t>Orvillers-Sorel</t>
  </si>
  <si>
    <t>60486</t>
  </si>
  <si>
    <t>Paillart</t>
  </si>
  <si>
    <t>60487</t>
  </si>
  <si>
    <t>Parnes</t>
  </si>
  <si>
    <t>60491</t>
  </si>
  <si>
    <t>Pierrefonds</t>
  </si>
  <si>
    <t>60492</t>
  </si>
  <si>
    <t>Pimprez</t>
  </si>
  <si>
    <t>60493</t>
  </si>
  <si>
    <t>Pisseleu</t>
  </si>
  <si>
    <t>60494</t>
  </si>
  <si>
    <t>Plailly</t>
  </si>
  <si>
    <t>60504</t>
  </si>
  <si>
    <t>Ponchon</t>
  </si>
  <si>
    <t>60509</t>
  </si>
  <si>
    <t>59162</t>
  </si>
  <si>
    <t>Pont-Sainte-Maxence</t>
  </si>
  <si>
    <t>Crochte</t>
  </si>
  <si>
    <t>60506</t>
  </si>
  <si>
    <t>Pont-l'Évêque</t>
  </si>
  <si>
    <t>60505</t>
  </si>
  <si>
    <t>Pontarmé</t>
  </si>
  <si>
    <t>60507</t>
  </si>
  <si>
    <t>Pontoise-lès-Noyon</t>
  </si>
  <si>
    <t>60508</t>
  </si>
  <si>
    <t>Pontpoint</t>
  </si>
  <si>
    <t>59164</t>
  </si>
  <si>
    <t>Croix-Caluyau</t>
  </si>
  <si>
    <t>60513</t>
  </si>
  <si>
    <t>Précy-sur-Oise</t>
  </si>
  <si>
    <t>60516</t>
  </si>
  <si>
    <t>Puiseux-en-Bray</t>
  </si>
  <si>
    <t>60517</t>
  </si>
  <si>
    <t>59167</t>
  </si>
  <si>
    <t>Cuvillers</t>
  </si>
  <si>
    <t>Puiseux-le-Hauberger</t>
  </si>
  <si>
    <t>60489</t>
  </si>
  <si>
    <t>Péroy-les-Gombries</t>
  </si>
  <si>
    <t>59169</t>
  </si>
  <si>
    <t>Damousies</t>
  </si>
  <si>
    <t>60523</t>
  </si>
  <si>
    <t>Rainvillers</t>
  </si>
  <si>
    <t>60524</t>
  </si>
  <si>
    <t>59171</t>
  </si>
  <si>
    <t>Dehéries</t>
  </si>
  <si>
    <t>Rantigny</t>
  </si>
  <si>
    <t>60526</t>
  </si>
  <si>
    <t>Ravenel</t>
  </si>
  <si>
    <t>60531</t>
  </si>
  <si>
    <t>Remy</t>
  </si>
  <si>
    <t>59174</t>
  </si>
  <si>
    <t>Dimechaux</t>
  </si>
  <si>
    <t>60533</t>
  </si>
  <si>
    <t>Ressons-sur-Matz</t>
  </si>
  <si>
    <t>59175</t>
  </si>
  <si>
    <t>Dimont</t>
  </si>
  <si>
    <t>60537</t>
  </si>
  <si>
    <t>Ribécourt-Dreslincourt</t>
  </si>
  <si>
    <t>60539</t>
  </si>
  <si>
    <t>Rieux</t>
  </si>
  <si>
    <t>60542</t>
  </si>
  <si>
    <t>Rochy-Condé</t>
  </si>
  <si>
    <t>60545</t>
  </si>
  <si>
    <t>Romescamps</t>
  </si>
  <si>
    <t>60548</t>
  </si>
  <si>
    <t>Rosoy-en-Multien</t>
  </si>
  <si>
    <t>60554</t>
  </si>
  <si>
    <t>Rouvres-en-Multien</t>
  </si>
  <si>
    <t>59182</t>
  </si>
  <si>
    <t>Drincham</t>
  </si>
  <si>
    <t>60558</t>
  </si>
  <si>
    <t>Roye-sur-Matz</t>
  </si>
  <si>
    <t>60560</t>
  </si>
  <si>
    <t>Rully</t>
  </si>
  <si>
    <t>60562</t>
  </si>
  <si>
    <t>Sacy-le-Grand</t>
  </si>
  <si>
    <t>60563</t>
  </si>
  <si>
    <t>Sacy-le-Petit</t>
  </si>
  <si>
    <t>59186</t>
  </si>
  <si>
    <t>Eccles</t>
  </si>
  <si>
    <t>60565</t>
  </si>
  <si>
    <t>Saint-André-Farivillers</t>
  </si>
  <si>
    <t>59187</t>
  </si>
  <si>
    <t>Éclaibes</t>
  </si>
  <si>
    <t>60567</t>
  </si>
  <si>
    <t>Saint-Aubin-en-Bray</t>
  </si>
  <si>
    <t>59188</t>
  </si>
  <si>
    <t>Écuélin</t>
  </si>
  <si>
    <t>60570</t>
  </si>
  <si>
    <t>Saint-Crépin-Ibouvillers</t>
  </si>
  <si>
    <t>60574</t>
  </si>
  <si>
    <t>Saint-Félix</t>
  </si>
  <si>
    <t>60576</t>
  </si>
  <si>
    <t>Saint-Germain-la-Poterie</t>
  </si>
  <si>
    <t>60577</t>
  </si>
  <si>
    <t>Saint-Germer-de-Fly</t>
  </si>
  <si>
    <t>60579</t>
  </si>
  <si>
    <t>Saint-Jean-aux-Bois</t>
  </si>
  <si>
    <t>60581</t>
  </si>
  <si>
    <t>Saint-Just-en-Chaussée</t>
  </si>
  <si>
    <t>60584</t>
  </si>
  <si>
    <t>Saint-Leu-d'Esserent</t>
  </si>
  <si>
    <t>60582</t>
  </si>
  <si>
    <t>Saint-Léger-aux-Bois</t>
  </si>
  <si>
    <t>60587</t>
  </si>
  <si>
    <t>59198</t>
  </si>
  <si>
    <t>Saint-Martin-Longueau</t>
  </si>
  <si>
    <t>Eppe-Sauvage</t>
  </si>
  <si>
    <t>59199</t>
  </si>
  <si>
    <t>60586</t>
  </si>
  <si>
    <t>Erchin</t>
  </si>
  <si>
    <t>Saint-Martin-le-Nœud</t>
  </si>
  <si>
    <t>59200</t>
  </si>
  <si>
    <t>60589</t>
  </si>
  <si>
    <t>Eringhem</t>
  </si>
  <si>
    <t>Saint-Maximin</t>
  </si>
  <si>
    <t>59201</t>
  </si>
  <si>
    <t>Erquinghem-le-Sec</t>
  </si>
  <si>
    <t>60590</t>
  </si>
  <si>
    <t>Saint-Omer-en-Chaussée</t>
  </si>
  <si>
    <t>60591</t>
  </si>
  <si>
    <t>Saint-Paul</t>
  </si>
  <si>
    <t>60595</t>
  </si>
  <si>
    <t>Saint-Remy-en-l'Eau</t>
  </si>
  <si>
    <t>59204</t>
  </si>
  <si>
    <t>Escarmain</t>
  </si>
  <si>
    <t>60597</t>
  </si>
  <si>
    <t>Saint-Sauveur</t>
  </si>
  <si>
    <t>60598</t>
  </si>
  <si>
    <t>Saint-Sulpice</t>
  </si>
  <si>
    <t>60601</t>
  </si>
  <si>
    <t>Saint-Vaast-lès-Mello</t>
  </si>
  <si>
    <t>60575</t>
  </si>
  <si>
    <t>59208</t>
  </si>
  <si>
    <t>Escobecques</t>
  </si>
  <si>
    <t>60578</t>
  </si>
  <si>
    <t>Saintines</t>
  </si>
  <si>
    <t>60603</t>
  </si>
  <si>
    <t>Salency</t>
  </si>
  <si>
    <t>59216</t>
  </si>
  <si>
    <t>60609</t>
  </si>
  <si>
    <t>Eswars</t>
  </si>
  <si>
    <t>Savignies</t>
  </si>
  <si>
    <t>59217</t>
  </si>
  <si>
    <t>Eth</t>
  </si>
  <si>
    <t>60610</t>
  </si>
  <si>
    <t>Sempigny</t>
  </si>
  <si>
    <t>60611</t>
  </si>
  <si>
    <t>Senantes</t>
  </si>
  <si>
    <t>59219</t>
  </si>
  <si>
    <t>Estrun</t>
  </si>
  <si>
    <t>60612</t>
  </si>
  <si>
    <t>Senlis</t>
  </si>
  <si>
    <t>60620</t>
  </si>
  <si>
    <t>Silly-Tillard</t>
  </si>
  <si>
    <t>60619</t>
  </si>
  <si>
    <t>Silly-le-Long</t>
  </si>
  <si>
    <t>59223</t>
  </si>
  <si>
    <t>60622</t>
  </si>
  <si>
    <t>Le Favril</t>
  </si>
  <si>
    <t>Sommereux</t>
  </si>
  <si>
    <t>60623</t>
  </si>
  <si>
    <t>Songeons</t>
  </si>
  <si>
    <t>60624</t>
  </si>
  <si>
    <t>Sully</t>
  </si>
  <si>
    <t>60616</t>
  </si>
  <si>
    <t>Sérifontaine</t>
  </si>
  <si>
    <t>60626</t>
  </si>
  <si>
    <t>Talmontiers</t>
  </si>
  <si>
    <t>59229</t>
  </si>
  <si>
    <t>Féron</t>
  </si>
  <si>
    <t>60628</t>
  </si>
  <si>
    <t>Therdonne</t>
  </si>
  <si>
    <t>60631</t>
  </si>
  <si>
    <t>Thiers-sur-Thève</t>
  </si>
  <si>
    <t>60632</t>
  </si>
  <si>
    <t>Thiescourt</t>
  </si>
  <si>
    <t>60633</t>
  </si>
  <si>
    <t>Thieuloy-Saint-Antoine</t>
  </si>
  <si>
    <t>60635</t>
  </si>
  <si>
    <t>Thiverny</t>
  </si>
  <si>
    <t>59236</t>
  </si>
  <si>
    <t>Flesquières</t>
  </si>
  <si>
    <t>60636</t>
  </si>
  <si>
    <t>Thourotte</t>
  </si>
  <si>
    <t>60639</t>
  </si>
  <si>
    <t>Tillé</t>
  </si>
  <si>
    <t>60641</t>
  </si>
  <si>
    <t>Tracy-le-Mont</t>
  </si>
  <si>
    <t>60642</t>
  </si>
  <si>
    <t>Tracy-le-Val</t>
  </si>
  <si>
    <t>59240</t>
  </si>
  <si>
    <t>60643</t>
  </si>
  <si>
    <t>Floursies</t>
  </si>
  <si>
    <t>Tricot</t>
  </si>
  <si>
    <t>60644</t>
  </si>
  <si>
    <t>Trie-Château</t>
  </si>
  <si>
    <t>60646</t>
  </si>
  <si>
    <t>Troissereux</t>
  </si>
  <si>
    <t>60647</t>
  </si>
  <si>
    <t>Trosly-Breuil</t>
  </si>
  <si>
    <t>60651</t>
  </si>
  <si>
    <t>Ully-Saint-Georges</t>
  </si>
  <si>
    <t>60652</t>
  </si>
  <si>
    <t>Valdampierre</t>
  </si>
  <si>
    <t>60653</t>
  </si>
  <si>
    <t>Valescourt</t>
  </si>
  <si>
    <t>60655</t>
  </si>
  <si>
    <t>Varesnes</t>
  </si>
  <si>
    <t>59251</t>
  </si>
  <si>
    <t>Frasnoy</t>
  </si>
  <si>
    <t>60656</t>
  </si>
  <si>
    <t>Varinfroy</t>
  </si>
  <si>
    <t>60658</t>
  </si>
  <si>
    <t>Vauciennes</t>
  </si>
  <si>
    <t>60661</t>
  </si>
  <si>
    <t>Vaumoise</t>
  </si>
  <si>
    <t>60664</t>
  </si>
  <si>
    <t>Vendeuil-Caply</t>
  </si>
  <si>
    <t>59255</t>
  </si>
  <si>
    <t>Fressies</t>
  </si>
  <si>
    <t>60665</t>
  </si>
  <si>
    <t>Venette</t>
  </si>
  <si>
    <t>60666</t>
  </si>
  <si>
    <t>Ver-sur-Launette</t>
  </si>
  <si>
    <t>60667</t>
  </si>
  <si>
    <t>Verberie</t>
  </si>
  <si>
    <t>60669</t>
  </si>
  <si>
    <t>59259</t>
  </si>
  <si>
    <t>Verderonne</t>
  </si>
  <si>
    <t>Ghissignies</t>
  </si>
  <si>
    <t>60670</t>
  </si>
  <si>
    <t>Verneuil-en-Halatte</t>
  </si>
  <si>
    <t>60676</t>
  </si>
  <si>
    <t>Ville</t>
  </si>
  <si>
    <t>60677</t>
  </si>
  <si>
    <t>Villembray</t>
  </si>
  <si>
    <t>60678</t>
  </si>
  <si>
    <t>Villeneuve-les-Sablons</t>
  </si>
  <si>
    <t>60680</t>
  </si>
  <si>
    <t>Villeneuve-sur-Verberie</t>
  </si>
  <si>
    <t>60681</t>
  </si>
  <si>
    <t>Villers-Saint-Barthélemy</t>
  </si>
  <si>
    <t>60682</t>
  </si>
  <si>
    <t>Villers-Saint-Frambourg-Ognon</t>
  </si>
  <si>
    <t>59267</t>
  </si>
  <si>
    <t>Gonnelieu</t>
  </si>
  <si>
    <t>60683</t>
  </si>
  <si>
    <t>Villers-Saint-Genest</t>
  </si>
  <si>
    <t>60684</t>
  </si>
  <si>
    <t>Villers-Saint-Paul</t>
  </si>
  <si>
    <t>60685</t>
  </si>
  <si>
    <t>Villers-Saint-Sépulcre</t>
  </si>
  <si>
    <t>60686</t>
  </si>
  <si>
    <t>Villers-sous-Saint-Leu</t>
  </si>
  <si>
    <t>60689</t>
  </si>
  <si>
    <t>Villers-sur-Coudun</t>
  </si>
  <si>
    <t>60695</t>
  </si>
  <si>
    <t>Vineuil-Saint-Firmin</t>
  </si>
  <si>
    <t>59274</t>
  </si>
  <si>
    <t>60700</t>
  </si>
  <si>
    <t>La Groise</t>
  </si>
  <si>
    <t>Warluis</t>
  </si>
  <si>
    <t>59275</t>
  </si>
  <si>
    <t>Gruson</t>
  </si>
  <si>
    <t>60701</t>
  </si>
  <si>
    <t>Wavignies</t>
  </si>
  <si>
    <t>60206</t>
  </si>
  <si>
    <t>Élincourt-Sainte-Marguerite</t>
  </si>
  <si>
    <t>59277</t>
  </si>
  <si>
    <t>Gussignies</t>
  </si>
  <si>
    <t>60211</t>
  </si>
  <si>
    <t>Éragny-sur-Epte</t>
  </si>
  <si>
    <t>60225</t>
  </si>
  <si>
    <t>Étouy</t>
  </si>
  <si>
    <t>62001</t>
  </si>
  <si>
    <t>Ablain-Saint-Nazaire</t>
  </si>
  <si>
    <t>Pas-de-Calais</t>
  </si>
  <si>
    <t>62003</t>
  </si>
  <si>
    <t>Acheville</t>
  </si>
  <si>
    <t>62004</t>
  </si>
  <si>
    <t>Achicourt</t>
  </si>
  <si>
    <t>62005</t>
  </si>
  <si>
    <t>59283</t>
  </si>
  <si>
    <t>Hargnies</t>
  </si>
  <si>
    <t>Achiet-le-Grand</t>
  </si>
  <si>
    <t>62006</t>
  </si>
  <si>
    <t>Achiet-le-Petit</t>
  </si>
  <si>
    <t>62007</t>
  </si>
  <si>
    <t>Acq</t>
  </si>
  <si>
    <t>62008</t>
  </si>
  <si>
    <t>Acquin-Westbécourt</t>
  </si>
  <si>
    <t>59287</t>
  </si>
  <si>
    <t>Haucourt-en-Cambrésis</t>
  </si>
  <si>
    <t>62011</t>
  </si>
  <si>
    <t>Agnez-lès-Duisans</t>
  </si>
  <si>
    <t>62013</t>
  </si>
  <si>
    <t>Agny</t>
  </si>
  <si>
    <t>62014</t>
  </si>
  <si>
    <t>Aire-sur-la-Lys</t>
  </si>
  <si>
    <t>62015</t>
  </si>
  <si>
    <t>Airon-Notre-Dame</t>
  </si>
  <si>
    <t>62019</t>
  </si>
  <si>
    <t>Aix-Noulette</t>
  </si>
  <si>
    <t>62023</t>
  </si>
  <si>
    <t>Allouagne</t>
  </si>
  <si>
    <t>62024</t>
  </si>
  <si>
    <t>Alquines</t>
  </si>
  <si>
    <t>59294</t>
  </si>
  <si>
    <t>Haynecourt</t>
  </si>
  <si>
    <t>62025</t>
  </si>
  <si>
    <t>Ambleteuse</t>
  </si>
  <si>
    <t>62029</t>
  </si>
  <si>
    <t>Amettes</t>
  </si>
  <si>
    <t>62031</t>
  </si>
  <si>
    <t>Andres</t>
  </si>
  <si>
    <t>62032</t>
  </si>
  <si>
    <t>Angres</t>
  </si>
  <si>
    <t>62033</t>
  </si>
  <si>
    <t>Annay</t>
  </si>
  <si>
    <t>62034</t>
  </si>
  <si>
    <t>Annequin</t>
  </si>
  <si>
    <t>62035</t>
  </si>
  <si>
    <t>Annezin</t>
  </si>
  <si>
    <t>62036</t>
  </si>
  <si>
    <t>Anvin</t>
  </si>
  <si>
    <t>62037</t>
  </si>
  <si>
    <t>Anzin-Saint-Aubin</t>
  </si>
  <si>
    <t>59304</t>
  </si>
  <si>
    <t>Herrin</t>
  </si>
  <si>
    <t>62038</t>
  </si>
  <si>
    <t>Ardres</t>
  </si>
  <si>
    <t>62039</t>
  </si>
  <si>
    <t>59306</t>
  </si>
  <si>
    <t>Arleux-en-Gohelle</t>
  </si>
  <si>
    <t>Hestrud</t>
  </si>
  <si>
    <t>62040</t>
  </si>
  <si>
    <t>Arques</t>
  </si>
  <si>
    <t>62041</t>
  </si>
  <si>
    <t>Arras</t>
  </si>
  <si>
    <t>62042</t>
  </si>
  <si>
    <t>Athies</t>
  </si>
  <si>
    <t>62044</t>
  </si>
  <si>
    <t>Attin</t>
  </si>
  <si>
    <t>62045</t>
  </si>
  <si>
    <t>Aubigny-en-Artois</t>
  </si>
  <si>
    <t>62046</t>
  </si>
  <si>
    <t>Aubin-Saint-Vaast</t>
  </si>
  <si>
    <t>50 000 hab. et +</t>
  </si>
  <si>
    <t>62048</t>
  </si>
  <si>
    <t>Auchel</t>
  </si>
  <si>
    <t>62049</t>
  </si>
  <si>
    <t>Auchy-au-Bois</t>
  </si>
  <si>
    <t>62051</t>
  </si>
  <si>
    <t>Auchy-les-Mines</t>
  </si>
  <si>
    <t>62050</t>
  </si>
  <si>
    <t>Auchy-lès-Hesdin</t>
  </si>
  <si>
    <t>62053</t>
  </si>
  <si>
    <t>Audincthun</t>
  </si>
  <si>
    <t>62054</t>
  </si>
  <si>
    <t>Audinghen</t>
  </si>
  <si>
    <t>62055</t>
  </si>
  <si>
    <t>Audrehem</t>
  </si>
  <si>
    <t>59321</t>
  </si>
  <si>
    <t>Inchy</t>
  </si>
  <si>
    <t>62056</t>
  </si>
  <si>
    <t>Audresselles</t>
  </si>
  <si>
    <t>62057</t>
  </si>
  <si>
    <t>Audruicq</t>
  </si>
  <si>
    <t>62060</t>
  </si>
  <si>
    <t>Auxi-le-Château</t>
  </si>
  <si>
    <t>62063</t>
  </si>
  <si>
    <t>Avesnes-le-Comte</t>
  </si>
  <si>
    <t>59325</t>
  </si>
  <si>
    <t>Jolimetz</t>
  </si>
  <si>
    <t>62065</t>
  </si>
  <si>
    <t>Avion</t>
  </si>
  <si>
    <t>62073</t>
  </si>
  <si>
    <t>Bailleul-Sir-Berthoult</t>
  </si>
  <si>
    <t>62075</t>
  </si>
  <si>
    <t>Baincthun</t>
  </si>
  <si>
    <t>62078</t>
  </si>
  <si>
    <t>Balinghem</t>
  </si>
  <si>
    <t>62080</t>
  </si>
  <si>
    <t>Bapaume</t>
  </si>
  <si>
    <t>62081</t>
  </si>
  <si>
    <t>Baralle</t>
  </si>
  <si>
    <t>62083</t>
  </si>
  <si>
    <t>Barlin</t>
  </si>
  <si>
    <t>62086</t>
  </si>
  <si>
    <t>Bavincourt</t>
  </si>
  <si>
    <t>62087</t>
  </si>
  <si>
    <t>Bayenghem-lès-Éperlecques</t>
  </si>
  <si>
    <t>62094</t>
  </si>
  <si>
    <t>Beaumerie-Saint-Martin</t>
  </si>
  <si>
    <t>62096</t>
  </si>
  <si>
    <t>Beaumetz-lès-Cambrai</t>
  </si>
  <si>
    <t>62097</t>
  </si>
  <si>
    <t>Beaumetz-lès-Loges</t>
  </si>
  <si>
    <t>62099</t>
  </si>
  <si>
    <t>Beaurains</t>
  </si>
  <si>
    <t>62100</t>
  </si>
  <si>
    <t>Beaurainville</t>
  </si>
  <si>
    <t>62471</t>
  </si>
  <si>
    <t>59341</t>
  </si>
  <si>
    <t>Bellinghem</t>
  </si>
  <si>
    <t>Lesdain</t>
  </si>
  <si>
    <t>62108</t>
  </si>
  <si>
    <t>59342</t>
  </si>
  <si>
    <t>Berck</t>
  </si>
  <si>
    <t>Lez-Fontaine</t>
  </si>
  <si>
    <t>62113</t>
  </si>
  <si>
    <t>Berles-Monchel</t>
  </si>
  <si>
    <t>62115</t>
  </si>
  <si>
    <t>Berneville</t>
  </si>
  <si>
    <t>62117</t>
  </si>
  <si>
    <t>Bertincourt</t>
  </si>
  <si>
    <t>62123</t>
  </si>
  <si>
    <t>Beussent</t>
  </si>
  <si>
    <t>62125</t>
  </si>
  <si>
    <t>Beuvrequen</t>
  </si>
  <si>
    <t>62126</t>
  </si>
  <si>
    <t>Beuvry</t>
  </si>
  <si>
    <t>62128</t>
  </si>
  <si>
    <t>Biache-Saint-Vaast</t>
  </si>
  <si>
    <t>62131</t>
  </si>
  <si>
    <t>Bihucourt</t>
  </si>
  <si>
    <t>62132</t>
  </si>
  <si>
    <t>Billy-Berclau</t>
  </si>
  <si>
    <t>59353</t>
  </si>
  <si>
    <t>Locquignol</t>
  </si>
  <si>
    <t>62133</t>
  </si>
  <si>
    <t>Billy-Montigny</t>
  </si>
  <si>
    <t>62138</t>
  </si>
  <si>
    <t>Blangy-sur-Ternoise</t>
  </si>
  <si>
    <t>62139</t>
  </si>
  <si>
    <t>Blendecques</t>
  </si>
  <si>
    <t>62141</t>
  </si>
  <si>
    <t>Blessy</t>
  </si>
  <si>
    <t>62140</t>
  </si>
  <si>
    <t>Bléquin</t>
  </si>
  <si>
    <t>62146</t>
  </si>
  <si>
    <t>Boiry-Saint-Martin</t>
  </si>
  <si>
    <t>62147</t>
  </si>
  <si>
    <t>Boiry-Sainte-Rictrude</t>
  </si>
  <si>
    <t>62148</t>
  </si>
  <si>
    <t>Bois-Bernard</t>
  </si>
  <si>
    <t>62149</t>
  </si>
  <si>
    <t>59364</t>
  </si>
  <si>
    <t>Boisdinghem</t>
  </si>
  <si>
    <t>Louvil</t>
  </si>
  <si>
    <t>62158</t>
  </si>
  <si>
    <t>Boubers-sur-Canche</t>
  </si>
  <si>
    <t>62661</t>
  </si>
  <si>
    <t>Bouin-Plumoison</t>
  </si>
  <si>
    <t>62160</t>
  </si>
  <si>
    <t>Boulogne-sur-Mer</t>
  </si>
  <si>
    <t>62161</t>
  </si>
  <si>
    <t>Bouquehault</t>
  </si>
  <si>
    <t>62162</t>
  </si>
  <si>
    <t>Bourecq</t>
  </si>
  <si>
    <t>62164</t>
  </si>
  <si>
    <t>Bourlon</t>
  </si>
  <si>
    <t>59372</t>
  </si>
  <si>
    <t>Malincourt</t>
  </si>
  <si>
    <t>62166</t>
  </si>
  <si>
    <t>Bours</t>
  </si>
  <si>
    <t>59374</t>
  </si>
  <si>
    <t>Marbaix</t>
  </si>
  <si>
    <t>62168</t>
  </si>
  <si>
    <t>Bourthes</t>
  </si>
  <si>
    <t>62170</t>
  </si>
  <si>
    <t>Bouvigny-Boyeffles</t>
  </si>
  <si>
    <t>62173</t>
  </si>
  <si>
    <t>Brebières</t>
  </si>
  <si>
    <t>62177</t>
  </si>
  <si>
    <t>Brimeux</t>
  </si>
  <si>
    <t>62178</t>
  </si>
  <si>
    <t>Bruay-la-Buissière</t>
  </si>
  <si>
    <t>62176</t>
  </si>
  <si>
    <t>Bréxent-Énocq</t>
  </si>
  <si>
    <t>62174</t>
  </si>
  <si>
    <t>Brêmes</t>
  </si>
  <si>
    <t>62181</t>
  </si>
  <si>
    <t>Bucquoy</t>
  </si>
  <si>
    <t>62183</t>
  </si>
  <si>
    <t>Buire-le-Sec</t>
  </si>
  <si>
    <t>62186</t>
  </si>
  <si>
    <t>Bully-les-Mines</t>
  </si>
  <si>
    <t>62188</t>
  </si>
  <si>
    <t>Burbure</t>
  </si>
  <si>
    <t>62190</t>
  </si>
  <si>
    <t>Busnes</t>
  </si>
  <si>
    <t>62119</t>
  </si>
  <si>
    <t>Béthune</t>
  </si>
  <si>
    <t>62193</t>
  </si>
  <si>
    <t>Calais</t>
  </si>
  <si>
    <t>62194</t>
  </si>
  <si>
    <t>Calonne-Ricouart</t>
  </si>
  <si>
    <t>62195</t>
  </si>
  <si>
    <t>Calonne-sur-la-Lys</t>
  </si>
  <si>
    <t>62197</t>
  </si>
  <si>
    <t>Camblain-Châtelain</t>
  </si>
  <si>
    <t>62199</t>
  </si>
  <si>
    <t>Camblain-l'Abbé</t>
  </si>
  <si>
    <t>62200</t>
  </si>
  <si>
    <t>Cambrin</t>
  </si>
  <si>
    <t>62201</t>
  </si>
  <si>
    <t>Camiers</t>
  </si>
  <si>
    <t>62202</t>
  </si>
  <si>
    <t>Campagne-lès-Boulonnais</t>
  </si>
  <si>
    <t>62203</t>
  </si>
  <si>
    <t>Campagne-lès-Guines</t>
  </si>
  <si>
    <t>62204</t>
  </si>
  <si>
    <t>Campagne-lès-Hesdin</t>
  </si>
  <si>
    <t>62205</t>
  </si>
  <si>
    <t>Campagne-lès-Wardrecques</t>
  </si>
  <si>
    <t>62207</t>
  </si>
  <si>
    <t>Campigneulles-les-Petites</t>
  </si>
  <si>
    <t>62212</t>
  </si>
  <si>
    <t>Capelle-lès-Hesdin</t>
  </si>
  <si>
    <t>62213</t>
  </si>
  <si>
    <t>Carency</t>
  </si>
  <si>
    <t>62215</t>
  </si>
  <si>
    <t>Carvin</t>
  </si>
  <si>
    <t>62217</t>
  </si>
  <si>
    <t>Cauchy-à-la-Tour</t>
  </si>
  <si>
    <t>62220</t>
  </si>
  <si>
    <t>Cavron-Saint-Martin</t>
  </si>
  <si>
    <t>59405</t>
  </si>
  <si>
    <t>Mœuvres</t>
  </si>
  <si>
    <t>62224</t>
  </si>
  <si>
    <t>Chocques</t>
  </si>
  <si>
    <t>62225</t>
  </si>
  <si>
    <t>Clairmarais</t>
  </si>
  <si>
    <t>62229</t>
  </si>
  <si>
    <t>Cléty</t>
  </si>
  <si>
    <t>62230</t>
  </si>
  <si>
    <t>Colembert</t>
  </si>
  <si>
    <t>62233</t>
  </si>
  <si>
    <t>Conchil-le-Temple</t>
  </si>
  <si>
    <t>62235</t>
  </si>
  <si>
    <t>Condette</t>
  </si>
  <si>
    <t>62236</t>
  </si>
  <si>
    <t>59412</t>
  </si>
  <si>
    <t>Contes</t>
  </si>
  <si>
    <t>Montay</t>
  </si>
  <si>
    <t>62239</t>
  </si>
  <si>
    <t>Coquelles</t>
  </si>
  <si>
    <t>62240</t>
  </si>
  <si>
    <t>Corbehem</t>
  </si>
  <si>
    <t>62244</t>
  </si>
  <si>
    <t>Coulogne</t>
  </si>
  <si>
    <t>59415</t>
  </si>
  <si>
    <t>Montrécourt</t>
  </si>
  <si>
    <t>62245</t>
  </si>
  <si>
    <t>Coulomby</t>
  </si>
  <si>
    <t>62247</t>
  </si>
  <si>
    <t>Coupelle-Vieille</t>
  </si>
  <si>
    <t>62249</t>
  </si>
  <si>
    <t>Courcelles-lès-Lens</t>
  </si>
  <si>
    <t>62250</t>
  </si>
  <si>
    <t>Courrières</t>
  </si>
  <si>
    <t>59420</t>
  </si>
  <si>
    <t>Moustier-en-Fagne</t>
  </si>
  <si>
    <t>62254</t>
  </si>
  <si>
    <t>Coyecques</t>
  </si>
  <si>
    <t>62259</t>
  </si>
  <si>
    <t>Croisilles</t>
  </si>
  <si>
    <t>62255</t>
  </si>
  <si>
    <t>Crémarest</t>
  </si>
  <si>
    <t>62257</t>
  </si>
  <si>
    <t>Créquy</t>
  </si>
  <si>
    <t>62261</t>
  </si>
  <si>
    <t>Cucq</t>
  </si>
  <si>
    <t>59425</t>
  </si>
  <si>
    <t>Neuville-en-Avesnois</t>
  </si>
  <si>
    <t>62262</t>
  </si>
  <si>
    <t>Cuinchy</t>
  </si>
  <si>
    <t>62263</t>
  </si>
  <si>
    <t>Dainville</t>
  </si>
  <si>
    <t>62264</t>
  </si>
  <si>
    <t>Dannes</t>
  </si>
  <si>
    <t>62265</t>
  </si>
  <si>
    <t>Delettes</t>
  </si>
  <si>
    <t>62268</t>
  </si>
  <si>
    <t>Desvres</t>
  </si>
  <si>
    <t>62270</t>
  </si>
  <si>
    <t>Divion</t>
  </si>
  <si>
    <t>62269</t>
  </si>
  <si>
    <t>Diéval</t>
  </si>
  <si>
    <t>59433</t>
  </si>
  <si>
    <t>Nieurlet</t>
  </si>
  <si>
    <t>62273</t>
  </si>
  <si>
    <t>Doudeauville</t>
  </si>
  <si>
    <t>62274</t>
  </si>
  <si>
    <t>Dourges</t>
  </si>
  <si>
    <t>62276</t>
  </si>
  <si>
    <t>Douvrin</t>
  </si>
  <si>
    <t>62277</t>
  </si>
  <si>
    <t>Drocourt</t>
  </si>
  <si>
    <t>59437</t>
  </si>
  <si>
    <t>Noyelles-lès-Seclin</t>
  </si>
  <si>
    <t>62278</t>
  </si>
  <si>
    <t>Drouvin-le-Marais</t>
  </si>
  <si>
    <t>59438</t>
  </si>
  <si>
    <t>Noyelles-sur-Escaut</t>
  </si>
  <si>
    <t>62286</t>
  </si>
  <si>
    <t>Ecquedecques</t>
  </si>
  <si>
    <t>59439</t>
  </si>
  <si>
    <t>62288</t>
  </si>
  <si>
    <t>Noyelles-sur-Sambre</t>
  </si>
  <si>
    <t>Ecques</t>
  </si>
  <si>
    <t>62292</t>
  </si>
  <si>
    <t>Elnes</t>
  </si>
  <si>
    <t>59441</t>
  </si>
  <si>
    <t>Obies</t>
  </si>
  <si>
    <t>62295</t>
  </si>
  <si>
    <t>Enquin-lez-Guinegatte</t>
  </si>
  <si>
    <t>59442</t>
  </si>
  <si>
    <t>Obrechies</t>
  </si>
  <si>
    <t>62296</t>
  </si>
  <si>
    <t>59443</t>
  </si>
  <si>
    <t>Enquin-sur-Baillons</t>
  </si>
  <si>
    <t>Ochtezeele</t>
  </si>
  <si>
    <t>62309</t>
  </si>
  <si>
    <t>Esquerdes</t>
  </si>
  <si>
    <t>62310</t>
  </si>
  <si>
    <t>Essars</t>
  </si>
  <si>
    <t>62311</t>
  </si>
  <si>
    <t>Estevelles</t>
  </si>
  <si>
    <t>62313</t>
  </si>
  <si>
    <t>Estrée-Blanche</t>
  </si>
  <si>
    <t>62323</t>
  </si>
  <si>
    <t>Fampoux</t>
  </si>
  <si>
    <t>62324</t>
  </si>
  <si>
    <t>Farbus</t>
  </si>
  <si>
    <t>59450</t>
  </si>
  <si>
    <t>62325</t>
  </si>
  <si>
    <t>Ors</t>
  </si>
  <si>
    <t>Fauquembergues</t>
  </si>
  <si>
    <t>62328</t>
  </si>
  <si>
    <t>Ferfay</t>
  </si>
  <si>
    <t>62329</t>
  </si>
  <si>
    <t>Ferques</t>
  </si>
  <si>
    <t>62330</t>
  </si>
  <si>
    <t>Festubert</t>
  </si>
  <si>
    <t>62331</t>
  </si>
  <si>
    <t>Feuchy</t>
  </si>
  <si>
    <t>62334</t>
  </si>
  <si>
    <t>Fiennes</t>
  </si>
  <si>
    <t>62335</t>
  </si>
  <si>
    <t>Fillièvres</t>
  </si>
  <si>
    <t>62338</t>
  </si>
  <si>
    <t>Fleurbaix</t>
  </si>
  <si>
    <t>62340</t>
  </si>
  <si>
    <t>Floringhem</t>
  </si>
  <si>
    <t>62341</t>
  </si>
  <si>
    <t>Foncquevillers</t>
  </si>
  <si>
    <t>59461</t>
  </si>
  <si>
    <t>Petit-Fayt</t>
  </si>
  <si>
    <t>62349</t>
  </si>
  <si>
    <t>Fouquereuil</t>
  </si>
  <si>
    <t>62350</t>
  </si>
  <si>
    <t>Fouquières-lès-Béthune</t>
  </si>
  <si>
    <t>62351</t>
  </si>
  <si>
    <t>Fouquières-lès-Lens</t>
  </si>
  <si>
    <t>62354</t>
  </si>
  <si>
    <t>Frencq</t>
  </si>
  <si>
    <t>62355</t>
  </si>
  <si>
    <t>Fresnes-lès-Montauban</t>
  </si>
  <si>
    <t>62356</t>
  </si>
  <si>
    <t>Fresnicourt-le-Dolmen</t>
  </si>
  <si>
    <t>59468</t>
  </si>
  <si>
    <t>Potelle</t>
  </si>
  <si>
    <t>62359</t>
  </si>
  <si>
    <t>Fressin</t>
  </si>
  <si>
    <t>59469</t>
  </si>
  <si>
    <t>Pradelles</t>
  </si>
  <si>
    <t>62364</t>
  </si>
  <si>
    <t>Fruges</t>
  </si>
  <si>
    <t>62360</t>
  </si>
  <si>
    <t>Fréthun</t>
  </si>
  <si>
    <t>62361</t>
  </si>
  <si>
    <t>Frévent</t>
  </si>
  <si>
    <t>59473</t>
  </si>
  <si>
    <t>Preux-au-Sart</t>
  </si>
  <si>
    <t>62366</t>
  </si>
  <si>
    <t>Gauchin-Légal</t>
  </si>
  <si>
    <t>62367</t>
  </si>
  <si>
    <t>Gauchin-Verloingt</t>
  </si>
  <si>
    <t>62369</t>
  </si>
  <si>
    <t>Gavrelle</t>
  </si>
  <si>
    <t>62371</t>
  </si>
  <si>
    <t>Givenchy-en-Gohelle</t>
  </si>
  <si>
    <t>62373</t>
  </si>
  <si>
    <t>Givenchy-lès-la-Bassée</t>
  </si>
  <si>
    <t>62376</t>
  </si>
  <si>
    <t>Gonnehem</t>
  </si>
  <si>
    <t>62377</t>
  </si>
  <si>
    <t>Gosnay</t>
  </si>
  <si>
    <t>62382</t>
  </si>
  <si>
    <t>Gouy-Saint-André</t>
  </si>
  <si>
    <t>62383</t>
  </si>
  <si>
    <t>Gouy-sous-Bellonne</t>
  </si>
  <si>
    <t>59483</t>
  </si>
  <si>
    <t>Quiévelon</t>
  </si>
  <si>
    <t>62384</t>
  </si>
  <si>
    <t>Graincourt-lès-Havrincourt</t>
  </si>
  <si>
    <t>62386</t>
  </si>
  <si>
    <t>Grenay</t>
  </si>
  <si>
    <t>62390</t>
  </si>
  <si>
    <t>Groffliers</t>
  </si>
  <si>
    <t>62387</t>
  </si>
  <si>
    <t>Grévillers</t>
  </si>
  <si>
    <t>62391</t>
  </si>
  <si>
    <t>Guarbecque</t>
  </si>
  <si>
    <t>62393</t>
  </si>
  <si>
    <t>Guemps</t>
  </si>
  <si>
    <t>59490</t>
  </si>
  <si>
    <t>Rainsars</t>
  </si>
  <si>
    <t>62397</t>
  </si>
  <si>
    <t>Guînes</t>
  </si>
  <si>
    <t>62399</t>
  </si>
  <si>
    <t>Habarcq</t>
  </si>
  <si>
    <t>62400</t>
  </si>
  <si>
    <t>Haillicourt</t>
  </si>
  <si>
    <t>62401</t>
  </si>
  <si>
    <t>Haisnes</t>
  </si>
  <si>
    <t>62403</t>
  </si>
  <si>
    <t>Hallines</t>
  </si>
  <si>
    <t>62407</t>
  </si>
  <si>
    <t>Ham-en-Artois</t>
  </si>
  <si>
    <t>59493</t>
  </si>
  <si>
    <t>Ramousies</t>
  </si>
  <si>
    <t>62408</t>
  </si>
  <si>
    <t>Hames-Boucres</t>
  </si>
  <si>
    <t>59494</t>
  </si>
  <si>
    <t>Raucourt-au-Bois</t>
  </si>
  <si>
    <t>62412</t>
  </si>
  <si>
    <t>Hardinghen</t>
  </si>
  <si>
    <t>62413</t>
  </si>
  <si>
    <t>Harnes</t>
  </si>
  <si>
    <t>59496</t>
  </si>
  <si>
    <t>Rejet-de-Beaulieu</t>
  </si>
  <si>
    <t>62414</t>
  </si>
  <si>
    <t>Haucourt</t>
  </si>
  <si>
    <t>62415</t>
  </si>
  <si>
    <t>Haute-Avesnes</t>
  </si>
  <si>
    <t>59498</t>
  </si>
  <si>
    <t>Reumont</t>
  </si>
  <si>
    <t>62423</t>
  </si>
  <si>
    <t>Helfaut</t>
  </si>
  <si>
    <t>62439</t>
  </si>
  <si>
    <t>Hermelinghen</t>
  </si>
  <si>
    <t>62443</t>
  </si>
  <si>
    <t>Hersin-Coupigny</t>
  </si>
  <si>
    <t>62446</t>
  </si>
  <si>
    <t>Hesdigneul-lès-Boulogne</t>
  </si>
  <si>
    <t>62445</t>
  </si>
  <si>
    <t>Hesdigneul-lès-Béthune</t>
  </si>
  <si>
    <t>59503</t>
  </si>
  <si>
    <t>Robersart</t>
  </si>
  <si>
    <t>62448</t>
  </si>
  <si>
    <t>Hesdin-l'Abbé</t>
  </si>
  <si>
    <t>62447</t>
  </si>
  <si>
    <t>Hesdin-la-Forêt</t>
  </si>
  <si>
    <t>62451</t>
  </si>
  <si>
    <t>Heuchin</t>
  </si>
  <si>
    <t>62452</t>
  </si>
  <si>
    <t>Heuringhem</t>
  </si>
  <si>
    <t>62454</t>
  </si>
  <si>
    <t>Hinges</t>
  </si>
  <si>
    <t>62457</t>
  </si>
  <si>
    <t>Houdain</t>
  </si>
  <si>
    <t>62458</t>
  </si>
  <si>
    <t>Houlle</t>
  </si>
  <si>
    <t>62464</t>
  </si>
  <si>
    <t>Hulluch</t>
  </si>
  <si>
    <t>59513</t>
  </si>
  <si>
    <t>62422</t>
  </si>
  <si>
    <t>Roucourt</t>
  </si>
  <si>
    <t>Hébuterne</t>
  </si>
  <si>
    <t>62427</t>
  </si>
  <si>
    <t>Hénin-Beaumont</t>
  </si>
  <si>
    <t>62428</t>
  </si>
  <si>
    <t>Hénin-sur-Cojeul</t>
  </si>
  <si>
    <t>62469</t>
  </si>
  <si>
    <t>Inchy-en-Artois</t>
  </si>
  <si>
    <t>62473</t>
  </si>
  <si>
    <t>Isbergues</t>
  </si>
  <si>
    <t>62474</t>
  </si>
  <si>
    <t>Isques</t>
  </si>
  <si>
    <t>62475</t>
  </si>
  <si>
    <t>Ivergny</t>
  </si>
  <si>
    <t>62908</t>
  </si>
  <si>
    <t>La Capelle-lès-Boulogne</t>
  </si>
  <si>
    <t>62232</t>
  </si>
  <si>
    <t>La Comté</t>
  </si>
  <si>
    <t>62252</t>
  </si>
  <si>
    <t>La Couture</t>
  </si>
  <si>
    <t>62479</t>
  </si>
  <si>
    <t>Labeuvrière</t>
  </si>
  <si>
    <t>62480</t>
  </si>
  <si>
    <t>Labourse</t>
  </si>
  <si>
    <t>62481</t>
  </si>
  <si>
    <t>Labroye</t>
  </si>
  <si>
    <t>62485</t>
  </si>
  <si>
    <t>Laires</t>
  </si>
  <si>
    <t>62486</t>
  </si>
  <si>
    <t>Lambres-lez-Aire</t>
  </si>
  <si>
    <t>59529</t>
  </si>
  <si>
    <t>62487</t>
  </si>
  <si>
    <t>Landrethun-le-Nord</t>
  </si>
  <si>
    <t>59530</t>
  </si>
  <si>
    <t>Saint-Aybert</t>
  </si>
  <si>
    <t>62488</t>
  </si>
  <si>
    <t>Landrethun-lès-Ardres</t>
  </si>
  <si>
    <t>62489</t>
  </si>
  <si>
    <t>Lapugnoy</t>
  </si>
  <si>
    <t>59532</t>
  </si>
  <si>
    <t>Saint-Georges-sur-l'Aa</t>
  </si>
  <si>
    <t>62491</t>
  </si>
  <si>
    <t>Laventie</t>
  </si>
  <si>
    <t>62647</t>
  </si>
  <si>
    <t>Le Parcq</t>
  </si>
  <si>
    <t>62665</t>
  </si>
  <si>
    <t>Le Ponchel</t>
  </si>
  <si>
    <t>62667</t>
  </si>
  <si>
    <t>Le Portel</t>
  </si>
  <si>
    <t>62802</t>
  </si>
  <si>
    <t>Le Souich</t>
  </si>
  <si>
    <t>59538</t>
  </si>
  <si>
    <t>62826</t>
  </si>
  <si>
    <t>Saint-Momelin</t>
  </si>
  <si>
    <t>Le Touquet-Paris-Plage</t>
  </si>
  <si>
    <t>62880</t>
  </si>
  <si>
    <t>Le Wast</t>
  </si>
  <si>
    <t>62497</t>
  </si>
  <si>
    <t>Leforest</t>
  </si>
  <si>
    <t>62498</t>
  </si>
  <si>
    <t>Lens</t>
  </si>
  <si>
    <t>62043</t>
  </si>
  <si>
    <t>Les Attaques</t>
  </si>
  <si>
    <t>62502</t>
  </si>
  <si>
    <t>Lestrem</t>
  </si>
  <si>
    <t>62907</t>
  </si>
  <si>
    <t>Libercourt</t>
  </si>
  <si>
    <t>62506</t>
  </si>
  <si>
    <t>Licques</t>
  </si>
  <si>
    <t>59549</t>
  </si>
  <si>
    <t>62509</t>
  </si>
  <si>
    <t>Liettres</t>
  </si>
  <si>
    <t>Salesches</t>
  </si>
  <si>
    <t>62516</t>
  </si>
  <si>
    <t>Lillers</t>
  </si>
  <si>
    <t>62519</t>
  </si>
  <si>
    <t>Lisbourg</t>
  </si>
  <si>
    <t>59552</t>
  </si>
  <si>
    <t>Sancourt</t>
  </si>
  <si>
    <t>62508</t>
  </si>
  <si>
    <t>Lières</t>
  </si>
  <si>
    <t>62510</t>
  </si>
  <si>
    <t>Liévin</t>
  </si>
  <si>
    <t>62520</t>
  </si>
  <si>
    <t>Locon</t>
  </si>
  <si>
    <t>59556</t>
  </si>
  <si>
    <t>Sassegnies</t>
  </si>
  <si>
    <t>62523</t>
  </si>
  <si>
    <t>Loison-sous-Lens</t>
  </si>
  <si>
    <t>62524</t>
  </si>
  <si>
    <t>Longfossé</t>
  </si>
  <si>
    <t>62525</t>
  </si>
  <si>
    <t>Longuenesse</t>
  </si>
  <si>
    <t>62528</t>
  </si>
  <si>
    <t>Loos-en-Gohelle</t>
  </si>
  <si>
    <t>62529</t>
  </si>
  <si>
    <t>Lorgies</t>
  </si>
  <si>
    <t>59563</t>
  </si>
  <si>
    <t>Semousies</t>
  </si>
  <si>
    <t>62531</t>
  </si>
  <si>
    <t>Louches</t>
  </si>
  <si>
    <t>62532</t>
  </si>
  <si>
    <t>Lozinghem</t>
  </si>
  <si>
    <t>62534</t>
  </si>
  <si>
    <t>Lumbres</t>
  </si>
  <si>
    <t>59567</t>
  </si>
  <si>
    <t>Séranvillers-Forenville</t>
  </si>
  <si>
    <t>62536</t>
  </si>
  <si>
    <t>Magnicourt-en-Comte</t>
  </si>
  <si>
    <t>59568</t>
  </si>
  <si>
    <t>Sercus</t>
  </si>
  <si>
    <t>62540</t>
  </si>
  <si>
    <t>Maisnil-lès-Ruitz</t>
  </si>
  <si>
    <t>62543</t>
  </si>
  <si>
    <t>Mametz</t>
  </si>
  <si>
    <t>62548</t>
  </si>
  <si>
    <t>Marck</t>
  </si>
  <si>
    <t>62550</t>
  </si>
  <si>
    <t>Marconnelle</t>
  </si>
  <si>
    <t>59573</t>
  </si>
  <si>
    <t>Solrinnes</t>
  </si>
  <si>
    <t>62552</t>
  </si>
  <si>
    <t>Maresquel-Ecquemicourt</t>
  </si>
  <si>
    <t>62555</t>
  </si>
  <si>
    <t>59575</t>
  </si>
  <si>
    <t>Sommaing</t>
  </si>
  <si>
    <t>Marles-les-Mines</t>
  </si>
  <si>
    <t>62556</t>
  </si>
  <si>
    <t>Marles-sur-Canche</t>
  </si>
  <si>
    <t>62559</t>
  </si>
  <si>
    <t>Marquion</t>
  </si>
  <si>
    <t>62560</t>
  </si>
  <si>
    <t>Marquise</t>
  </si>
  <si>
    <t>62557</t>
  </si>
  <si>
    <t>Marœuil</t>
  </si>
  <si>
    <t>62563</t>
  </si>
  <si>
    <t>Mazingarbe</t>
  </si>
  <si>
    <t>62564</t>
  </si>
  <si>
    <t>Mazinghem</t>
  </si>
  <si>
    <t>62567</t>
  </si>
  <si>
    <t>Mentque-Nortbécourt</t>
  </si>
  <si>
    <t>62568</t>
  </si>
  <si>
    <t>Mercatel</t>
  </si>
  <si>
    <t>62569</t>
  </si>
  <si>
    <t>Merck-Saint-Liévin</t>
  </si>
  <si>
    <t>62571</t>
  </si>
  <si>
    <t>Merlimont</t>
  </si>
  <si>
    <t>59587</t>
  </si>
  <si>
    <t>Terdeghem</t>
  </si>
  <si>
    <t>62572</t>
  </si>
  <si>
    <t>Metz-en-Couture</t>
  </si>
  <si>
    <t>62573</t>
  </si>
  <si>
    <t>Meurchin</t>
  </si>
  <si>
    <t>Nom_EPCI</t>
  </si>
  <si>
    <t>62580</t>
  </si>
  <si>
    <t>Monchy-Breton</t>
  </si>
  <si>
    <t>59590</t>
  </si>
  <si>
    <t>Thiennes</t>
  </si>
  <si>
    <t>62582</t>
  </si>
  <si>
    <t>Monchy-le-Preux</t>
  </si>
  <si>
    <t>59591</t>
  </si>
  <si>
    <t>Thivencelle</t>
  </si>
  <si>
    <t>62584</t>
  </si>
  <si>
    <t>Mont-Bernanchon</t>
  </si>
  <si>
    <t>62589</t>
  </si>
  <si>
    <t>Mont-Saint-Éloi</t>
  </si>
  <si>
    <t>62585</t>
  </si>
  <si>
    <t>Montcavrel</t>
  </si>
  <si>
    <t>62587</t>
  </si>
  <si>
    <t>Montigny-en-Gohelle</t>
  </si>
  <si>
    <t>62588</t>
  </si>
  <si>
    <t>Montreuil-sur-Mer</t>
  </si>
  <si>
    <t>59596</t>
  </si>
  <si>
    <t>Tilloy-lez-Marchiennes</t>
  </si>
  <si>
    <t>62592</t>
  </si>
  <si>
    <t>Moringhem</t>
  </si>
  <si>
    <t>59597</t>
  </si>
  <si>
    <t>62595</t>
  </si>
  <si>
    <t>Tilloy-lez-Cambrai</t>
  </si>
  <si>
    <t>Moulle</t>
  </si>
  <si>
    <t>62598</t>
  </si>
  <si>
    <t>Muncq-Nieurlet</t>
  </si>
  <si>
    <t>62570</t>
  </si>
  <si>
    <t>Méricourt</t>
  </si>
  <si>
    <t>62603</t>
  </si>
  <si>
    <t>Nesles</t>
  </si>
  <si>
    <t>62604</t>
  </si>
  <si>
    <t>Neufchâtel-Hardelot</t>
  </si>
  <si>
    <t>62606</t>
  </si>
  <si>
    <t>Neuve-Chapelle</t>
  </si>
  <si>
    <t>62609</t>
  </si>
  <si>
    <t>Neuville-Saint-Vaast</t>
  </si>
  <si>
    <t>62610</t>
  </si>
  <si>
    <t>Neuville-sous-Montreuil</t>
  </si>
  <si>
    <t>62614</t>
  </si>
  <si>
    <t>Nielles-lès-Ardres</t>
  </si>
  <si>
    <t>62613</t>
  </si>
  <si>
    <t>Nielles-lès-Bléquin</t>
  </si>
  <si>
    <t>62618</t>
  </si>
  <si>
    <t>59607</t>
  </si>
  <si>
    <t>Nordausques</t>
  </si>
  <si>
    <t>Vendegies-au-Bois</t>
  </si>
  <si>
    <t>62620</t>
  </si>
  <si>
    <t>Norrent-Fontes</t>
  </si>
  <si>
    <t>62621</t>
  </si>
  <si>
    <t>Nortkerque</t>
  </si>
  <si>
    <t>62624</t>
  </si>
  <si>
    <t>Noyelles-Godault</t>
  </si>
  <si>
    <t>62626</t>
  </si>
  <si>
    <t>Noyelles-lès-Vermelles</t>
  </si>
  <si>
    <t>62627</t>
  </si>
  <si>
    <t>Noyelles-sous-Bellonne</t>
  </si>
  <si>
    <t>62628</t>
  </si>
  <si>
    <t>Noyelles-sous-Lens</t>
  </si>
  <si>
    <t>62617</t>
  </si>
  <si>
    <t>Nœux-les-Mines</t>
  </si>
  <si>
    <t>62634</t>
  </si>
  <si>
    <t>Offekerque</t>
  </si>
  <si>
    <t>62637</t>
  </si>
  <si>
    <t>Oignies</t>
  </si>
  <si>
    <t>62638</t>
  </si>
  <si>
    <t>Oisy-le-Verger</t>
  </si>
  <si>
    <t>62642</t>
  </si>
  <si>
    <t>Ourton</t>
  </si>
  <si>
    <t>62643</t>
  </si>
  <si>
    <t>Outreau</t>
  </si>
  <si>
    <t>62644</t>
  </si>
  <si>
    <t>Ouve-Wirquin</t>
  </si>
  <si>
    <t>62645</t>
  </si>
  <si>
    <t>Oye-Plage</t>
  </si>
  <si>
    <t>62646</t>
  </si>
  <si>
    <t>Palluel</t>
  </si>
  <si>
    <t>62648</t>
  </si>
  <si>
    <t>Parenty</t>
  </si>
  <si>
    <t>62649</t>
  </si>
  <si>
    <t>Pas-en-Artois</t>
  </si>
  <si>
    <t>59619</t>
  </si>
  <si>
    <t>62650</t>
  </si>
  <si>
    <t>Villereau</t>
  </si>
  <si>
    <t>Pelves</t>
  </si>
  <si>
    <t>59620</t>
  </si>
  <si>
    <t>Villers-au-Tertre</t>
  </si>
  <si>
    <t>62652</t>
  </si>
  <si>
    <t>Pernes</t>
  </si>
  <si>
    <t>62653</t>
  </si>
  <si>
    <t>Pernes-lès-Boulogne</t>
  </si>
  <si>
    <t>62656</t>
  </si>
  <si>
    <t>Pihem</t>
  </si>
  <si>
    <t>62662</t>
  </si>
  <si>
    <t>Polincove</t>
  </si>
  <si>
    <t>62663</t>
  </si>
  <si>
    <t>Pommera</t>
  </si>
  <si>
    <t>62666</t>
  </si>
  <si>
    <t>Pont-à-Vendin</t>
  </si>
  <si>
    <t>62670</t>
  </si>
  <si>
    <t>Preures</t>
  </si>
  <si>
    <t>62672</t>
  </si>
  <si>
    <t>Puisieux</t>
  </si>
  <si>
    <t>62675</t>
  </si>
  <si>
    <t>Quercamps</t>
  </si>
  <si>
    <t>62678</t>
  </si>
  <si>
    <t>Quesques</t>
  </si>
  <si>
    <t>62681</t>
  </si>
  <si>
    <t>Quiestède</t>
  </si>
  <si>
    <t>62680</t>
  </si>
  <si>
    <t>Quiéry-la-Motte</t>
  </si>
  <si>
    <t>62673</t>
  </si>
  <si>
    <t>Quéant</t>
  </si>
  <si>
    <t>62684</t>
  </si>
  <si>
    <t>Racquinghem</t>
  </si>
  <si>
    <t>62686</t>
  </si>
  <si>
    <t>Ramecourt</t>
  </si>
  <si>
    <t>62688</t>
  </si>
  <si>
    <t>Rang-du-Fliers</t>
  </si>
  <si>
    <t>62693</t>
  </si>
  <si>
    <t>Rebreuve-Ranchicourt</t>
  </si>
  <si>
    <t>62699</t>
  </si>
  <si>
    <t>Recques-sur-Hem</t>
  </si>
  <si>
    <t>62701</t>
  </si>
  <si>
    <t>Rely</t>
  </si>
  <si>
    <t>62705</t>
  </si>
  <si>
    <t>Rety</t>
  </si>
  <si>
    <t>62706</t>
  </si>
  <si>
    <t>Richebourg</t>
  </si>
  <si>
    <t>62709</t>
  </si>
  <si>
    <t>Riencourt-lès-Cagnicourt</t>
  </si>
  <si>
    <t>62711</t>
  </si>
  <si>
    <t>Rinxent</t>
  </si>
  <si>
    <t>62712</t>
  </si>
  <si>
    <t>Rivière</t>
  </si>
  <si>
    <t>62713</t>
  </si>
  <si>
    <t>Robecq</t>
  </si>
  <si>
    <t>62714</t>
  </si>
  <si>
    <t>Roclincourt</t>
  </si>
  <si>
    <t>62715</t>
  </si>
  <si>
    <t>62721</t>
  </si>
  <si>
    <t>Roquetoire</t>
  </si>
  <si>
    <t>62724</t>
  </si>
  <si>
    <t>62727</t>
  </si>
  <si>
    <t>Ruitz</t>
  </si>
  <si>
    <t>62728</t>
  </si>
  <si>
    <t>Rumaucourt</t>
  </si>
  <si>
    <t>62730</t>
  </si>
  <si>
    <t>Ruminghem</t>
  </si>
  <si>
    <t>62697</t>
  </si>
  <si>
    <t>Récourt</t>
  </si>
  <si>
    <t>62718</t>
  </si>
  <si>
    <t>Rœux</t>
  </si>
  <si>
    <t>62735</t>
  </si>
  <si>
    <t>Sailly-Labourse</t>
  </si>
  <si>
    <t>62733</t>
  </si>
  <si>
    <t>Sailly-au-Bois</t>
  </si>
  <si>
    <t>62734</t>
  </si>
  <si>
    <t>Sailly-en-Ostrevent</t>
  </si>
  <si>
    <t>62736</t>
  </si>
  <si>
    <t>Sailly-sur-la-Lys</t>
  </si>
  <si>
    <t>62737</t>
  </si>
  <si>
    <t>Sains-en-Gohelle</t>
  </si>
  <si>
    <t>62691</t>
  </si>
  <si>
    <t>Saint-Augustin</t>
  </si>
  <si>
    <t>62748</t>
  </si>
  <si>
    <t>Saint-Folquin</t>
  </si>
  <si>
    <t>62751</t>
  </si>
  <si>
    <t>Saint-Inglevert</t>
  </si>
  <si>
    <t>62752</t>
  </si>
  <si>
    <t>Saint-Josse</t>
  </si>
  <si>
    <t>62753</t>
  </si>
  <si>
    <t>Saint-Laurent-Blangy</t>
  </si>
  <si>
    <t>62754</t>
  </si>
  <si>
    <t>Saint-Léger</t>
  </si>
  <si>
    <t>62755</t>
  </si>
  <si>
    <t>Saint-Léonard</t>
  </si>
  <si>
    <t>62758</t>
  </si>
  <si>
    <t>Saint-Martin-Boulogne</t>
  </si>
  <si>
    <t>62757</t>
  </si>
  <si>
    <t>Saint-Martin-lez-Tatinghem</t>
  </si>
  <si>
    <t>62763</t>
  </si>
  <si>
    <t>Saint-Michel-sur-Ternoise</t>
  </si>
  <si>
    <t>62764</t>
  </si>
  <si>
    <t>Saint-Nicolas</t>
  </si>
  <si>
    <t>62765</t>
  </si>
  <si>
    <t>Saint-Omer</t>
  </si>
  <si>
    <t>62766</t>
  </si>
  <si>
    <t>Saint-Omer-Capelle</t>
  </si>
  <si>
    <t>62767</t>
  </si>
  <si>
    <t>Saint-Pol-sur-Ternoise</t>
  </si>
  <si>
    <t>62769</t>
  </si>
  <si>
    <t>Saint-Tricat</t>
  </si>
  <si>
    <t>62770</t>
  </si>
  <si>
    <t>Saint-Venant</t>
  </si>
  <si>
    <t>62746</t>
  </si>
  <si>
    <t>Saint-Étienne-au-Mont</t>
  </si>
  <si>
    <t>62744</t>
  </si>
  <si>
    <t>Sainte-Catherine</t>
  </si>
  <si>
    <t>62756</t>
  </si>
  <si>
    <t>Sainte-Marie-Kerque</t>
  </si>
  <si>
    <t>62771</t>
  </si>
  <si>
    <t>Sallaumines</t>
  </si>
  <si>
    <t>62772</t>
  </si>
  <si>
    <t>Salperwick</t>
  </si>
  <si>
    <t>62773</t>
  </si>
  <si>
    <t>Samer</t>
  </si>
  <si>
    <t>62774</t>
  </si>
  <si>
    <t>Sangatte</t>
  </si>
  <si>
    <t>62782</t>
  </si>
  <si>
    <t>Saudemont</t>
  </si>
  <si>
    <t>62785</t>
  </si>
  <si>
    <t>Savy-Berlette</t>
  </si>
  <si>
    <t>62788</t>
  </si>
  <si>
    <t>Seninghem</t>
  </si>
  <si>
    <t>62792</t>
  </si>
  <si>
    <t>Serques</t>
  </si>
  <si>
    <t>62794</t>
  </si>
  <si>
    <t>Setques</t>
  </si>
  <si>
    <t>62796</t>
  </si>
  <si>
    <t>Simencourt</t>
  </si>
  <si>
    <t>62799</t>
  </si>
  <si>
    <t>Sorrus</t>
  </si>
  <si>
    <t>62801</t>
  </si>
  <si>
    <t>Souchez</t>
  </si>
  <si>
    <t>62803</t>
  </si>
  <si>
    <t>Surques</t>
  </si>
  <si>
    <t>62804</t>
  </si>
  <si>
    <t>Sus-Saint-Léger</t>
  </si>
  <si>
    <t>62808</t>
  </si>
  <si>
    <t>Teneur</t>
  </si>
  <si>
    <t>62812</t>
  </si>
  <si>
    <t>Thiembronne</t>
  </si>
  <si>
    <t>62810</t>
  </si>
  <si>
    <t>Thélus</t>
  </si>
  <si>
    <t>62811</t>
  </si>
  <si>
    <t>Thérouanne</t>
  </si>
  <si>
    <t>62817</t>
  </si>
  <si>
    <t>Tilloy-lès-Mofflaines</t>
  </si>
  <si>
    <t>62819</t>
  </si>
  <si>
    <t>Tilques</t>
  </si>
  <si>
    <t>62820</t>
  </si>
  <si>
    <t>Tincques</t>
  </si>
  <si>
    <t>62827</t>
  </si>
  <si>
    <t>Tournehem-sur-la-Hem</t>
  </si>
  <si>
    <t>62830</t>
  </si>
  <si>
    <t>Trescault</t>
  </si>
  <si>
    <t>62836</t>
  </si>
  <si>
    <t>Vaudricourt</t>
  </si>
  <si>
    <t>62837</t>
  </si>
  <si>
    <t>Vaudringhem</t>
  </si>
  <si>
    <t>62839</t>
  </si>
  <si>
    <t>Vaulx-Vraucourt</t>
  </si>
  <si>
    <t>62842</t>
  </si>
  <si>
    <t>Vendin-le-Vieil</t>
  </si>
  <si>
    <t>62841</t>
  </si>
  <si>
    <t>Vendin-lès-Béthune</t>
  </si>
  <si>
    <t>62846</t>
  </si>
  <si>
    <t>Vermelles</t>
  </si>
  <si>
    <t>62847</t>
  </si>
  <si>
    <t>Verquigneul</t>
  </si>
  <si>
    <t>62848</t>
  </si>
  <si>
    <t>Verquin</t>
  </si>
  <si>
    <t>62849</t>
  </si>
  <si>
    <t>Verton</t>
  </si>
  <si>
    <t>62853</t>
  </si>
  <si>
    <t>Vieil-Moutier</t>
  </si>
  <si>
    <t>62851</t>
  </si>
  <si>
    <t>Vieille-Chapelle</t>
  </si>
  <si>
    <t>62852</t>
  </si>
  <si>
    <t>Vieille-Église</t>
  </si>
  <si>
    <t>62861</t>
  </si>
  <si>
    <t>Vimy</t>
  </si>
  <si>
    <t>62863</t>
  </si>
  <si>
    <t>Violaines</t>
  </si>
  <si>
    <t>62865</t>
  </si>
  <si>
    <t>Vitry-en-Artois</t>
  </si>
  <si>
    <t>62866</t>
  </si>
  <si>
    <t>Waben</t>
  </si>
  <si>
    <t>62868</t>
  </si>
  <si>
    <t>Wail</t>
  </si>
  <si>
    <t>62869</t>
  </si>
  <si>
    <t>Wailly</t>
  </si>
  <si>
    <t>62870</t>
  </si>
  <si>
    <t>Wailly-Beaucamp</t>
  </si>
  <si>
    <t>62873</t>
  </si>
  <si>
    <t>Wancourt</t>
  </si>
  <si>
    <t>62875</t>
  </si>
  <si>
    <t>Wardrecques</t>
  </si>
  <si>
    <t>62882</t>
  </si>
  <si>
    <t>Wavrans-sur-l'Aa</t>
  </si>
  <si>
    <t>62892</t>
  </si>
  <si>
    <t>Willerval</t>
  </si>
  <si>
    <t>62893</t>
  </si>
  <si>
    <t>Wimereux</t>
  </si>
  <si>
    <t>62894</t>
  </si>
  <si>
    <t>Wimille</t>
  </si>
  <si>
    <t>62895</t>
  </si>
  <si>
    <t>Wingles</t>
  </si>
  <si>
    <t>62896</t>
  </si>
  <si>
    <t>Wirwignes</t>
  </si>
  <si>
    <t>62897</t>
  </si>
  <si>
    <t>Wismes</t>
  </si>
  <si>
    <t>59633</t>
  </si>
  <si>
    <t>62899</t>
  </si>
  <si>
    <t>Wallers-en-Fagne</t>
  </si>
  <si>
    <t>Wissant</t>
  </si>
  <si>
    <t>62900</t>
  </si>
  <si>
    <t>Witternesse</t>
  </si>
  <si>
    <t>62901</t>
  </si>
  <si>
    <t>Wittes</t>
  </si>
  <si>
    <t>62902</t>
  </si>
  <si>
    <t>Wizernes</t>
  </si>
  <si>
    <t>62904</t>
  </si>
  <si>
    <t>Zouafques</t>
  </si>
  <si>
    <t>62905</t>
  </si>
  <si>
    <t>Zudausques</t>
  </si>
  <si>
    <t>62906</t>
  </si>
  <si>
    <t>Zutkerque</t>
  </si>
  <si>
    <t>62284</t>
  </si>
  <si>
    <t>Écourt-Saint-Quentin</t>
  </si>
  <si>
    <t>59642</t>
  </si>
  <si>
    <t>Warlaing</t>
  </si>
  <si>
    <t>62285</t>
  </si>
  <si>
    <t>Écoust-Saint-Mein</t>
  </si>
  <si>
    <t>59643</t>
  </si>
  <si>
    <t>Warneton</t>
  </si>
  <si>
    <t>62291</t>
  </si>
  <si>
    <t>Éleu-dit-Leauwette</t>
  </si>
  <si>
    <t>62297</t>
  </si>
  <si>
    <t>Éperlecques</t>
  </si>
  <si>
    <t>62298</t>
  </si>
  <si>
    <t>Épinoy</t>
  </si>
  <si>
    <t>62300</t>
  </si>
  <si>
    <t>Équihen-Plage</t>
  </si>
  <si>
    <t>62318</t>
  </si>
  <si>
    <t>Étaples</t>
  </si>
  <si>
    <t>62321</t>
  </si>
  <si>
    <t>Évin-Malmaison</t>
  </si>
  <si>
    <t>59649</t>
  </si>
  <si>
    <t>80001</t>
  </si>
  <si>
    <t>Wattignies-la-Victoire</t>
  </si>
  <si>
    <t>Abbeville</t>
  </si>
  <si>
    <t>Somme</t>
  </si>
  <si>
    <t>80008</t>
  </si>
  <si>
    <t>Aigneville</t>
  </si>
  <si>
    <t>80009</t>
  </si>
  <si>
    <t>Ailly-le-Haut-Clocher</t>
  </si>
  <si>
    <t>59652</t>
  </si>
  <si>
    <t>80010</t>
  </si>
  <si>
    <t>Wavrechain-sous-Faulx</t>
  </si>
  <si>
    <t>Ailly-sur-Noye</t>
  </si>
  <si>
    <t>80011</t>
  </si>
  <si>
    <t>Ailly-sur-Somme</t>
  </si>
  <si>
    <t>80013</t>
  </si>
  <si>
    <t>Airaines</t>
  </si>
  <si>
    <t>59655</t>
  </si>
  <si>
    <t>Wemaers-Cappel</t>
  </si>
  <si>
    <t>80016</t>
  </si>
  <si>
    <t>Albert</t>
  </si>
  <si>
    <t>80019</t>
  </si>
  <si>
    <t>Allery</t>
  </si>
  <si>
    <t>80021</t>
  </si>
  <si>
    <t>Amiens</t>
  </si>
  <si>
    <t>80025</t>
  </si>
  <si>
    <t>Argoules</t>
  </si>
  <si>
    <t>80029</t>
  </si>
  <si>
    <t>Arrest</t>
  </si>
  <si>
    <t>80031</t>
  </si>
  <si>
    <t>Arvillers</t>
  </si>
  <si>
    <t>59661</t>
  </si>
  <si>
    <t>Willies</t>
  </si>
  <si>
    <t>80034</t>
  </si>
  <si>
    <t>80036</t>
  </si>
  <si>
    <t>Aubigny</t>
  </si>
  <si>
    <t>80039</t>
  </si>
  <si>
    <t>Ault</t>
  </si>
  <si>
    <t>59664</t>
  </si>
  <si>
    <t>80062</t>
  </si>
  <si>
    <t>Wulverdinghe</t>
  </si>
  <si>
    <t>Beaucamps-le-Vieux</t>
  </si>
  <si>
    <t>59665</t>
  </si>
  <si>
    <t>Wylder</t>
  </si>
  <si>
    <t>80063</t>
  </si>
  <si>
    <t>Beauchamps</t>
  </si>
  <si>
    <t>59667</t>
  </si>
  <si>
    <t>Zermezeele</t>
  </si>
  <si>
    <t>Taux_pauvrete</t>
  </si>
  <si>
    <t>80066</t>
  </si>
  <si>
    <t>Beaucourt-sur-l'Hallue</t>
  </si>
  <si>
    <t>80070</t>
  </si>
  <si>
    <t>Beauquesne</t>
  </si>
  <si>
    <t>59669</t>
  </si>
  <si>
    <t>Zuytpeene</t>
  </si>
  <si>
    <t>80071</t>
  </si>
  <si>
    <t>Beauval</t>
  </si>
  <si>
    <t>80079</t>
  </si>
  <si>
    <t>Belleuse</t>
  </si>
  <si>
    <t>80082</t>
  </si>
  <si>
    <t>Belloy-sur-Somme</t>
  </si>
  <si>
    <t>80086</t>
  </si>
  <si>
    <t>Bernaville</t>
  </si>
  <si>
    <t>60003</t>
  </si>
  <si>
    <t>80088</t>
  </si>
  <si>
    <t>Abbeville-Saint-Lucien</t>
  </si>
  <si>
    <t>Bernes</t>
  </si>
  <si>
    <t>80093</t>
  </si>
  <si>
    <t>Berteaucourt-les-Dames</t>
  </si>
  <si>
    <t>60004</t>
  </si>
  <si>
    <t>Achy</t>
  </si>
  <si>
    <t>80101</t>
  </si>
  <si>
    <t>Beuvraignes</t>
  </si>
  <si>
    <t>80102</t>
  </si>
  <si>
    <t>Biaches</t>
  </si>
  <si>
    <t>80105</t>
  </si>
  <si>
    <t>Billancourt</t>
  </si>
  <si>
    <t>80107</t>
  </si>
  <si>
    <t>Blangy-Tronville</t>
  </si>
  <si>
    <t>80112</t>
  </si>
  <si>
    <t>Bonnay</t>
  </si>
  <si>
    <t>80119</t>
  </si>
  <si>
    <t>Bougainville</t>
  </si>
  <si>
    <t>80120</t>
  </si>
  <si>
    <t>Bouillancourt-en-Séry</t>
  </si>
  <si>
    <t>80122</t>
  </si>
  <si>
    <t>Bouquemaison</t>
  </si>
  <si>
    <t>80124</t>
  </si>
  <si>
    <t>Bourseville</t>
  </si>
  <si>
    <t>80126</t>
  </si>
  <si>
    <t>Bouttencourt</t>
  </si>
  <si>
    <t>80127</t>
  </si>
  <si>
    <t>Bouvaincourt-sur-Bresle</t>
  </si>
  <si>
    <t>80130</t>
  </si>
  <si>
    <t>Bovelles</t>
  </si>
  <si>
    <t>80131</t>
  </si>
  <si>
    <t>Boves</t>
  </si>
  <si>
    <t>60014</t>
  </si>
  <si>
    <t>Angivillers</t>
  </si>
  <si>
    <t>80136</t>
  </si>
  <si>
    <t>Bray-sur-Somme</t>
  </si>
  <si>
    <t>Moyenne simple</t>
  </si>
  <si>
    <t>80137</t>
  </si>
  <si>
    <t>Breilly</t>
  </si>
  <si>
    <t>80142</t>
  </si>
  <si>
    <t>Briquemesnil-Floxicourt</t>
  </si>
  <si>
    <t>60016</t>
  </si>
  <si>
    <t>Ansacq</t>
  </si>
  <si>
    <t>80144</t>
  </si>
  <si>
    <t>Brouchy</t>
  </si>
  <si>
    <t>60019</t>
  </si>
  <si>
    <t>Antheuil-Portes</t>
  </si>
  <si>
    <t>60020</t>
  </si>
  <si>
    <t>Antilly</t>
  </si>
  <si>
    <t>80149</t>
  </si>
  <si>
    <t>Buigny-Saint-Maclou</t>
  </si>
  <si>
    <t>60023</t>
  </si>
  <si>
    <t>Armancourt</t>
  </si>
  <si>
    <t>Moyenne pondérée</t>
  </si>
  <si>
    <t>80155</t>
  </si>
  <si>
    <t>Bussus-lès-Yaucourt</t>
  </si>
  <si>
    <t>80076</t>
  </si>
  <si>
    <t>Béhen</t>
  </si>
  <si>
    <t>60026</t>
  </si>
  <si>
    <t>Auchy-la-Montagne</t>
  </si>
  <si>
    <t>80096</t>
  </si>
  <si>
    <t>Béthencourt-sur-Mer</t>
  </si>
  <si>
    <t>60028</t>
  </si>
  <si>
    <t>Aumont-en-Halatte</t>
  </si>
  <si>
    <t>80160</t>
  </si>
  <si>
    <t>Cagny</t>
  </si>
  <si>
    <t>80162</t>
  </si>
  <si>
    <t>Caix</t>
  </si>
  <si>
    <t>80164</t>
  </si>
  <si>
    <t>Camon</t>
  </si>
  <si>
    <t>60031</t>
  </si>
  <si>
    <t>Autheuil-en-Valois</t>
  </si>
  <si>
    <t>80166</t>
  </si>
  <si>
    <t>Canaples</t>
  </si>
  <si>
    <t>80167</t>
  </si>
  <si>
    <t>Canchy</t>
  </si>
  <si>
    <t>80168</t>
  </si>
  <si>
    <t>Candas</t>
  </si>
  <si>
    <t>80172</t>
  </si>
  <si>
    <t>Cappy</t>
  </si>
  <si>
    <t>80177</t>
  </si>
  <si>
    <t>Cartigny</t>
  </si>
  <si>
    <t>80182</t>
  </si>
  <si>
    <t>Cayeux-sur-Mer</t>
  </si>
  <si>
    <t>60035</t>
  </si>
  <si>
    <t>Avricourt</t>
  </si>
  <si>
    <t>80184</t>
  </si>
  <si>
    <t>Cerisy</t>
  </si>
  <si>
    <t>80186</t>
  </si>
  <si>
    <t>Chaulnes</t>
  </si>
  <si>
    <t>60039</t>
  </si>
  <si>
    <t>Bacouël</t>
  </si>
  <si>
    <t>80190</t>
  </si>
  <si>
    <t>Chépy</t>
  </si>
  <si>
    <t>80199</t>
  </si>
  <si>
    <t>Cléry-sur-Somme</t>
  </si>
  <si>
    <t>80204</t>
  </si>
  <si>
    <t>Combles</t>
  </si>
  <si>
    <t>80205</t>
  </si>
  <si>
    <t>Condé-Folie</t>
  </si>
  <si>
    <t>60045</t>
  </si>
  <si>
    <t>80211</t>
  </si>
  <si>
    <t>Conty</t>
  </si>
  <si>
    <t>Barbery</t>
  </si>
  <si>
    <t>80212</t>
  </si>
  <si>
    <t>60046</t>
  </si>
  <si>
    <t>Corbie</t>
  </si>
  <si>
    <t>Bargny</t>
  </si>
  <si>
    <t>80221</t>
  </si>
  <si>
    <t>Cramont</t>
  </si>
  <si>
    <t>60048</t>
  </si>
  <si>
    <t>80226</t>
  </si>
  <si>
    <t>Croix-Moligneaux</t>
  </si>
  <si>
    <t>Baugy</t>
  </si>
  <si>
    <t>80229</t>
  </si>
  <si>
    <t>60049</t>
  </si>
  <si>
    <t>Bazancourt</t>
  </si>
  <si>
    <t>Crouy-Saint-Pierre</t>
  </si>
  <si>
    <t>80222</t>
  </si>
  <si>
    <t>Crécy-en-Ponthieu</t>
  </si>
  <si>
    <t>80234</t>
  </si>
  <si>
    <t>Daours</t>
  </si>
  <si>
    <t>60051</t>
  </si>
  <si>
    <t>Beaudéduit</t>
  </si>
  <si>
    <t>80235</t>
  </si>
  <si>
    <t>Dargnies</t>
  </si>
  <si>
    <t>60052</t>
  </si>
  <si>
    <t>80236</t>
  </si>
  <si>
    <t>Davenescourt</t>
  </si>
  <si>
    <t>Beaugies-sous-Bois</t>
  </si>
  <si>
    <t>80238</t>
  </si>
  <si>
    <t>60054</t>
  </si>
  <si>
    <t>Dernancourt</t>
  </si>
  <si>
    <t>Beaumont-les-Nonains</t>
  </si>
  <si>
    <t>80240</t>
  </si>
  <si>
    <t>Doingt</t>
  </si>
  <si>
    <t>60056</t>
  </si>
  <si>
    <t>Beaurepaire</t>
  </si>
  <si>
    <t>80241</t>
  </si>
  <si>
    <t>Domart-en-Ponthieu</t>
  </si>
  <si>
    <t>80245</t>
  </si>
  <si>
    <t>Domléger-Longvillers</t>
  </si>
  <si>
    <t>60058</t>
  </si>
  <si>
    <t>Beauvoir</t>
  </si>
  <si>
    <t>80247</t>
  </si>
  <si>
    <t>60059</t>
  </si>
  <si>
    <t>Dompierre-Becquincourt</t>
  </si>
  <si>
    <t>Béhéricourt</t>
  </si>
  <si>
    <t>80248</t>
  </si>
  <si>
    <t>Dompierre-sur-Authie</t>
  </si>
  <si>
    <t>80250</t>
  </si>
  <si>
    <t>Domvast</t>
  </si>
  <si>
    <t>60061</t>
  </si>
  <si>
    <t>Belloy</t>
  </si>
  <si>
    <t>80253</t>
  </si>
  <si>
    <t>Doullens</t>
  </si>
  <si>
    <t>60062</t>
  </si>
  <si>
    <t>80256</t>
  </si>
  <si>
    <t>Dreuil-lès-Amiens</t>
  </si>
  <si>
    <t>80260</t>
  </si>
  <si>
    <t>Drucat</t>
  </si>
  <si>
    <t>80261</t>
  </si>
  <si>
    <t>80237</t>
  </si>
  <si>
    <t>Démuin</t>
  </si>
  <si>
    <t>60066</t>
  </si>
  <si>
    <t>Béthancourt-en-Valois</t>
  </si>
  <si>
    <t>80265</t>
  </si>
  <si>
    <t>Embreville</t>
  </si>
  <si>
    <t>80274</t>
  </si>
  <si>
    <t>Eppeville</t>
  </si>
  <si>
    <t>80284</t>
  </si>
  <si>
    <t>Esmery-Hallon</t>
  </si>
  <si>
    <t>80288</t>
  </si>
  <si>
    <t>Estrées-Deniécourt</t>
  </si>
  <si>
    <t>60070</t>
  </si>
  <si>
    <t>Bienville</t>
  </si>
  <si>
    <t>80557</t>
  </si>
  <si>
    <t>Estrées-Mons</t>
  </si>
  <si>
    <t>60071</t>
  </si>
  <si>
    <t>Biermont</t>
  </si>
  <si>
    <t>80303</t>
  </si>
  <si>
    <t>Favières</t>
  </si>
  <si>
    <t>60072</t>
  </si>
  <si>
    <t>Bitry</t>
  </si>
  <si>
    <t>60075</t>
  </si>
  <si>
    <t>Blancfossé</t>
  </si>
  <si>
    <t>60076</t>
  </si>
  <si>
    <t>Blargies</t>
  </si>
  <si>
    <t>60077</t>
  </si>
  <si>
    <t>Blicourt</t>
  </si>
  <si>
    <t>60078</t>
  </si>
  <si>
    <t>Blincourt</t>
  </si>
  <si>
    <t>80308</t>
  </si>
  <si>
    <t>Feuquières-en-Vimeu</t>
  </si>
  <si>
    <t>60081</t>
  </si>
  <si>
    <t>80566</t>
  </si>
  <si>
    <t>Bonlier</t>
  </si>
  <si>
    <t>Fieffes-Montrelet</t>
  </si>
  <si>
    <t>80310</t>
  </si>
  <si>
    <t>Fienvillers</t>
  </si>
  <si>
    <t>60082</t>
  </si>
  <si>
    <t>Bonneuil-les-Eaux</t>
  </si>
  <si>
    <t>80315</t>
  </si>
  <si>
    <t>Flers-sur-Noye</t>
  </si>
  <si>
    <t>80316</t>
  </si>
  <si>
    <t>Flesselles</t>
  </si>
  <si>
    <t>60085</t>
  </si>
  <si>
    <t>Bonvillers</t>
  </si>
  <si>
    <t>80318</t>
  </si>
  <si>
    <t>Flixecourt</t>
  </si>
  <si>
    <t>80322</t>
  </si>
  <si>
    <t>Fonches-Fonchette</t>
  </si>
  <si>
    <t>60087</t>
  </si>
  <si>
    <t>80328</t>
  </si>
  <si>
    <t>Fontaine-sur-Somme</t>
  </si>
  <si>
    <t>Borest</t>
  </si>
  <si>
    <t>80331</t>
  </si>
  <si>
    <t>Forest-l'Abbaye</t>
  </si>
  <si>
    <t>60089</t>
  </si>
  <si>
    <t>80333</t>
  </si>
  <si>
    <t>Boubiers</t>
  </si>
  <si>
    <t>Fort-Mahon-Plage</t>
  </si>
  <si>
    <t>80338</t>
  </si>
  <si>
    <t>Fouilloy</t>
  </si>
  <si>
    <t>80342</t>
  </si>
  <si>
    <t>60091</t>
  </si>
  <si>
    <t>Framerville-Rainecourt</t>
  </si>
  <si>
    <t>Bouillancy</t>
  </si>
  <si>
    <t>80360</t>
  </si>
  <si>
    <t>60092</t>
  </si>
  <si>
    <t>Fressenneville</t>
  </si>
  <si>
    <t>Boullarre</t>
  </si>
  <si>
    <t>80364</t>
  </si>
  <si>
    <t>Friaucourt</t>
  </si>
  <si>
    <t>60093</t>
  </si>
  <si>
    <t>Boulogne-la-Grasse</t>
  </si>
  <si>
    <t>80367</t>
  </si>
  <si>
    <t>Frise</t>
  </si>
  <si>
    <t>60094</t>
  </si>
  <si>
    <t>Boursonne</t>
  </si>
  <si>
    <t>80368</t>
  </si>
  <si>
    <t>Friville-Escarbotin</t>
  </si>
  <si>
    <t>80373</t>
  </si>
  <si>
    <t>Gamaches</t>
  </si>
  <si>
    <t>60097</t>
  </si>
  <si>
    <t>80376</t>
  </si>
  <si>
    <t>Boutencourt</t>
  </si>
  <si>
    <t>Gentelles</t>
  </si>
  <si>
    <t>60098</t>
  </si>
  <si>
    <t>80385</t>
  </si>
  <si>
    <t>Bouvresse</t>
  </si>
  <si>
    <t>Grand-Laviers</t>
  </si>
  <si>
    <t>60099</t>
  </si>
  <si>
    <t>Braisnes-sur-Aronde</t>
  </si>
  <si>
    <t>80395</t>
  </si>
  <si>
    <t>Guerbigny</t>
  </si>
  <si>
    <t>60100</t>
  </si>
  <si>
    <t>Brasseuse</t>
  </si>
  <si>
    <t>80400</t>
  </si>
  <si>
    <t>Guillaucourt</t>
  </si>
  <si>
    <t>80377</t>
  </si>
  <si>
    <t>Gézaincourt</t>
  </si>
  <si>
    <t>80406</t>
  </si>
  <si>
    <t>Hallencourt</t>
  </si>
  <si>
    <t>80410</t>
  </si>
  <si>
    <t>Ham</t>
  </si>
  <si>
    <t>80412</t>
  </si>
  <si>
    <t>Hamelet</t>
  </si>
  <si>
    <t>80415</t>
  </si>
  <si>
    <t>Hangest-en-Santerre</t>
  </si>
  <si>
    <t>80416</t>
  </si>
  <si>
    <t>Hangest-sur-Somme</t>
  </si>
  <si>
    <t>60108</t>
  </si>
  <si>
    <t>Briot</t>
  </si>
  <si>
    <t>80417</t>
  </si>
  <si>
    <t>Harbonnières</t>
  </si>
  <si>
    <t>80421</t>
  </si>
  <si>
    <t>Hattencourt</t>
  </si>
  <si>
    <t>60110</t>
  </si>
  <si>
    <t>Broquiers</t>
  </si>
  <si>
    <t>80422</t>
  </si>
  <si>
    <t>60111</t>
  </si>
  <si>
    <t>Hautvillers-Ouville</t>
  </si>
  <si>
    <t>Broyes</t>
  </si>
  <si>
    <t>80423</t>
  </si>
  <si>
    <t>Havernas</t>
  </si>
  <si>
    <t>60113</t>
  </si>
  <si>
    <t>80436</t>
  </si>
  <si>
    <t>Bucamps</t>
  </si>
  <si>
    <t>Hescamps</t>
  </si>
  <si>
    <t>60114</t>
  </si>
  <si>
    <t>Buicourt</t>
  </si>
  <si>
    <t>80438</t>
  </si>
  <si>
    <t>Heudicourt</t>
  </si>
  <si>
    <t>80442</t>
  </si>
  <si>
    <t>Hombleux</t>
  </si>
  <si>
    <t>80443</t>
  </si>
  <si>
    <t>Hornoy-le-Bourg</t>
  </si>
  <si>
    <t>60117</t>
  </si>
  <si>
    <t>Bussy</t>
  </si>
  <si>
    <t>80444</t>
  </si>
  <si>
    <t>Huchenneville</t>
  </si>
  <si>
    <t>60118</t>
  </si>
  <si>
    <t>Caisnes</t>
  </si>
  <si>
    <t>80446</t>
  </si>
  <si>
    <t>Huppy</t>
  </si>
  <si>
    <t>80621</t>
  </si>
  <si>
    <t>Hypercourt</t>
  </si>
  <si>
    <t>80431</t>
  </si>
  <si>
    <t>Hérissart</t>
  </si>
  <si>
    <t>80296</t>
  </si>
  <si>
    <t>L'Étoile</t>
  </si>
  <si>
    <t>80187</t>
  </si>
  <si>
    <t>La Chaussée-Tirancourt</t>
  </si>
  <si>
    <t>60121</t>
  </si>
  <si>
    <t>Campagne</t>
  </si>
  <si>
    <t>80299</t>
  </si>
  <si>
    <t>La Faloise</t>
  </si>
  <si>
    <t>80593</t>
  </si>
  <si>
    <t>La Neuville-lès-Bray</t>
  </si>
  <si>
    <t>80456</t>
  </si>
  <si>
    <t>60123</t>
  </si>
  <si>
    <t>Lafresguimont-Saint-Martin</t>
  </si>
  <si>
    <t>Campremy</t>
  </si>
  <si>
    <t>60124</t>
  </si>
  <si>
    <t>Candor</t>
  </si>
  <si>
    <t>80463</t>
  </si>
  <si>
    <t>Lamotte-Warfusée</t>
  </si>
  <si>
    <t>80464</t>
  </si>
  <si>
    <t>Lanchères</t>
  </si>
  <si>
    <t>60126</t>
  </si>
  <si>
    <t>Cannectancourt</t>
  </si>
  <si>
    <t>80109</t>
  </si>
  <si>
    <t>Le Boisle</t>
  </si>
  <si>
    <t>60127</t>
  </si>
  <si>
    <t>Canny-sur-Matz</t>
  </si>
  <si>
    <t>80228</t>
  </si>
  <si>
    <t>Le Crotoy</t>
  </si>
  <si>
    <t>60128</t>
  </si>
  <si>
    <t>Canny-sur-Thérain</t>
  </si>
  <si>
    <t>80411</t>
  </si>
  <si>
    <t>80628</t>
  </si>
  <si>
    <t>Le Plessier-Rozainvillers</t>
  </si>
  <si>
    <t>80651</t>
  </si>
  <si>
    <t>Le Quesne</t>
  </si>
  <si>
    <t>60131</t>
  </si>
  <si>
    <t>Catheux</t>
  </si>
  <si>
    <t>80652</t>
  </si>
  <si>
    <t>Le Quesnel</t>
  </si>
  <si>
    <t>60132</t>
  </si>
  <si>
    <t>Catigny</t>
  </si>
  <si>
    <t>80473</t>
  </si>
  <si>
    <t>Liancourt-Fosse</t>
  </si>
  <si>
    <t>80474</t>
  </si>
  <si>
    <t>Licourt</t>
  </si>
  <si>
    <t>80476</t>
  </si>
  <si>
    <t>Liercourt</t>
  </si>
  <si>
    <t>80481</t>
  </si>
  <si>
    <t>Lihons</t>
  </si>
  <si>
    <t>80484</t>
  </si>
  <si>
    <t>Liomer</t>
  </si>
  <si>
    <t>60137</t>
  </si>
  <si>
    <t>Cernoy</t>
  </si>
  <si>
    <t>80475</t>
  </si>
  <si>
    <t>Liéramont</t>
  </si>
  <si>
    <t>80486</t>
  </si>
  <si>
    <t>Long</t>
  </si>
  <si>
    <t>80488</t>
  </si>
  <si>
    <t>Longpré-les-Corps-Saints</t>
  </si>
  <si>
    <t>80489</t>
  </si>
  <si>
    <t>Longueau</t>
  </si>
  <si>
    <t>80497</t>
  </si>
  <si>
    <t>Machy</t>
  </si>
  <si>
    <t>80498</t>
  </si>
  <si>
    <t>Mailly-Maillet</t>
  </si>
  <si>
    <t>80507</t>
  </si>
  <si>
    <t>Marcelcave</t>
  </si>
  <si>
    <t>80512</t>
  </si>
  <si>
    <t>Mareuil-Caubert</t>
  </si>
  <si>
    <t>80533</t>
  </si>
  <si>
    <t>Mers-les-Bains</t>
  </si>
  <si>
    <t>60144</t>
  </si>
  <si>
    <t>Chavençon</t>
  </si>
  <si>
    <t>80542</t>
  </si>
  <si>
    <t>Mesnil-Saint-Nicaise</t>
  </si>
  <si>
    <t>80546</t>
  </si>
  <si>
    <t>Miannay</t>
  </si>
  <si>
    <t>80552</t>
  </si>
  <si>
    <t>Moislains</t>
  </si>
  <si>
    <t>80554</t>
  </si>
  <si>
    <t>Molliens-Dreuil</t>
  </si>
  <si>
    <t>60148</t>
  </si>
  <si>
    <t>Chèvreville</t>
  </si>
  <si>
    <t>80553</t>
  </si>
  <si>
    <t>Molliens-au-Bois</t>
  </si>
  <si>
    <t>80555</t>
  </si>
  <si>
    <t>Monchy-Lagache</t>
  </si>
  <si>
    <t>80556</t>
  </si>
  <si>
    <t>Mons-Boubert</t>
  </si>
  <si>
    <t>80558</t>
  </si>
  <si>
    <t>Monsures</t>
  </si>
  <si>
    <t>80561</t>
  </si>
  <si>
    <t>Montdidier</t>
  </si>
  <si>
    <t>60152</t>
  </si>
  <si>
    <t>80568</t>
  </si>
  <si>
    <t>Morchain</t>
  </si>
  <si>
    <t>Choisy-la-Victoire</t>
  </si>
  <si>
    <t>80570</t>
  </si>
  <si>
    <t>Moreuil</t>
  </si>
  <si>
    <t>60153</t>
  </si>
  <si>
    <t>Choqueuse-les-Bénards</t>
  </si>
  <si>
    <t>80572</t>
  </si>
  <si>
    <t>Morlancourt</t>
  </si>
  <si>
    <t>80573</t>
  </si>
  <si>
    <t>Morvillers-Saint-Saturnin</t>
  </si>
  <si>
    <t>80578</t>
  </si>
  <si>
    <t>80579</t>
  </si>
  <si>
    <t>Muille-Villette</t>
  </si>
  <si>
    <t>80523</t>
  </si>
  <si>
    <t>Méaulte</t>
  </si>
  <si>
    <t>80524</t>
  </si>
  <si>
    <t>Méharicourt</t>
  </si>
  <si>
    <t>80530</t>
  </si>
  <si>
    <t>Méricourt-l'Abbé</t>
  </si>
  <si>
    <t>60158</t>
  </si>
  <si>
    <t>80582</t>
  </si>
  <si>
    <t>Coivrel</t>
  </si>
  <si>
    <t>Namps-Maisnil</t>
  </si>
  <si>
    <t>80584</t>
  </si>
  <si>
    <t>Naours</t>
  </si>
  <si>
    <t>80585</t>
  </si>
  <si>
    <t>Nesle</t>
  </si>
  <si>
    <t>60160</t>
  </si>
  <si>
    <t>Conchy-les-Pots</t>
  </si>
  <si>
    <t>80590</t>
  </si>
  <si>
    <t>Neuilly-l'Hôpital</t>
  </si>
  <si>
    <t>60161</t>
  </si>
  <si>
    <t>Conteville</t>
  </si>
  <si>
    <t>80592</t>
  </si>
  <si>
    <t>Neuville-Coppegueule</t>
  </si>
  <si>
    <t>60162</t>
  </si>
  <si>
    <t>80596</t>
  </si>
  <si>
    <t>Corbeil-Cerf</t>
  </si>
  <si>
    <t>80598</t>
  </si>
  <si>
    <t>Nouvion</t>
  </si>
  <si>
    <t>80600</t>
  </si>
  <si>
    <t>Noyelles-sur-Mer</t>
  </si>
  <si>
    <t>60165</t>
  </si>
  <si>
    <t>80601</t>
  </si>
  <si>
    <t>Le Coudray-sur-Thelle</t>
  </si>
  <si>
    <t>Nurlu</t>
  </si>
  <si>
    <t>80606</t>
  </si>
  <si>
    <t>Oisemont</t>
  </si>
  <si>
    <t>80611</t>
  </si>
  <si>
    <t>Oresmaux</t>
  </si>
  <si>
    <t>60168</t>
  </si>
  <si>
    <t>80618</t>
  </si>
  <si>
    <t>Courcelles-Epayelles</t>
  </si>
  <si>
    <t>Pendé</t>
  </si>
  <si>
    <t>80619</t>
  </si>
  <si>
    <t>Pernois</t>
  </si>
  <si>
    <t>80622</t>
  </si>
  <si>
    <t>Picquigny</t>
  </si>
  <si>
    <t>60171</t>
  </si>
  <si>
    <t>80627</t>
  </si>
  <si>
    <t>Plachy-Buyon</t>
  </si>
  <si>
    <t>Courtieux</t>
  </si>
  <si>
    <t>80630</t>
  </si>
  <si>
    <t>Poix-de-Picardie</t>
  </si>
  <si>
    <t>80635</t>
  </si>
  <si>
    <t>Pont-Remy</t>
  </si>
  <si>
    <t>80632</t>
  </si>
  <si>
    <t>Pont-de-Metz</t>
  </si>
  <si>
    <t>80639</t>
  </si>
  <si>
    <t>Poulainville</t>
  </si>
  <si>
    <t>80644</t>
  </si>
  <si>
    <t>Proyart</t>
  </si>
  <si>
    <t>80645</t>
  </si>
  <si>
    <t>Puchevillers</t>
  </si>
  <si>
    <t>80620</t>
  </si>
  <si>
    <t>Péronne</t>
  </si>
  <si>
    <t>60177</t>
  </si>
  <si>
    <t>Cressonsacq</t>
  </si>
  <si>
    <t>80649</t>
  </si>
  <si>
    <t>Quend</t>
  </si>
  <si>
    <t>80654</t>
  </si>
  <si>
    <t>Quesnoy-le-Montant</t>
  </si>
  <si>
    <t>60179</t>
  </si>
  <si>
    <t>80655</t>
  </si>
  <si>
    <t>Crèvecœur-le-Petit</t>
  </si>
  <si>
    <t>Quesnoy-sur-Airaines</t>
  </si>
  <si>
    <t>80656</t>
  </si>
  <si>
    <t>Quevauvillers</t>
  </si>
  <si>
    <t>80659</t>
  </si>
  <si>
    <t>Raincheval</t>
  </si>
  <si>
    <t>80661</t>
  </si>
  <si>
    <t>60182</t>
  </si>
  <si>
    <t>Le Crocq</t>
  </si>
  <si>
    <t>Rainneville</t>
  </si>
  <si>
    <t>60183</t>
  </si>
  <si>
    <t>80669</t>
  </si>
  <si>
    <t>Rethonvillers</t>
  </si>
  <si>
    <t>Croissy-sur-Celle</t>
  </si>
  <si>
    <t>80672</t>
  </si>
  <si>
    <t>Ribemont-sur-Ancre</t>
  </si>
  <si>
    <t>60184</t>
  </si>
  <si>
    <t>Croutoy</t>
  </si>
  <si>
    <t>80674</t>
  </si>
  <si>
    <t>Rivery</t>
  </si>
  <si>
    <t>80677</t>
  </si>
  <si>
    <t>Roisel</t>
  </si>
  <si>
    <t>60186</t>
  </si>
  <si>
    <t>Cuignières</t>
  </si>
  <si>
    <t>80678</t>
  </si>
  <si>
    <t>Rollot</t>
  </si>
  <si>
    <t>80679</t>
  </si>
  <si>
    <t>Ronssoy</t>
  </si>
  <si>
    <t>80680</t>
  </si>
  <si>
    <t>Rosières-en-Santerre</t>
  </si>
  <si>
    <t>80685</t>
  </si>
  <si>
    <t>Roye</t>
  </si>
  <si>
    <t>80686</t>
  </si>
  <si>
    <t>Rubempré</t>
  </si>
  <si>
    <t>80688</t>
  </si>
  <si>
    <t>Rue</t>
  </si>
  <si>
    <t>60192</t>
  </si>
  <si>
    <t>80690</t>
  </si>
  <si>
    <t>Cuy</t>
  </si>
  <si>
    <t>Rumigny</t>
  </si>
  <si>
    <t>60193</t>
  </si>
  <si>
    <t>80692</t>
  </si>
  <si>
    <t>Daméraucourt</t>
  </si>
  <si>
    <t>Sailly-Flibeaucourt</t>
  </si>
  <si>
    <t>80695</t>
  </si>
  <si>
    <t>Sailly-Saillisel</t>
  </si>
  <si>
    <t>80696</t>
  </si>
  <si>
    <t>60195</t>
  </si>
  <si>
    <t>Sains-en-Amiénois</t>
  </si>
  <si>
    <t>Delincourt</t>
  </si>
  <si>
    <t>80702</t>
  </si>
  <si>
    <t>Saint-Fuscien</t>
  </si>
  <si>
    <t>80706</t>
  </si>
  <si>
    <t>Saint-Léger-lès-Domart</t>
  </si>
  <si>
    <t>80711</t>
  </si>
  <si>
    <t>Saint-Ouen</t>
  </si>
  <si>
    <t>80713</t>
  </si>
  <si>
    <t>Saint-Quentin-en-Tourmont</t>
  </si>
  <si>
    <t>80714</t>
  </si>
  <si>
    <t>60199</t>
  </si>
  <si>
    <t>Saint-Quentin-la-Motte-Croix-au-Bailly</t>
  </si>
  <si>
    <t>Doméliers</t>
  </si>
  <si>
    <t>80716</t>
  </si>
  <si>
    <t>Saint-Riquier</t>
  </si>
  <si>
    <t>80717</t>
  </si>
  <si>
    <t>Saint-Sauflieu</t>
  </si>
  <si>
    <t>80718</t>
  </si>
  <si>
    <t>80722</t>
  </si>
  <si>
    <t>60203</t>
  </si>
  <si>
    <t>Saint-Vaast-en-Chaussée</t>
  </si>
  <si>
    <t>Duvy</t>
  </si>
  <si>
    <t>80721</t>
  </si>
  <si>
    <t>Saint-Valery-sur-Somme</t>
  </si>
  <si>
    <t>60204</t>
  </si>
  <si>
    <t>Écuvilly</t>
  </si>
  <si>
    <t>80724</t>
  </si>
  <si>
    <t>Saleux</t>
  </si>
  <si>
    <t>60205</t>
  </si>
  <si>
    <t>Élencourt</t>
  </si>
  <si>
    <t>80725</t>
  </si>
  <si>
    <t>Salouël</t>
  </si>
  <si>
    <t>80730</t>
  </si>
  <si>
    <t>Saveuse</t>
  </si>
  <si>
    <t>60207</t>
  </si>
  <si>
    <t>Éméville</t>
  </si>
  <si>
    <t>80746</t>
  </si>
  <si>
    <t>60208</t>
  </si>
  <si>
    <t>Talmas</t>
  </si>
  <si>
    <t>Énencourt-Léage</t>
  </si>
  <si>
    <t>80751</t>
  </si>
  <si>
    <t>Thennes</t>
  </si>
  <si>
    <t>80754</t>
  </si>
  <si>
    <t>Thieulloy-l'Abbaye</t>
  </si>
  <si>
    <t>60210</t>
  </si>
  <si>
    <t>80759</t>
  </si>
  <si>
    <t>Épineuse</t>
  </si>
  <si>
    <t>Tilloloy</t>
  </si>
  <si>
    <t>80762</t>
  </si>
  <si>
    <t>Tincourt-Boucly</t>
  </si>
  <si>
    <t>80765</t>
  </si>
  <si>
    <t>Tours-en-Vimeu</t>
  </si>
  <si>
    <t>80625</t>
  </si>
  <si>
    <t>Trois-Rivières</t>
  </si>
  <si>
    <t>60214</t>
  </si>
  <si>
    <t>80770</t>
  </si>
  <si>
    <t>Ernemont-Boutavent</t>
  </si>
  <si>
    <t>Tully</t>
  </si>
  <si>
    <t>60215</t>
  </si>
  <si>
    <t>80779</t>
  </si>
  <si>
    <t>Erquery</t>
  </si>
  <si>
    <t>Vauchelles-les-Quesnoy</t>
  </si>
  <si>
    <t>80780</t>
  </si>
  <si>
    <t>60216</t>
  </si>
  <si>
    <t>Erquinvillers</t>
  </si>
  <si>
    <t>80785</t>
  </si>
  <si>
    <t>Vecquemont</t>
  </si>
  <si>
    <t>60217</t>
  </si>
  <si>
    <t>Escames</t>
  </si>
  <si>
    <t>80791</t>
  </si>
  <si>
    <t>Vers-sur-Selle</t>
  </si>
  <si>
    <t>80793</t>
  </si>
  <si>
    <t>Vignacourt</t>
  </si>
  <si>
    <t>80795</t>
  </si>
  <si>
    <t>Ville-le-Marclet</t>
  </si>
  <si>
    <t>60219</t>
  </si>
  <si>
    <t>Escles-Saint-Pierre</t>
  </si>
  <si>
    <t>80807</t>
  </si>
  <si>
    <t>Ville-sur-Ancre</t>
  </si>
  <si>
    <t>60220</t>
  </si>
  <si>
    <t>80798</t>
  </si>
  <si>
    <t>Villers-Bocage</t>
  </si>
  <si>
    <t>Espaubourg</t>
  </si>
  <si>
    <t>80799</t>
  </si>
  <si>
    <t>Villers-Bretonneux</t>
  </si>
  <si>
    <t>80802</t>
  </si>
  <si>
    <t>Villers-Faucon</t>
  </si>
  <si>
    <t>80811</t>
  </si>
  <si>
    <t>Voyennes</t>
  </si>
  <si>
    <t>80815</t>
  </si>
  <si>
    <t>Vron</t>
  </si>
  <si>
    <t>80826</t>
  </si>
  <si>
    <t>Woignarue</t>
  </si>
  <si>
    <t>60224</t>
  </si>
  <si>
    <t>Étavigny</t>
  </si>
  <si>
    <t>80827</t>
  </si>
  <si>
    <t>Woincourt</t>
  </si>
  <si>
    <t>80834</t>
  </si>
  <si>
    <t>Yzengremer</t>
  </si>
  <si>
    <t>60226</t>
  </si>
  <si>
    <t>Ève</t>
  </si>
  <si>
    <t>80268</t>
  </si>
  <si>
    <t>Épagne-Épagnette</t>
  </si>
  <si>
    <t>60227</t>
  </si>
  <si>
    <t>80271</t>
  </si>
  <si>
    <t>Évricourt</t>
  </si>
  <si>
    <t>Épehy</t>
  </si>
  <si>
    <t>60228</t>
  </si>
  <si>
    <t>80282</t>
  </si>
  <si>
    <t>Fay-les-Étangs</t>
  </si>
  <si>
    <t>Érondelle</t>
  </si>
  <si>
    <t>60229</t>
  </si>
  <si>
    <t>80295</t>
  </si>
  <si>
    <t>Étinehem-Méricourt</t>
  </si>
  <si>
    <t>Le Fayel</t>
  </si>
  <si>
    <t>60231</t>
  </si>
  <si>
    <t>Feigneux</t>
  </si>
  <si>
    <t>60232</t>
  </si>
  <si>
    <t>Ferrières</t>
  </si>
  <si>
    <t>60236</t>
  </si>
  <si>
    <t>Flavy-le-Meldeux</t>
  </si>
  <si>
    <t>60237</t>
  </si>
  <si>
    <t>Fléchy</t>
  </si>
  <si>
    <t>60241</t>
  </si>
  <si>
    <t>Fontaine-Chaalis</t>
  </si>
  <si>
    <t>60242</t>
  </si>
  <si>
    <t>Fontaine-Lavaganne</t>
  </si>
  <si>
    <t>60243</t>
  </si>
  <si>
    <t>Fontaine-Saint-Lucien</t>
  </si>
  <si>
    <t>60244</t>
  </si>
  <si>
    <t>Fontenay-Torcy</t>
  </si>
  <si>
    <t>60247</t>
  </si>
  <si>
    <t>Fouilleuse</t>
  </si>
  <si>
    <t>60248</t>
  </si>
  <si>
    <t>60249</t>
  </si>
  <si>
    <t>Foulangues</t>
  </si>
  <si>
    <t>60250</t>
  </si>
  <si>
    <t>Fouquenies</t>
  </si>
  <si>
    <t>60251</t>
  </si>
  <si>
    <t>Fouquerolles</t>
  </si>
  <si>
    <t>60252</t>
  </si>
  <si>
    <t>Fournival</t>
  </si>
  <si>
    <t xml:space="preserve">taux de pauvreté </t>
  </si>
  <si>
    <t>nb de territoire</t>
  </si>
  <si>
    <t>60254</t>
  </si>
  <si>
    <t>Francières</t>
  </si>
  <si>
    <t>Superficie en km</t>
  </si>
  <si>
    <t>60255</t>
  </si>
  <si>
    <t>Fréniches</t>
  </si>
  <si>
    <t>population 2023</t>
  </si>
  <si>
    <t>niveau de vie médian</t>
  </si>
  <si>
    <t>l'évolution de la population en %</t>
  </si>
  <si>
    <t xml:space="preserve">Nombre de personnes pauvres </t>
  </si>
  <si>
    <t xml:space="preserve"> </t>
  </si>
  <si>
    <t>60258</t>
  </si>
  <si>
    <t>Fresnières</t>
  </si>
  <si>
    <t>60262</t>
  </si>
  <si>
    <t>Le Frestoy-Vaux</t>
  </si>
  <si>
    <t>60263</t>
  </si>
  <si>
    <t>Frétoy-le-Château</t>
  </si>
  <si>
    <t>60265</t>
  </si>
  <si>
    <t>Froissy</t>
  </si>
  <si>
    <t>60267</t>
  </si>
  <si>
    <t>Le Gallet</t>
  </si>
  <si>
    <t>60268</t>
  </si>
  <si>
    <t>Gannes</t>
  </si>
  <si>
    <t>60270</t>
  </si>
  <si>
    <t>Genvry</t>
  </si>
  <si>
    <t>60271</t>
  </si>
  <si>
    <t>Gerberoy</t>
  </si>
  <si>
    <t>60272</t>
  </si>
  <si>
    <t>Gilocourt</t>
  </si>
  <si>
    <t>60273</t>
  </si>
  <si>
    <t>Giraumont</t>
  </si>
  <si>
    <t>60274</t>
  </si>
  <si>
    <t>Glaignes</t>
  </si>
  <si>
    <t>60275</t>
  </si>
  <si>
    <t>Glatigny</t>
  </si>
  <si>
    <t>60276</t>
  </si>
  <si>
    <t>Godenvillers</t>
  </si>
  <si>
    <t>60279</t>
  </si>
  <si>
    <t>Gondreville</t>
  </si>
  <si>
    <t>60280</t>
  </si>
  <si>
    <t>Gourchelles</t>
  </si>
  <si>
    <t>60283</t>
  </si>
  <si>
    <t>Gouy-les-Groseillers</t>
  </si>
  <si>
    <t>60285</t>
  </si>
  <si>
    <t>Grandvillers-aux-Bois</t>
  </si>
  <si>
    <t>60287</t>
  </si>
  <si>
    <t>Grandrû</t>
  </si>
  <si>
    <t>60289</t>
  </si>
  <si>
    <t>Grez</t>
  </si>
  <si>
    <t>60290</t>
  </si>
  <si>
    <t>Guignecourt</t>
  </si>
  <si>
    <t>60292</t>
  </si>
  <si>
    <t>Gury</t>
  </si>
  <si>
    <t>60293</t>
  </si>
  <si>
    <t>Hadancourt-le-Haut-Clocher</t>
  </si>
  <si>
    <t>60294</t>
  </si>
  <si>
    <t>Hainvillers</t>
  </si>
  <si>
    <t>60295</t>
  </si>
  <si>
    <t>Halloy</t>
  </si>
  <si>
    <t>60296</t>
  </si>
  <si>
    <t>Hannaches</t>
  </si>
  <si>
    <t>60301</t>
  </si>
  <si>
    <t>60303</t>
  </si>
  <si>
    <t>Hautbos</t>
  </si>
  <si>
    <t>60304</t>
  </si>
  <si>
    <t>Haute-Épine</t>
  </si>
  <si>
    <t>60305</t>
  </si>
  <si>
    <t>Hautefontaine</t>
  </si>
  <si>
    <t>60306</t>
  </si>
  <si>
    <t>Hécourt</t>
  </si>
  <si>
    <t>60308</t>
  </si>
  <si>
    <t>Hémévillers</t>
  </si>
  <si>
    <t>60312</t>
  </si>
  <si>
    <t>Héricourt-sur-Thérain</t>
  </si>
  <si>
    <t>60314</t>
  </si>
  <si>
    <t>Hétomesnil</t>
  </si>
  <si>
    <t>60315</t>
  </si>
  <si>
    <t>Hodenc-en-Bray</t>
  </si>
  <si>
    <t>60316</t>
  </si>
  <si>
    <t>Hodenc-l'Évêque</t>
  </si>
  <si>
    <t>60318</t>
  </si>
  <si>
    <t>Houdancourt</t>
  </si>
  <si>
    <t>60320</t>
  </si>
  <si>
    <t>Ivors</t>
  </si>
  <si>
    <t>60328</t>
  </si>
  <si>
    <t>Juvignies</t>
  </si>
  <si>
    <t>60329</t>
  </si>
  <si>
    <t>Laberlière</t>
  </si>
  <si>
    <t>60331</t>
  </si>
  <si>
    <t>Labosse</t>
  </si>
  <si>
    <t>60332</t>
  </si>
  <si>
    <t>Labruyère</t>
  </si>
  <si>
    <t>60335</t>
  </si>
  <si>
    <t>Lachapelle-sous-Gerberoy</t>
  </si>
  <si>
    <t>60336</t>
  </si>
  <si>
    <t>Lachaussée-du-Bois-d'Écu</t>
  </si>
  <si>
    <t>60339</t>
  </si>
  <si>
    <t>Lafraye</t>
  </si>
  <si>
    <t>60344</t>
  </si>
  <si>
    <t>Lalandelle</t>
  </si>
  <si>
    <t>60345</t>
  </si>
  <si>
    <t>Lamécourt</t>
  </si>
  <si>
    <t>60347</t>
  </si>
  <si>
    <t>Lannoy-Cuillère</t>
  </si>
  <si>
    <t>60351</t>
  </si>
  <si>
    <t>Lataule</t>
  </si>
  <si>
    <t>60352</t>
  </si>
  <si>
    <t>Lattainville</t>
  </si>
  <si>
    <t>60353</t>
  </si>
  <si>
    <t>Lavacquerie</t>
  </si>
  <si>
    <t>60354</t>
  </si>
  <si>
    <t>Laverrière</t>
  </si>
  <si>
    <t>60359</t>
  </si>
  <si>
    <t>Lhéraule</t>
  </si>
  <si>
    <t>60362</t>
  </si>
  <si>
    <t>Libermont</t>
  </si>
  <si>
    <t>60363</t>
  </si>
  <si>
    <t>Lierville</t>
  </si>
  <si>
    <t>60365</t>
  </si>
  <si>
    <t>Lihus</t>
  </si>
  <si>
    <t>60366</t>
  </si>
  <si>
    <t>Litz</t>
  </si>
  <si>
    <t>60367</t>
  </si>
  <si>
    <t>Loconville</t>
  </si>
  <si>
    <t>60371</t>
  </si>
  <si>
    <t>Loueuse</t>
  </si>
  <si>
    <t>60376</t>
  </si>
  <si>
    <t>Maisoncelle-Saint-Pierre</t>
  </si>
  <si>
    <t>60377</t>
  </si>
  <si>
    <t>Maisoncelle-Tuilerie</t>
  </si>
  <si>
    <t>60378</t>
  </si>
  <si>
    <t>Marest-sur-Matz</t>
  </si>
  <si>
    <t>60379</t>
  </si>
  <si>
    <t>Mareuil-la-Motte</t>
  </si>
  <si>
    <t>60381</t>
  </si>
  <si>
    <t>Margny-aux-Cerises</t>
  </si>
  <si>
    <t>60383</t>
  </si>
  <si>
    <t>Margny-sur-Matz</t>
  </si>
  <si>
    <t>60388</t>
  </si>
  <si>
    <t>Martincourt</t>
  </si>
  <si>
    <t>60389</t>
  </si>
  <si>
    <t>Maucourt</t>
  </si>
  <si>
    <t>60390</t>
  </si>
  <si>
    <t>Maulers</t>
  </si>
  <si>
    <t>60391</t>
  </si>
  <si>
    <t>Maysel</t>
  </si>
  <si>
    <t>60392</t>
  </si>
  <si>
    <t>Mélicocq</t>
  </si>
  <si>
    <t>60393</t>
  </si>
  <si>
    <t>Mello</t>
  </si>
  <si>
    <t>60394</t>
  </si>
  <si>
    <t>Ménévillers</t>
  </si>
  <si>
    <t>60396</t>
  </si>
  <si>
    <t>Méry-la-Bataille</t>
  </si>
  <si>
    <t>60397</t>
  </si>
  <si>
    <t>Le Mesnil-Conteville</t>
  </si>
  <si>
    <t>60399</t>
  </si>
  <si>
    <t>Le Mesnil-Saint-Firmin</t>
  </si>
  <si>
    <t>60400</t>
  </si>
  <si>
    <t>Le Mesnil-sur-Bulles</t>
  </si>
  <si>
    <t>60407</t>
  </si>
  <si>
    <t>Monceaux-l'Abbaye</t>
  </si>
  <si>
    <t>60415</t>
  </si>
  <si>
    <t>Montépilloy</t>
  </si>
  <si>
    <t>60416</t>
  </si>
  <si>
    <t>Montgérain</t>
  </si>
  <si>
    <t>60418</t>
  </si>
  <si>
    <t>Montiers</t>
  </si>
  <si>
    <t>60422</t>
  </si>
  <si>
    <t>Montlognon</t>
  </si>
  <si>
    <t>60424</t>
  </si>
  <si>
    <t>Montmartin</t>
  </si>
  <si>
    <t>60425</t>
  </si>
  <si>
    <t>Montreuil-sur-Brêche</t>
  </si>
  <si>
    <t>60426</t>
  </si>
  <si>
    <t>Montreuil-sur-Thérain</t>
  </si>
  <si>
    <t>60427</t>
  </si>
  <si>
    <t>Monts</t>
  </si>
  <si>
    <t>60429</t>
  </si>
  <si>
    <t>Morangles</t>
  </si>
  <si>
    <t>60431</t>
  </si>
  <si>
    <t>Morlincourt</t>
  </si>
  <si>
    <t>60434</t>
  </si>
  <si>
    <t>Mortemer</t>
  </si>
  <si>
    <t>60435</t>
  </si>
  <si>
    <t>Morvillers</t>
  </si>
  <si>
    <t>60436</t>
  </si>
  <si>
    <t>Mory-Montcrux</t>
  </si>
  <si>
    <t>60437</t>
  </si>
  <si>
    <t>Mouchy-le-Châtel</t>
  </si>
  <si>
    <t>60438</t>
  </si>
  <si>
    <t>Moulin-sous-Touvent</t>
  </si>
  <si>
    <t>60442</t>
  </si>
  <si>
    <t>Muidorge</t>
  </si>
  <si>
    <t>60444</t>
  </si>
  <si>
    <t>Mureaumont</t>
  </si>
  <si>
    <t>60445</t>
  </si>
  <si>
    <t>Nampcel</t>
  </si>
  <si>
    <t>60447</t>
  </si>
  <si>
    <t>Néry</t>
  </si>
  <si>
    <t>60449</t>
  </si>
  <si>
    <t>Neufvy-sur-Aronde</t>
  </si>
  <si>
    <t>60457</t>
  </si>
  <si>
    <t>La Neuville-Saint-Pierre</t>
  </si>
  <si>
    <t>60458</t>
  </si>
  <si>
    <t>La Neuville-sur-Oudeuil</t>
  </si>
  <si>
    <t>60459</t>
  </si>
  <si>
    <t>La Neuville-sur-Ressons</t>
  </si>
  <si>
    <t>60460</t>
  </si>
  <si>
    <t>La Neuville-Vault</t>
  </si>
  <si>
    <t>60461</t>
  </si>
  <si>
    <t>Nivillers</t>
  </si>
  <si>
    <t>60465</t>
  </si>
  <si>
    <t>Noirémont</t>
  </si>
  <si>
    <t>60466</t>
  </si>
  <si>
    <t>Noroy</t>
  </si>
  <si>
    <t>60468</t>
  </si>
  <si>
    <t>Nourard-le-Franc</t>
  </si>
  <si>
    <t>60469</t>
  </si>
  <si>
    <t>Novillers</t>
  </si>
  <si>
    <t>60472</t>
  </si>
  <si>
    <t>Offoy</t>
  </si>
  <si>
    <t>60473</t>
  </si>
  <si>
    <t>60474</t>
  </si>
  <si>
    <t>Ognolles</t>
  </si>
  <si>
    <t>60476</t>
  </si>
  <si>
    <t>Omécourt</t>
  </si>
  <si>
    <t>60478</t>
  </si>
  <si>
    <t>Ormoy-le-Davien</t>
  </si>
  <si>
    <t>60480</t>
  </si>
  <si>
    <t>Oroër</t>
  </si>
  <si>
    <t>60484</t>
  </si>
  <si>
    <t>Oudeuil</t>
  </si>
  <si>
    <t>60485</t>
  </si>
  <si>
    <t>Oursel-Maison</t>
  </si>
  <si>
    <t>60488</t>
  </si>
  <si>
    <t>Passel</t>
  </si>
  <si>
    <t>60490</t>
  </si>
  <si>
    <t>Pierrefitte-en-Beauvaisis</t>
  </si>
  <si>
    <t>60495</t>
  </si>
  <si>
    <t>Plainval</t>
  </si>
  <si>
    <t>60496</t>
  </si>
  <si>
    <t>Plainville</t>
  </si>
  <si>
    <t>60497</t>
  </si>
  <si>
    <t>Le Plessier-sur-Bulles</t>
  </si>
  <si>
    <t>60499</t>
  </si>
  <si>
    <t>Plessis-de-Roye</t>
  </si>
  <si>
    <t>60502</t>
  </si>
  <si>
    <t>Le Plessis-Patte-d'Oie</t>
  </si>
  <si>
    <t>60510</t>
  </si>
  <si>
    <t>Porcheux</t>
  </si>
  <si>
    <t>60511</t>
  </si>
  <si>
    <t>Porquéricourt</t>
  </si>
  <si>
    <t>60512</t>
  </si>
  <si>
    <t>Pouilly</t>
  </si>
  <si>
    <t>60514</t>
  </si>
  <si>
    <t>Prévillers</t>
  </si>
  <si>
    <t>60515</t>
  </si>
  <si>
    <t>Pronleroy</t>
  </si>
  <si>
    <t>60518</t>
  </si>
  <si>
    <t>Puits-la-Vallée</t>
  </si>
  <si>
    <t>60519</t>
  </si>
  <si>
    <t>Quesmy</t>
  </si>
  <si>
    <t>60520</t>
  </si>
  <si>
    <t>Le Quesnel-Aubry</t>
  </si>
  <si>
    <t>60521</t>
  </si>
  <si>
    <t>Quincampoix-Fleuzy</t>
  </si>
  <si>
    <t>60522</t>
  </si>
  <si>
    <t>Quinquempoix</t>
  </si>
  <si>
    <t>60525</t>
  </si>
  <si>
    <t>Raray</t>
  </si>
  <si>
    <t>60527</t>
  </si>
  <si>
    <t>Réez-Fosse-Martin</t>
  </si>
  <si>
    <t>60528</t>
  </si>
  <si>
    <t>Reilly</t>
  </si>
  <si>
    <t>60529</t>
  </si>
  <si>
    <t>Rémécourt</t>
  </si>
  <si>
    <t>60530</t>
  </si>
  <si>
    <t>Rémérangles</t>
  </si>
  <si>
    <t>60534</t>
  </si>
  <si>
    <t>Rethondes</t>
  </si>
  <si>
    <t>60535</t>
  </si>
  <si>
    <t>Reuil-sur-Brêche</t>
  </si>
  <si>
    <t>60536</t>
  </si>
  <si>
    <t>Rhuis</t>
  </si>
  <si>
    <t>60538</t>
  </si>
  <si>
    <t>Ricquebourg</t>
  </si>
  <si>
    <t>60540</t>
  </si>
  <si>
    <t>Rivecourt</t>
  </si>
  <si>
    <t>60541</t>
  </si>
  <si>
    <t>Roberval</t>
  </si>
  <si>
    <t>60543</t>
  </si>
  <si>
    <t>Rocquemont</t>
  </si>
  <si>
    <t>60544</t>
  </si>
  <si>
    <t>Rocquencourt</t>
  </si>
  <si>
    <t>60546</t>
  </si>
  <si>
    <t>Rosières</t>
  </si>
  <si>
    <t>60547</t>
  </si>
  <si>
    <t>Rosoy</t>
  </si>
  <si>
    <t>60549</t>
  </si>
  <si>
    <t>Rotangy</t>
  </si>
  <si>
    <t>60550</t>
  </si>
  <si>
    <t>Rothois</t>
  </si>
  <si>
    <t>60551</t>
  </si>
  <si>
    <t>Rousseloy</t>
  </si>
  <si>
    <t>60552</t>
  </si>
  <si>
    <t>Rouville</t>
  </si>
  <si>
    <t>60553</t>
  </si>
  <si>
    <t>Rouvillers</t>
  </si>
  <si>
    <t>60555</t>
  </si>
  <si>
    <t>Rouvroy-les-Merles</t>
  </si>
  <si>
    <t>60556</t>
  </si>
  <si>
    <t>Royaucourt</t>
  </si>
  <si>
    <t>60557</t>
  </si>
  <si>
    <t>Roy-Boissy</t>
  </si>
  <si>
    <t>60561</t>
  </si>
  <si>
    <t>Russy-Bémont</t>
  </si>
  <si>
    <t>60564</t>
  </si>
  <si>
    <t>Sains-Morainvillers</t>
  </si>
  <si>
    <t>60566</t>
  </si>
  <si>
    <t>Saint-Arnoult</t>
  </si>
  <si>
    <t>60568</t>
  </si>
  <si>
    <t>Saint-Aubin-sous-Erquery</t>
  </si>
  <si>
    <t>60569</t>
  </si>
  <si>
    <t>Saint-Crépin-aux-Bois</t>
  </si>
  <si>
    <t>60571</t>
  </si>
  <si>
    <t>Saint-Deniscourt</t>
  </si>
  <si>
    <t>60572</t>
  </si>
  <si>
    <t>Saint-Étienne-Roilaye</t>
  </si>
  <si>
    <t>60573</t>
  </si>
  <si>
    <t>Sainte-Eusoye</t>
  </si>
  <si>
    <t>60583</t>
  </si>
  <si>
    <t>Saint-Léger-en-Bray</t>
  </si>
  <si>
    <t>60585</t>
  </si>
  <si>
    <t>Saint-Martin-aux-Bois</t>
  </si>
  <si>
    <t>60588</t>
  </si>
  <si>
    <t>Saint-Maur</t>
  </si>
  <si>
    <t>60592</t>
  </si>
  <si>
    <t>Saint-Pierre-es-Champs</t>
  </si>
  <si>
    <t>60593</t>
  </si>
  <si>
    <t>Saint-Pierre-lès-Bitry</t>
  </si>
  <si>
    <t>60594</t>
  </si>
  <si>
    <t>Saint-Quentin-des-Prés</t>
  </si>
  <si>
    <t>60596</t>
  </si>
  <si>
    <t>Saint-Samson-la-Poterie</t>
  </si>
  <si>
    <t>60599</t>
  </si>
  <si>
    <t>Saint-Thibault</t>
  </si>
  <si>
    <t>60600</t>
  </si>
  <si>
    <t>Saint-Vaast-de-Longmont</t>
  </si>
  <si>
    <t>60602</t>
  </si>
  <si>
    <t>Saint-Valery</t>
  </si>
  <si>
    <t>60604</t>
  </si>
  <si>
    <t>Sarcus</t>
  </si>
  <si>
    <t>60605</t>
  </si>
  <si>
    <t>Sarnois</t>
  </si>
  <si>
    <t>60608</t>
  </si>
  <si>
    <t>Le Saulchoy</t>
  </si>
  <si>
    <t>60613</t>
  </si>
  <si>
    <t>Senots</t>
  </si>
  <si>
    <t>60614</t>
  </si>
  <si>
    <t>Serans</t>
  </si>
  <si>
    <t>60615</t>
  </si>
  <si>
    <t>Sérévillers</t>
  </si>
  <si>
    <t>60617</t>
  </si>
  <si>
    <t>Sermaize</t>
  </si>
  <si>
    <t>60618</t>
  </si>
  <si>
    <t>Séry-Magneval</t>
  </si>
  <si>
    <t>60621</t>
  </si>
  <si>
    <t>Solente</t>
  </si>
  <si>
    <t>60625</t>
  </si>
  <si>
    <t>Suzoy</t>
  </si>
  <si>
    <t>60627</t>
  </si>
  <si>
    <t>Tartigny</t>
  </si>
  <si>
    <t>60629</t>
  </si>
  <si>
    <t>Thérines</t>
  </si>
  <si>
    <t>60630</t>
  </si>
  <si>
    <t>Thibivillers</t>
  </si>
  <si>
    <t>60634</t>
  </si>
  <si>
    <t>Thieux</t>
  </si>
  <si>
    <t>60637</t>
  </si>
  <si>
    <t>Thury-en-Valois</t>
  </si>
  <si>
    <t>60638</t>
  </si>
  <si>
    <t>Thury-sous-Clermont</t>
  </si>
  <si>
    <t>60640</t>
  </si>
  <si>
    <t>Tourly</t>
  </si>
  <si>
    <t>60645</t>
  </si>
  <si>
    <t>Trie-la-Ville</t>
  </si>
  <si>
    <t>60648</t>
  </si>
  <si>
    <t>Troussencourt</t>
  </si>
  <si>
    <t>60650</t>
  </si>
  <si>
    <t>Trumilly</t>
  </si>
  <si>
    <t>60654</t>
  </si>
  <si>
    <t>Vandélicourt</t>
  </si>
  <si>
    <t>60657</t>
  </si>
  <si>
    <t>Vauchelles</t>
  </si>
  <si>
    <t>60659</t>
  </si>
  <si>
    <t>Vaudancourt</t>
  </si>
  <si>
    <t>60660</t>
  </si>
  <si>
    <t>Le Vaumain</t>
  </si>
  <si>
    <t>60663</t>
  </si>
  <si>
    <t>Velennes</t>
  </si>
  <si>
    <t>60668</t>
  </si>
  <si>
    <t>Verderel-lès-Sauqueuse</t>
  </si>
  <si>
    <t>60671</t>
  </si>
  <si>
    <t>60672</t>
  </si>
  <si>
    <t>Vez</t>
  </si>
  <si>
    <t>60673</t>
  </si>
  <si>
    <t>Viefvillers</t>
  </si>
  <si>
    <t>60674</t>
  </si>
  <si>
    <t>Vieux-Moulin</t>
  </si>
  <si>
    <t>60675</t>
  </si>
  <si>
    <t>Vignemont</t>
  </si>
  <si>
    <t>60679</t>
  </si>
  <si>
    <t>La Villeneuve-sous-Thury</t>
  </si>
  <si>
    <t>60687</t>
  </si>
  <si>
    <t>Villers-sur-Auchy</t>
  </si>
  <si>
    <t>60688</t>
  </si>
  <si>
    <t>Villers-sur-Bonnières</t>
  </si>
  <si>
    <t>60691</t>
  </si>
  <si>
    <t>Villers-Vermont</t>
  </si>
  <si>
    <t>60692</t>
  </si>
  <si>
    <t>Villers-Vicomte</t>
  </si>
  <si>
    <t>60693</t>
  </si>
  <si>
    <t>Villeselve</t>
  </si>
  <si>
    <t>60694</t>
  </si>
  <si>
    <t>Les Hauts-Talican</t>
  </si>
  <si>
    <t>60697</t>
  </si>
  <si>
    <t>Vrocourt</t>
  </si>
  <si>
    <t>60698</t>
  </si>
  <si>
    <t>Wacquemoulin</t>
  </si>
  <si>
    <t>60699</t>
  </si>
  <si>
    <t>Wambez</t>
  </si>
  <si>
    <t>60702</t>
  </si>
  <si>
    <t>Welles-Pérennes</t>
  </si>
  <si>
    <t>62002</t>
  </si>
  <si>
    <t>Ablainzevelle</t>
  </si>
  <si>
    <t>62009</t>
  </si>
  <si>
    <t>Adinfer</t>
  </si>
  <si>
    <t>62010</t>
  </si>
  <si>
    <t>Affringues</t>
  </si>
  <si>
    <t>62012</t>
  </si>
  <si>
    <t>Agnières</t>
  </si>
  <si>
    <t>62016</t>
  </si>
  <si>
    <t>Airon-Saint-Vaast</t>
  </si>
  <si>
    <t>62017</t>
  </si>
  <si>
    <t>Aix-en-Ergny</t>
  </si>
  <si>
    <t>62018</t>
  </si>
  <si>
    <t>Aix-en-Issart</t>
  </si>
  <si>
    <t>62020</t>
  </si>
  <si>
    <t>Alembon</t>
  </si>
  <si>
    <t>62021</t>
  </si>
  <si>
    <t>Alette</t>
  </si>
  <si>
    <t>62022</t>
  </si>
  <si>
    <t>Alincthun</t>
  </si>
  <si>
    <t>62026</t>
  </si>
  <si>
    <t>Ambricourt</t>
  </si>
  <si>
    <t>62027</t>
  </si>
  <si>
    <t>Ambrines</t>
  </si>
  <si>
    <t>62028</t>
  </si>
  <si>
    <t>Ames</t>
  </si>
  <si>
    <t>62030</t>
  </si>
  <si>
    <t>Amplier</t>
  </si>
  <si>
    <t>62047</t>
  </si>
  <si>
    <t>Aubrometz</t>
  </si>
  <si>
    <t>62052</t>
  </si>
  <si>
    <t>Audembert</t>
  </si>
  <si>
    <t>62058</t>
  </si>
  <si>
    <t>Aumerval</t>
  </si>
  <si>
    <t>62059</t>
  </si>
  <si>
    <t>Autingues</t>
  </si>
  <si>
    <t>62061</t>
  </si>
  <si>
    <t>Averdoingt</t>
  </si>
  <si>
    <t>62062</t>
  </si>
  <si>
    <t>Avesnes</t>
  </si>
  <si>
    <t>62064</t>
  </si>
  <si>
    <t>Avesnes-lès-Bapaume</t>
  </si>
  <si>
    <t>62066</t>
  </si>
  <si>
    <t>Avondance</t>
  </si>
  <si>
    <t>62067</t>
  </si>
  <si>
    <t>Avroult</t>
  </si>
  <si>
    <t>62068</t>
  </si>
  <si>
    <t>Ayette</t>
  </si>
  <si>
    <t>62069</t>
  </si>
  <si>
    <t>Azincourt</t>
  </si>
  <si>
    <t>62070</t>
  </si>
  <si>
    <t>Bailleul-aux-Cornailles</t>
  </si>
  <si>
    <t>62071</t>
  </si>
  <si>
    <t>Bailleul-lès-Pernes</t>
  </si>
  <si>
    <t>62072</t>
  </si>
  <si>
    <t>Bailleulmont</t>
  </si>
  <si>
    <t>62074</t>
  </si>
  <si>
    <t>Bailleulval</t>
  </si>
  <si>
    <t>62076</t>
  </si>
  <si>
    <t>Bainghen</t>
  </si>
  <si>
    <t>62077</t>
  </si>
  <si>
    <t>Bajus</t>
  </si>
  <si>
    <t>62079</t>
  </si>
  <si>
    <t>Bancourt</t>
  </si>
  <si>
    <t>62082</t>
  </si>
  <si>
    <t>Barastre</t>
  </si>
  <si>
    <t>62084</t>
  </si>
  <si>
    <t>Barly</t>
  </si>
  <si>
    <t>62085</t>
  </si>
  <si>
    <t>Basseux</t>
  </si>
  <si>
    <t>62088</t>
  </si>
  <si>
    <t>Bayenghem-lès-Seninghem</t>
  </si>
  <si>
    <t>62089</t>
  </si>
  <si>
    <t>Bazinghen</t>
  </si>
  <si>
    <t>62090</t>
  </si>
  <si>
    <t>Béalencourt</t>
  </si>
  <si>
    <t>62091</t>
  </si>
  <si>
    <t>Beaudricourt</t>
  </si>
  <si>
    <t>62092</t>
  </si>
  <si>
    <t>Beaufort-Blavincourt</t>
  </si>
  <si>
    <t>62093</t>
  </si>
  <si>
    <t>Beaulencourt</t>
  </si>
  <si>
    <t>62095</t>
  </si>
  <si>
    <t>Beaumetz-lès-Aire</t>
  </si>
  <si>
    <t>62101</t>
  </si>
  <si>
    <t>Beauvois</t>
  </si>
  <si>
    <t>62102</t>
  </si>
  <si>
    <t>Bécourt</t>
  </si>
  <si>
    <t>62103</t>
  </si>
  <si>
    <t>Béhagnies</t>
  </si>
  <si>
    <t>62104</t>
  </si>
  <si>
    <t>Bellebrune</t>
  </si>
  <si>
    <t>62105</t>
  </si>
  <si>
    <t>Belle-et-Houllefort</t>
  </si>
  <si>
    <t>62106</t>
  </si>
  <si>
    <t>Bellonne</t>
  </si>
  <si>
    <t>62107</t>
  </si>
  <si>
    <t>Bénifontaine</t>
  </si>
  <si>
    <t>62109</t>
  </si>
  <si>
    <t>Bergueneuse</t>
  </si>
  <si>
    <t>62111</t>
  </si>
  <si>
    <t>Berlencourt-le-Cauroy</t>
  </si>
  <si>
    <t>62112</t>
  </si>
  <si>
    <t>Berles-au-Bois</t>
  </si>
  <si>
    <t>62114</t>
  </si>
  <si>
    <t>Bermicourt</t>
  </si>
  <si>
    <t>62116</t>
  </si>
  <si>
    <t>Bernieulles</t>
  </si>
  <si>
    <t>62118</t>
  </si>
  <si>
    <t>Béthonsart</t>
  </si>
  <si>
    <t>62120</t>
  </si>
  <si>
    <t>Beugin</t>
  </si>
  <si>
    <t>62121</t>
  </si>
  <si>
    <t>Beugnâtre</t>
  </si>
  <si>
    <t>62122</t>
  </si>
  <si>
    <t>Beugny</t>
  </si>
  <si>
    <t>62124</t>
  </si>
  <si>
    <t>Beutin</t>
  </si>
  <si>
    <t>62127</t>
  </si>
  <si>
    <t>Bezinghem</t>
  </si>
  <si>
    <t>62129</t>
  </si>
  <si>
    <t>Biefvillers-lès-Bapaume</t>
  </si>
  <si>
    <t>62130</t>
  </si>
  <si>
    <t>Bienvillers-au-Bois</t>
  </si>
  <si>
    <t>62134</t>
  </si>
  <si>
    <t>Bimont</t>
  </si>
  <si>
    <t>62135</t>
  </si>
  <si>
    <t>Blairville</t>
  </si>
  <si>
    <t>62137</t>
  </si>
  <si>
    <t>Blangerval-Blangermont</t>
  </si>
  <si>
    <t>62142</t>
  </si>
  <si>
    <t>Blingel</t>
  </si>
  <si>
    <t>62143</t>
  </si>
  <si>
    <t>Boffles</t>
  </si>
  <si>
    <t>62144</t>
  </si>
  <si>
    <t>Boiry-Becquerelle</t>
  </si>
  <si>
    <t>62145</t>
  </si>
  <si>
    <t>Boiry-Notre-Dame</t>
  </si>
  <si>
    <t>62150</t>
  </si>
  <si>
    <t>Boisjean</t>
  </si>
  <si>
    <t>62151</t>
  </si>
  <si>
    <t>Boisleux-au-Mont</t>
  </si>
  <si>
    <t>62152</t>
  </si>
  <si>
    <t>Boisleux-Saint-Marc</t>
  </si>
  <si>
    <t>62153</t>
  </si>
  <si>
    <t>Bomy</t>
  </si>
  <si>
    <t>62154</t>
  </si>
  <si>
    <t>62155</t>
  </si>
  <si>
    <t>Bonningues-lès-Ardres</t>
  </si>
  <si>
    <t>62156</t>
  </si>
  <si>
    <t>Bonningues-lès-Calais</t>
  </si>
  <si>
    <t>62157</t>
  </si>
  <si>
    <t>Boubers-lès-Hesmond</t>
  </si>
  <si>
    <t>62163</t>
  </si>
  <si>
    <t>Bouret-sur-Canche</t>
  </si>
  <si>
    <t>62165</t>
  </si>
  <si>
    <t>Bournonville</t>
  </si>
  <si>
    <t>62167</t>
  </si>
  <si>
    <t>Boursin</t>
  </si>
  <si>
    <t>62169</t>
  </si>
  <si>
    <t>Bouvelinghem</t>
  </si>
  <si>
    <t>62171</t>
  </si>
  <si>
    <t>Boyaval</t>
  </si>
  <si>
    <t>62172</t>
  </si>
  <si>
    <t>Boyelles</t>
  </si>
  <si>
    <t>62175</t>
  </si>
  <si>
    <t>Brévillers</t>
  </si>
  <si>
    <t>62179</t>
  </si>
  <si>
    <t>Brunembert</t>
  </si>
  <si>
    <t>62180</t>
  </si>
  <si>
    <t>Brias</t>
  </si>
  <si>
    <t>62182</t>
  </si>
  <si>
    <t>Buire-au-Bois</t>
  </si>
  <si>
    <t>62184</t>
  </si>
  <si>
    <t>Buissy</t>
  </si>
  <si>
    <t>62185</t>
  </si>
  <si>
    <t>Bullecourt</t>
  </si>
  <si>
    <t>62187</t>
  </si>
  <si>
    <t>Buneville</t>
  </si>
  <si>
    <t>62189</t>
  </si>
  <si>
    <t>Bus</t>
  </si>
  <si>
    <t>62191</t>
  </si>
  <si>
    <t>Caffiers</t>
  </si>
  <si>
    <t>62192</t>
  </si>
  <si>
    <t>Cagnicourt</t>
  </si>
  <si>
    <t>62196</t>
  </si>
  <si>
    <t>La Calotterie</t>
  </si>
  <si>
    <t>62198</t>
  </si>
  <si>
    <t>Cambligneul</t>
  </si>
  <si>
    <t>62206</t>
  </si>
  <si>
    <t>Campigneulles-les-Grandes</t>
  </si>
  <si>
    <t>62208</t>
  </si>
  <si>
    <t>Canettemont</t>
  </si>
  <si>
    <t>62209</t>
  </si>
  <si>
    <t>Canlers</t>
  </si>
  <si>
    <t>62211</t>
  </si>
  <si>
    <t>Capelle-Fermont</t>
  </si>
  <si>
    <t>62214</t>
  </si>
  <si>
    <t>Carly</t>
  </si>
  <si>
    <t>62216</t>
  </si>
  <si>
    <t>La Cauchie</t>
  </si>
  <si>
    <t>62218</t>
  </si>
  <si>
    <t>Caucourt</t>
  </si>
  <si>
    <t>62219</t>
  </si>
  <si>
    <t>62221</t>
  </si>
  <si>
    <t>Chelers</t>
  </si>
  <si>
    <t>62222</t>
  </si>
  <si>
    <t>Chériennes</t>
  </si>
  <si>
    <t>62223</t>
  </si>
  <si>
    <t>Chérisy</t>
  </si>
  <si>
    <t>62227</t>
  </si>
  <si>
    <t>Clenleu</t>
  </si>
  <si>
    <t>62228</t>
  </si>
  <si>
    <t>Clerques</t>
  </si>
  <si>
    <t>62231</t>
  </si>
  <si>
    <t>Colline-Beaumont</t>
  </si>
  <si>
    <t>62234</t>
  </si>
  <si>
    <t>Conchy-sur-Canche</t>
  </si>
  <si>
    <t>62237</t>
  </si>
  <si>
    <t>Conteville-lès-Boulogne</t>
  </si>
  <si>
    <t>62238</t>
  </si>
  <si>
    <t>Conteville-en-Ternois</t>
  </si>
  <si>
    <t>62241</t>
  </si>
  <si>
    <t>Cormont</t>
  </si>
  <si>
    <t>62242</t>
  </si>
  <si>
    <t>Couin</t>
  </si>
  <si>
    <t>62243</t>
  </si>
  <si>
    <t>Coullemont</t>
  </si>
  <si>
    <t>62246</t>
  </si>
  <si>
    <t>Coupelle-Neuve</t>
  </si>
  <si>
    <t>62248</t>
  </si>
  <si>
    <t>Courcelles-le-Comte</t>
  </si>
  <si>
    <t>62251</t>
  </si>
  <si>
    <t>Courset</t>
  </si>
  <si>
    <t>62253</t>
  </si>
  <si>
    <t>Couturelle</t>
  </si>
  <si>
    <t>62256</t>
  </si>
  <si>
    <t>62258</t>
  </si>
  <si>
    <t>Croisette</t>
  </si>
  <si>
    <t>62260</t>
  </si>
  <si>
    <t>Croix-en-Ternois</t>
  </si>
  <si>
    <t>62266</t>
  </si>
  <si>
    <t>Denier</t>
  </si>
  <si>
    <t>62267</t>
  </si>
  <si>
    <t>Dennebrœucq</t>
  </si>
  <si>
    <t>62271</t>
  </si>
  <si>
    <t>Dohem</t>
  </si>
  <si>
    <t>62272</t>
  </si>
  <si>
    <t>Douchy-lès-Ayette</t>
  </si>
  <si>
    <t>62275</t>
  </si>
  <si>
    <t>Douriez</t>
  </si>
  <si>
    <t>62279</t>
  </si>
  <si>
    <t>Duisans</t>
  </si>
  <si>
    <t>62280</t>
  </si>
  <si>
    <t>62281</t>
  </si>
  <si>
    <t>Echinghen</t>
  </si>
  <si>
    <t>62282</t>
  </si>
  <si>
    <t>Éclimeux</t>
  </si>
  <si>
    <t>62283</t>
  </si>
  <si>
    <t>Écoivres</t>
  </si>
  <si>
    <t>62289</t>
  </si>
  <si>
    <t>Écuires</t>
  </si>
  <si>
    <t>62290</t>
  </si>
  <si>
    <t>Écurie</t>
  </si>
  <si>
    <t>62293</t>
  </si>
  <si>
    <t>Embry</t>
  </si>
  <si>
    <t>62299</t>
  </si>
  <si>
    <t>Eps</t>
  </si>
  <si>
    <t>62301</t>
  </si>
  <si>
    <t>Équirre</t>
  </si>
  <si>
    <t>62302</t>
  </si>
  <si>
    <t>Ergny</t>
  </si>
  <si>
    <t>62303</t>
  </si>
  <si>
    <t>Érin</t>
  </si>
  <si>
    <t>62304</t>
  </si>
  <si>
    <t>Erny-Saint-Julien</t>
  </si>
  <si>
    <t>62306</t>
  </si>
  <si>
    <t>Ervillers</t>
  </si>
  <si>
    <t>62307</t>
  </si>
  <si>
    <t>Escalles</t>
  </si>
  <si>
    <t>62308</t>
  </si>
  <si>
    <t>Escœuilles</t>
  </si>
  <si>
    <t>62312</t>
  </si>
  <si>
    <t>Estrée</t>
  </si>
  <si>
    <t>62314</t>
  </si>
  <si>
    <t>Estrée-Cauchy</t>
  </si>
  <si>
    <t>62315</t>
  </si>
  <si>
    <t>Estréelles</t>
  </si>
  <si>
    <t>62316</t>
  </si>
  <si>
    <t>Estrée-Wamin</t>
  </si>
  <si>
    <t>62317</t>
  </si>
  <si>
    <t>Étaing</t>
  </si>
  <si>
    <t>62319</t>
  </si>
  <si>
    <t>Éterpigny</t>
  </si>
  <si>
    <t>62320</t>
  </si>
  <si>
    <t>Étrun</t>
  </si>
  <si>
    <t>62322</t>
  </si>
  <si>
    <t>Famechon</t>
  </si>
  <si>
    <t>62326</t>
  </si>
  <si>
    <t>Favreuil</t>
  </si>
  <si>
    <t>62327</t>
  </si>
  <si>
    <t>Febvin-Palfart</t>
  </si>
  <si>
    <t>62332</t>
  </si>
  <si>
    <t>Ficheux</t>
  </si>
  <si>
    <t>62333</t>
  </si>
  <si>
    <t>Fiefs</t>
  </si>
  <si>
    <t>62336</t>
  </si>
  <si>
    <t>Fléchin</t>
  </si>
  <si>
    <t>62337</t>
  </si>
  <si>
    <t>Flers</t>
  </si>
  <si>
    <t>62339</t>
  </si>
  <si>
    <t>62342</t>
  </si>
  <si>
    <t>Fontaine-lès-Boulans</t>
  </si>
  <si>
    <t>62343</t>
  </si>
  <si>
    <t>Fontaine-lès-Croisilles</t>
  </si>
  <si>
    <t>62344</t>
  </si>
  <si>
    <t>Fontaine-lès-Hermans</t>
  </si>
  <si>
    <t>62345</t>
  </si>
  <si>
    <t>Fontaine-l'Étalon</t>
  </si>
  <si>
    <t>62346</t>
  </si>
  <si>
    <t>Fortel-en-Artois</t>
  </si>
  <si>
    <t>62347</t>
  </si>
  <si>
    <t>Fosseux</t>
  </si>
  <si>
    <t>62348</t>
  </si>
  <si>
    <t>Foufflin-Ricametz</t>
  </si>
  <si>
    <t>62352</t>
  </si>
  <si>
    <t>Framecourt</t>
  </si>
  <si>
    <t>62353</t>
  </si>
  <si>
    <t>Frémicourt</t>
  </si>
  <si>
    <t>62357</t>
  </si>
  <si>
    <t>Fresnoy</t>
  </si>
  <si>
    <t>62358</t>
  </si>
  <si>
    <t>Fresnoy-en-Gohelle</t>
  </si>
  <si>
    <t>62362</t>
  </si>
  <si>
    <t>Frévillers</t>
  </si>
  <si>
    <t>62363</t>
  </si>
  <si>
    <t>Frévin-Capelle</t>
  </si>
  <si>
    <t>62365</t>
  </si>
  <si>
    <t>Galametz</t>
  </si>
  <si>
    <t>62368</t>
  </si>
  <si>
    <t>Gaudiempré</t>
  </si>
  <si>
    <t>62370</t>
  </si>
  <si>
    <t>Gennes-Ivergny</t>
  </si>
  <si>
    <t>62372</t>
  </si>
  <si>
    <t>Givenchy-le-Noble</t>
  </si>
  <si>
    <t>62374</t>
  </si>
  <si>
    <t>Gomiécourt</t>
  </si>
  <si>
    <t>62375</t>
  </si>
  <si>
    <t>Gommecourt</t>
  </si>
  <si>
    <t>62378</t>
  </si>
  <si>
    <t>Gouves</t>
  </si>
  <si>
    <t>62379</t>
  </si>
  <si>
    <t>Gouy-en-Artois</t>
  </si>
  <si>
    <t>62380</t>
  </si>
  <si>
    <t>Gouy-Servins</t>
  </si>
  <si>
    <t>62381</t>
  </si>
  <si>
    <t>Gouy-en-Ternois</t>
  </si>
  <si>
    <t>62385</t>
  </si>
  <si>
    <t>Grand-Rullecourt</t>
  </si>
  <si>
    <t>62388</t>
  </si>
  <si>
    <t>Grigny</t>
  </si>
  <si>
    <t>62389</t>
  </si>
  <si>
    <t>Grincourt-lès-Pas</t>
  </si>
  <si>
    <t>62392</t>
  </si>
  <si>
    <t>Guémappe</t>
  </si>
  <si>
    <t>62395</t>
  </si>
  <si>
    <t>Guigny</t>
  </si>
  <si>
    <t>62396</t>
  </si>
  <si>
    <t>Guinecourt</t>
  </si>
  <si>
    <t>62398</t>
  </si>
  <si>
    <t>Guisy</t>
  </si>
  <si>
    <t>62402</t>
  </si>
  <si>
    <t>Halinghen</t>
  </si>
  <si>
    <t>62404</t>
  </si>
  <si>
    <t>62405</t>
  </si>
  <si>
    <t>Hamblain-les-Prés</t>
  </si>
  <si>
    <t>62406</t>
  </si>
  <si>
    <t>Hamelincourt</t>
  </si>
  <si>
    <t>62409</t>
  </si>
  <si>
    <t>Hannescamps</t>
  </si>
  <si>
    <t>62410</t>
  </si>
  <si>
    <t>Haplincourt</t>
  </si>
  <si>
    <t>62411</t>
  </si>
  <si>
    <t>Haravesnes</t>
  </si>
  <si>
    <t>62416</t>
  </si>
  <si>
    <t>Hautecloque</t>
  </si>
  <si>
    <t>62418</t>
  </si>
  <si>
    <t>62419</t>
  </si>
  <si>
    <t>Haut-Loquin</t>
  </si>
  <si>
    <t>62421</t>
  </si>
  <si>
    <t>Havrincourt</t>
  </si>
  <si>
    <t>62424</t>
  </si>
  <si>
    <t>Hendecourt-lès-Cagnicourt</t>
  </si>
  <si>
    <t>62425</t>
  </si>
  <si>
    <t>Hendecourt-lès-Ransart</t>
  </si>
  <si>
    <t>62426</t>
  </si>
  <si>
    <t>Héninel</t>
  </si>
  <si>
    <t>62429</t>
  </si>
  <si>
    <t>Henneveux</t>
  </si>
  <si>
    <t>62430</t>
  </si>
  <si>
    <t>Hénu</t>
  </si>
  <si>
    <t>62432</t>
  </si>
  <si>
    <t>Herbinghen</t>
  </si>
  <si>
    <t>62433</t>
  </si>
  <si>
    <t>Héricourt</t>
  </si>
  <si>
    <t>62434</t>
  </si>
  <si>
    <t>La Herlière</t>
  </si>
  <si>
    <t>62435</t>
  </si>
  <si>
    <t>Herlincourt</t>
  </si>
  <si>
    <t>62436</t>
  </si>
  <si>
    <t>Herlin-le-Sec</t>
  </si>
  <si>
    <t>62437</t>
  </si>
  <si>
    <t>Herly</t>
  </si>
  <si>
    <t>62438</t>
  </si>
  <si>
    <t>Hermaville</t>
  </si>
  <si>
    <t>62440</t>
  </si>
  <si>
    <t>Hermies</t>
  </si>
  <si>
    <t>62441</t>
  </si>
  <si>
    <t>Hermin</t>
  </si>
  <si>
    <t>62442</t>
  </si>
  <si>
    <t>Hernicourt</t>
  </si>
  <si>
    <t>62444</t>
  </si>
  <si>
    <t>Hervelinghen</t>
  </si>
  <si>
    <t>62449</t>
  </si>
  <si>
    <t>Hesmond</t>
  </si>
  <si>
    <t>62450</t>
  </si>
  <si>
    <t>Hestrus</t>
  </si>
  <si>
    <t>62453</t>
  </si>
  <si>
    <t>Hézecques</t>
  </si>
  <si>
    <t>62455</t>
  </si>
  <si>
    <t>Hocquinghen</t>
  </si>
  <si>
    <t>62456</t>
  </si>
  <si>
    <t>Houchin</t>
  </si>
  <si>
    <t>62459</t>
  </si>
  <si>
    <t>Houvin-Houvigneul</t>
  </si>
  <si>
    <t>62460</t>
  </si>
  <si>
    <t>Hubersent</t>
  </si>
  <si>
    <t>62462</t>
  </si>
  <si>
    <t>Huclier</t>
  </si>
  <si>
    <t>62463</t>
  </si>
  <si>
    <t>Hucqueliers</t>
  </si>
  <si>
    <t>62465</t>
  </si>
  <si>
    <t>Humbercamps</t>
  </si>
  <si>
    <t>62466</t>
  </si>
  <si>
    <t>Humbert</t>
  </si>
  <si>
    <t>62467</t>
  </si>
  <si>
    <t>Humerœuille</t>
  </si>
  <si>
    <t>62468</t>
  </si>
  <si>
    <t>Humières</t>
  </si>
  <si>
    <t>62470</t>
  </si>
  <si>
    <t>Incourt</t>
  </si>
  <si>
    <t>62472</t>
  </si>
  <si>
    <t>Inxent</t>
  </si>
  <si>
    <t>62476</t>
  </si>
  <si>
    <t>Izel-lès-Équerchin</t>
  </si>
  <si>
    <t>62477</t>
  </si>
  <si>
    <t>Izel-lès-Hameau</t>
  </si>
  <si>
    <t>62478</t>
  </si>
  <si>
    <t>Journy</t>
  </si>
  <si>
    <t>62483</t>
  </si>
  <si>
    <t>Lacres</t>
  </si>
  <si>
    <t>62484</t>
  </si>
  <si>
    <t>Lagnicourt-Marcel</t>
  </si>
  <si>
    <t>62490</t>
  </si>
  <si>
    <t>Lattre-Saint-Quentin</t>
  </si>
  <si>
    <t>62492</t>
  </si>
  <si>
    <t>Lebiez</t>
  </si>
  <si>
    <t>62493</t>
  </si>
  <si>
    <t>Lebucquière</t>
  </si>
  <si>
    <t>62494</t>
  </si>
  <si>
    <t>Léchelle</t>
  </si>
  <si>
    <t>62495</t>
  </si>
  <si>
    <t>Ledinghem</t>
  </si>
  <si>
    <t>62496</t>
  </si>
  <si>
    <t>Lefaux</t>
  </si>
  <si>
    <t>62499</t>
  </si>
  <si>
    <t>Lépine</t>
  </si>
  <si>
    <t>62500</t>
  </si>
  <si>
    <t>Lespesses</t>
  </si>
  <si>
    <t>62501</t>
  </si>
  <si>
    <t>Lespinoy</t>
  </si>
  <si>
    <t>62503</t>
  </si>
  <si>
    <t>Leubringhen</t>
  </si>
  <si>
    <t>62504</t>
  </si>
  <si>
    <t>Leulinghem</t>
  </si>
  <si>
    <t>62505</t>
  </si>
  <si>
    <t>Leulinghen-Bernes</t>
  </si>
  <si>
    <t>62507</t>
  </si>
  <si>
    <t>Liencourt</t>
  </si>
  <si>
    <t>62511</t>
  </si>
  <si>
    <t>Lignereuil</t>
  </si>
  <si>
    <t>62512</t>
  </si>
  <si>
    <t>Ligny-lès-Aire</t>
  </si>
  <si>
    <t>62513</t>
  </si>
  <si>
    <t>Ligny-sur-Canche</t>
  </si>
  <si>
    <t>62514</t>
  </si>
  <si>
    <t>Ligny-Saint-Flochel</t>
  </si>
  <si>
    <t>62515</t>
  </si>
  <si>
    <t>Ligny-Thilloy</t>
  </si>
  <si>
    <t>62517</t>
  </si>
  <si>
    <t>Linghem</t>
  </si>
  <si>
    <t>62518</t>
  </si>
  <si>
    <t>Linzeux</t>
  </si>
  <si>
    <t>62521</t>
  </si>
  <si>
    <t>La Loge</t>
  </si>
  <si>
    <t>62522</t>
  </si>
  <si>
    <t>Loison-sur-Créquoise</t>
  </si>
  <si>
    <t>62526</t>
  </si>
  <si>
    <t>Longueville</t>
  </si>
  <si>
    <t>62527</t>
  </si>
  <si>
    <t>Longvilliers</t>
  </si>
  <si>
    <t>62530</t>
  </si>
  <si>
    <t>Lottinghen</t>
  </si>
  <si>
    <t>62533</t>
  </si>
  <si>
    <t>Lugy</t>
  </si>
  <si>
    <t>62535</t>
  </si>
  <si>
    <t>La Madelaine-sous-Montreuil</t>
  </si>
  <si>
    <t>62537</t>
  </si>
  <si>
    <t>Magnicourt-sur-Canche</t>
  </si>
  <si>
    <t>62538</t>
  </si>
  <si>
    <t>Maintenay</t>
  </si>
  <si>
    <t>62539</t>
  </si>
  <si>
    <t>Maisnil</t>
  </si>
  <si>
    <t>62541</t>
  </si>
  <si>
    <t>Maisoncelle</t>
  </si>
  <si>
    <t>62542</t>
  </si>
  <si>
    <t>Maizières</t>
  </si>
  <si>
    <t>62544</t>
  </si>
  <si>
    <t>Manin</t>
  </si>
  <si>
    <t>62545</t>
  </si>
  <si>
    <t>Maninghem</t>
  </si>
  <si>
    <t>62546</t>
  </si>
  <si>
    <t>Maninghen-Henne</t>
  </si>
  <si>
    <t>62547</t>
  </si>
  <si>
    <t>Marant</t>
  </si>
  <si>
    <t>62551</t>
  </si>
  <si>
    <t>Marenla</t>
  </si>
  <si>
    <t>62553</t>
  </si>
  <si>
    <t>Marest</t>
  </si>
  <si>
    <t>62554</t>
  </si>
  <si>
    <t>Maresville</t>
  </si>
  <si>
    <t>62558</t>
  </si>
  <si>
    <t>Marquay</t>
  </si>
  <si>
    <t>62561</t>
  </si>
  <si>
    <t>Martinpuich</t>
  </si>
  <si>
    <t>62562</t>
  </si>
  <si>
    <t>Matringhem</t>
  </si>
  <si>
    <t>62565</t>
  </si>
  <si>
    <t>Mencas</t>
  </si>
  <si>
    <t>62566</t>
  </si>
  <si>
    <t>Menneville</t>
  </si>
  <si>
    <t>62574</t>
  </si>
  <si>
    <t>Mingoval</t>
  </si>
  <si>
    <t>62576</t>
  </si>
  <si>
    <t>Moncheaux-lès-Frévent</t>
  </si>
  <si>
    <t>62577</t>
  </si>
  <si>
    <t>Monchel-sur-Canche</t>
  </si>
  <si>
    <t>62578</t>
  </si>
  <si>
    <t>Monchiet</t>
  </si>
  <si>
    <t>62579</t>
  </si>
  <si>
    <t>Monchy-au-Bois</t>
  </si>
  <si>
    <t>62581</t>
  </si>
  <si>
    <t>Monchy-Cayeux</t>
  </si>
  <si>
    <t>62583</t>
  </si>
  <si>
    <t>Mondicourt</t>
  </si>
  <si>
    <t>62586</t>
  </si>
  <si>
    <t>Montenescourt</t>
  </si>
  <si>
    <t>62590</t>
  </si>
  <si>
    <t>Monts-en-Ternois</t>
  </si>
  <si>
    <t>62591</t>
  </si>
  <si>
    <t>Morchies</t>
  </si>
  <si>
    <t>62593</t>
  </si>
  <si>
    <t>Morval</t>
  </si>
  <si>
    <t>62594</t>
  </si>
  <si>
    <t>Mory</t>
  </si>
  <si>
    <t>62596</t>
  </si>
  <si>
    <t>Mouriez</t>
  </si>
  <si>
    <t>62597</t>
  </si>
  <si>
    <t>62599</t>
  </si>
  <si>
    <t>Nabringhen</t>
  </si>
  <si>
    <t>62600</t>
  </si>
  <si>
    <t>Nédon</t>
  </si>
  <si>
    <t>62601</t>
  </si>
  <si>
    <t>Nédonchel</t>
  </si>
  <si>
    <t>62602</t>
  </si>
  <si>
    <t>Nempont-Saint-Firmin</t>
  </si>
  <si>
    <t>62605</t>
  </si>
  <si>
    <t>Neulette</t>
  </si>
  <si>
    <t>62607</t>
  </si>
  <si>
    <t>Neuville-au-Cornet</t>
  </si>
  <si>
    <t>62608</t>
  </si>
  <si>
    <t>Neuville-Bourjonval</t>
  </si>
  <si>
    <t>62611</t>
  </si>
  <si>
    <t>Neuville-Vitasse</t>
  </si>
  <si>
    <t>62612</t>
  </si>
  <si>
    <t>Neuvireuil</t>
  </si>
  <si>
    <t>62615</t>
  </si>
  <si>
    <t>Nielles-lès-Calais</t>
  </si>
  <si>
    <t>62616</t>
  </si>
  <si>
    <t>Nœux-lès-Auxi</t>
  </si>
  <si>
    <t>62619</t>
  </si>
  <si>
    <t>Noreuil</t>
  </si>
  <si>
    <t>62622</t>
  </si>
  <si>
    <t>Nort-Leulinghem</t>
  </si>
  <si>
    <t>62623</t>
  </si>
  <si>
    <t>Nouvelle-Église</t>
  </si>
  <si>
    <t>62625</t>
  </si>
  <si>
    <t>Noyelles-lès-Humières</t>
  </si>
  <si>
    <t>62629</t>
  </si>
  <si>
    <t>Noyellette</t>
  </si>
  <si>
    <t>62630</t>
  </si>
  <si>
    <t>Noyelle-Vion</t>
  </si>
  <si>
    <t>62631</t>
  </si>
  <si>
    <t>Nuncq-Hautecôte</t>
  </si>
  <si>
    <t>62632</t>
  </si>
  <si>
    <t>Oblinghem</t>
  </si>
  <si>
    <t>62633</t>
  </si>
  <si>
    <t>Œuf-en-Ternois</t>
  </si>
  <si>
    <t>62635</t>
  </si>
  <si>
    <t>Offin</t>
  </si>
  <si>
    <t>62636</t>
  </si>
  <si>
    <t>Offrethun</t>
  </si>
  <si>
    <t>62639</t>
  </si>
  <si>
    <t>Oppy</t>
  </si>
  <si>
    <t>62640</t>
  </si>
  <si>
    <t>Orville</t>
  </si>
  <si>
    <t>62641</t>
  </si>
  <si>
    <t>Ostreville</t>
  </si>
  <si>
    <t>62651</t>
  </si>
  <si>
    <t>Penin</t>
  </si>
  <si>
    <t>62654</t>
  </si>
  <si>
    <t>Peuplingues</t>
  </si>
  <si>
    <t>62655</t>
  </si>
  <si>
    <t>Pierremont</t>
  </si>
  <si>
    <t>62657</t>
  </si>
  <si>
    <t>Pihen-lès-Guînes</t>
  </si>
  <si>
    <t>62658</t>
  </si>
  <si>
    <t>Pittefaux</t>
  </si>
  <si>
    <t>62659</t>
  </si>
  <si>
    <t>Planques</t>
  </si>
  <si>
    <t>62660</t>
  </si>
  <si>
    <t>Plouvain</t>
  </si>
  <si>
    <t>62664</t>
  </si>
  <si>
    <t>Pommier</t>
  </si>
  <si>
    <t>62668</t>
  </si>
  <si>
    <t>Prédefin</t>
  </si>
  <si>
    <t>62669</t>
  </si>
  <si>
    <t>Pressy</t>
  </si>
  <si>
    <t>62671</t>
  </si>
  <si>
    <t>Pronville-en-Artois</t>
  </si>
  <si>
    <t>62674</t>
  </si>
  <si>
    <t>Quelmes</t>
  </si>
  <si>
    <t>62676</t>
  </si>
  <si>
    <t>Quernes</t>
  </si>
  <si>
    <t>62677</t>
  </si>
  <si>
    <t>Le Quesnoy-en-Artois</t>
  </si>
  <si>
    <t>62679</t>
  </si>
  <si>
    <t>Questrecques</t>
  </si>
  <si>
    <t>62682</t>
  </si>
  <si>
    <t>Quilen</t>
  </si>
  <si>
    <t>62683</t>
  </si>
  <si>
    <t>Quœux-Haut-Maînil</t>
  </si>
  <si>
    <t>62685</t>
  </si>
  <si>
    <t>Radinghem</t>
  </si>
  <si>
    <t>62689</t>
  </si>
  <si>
    <t>Ransart</t>
  </si>
  <si>
    <t>62690</t>
  </si>
  <si>
    <t>Raye-sur-Authie</t>
  </si>
  <si>
    <t>62692</t>
  </si>
  <si>
    <t>Rebergues</t>
  </si>
  <si>
    <t>62694</t>
  </si>
  <si>
    <t>Rebreuve-sur-Canche</t>
  </si>
  <si>
    <t>62695</t>
  </si>
  <si>
    <t>Rebreuviette</t>
  </si>
  <si>
    <t>62696</t>
  </si>
  <si>
    <t>Reclinghem</t>
  </si>
  <si>
    <t>62698</t>
  </si>
  <si>
    <t>Recques-sur-Course</t>
  </si>
  <si>
    <t>62700</t>
  </si>
  <si>
    <t>Regnauville</t>
  </si>
  <si>
    <t>62702</t>
  </si>
  <si>
    <t>Remilly-Wirquin</t>
  </si>
  <si>
    <t>62703</t>
  </si>
  <si>
    <t>Rémy</t>
  </si>
  <si>
    <t>62704</t>
  </si>
  <si>
    <t>Renty</t>
  </si>
  <si>
    <t>62708</t>
  </si>
  <si>
    <t>Riencourt-lès-Bapaume</t>
  </si>
  <si>
    <t>62710</t>
  </si>
  <si>
    <t>Rimboval</t>
  </si>
  <si>
    <t>62716</t>
  </si>
  <si>
    <t>Rodelinghem</t>
  </si>
  <si>
    <t>62717</t>
  </si>
  <si>
    <t>Roëllecourt</t>
  </si>
  <si>
    <t>62719</t>
  </si>
  <si>
    <t>Rollancourt</t>
  </si>
  <si>
    <t>62720</t>
  </si>
  <si>
    <t>Rombly</t>
  </si>
  <si>
    <t>62722</t>
  </si>
  <si>
    <t>Rougefay</t>
  </si>
  <si>
    <t>62723</t>
  </si>
  <si>
    <t>Roussent</t>
  </si>
  <si>
    <t>62725</t>
  </si>
  <si>
    <t>Royon</t>
  </si>
  <si>
    <t>62726</t>
  </si>
  <si>
    <t>Ruisseauville</t>
  </si>
  <si>
    <t>62729</t>
  </si>
  <si>
    <t>Rumilly</t>
  </si>
  <si>
    <t>62731</t>
  </si>
  <si>
    <t>Ruyaulcourt</t>
  </si>
  <si>
    <t>62732</t>
  </si>
  <si>
    <t>Sachin</t>
  </si>
  <si>
    <t>62738</t>
  </si>
  <si>
    <t>Sains-lès-Fressin</t>
  </si>
  <si>
    <t>62739</t>
  </si>
  <si>
    <t>Sains-lès-Marquion</t>
  </si>
  <si>
    <t>62740</t>
  </si>
  <si>
    <t>Sains-lès-Pernes</t>
  </si>
  <si>
    <t>62741</t>
  </si>
  <si>
    <t>Saint-Amand</t>
  </si>
  <si>
    <t>62742</t>
  </si>
  <si>
    <t>62745</t>
  </si>
  <si>
    <t>Saint-Denœux</t>
  </si>
  <si>
    <t>62747</t>
  </si>
  <si>
    <t>Saint-Floris</t>
  </si>
  <si>
    <t>62749</t>
  </si>
  <si>
    <t>Saint-Georges</t>
  </si>
  <si>
    <t>62750</t>
  </si>
  <si>
    <t>Saint-Hilaire-Cottes</t>
  </si>
  <si>
    <t>62759</t>
  </si>
  <si>
    <t>Saint-Martin-Choquel</t>
  </si>
  <si>
    <t>62760</t>
  </si>
  <si>
    <t>Saint-Martin-d'Hardinghem</t>
  </si>
  <si>
    <t>62761</t>
  </si>
  <si>
    <t>Saint-Martin-sur-Cojeul</t>
  </si>
  <si>
    <t>62762</t>
  </si>
  <si>
    <t>Saint-Michel-sous-Bois</t>
  </si>
  <si>
    <t>62768</t>
  </si>
  <si>
    <t>Saint-Rémy-au-Bois</t>
  </si>
  <si>
    <t>62775</t>
  </si>
  <si>
    <t>Sanghen</t>
  </si>
  <si>
    <t>62776</t>
  </si>
  <si>
    <t>Sapignies</t>
  </si>
  <si>
    <t>62777</t>
  </si>
  <si>
    <t>Le Sars</t>
  </si>
  <si>
    <t>62778</t>
  </si>
  <si>
    <t>Sars-le-Bois</t>
  </si>
  <si>
    <t>62779</t>
  </si>
  <si>
    <t>Sarton</t>
  </si>
  <si>
    <t>62780</t>
  </si>
  <si>
    <t>Sauchy-Cauchy</t>
  </si>
  <si>
    <t>62781</t>
  </si>
  <si>
    <t>Sauchy-Lestrée</t>
  </si>
  <si>
    <t>62783</t>
  </si>
  <si>
    <t>Saulchoy</t>
  </si>
  <si>
    <t>62784</t>
  </si>
  <si>
    <t>Saulty</t>
  </si>
  <si>
    <t>62786</t>
  </si>
  <si>
    <t>Selles</t>
  </si>
  <si>
    <t>62787</t>
  </si>
  <si>
    <t>Sempy</t>
  </si>
  <si>
    <t>62789</t>
  </si>
  <si>
    <t>Senlecques</t>
  </si>
  <si>
    <t>62790</t>
  </si>
  <si>
    <t>62791</t>
  </si>
  <si>
    <t>Séricourt</t>
  </si>
  <si>
    <t>62793</t>
  </si>
  <si>
    <t>Servins</t>
  </si>
  <si>
    <t>62795</t>
  </si>
  <si>
    <t>Sibiville</t>
  </si>
  <si>
    <t>62797</t>
  </si>
  <si>
    <t>Siracourt</t>
  </si>
  <si>
    <t>62798</t>
  </si>
  <si>
    <t>Sombrin</t>
  </si>
  <si>
    <t>62800</t>
  </si>
  <si>
    <t>Souastre</t>
  </si>
  <si>
    <t>62805</t>
  </si>
  <si>
    <t>Tangry</t>
  </si>
  <si>
    <t>62806</t>
  </si>
  <si>
    <t>Tardinghen</t>
  </si>
  <si>
    <t>62809</t>
  </si>
  <si>
    <t>Ternas</t>
  </si>
  <si>
    <t>62813</t>
  </si>
  <si>
    <t>La Thieuloye</t>
  </si>
  <si>
    <t>62814</t>
  </si>
  <si>
    <t>Thièvres</t>
  </si>
  <si>
    <t>62815</t>
  </si>
  <si>
    <t>Tigny-Noyelle</t>
  </si>
  <si>
    <t>62816</t>
  </si>
  <si>
    <t>Tilloy-lès-Hermaville</t>
  </si>
  <si>
    <t>62818</t>
  </si>
  <si>
    <t>Tilly-Capelle</t>
  </si>
  <si>
    <t>62821</t>
  </si>
  <si>
    <t>Tingry</t>
  </si>
  <si>
    <t>62822</t>
  </si>
  <si>
    <t>Tollent</t>
  </si>
  <si>
    <t>62823</t>
  </si>
  <si>
    <t>Torcy</t>
  </si>
  <si>
    <t>62824</t>
  </si>
  <si>
    <t>Tortefontaine</t>
  </si>
  <si>
    <t>62825</t>
  </si>
  <si>
    <t>Tortequesne</t>
  </si>
  <si>
    <t>62828</t>
  </si>
  <si>
    <t>Tramecourt</t>
  </si>
  <si>
    <t>62829</t>
  </si>
  <si>
    <t>Le Transloy</t>
  </si>
  <si>
    <t>62831</t>
  </si>
  <si>
    <t>Troisvaux</t>
  </si>
  <si>
    <t>62832</t>
  </si>
  <si>
    <t>Tubersent</t>
  </si>
  <si>
    <t>62833</t>
  </si>
  <si>
    <t>Vacquerie-le-Boucq</t>
  </si>
  <si>
    <t>62834</t>
  </si>
  <si>
    <t>Vacqueriette-Erquières</t>
  </si>
  <si>
    <t>62835</t>
  </si>
  <si>
    <t>Valhuon</t>
  </si>
  <si>
    <t>62838</t>
  </si>
  <si>
    <t>Vaulx</t>
  </si>
  <si>
    <t>62840</t>
  </si>
  <si>
    <t>Vélu</t>
  </si>
  <si>
    <t>62843</t>
  </si>
  <si>
    <t>Verchin</t>
  </si>
  <si>
    <t>62844</t>
  </si>
  <si>
    <t>Verchocq</t>
  </si>
  <si>
    <t>62845</t>
  </si>
  <si>
    <t>Verlincthun</t>
  </si>
  <si>
    <t>62850</t>
  </si>
  <si>
    <t>Vieil-Hesdin</t>
  </si>
  <si>
    <t>62854</t>
  </si>
  <si>
    <t>Villers-au-Bois</t>
  </si>
  <si>
    <t>62855</t>
  </si>
  <si>
    <t>Villers-au-Flos</t>
  </si>
  <si>
    <t>62856</t>
  </si>
  <si>
    <t>Villers-Brûlin</t>
  </si>
  <si>
    <t>62857</t>
  </si>
  <si>
    <t>Villers-Châtel</t>
  </si>
  <si>
    <t>62858</t>
  </si>
  <si>
    <t>Villers-lès-Cagnicourt</t>
  </si>
  <si>
    <t>62859</t>
  </si>
  <si>
    <t>Villers-l'Hôpital</t>
  </si>
  <si>
    <t>62860</t>
  </si>
  <si>
    <t>Villers-Sir-Simon</t>
  </si>
  <si>
    <t>62862</t>
  </si>
  <si>
    <t>Vincly</t>
  </si>
  <si>
    <t>62864</t>
  </si>
  <si>
    <t>Vis-en-Artois</t>
  </si>
  <si>
    <t>62867</t>
  </si>
  <si>
    <t>Wacquinghen</t>
  </si>
  <si>
    <t>62871</t>
  </si>
  <si>
    <t>Wambercourt</t>
  </si>
  <si>
    <t>62872</t>
  </si>
  <si>
    <t>Wamin</t>
  </si>
  <si>
    <t>62874</t>
  </si>
  <si>
    <t>Wanquetin</t>
  </si>
  <si>
    <t>62876</t>
  </si>
  <si>
    <t>Warlencourt-Eaucourt</t>
  </si>
  <si>
    <t>62877</t>
  </si>
  <si>
    <t>Warlincourt-lès-Pas</t>
  </si>
  <si>
    <t>62878</t>
  </si>
  <si>
    <t>Warlus</t>
  </si>
  <si>
    <t>62879</t>
  </si>
  <si>
    <t>Warluzel</t>
  </si>
  <si>
    <t>62881</t>
  </si>
  <si>
    <t>Beauvoir-Wavans</t>
  </si>
  <si>
    <t>62883</t>
  </si>
  <si>
    <t>Wavrans-sur-Ternoise</t>
  </si>
  <si>
    <t>62885</t>
  </si>
  <si>
    <t>Westrehem</t>
  </si>
  <si>
    <t>62886</t>
  </si>
  <si>
    <t>Wicquinghem</t>
  </si>
  <si>
    <t>62887</t>
  </si>
  <si>
    <t>Widehem</t>
  </si>
  <si>
    <t>62888</t>
  </si>
  <si>
    <t>Wierre-au-Bois</t>
  </si>
  <si>
    <t>62889</t>
  </si>
  <si>
    <t>Wierre-Effroy</t>
  </si>
  <si>
    <t>62890</t>
  </si>
  <si>
    <t>Willeman</t>
  </si>
  <si>
    <t>62891</t>
  </si>
  <si>
    <t>Willencourt</t>
  </si>
  <si>
    <t>62898</t>
  </si>
  <si>
    <t>Wisques</t>
  </si>
  <si>
    <t>62903</t>
  </si>
  <si>
    <t>Zoteux</t>
  </si>
  <si>
    <t>62909</t>
  </si>
  <si>
    <t>Ytres</t>
  </si>
  <si>
    <t>80002</t>
  </si>
  <si>
    <t>Ablaincourt-Pressoir</t>
  </si>
  <si>
    <t>80003</t>
  </si>
  <si>
    <t>Acheux-en-Amiénois</t>
  </si>
  <si>
    <t>80004</t>
  </si>
  <si>
    <t>Acheux-en-Vimeu</t>
  </si>
  <si>
    <t>80005</t>
  </si>
  <si>
    <t>Agenville</t>
  </si>
  <si>
    <t>80006</t>
  </si>
  <si>
    <t>Agenvillers</t>
  </si>
  <si>
    <t>80014</t>
  </si>
  <si>
    <t>Aizecourt-le-Bas</t>
  </si>
  <si>
    <t>80015</t>
  </si>
  <si>
    <t>Aizecourt-le-Haut</t>
  </si>
  <si>
    <t>80017</t>
  </si>
  <si>
    <t>Allaines</t>
  </si>
  <si>
    <t>80018</t>
  </si>
  <si>
    <t>Allenay</t>
  </si>
  <si>
    <t>80020</t>
  </si>
  <si>
    <t>Allonville</t>
  </si>
  <si>
    <t>80022</t>
  </si>
  <si>
    <t>Andainville</t>
  </si>
  <si>
    <t>80023</t>
  </si>
  <si>
    <t>Andechy</t>
  </si>
  <si>
    <t>80024</t>
  </si>
  <si>
    <t>Argœuves</t>
  </si>
  <si>
    <t>80026</t>
  </si>
  <si>
    <t>Arguel</t>
  </si>
  <si>
    <t>80027</t>
  </si>
  <si>
    <t>80028</t>
  </si>
  <si>
    <t>Arquèves</t>
  </si>
  <si>
    <t>80030</t>
  </si>
  <si>
    <t>Arry</t>
  </si>
  <si>
    <t>80032</t>
  </si>
  <si>
    <t>Assainvillers</t>
  </si>
  <si>
    <t>80033</t>
  </si>
  <si>
    <t>Assevillers</t>
  </si>
  <si>
    <t>80035</t>
  </si>
  <si>
    <t>Aubercourt</t>
  </si>
  <si>
    <t>80037</t>
  </si>
  <si>
    <t>Aubvillers</t>
  </si>
  <si>
    <t>80038</t>
  </si>
  <si>
    <t>Auchonvillers</t>
  </si>
  <si>
    <t>80040</t>
  </si>
  <si>
    <t>Aumâtre</t>
  </si>
  <si>
    <t>80041</t>
  </si>
  <si>
    <t>Aumont</t>
  </si>
  <si>
    <t>80042</t>
  </si>
  <si>
    <t>Autheux</t>
  </si>
  <si>
    <t>80043</t>
  </si>
  <si>
    <t>Authie</t>
  </si>
  <si>
    <t>80044</t>
  </si>
  <si>
    <t>Authieule</t>
  </si>
  <si>
    <t>80045</t>
  </si>
  <si>
    <t>Authuille</t>
  </si>
  <si>
    <t>80046</t>
  </si>
  <si>
    <t>Avelesges</t>
  </si>
  <si>
    <t>80047</t>
  </si>
  <si>
    <t>Aveluy</t>
  </si>
  <si>
    <t>80048</t>
  </si>
  <si>
    <t>Avesnes-Chaussoy</t>
  </si>
  <si>
    <t>80049</t>
  </si>
  <si>
    <t>Ayencourt</t>
  </si>
  <si>
    <t>80050</t>
  </si>
  <si>
    <t>Bacouel-sur-Selle</t>
  </si>
  <si>
    <t>80051</t>
  </si>
  <si>
    <t>80052</t>
  </si>
  <si>
    <t>Baizieux</t>
  </si>
  <si>
    <t>80053</t>
  </si>
  <si>
    <t>Balâtre</t>
  </si>
  <si>
    <t>80054</t>
  </si>
  <si>
    <t>Barleux</t>
  </si>
  <si>
    <t>80055</t>
  </si>
  <si>
    <t>80056</t>
  </si>
  <si>
    <t>Bavelincourt</t>
  </si>
  <si>
    <t>80057</t>
  </si>
  <si>
    <t>Bayencourt</t>
  </si>
  <si>
    <t>80058</t>
  </si>
  <si>
    <t>Bayonvillers</t>
  </si>
  <si>
    <t>80059</t>
  </si>
  <si>
    <t>Bazentin</t>
  </si>
  <si>
    <t>80060</t>
  </si>
  <si>
    <t>Béalcourt</t>
  </si>
  <si>
    <t>80061</t>
  </si>
  <si>
    <t>Beaucamps-le-Jeune</t>
  </si>
  <si>
    <t>80064</t>
  </si>
  <si>
    <t>Beaucourt-en-Santerre</t>
  </si>
  <si>
    <t>80065</t>
  </si>
  <si>
    <t>Beaucourt-sur-l'Ancre</t>
  </si>
  <si>
    <t>80067</t>
  </si>
  <si>
    <t>Beaufort-en-Santerre</t>
  </si>
  <si>
    <t>80068</t>
  </si>
  <si>
    <t>Beaumetz</t>
  </si>
  <si>
    <t>80069</t>
  </si>
  <si>
    <t>Beaumont-Hamel</t>
  </si>
  <si>
    <t>80073</t>
  </si>
  <si>
    <t>Bécordel-Bécourt</t>
  </si>
  <si>
    <t>80074</t>
  </si>
  <si>
    <t>80077</t>
  </si>
  <si>
    <t>Béhencourt</t>
  </si>
  <si>
    <t>80078</t>
  </si>
  <si>
    <t>Bellancourt</t>
  </si>
  <si>
    <t>80080</t>
  </si>
  <si>
    <t>Belloy-en-Santerre</t>
  </si>
  <si>
    <t>80081</t>
  </si>
  <si>
    <t>Belloy-Saint-Léonard</t>
  </si>
  <si>
    <t>80083</t>
  </si>
  <si>
    <t>Bergicourt</t>
  </si>
  <si>
    <t>80084</t>
  </si>
  <si>
    <t>Bermesnil</t>
  </si>
  <si>
    <t>80085</t>
  </si>
  <si>
    <t>Bernâtre</t>
  </si>
  <si>
    <t>80087</t>
  </si>
  <si>
    <t>Bernay-en-Ponthieu</t>
  </si>
  <si>
    <t>80089</t>
  </si>
  <si>
    <t>Berneuil</t>
  </si>
  <si>
    <t>80090</t>
  </si>
  <si>
    <t>Berny-en-Santerre</t>
  </si>
  <si>
    <t>80092</t>
  </si>
  <si>
    <t>Bertangles</t>
  </si>
  <si>
    <t>80094</t>
  </si>
  <si>
    <t>Berteaucourt-lès-Thennes</t>
  </si>
  <si>
    <t>80095</t>
  </si>
  <si>
    <t>Bertrancourt</t>
  </si>
  <si>
    <t>80097</t>
  </si>
  <si>
    <t>Béthencourt-sur-Somme</t>
  </si>
  <si>
    <t>80098</t>
  </si>
  <si>
    <t>Bettembos</t>
  </si>
  <si>
    <t>80099</t>
  </si>
  <si>
    <t>Bettencourt-Rivière</t>
  </si>
  <si>
    <t>80100</t>
  </si>
  <si>
    <t>Bettencourt-Saint-Ouen</t>
  </si>
  <si>
    <t>80103</t>
  </si>
  <si>
    <t>Biarre</t>
  </si>
  <si>
    <t>80104</t>
  </si>
  <si>
    <t>Biencourt</t>
  </si>
  <si>
    <t>80106</t>
  </si>
  <si>
    <t>Blangy-sous-Poix</t>
  </si>
  <si>
    <t>80108</t>
  </si>
  <si>
    <t>Boisbergues</t>
  </si>
  <si>
    <t>80110</t>
  </si>
  <si>
    <t>Boismont</t>
  </si>
  <si>
    <t>80113</t>
  </si>
  <si>
    <t>Bonneville</t>
  </si>
  <si>
    <t>80114</t>
  </si>
  <si>
    <t>Bosquel</t>
  </si>
  <si>
    <t>80115</t>
  </si>
  <si>
    <t>Bouchavesnes-Bergen</t>
  </si>
  <si>
    <t>80116</t>
  </si>
  <si>
    <t>Bouchoir</t>
  </si>
  <si>
    <t>80117</t>
  </si>
  <si>
    <t>Bouchon</t>
  </si>
  <si>
    <t>80118</t>
  </si>
  <si>
    <t>Boufflers</t>
  </si>
  <si>
    <t>80121</t>
  </si>
  <si>
    <t>Bouillancourt-la-Bataille</t>
  </si>
  <si>
    <t>80123</t>
  </si>
  <si>
    <t>Bourdon</t>
  </si>
  <si>
    <t>80125</t>
  </si>
  <si>
    <t>Boussicourt</t>
  </si>
  <si>
    <t>80128</t>
  </si>
  <si>
    <t>Bouvincourt-en-Vermandois</t>
  </si>
  <si>
    <t>80129</t>
  </si>
  <si>
    <t>Bouzincourt</t>
  </si>
  <si>
    <t>80132</t>
  </si>
  <si>
    <t>Braches</t>
  </si>
  <si>
    <t>80133</t>
  </si>
  <si>
    <t>Brailly-Cornehotte</t>
  </si>
  <si>
    <t>80134</t>
  </si>
  <si>
    <t>Brassy</t>
  </si>
  <si>
    <t>80135</t>
  </si>
  <si>
    <t>Bray-lès-Mareuil</t>
  </si>
  <si>
    <t>80138</t>
  </si>
  <si>
    <t>Bresle</t>
  </si>
  <si>
    <t>80139</t>
  </si>
  <si>
    <t>Breuil</t>
  </si>
  <si>
    <t>80140</t>
  </si>
  <si>
    <t>80141</t>
  </si>
  <si>
    <t>80143</t>
  </si>
  <si>
    <t>Brocourt</t>
  </si>
  <si>
    <t>80145</t>
  </si>
  <si>
    <t>Brucamps</t>
  </si>
  <si>
    <t>80146</t>
  </si>
  <si>
    <t>Brutelles</t>
  </si>
  <si>
    <t>80147</t>
  </si>
  <si>
    <t>Buigny-l'Abbé</t>
  </si>
  <si>
    <t>80148</t>
  </si>
  <si>
    <t>Buigny-lès-Gamaches</t>
  </si>
  <si>
    <t>80150</t>
  </si>
  <si>
    <t>Buire-Courcelles</t>
  </si>
  <si>
    <t>80151</t>
  </si>
  <si>
    <t>Buire-sur-l'Ancre</t>
  </si>
  <si>
    <t>80152</t>
  </si>
  <si>
    <t>Bus-la-Mésière</t>
  </si>
  <si>
    <t>80153</t>
  </si>
  <si>
    <t>Bus-lès-Artois</t>
  </si>
  <si>
    <t>80154</t>
  </si>
  <si>
    <t>Bussu</t>
  </si>
  <si>
    <t>80156</t>
  </si>
  <si>
    <t>Bussy-lès-Daours</t>
  </si>
  <si>
    <t>80157</t>
  </si>
  <si>
    <t>Bussy-lès-Poix</t>
  </si>
  <si>
    <t>80158</t>
  </si>
  <si>
    <t>Buverchy</t>
  </si>
  <si>
    <t>80159</t>
  </si>
  <si>
    <t>Cachy</t>
  </si>
  <si>
    <t>80161</t>
  </si>
  <si>
    <t>Cahon</t>
  </si>
  <si>
    <t>80163</t>
  </si>
  <si>
    <t>Cambron</t>
  </si>
  <si>
    <t>80165</t>
  </si>
  <si>
    <t>Camps-en-Amiénois</t>
  </si>
  <si>
    <t>80169</t>
  </si>
  <si>
    <t>Cannessières</t>
  </si>
  <si>
    <t>80170</t>
  </si>
  <si>
    <t>Cantigny</t>
  </si>
  <si>
    <t>80171</t>
  </si>
  <si>
    <t>Caours</t>
  </si>
  <si>
    <t>80173</t>
  </si>
  <si>
    <t>Cardonnette</t>
  </si>
  <si>
    <t>80174</t>
  </si>
  <si>
    <t>Le Cardonnois</t>
  </si>
  <si>
    <t>80176</t>
  </si>
  <si>
    <t>Carrépuis</t>
  </si>
  <si>
    <t>80179</t>
  </si>
  <si>
    <t>Caulières</t>
  </si>
  <si>
    <t>80180</t>
  </si>
  <si>
    <t>Cavillon</t>
  </si>
  <si>
    <t>80181</t>
  </si>
  <si>
    <t>Cayeux-en-Santerre</t>
  </si>
  <si>
    <t>80183</t>
  </si>
  <si>
    <t>Cerisy-Buleux</t>
  </si>
  <si>
    <t>80185</t>
  </si>
  <si>
    <t>Champien</t>
  </si>
  <si>
    <t>80188</t>
  </si>
  <si>
    <t>Chaussoy-Epagny</t>
  </si>
  <si>
    <t>80189</t>
  </si>
  <si>
    <t>La Chavatte</t>
  </si>
  <si>
    <t>80191</t>
  </si>
  <si>
    <t>Chilly</t>
  </si>
  <si>
    <t>80192</t>
  </si>
  <si>
    <t>Chipilly</t>
  </si>
  <si>
    <t>80193</t>
  </si>
  <si>
    <t>Chirmont</t>
  </si>
  <si>
    <t>80194</t>
  </si>
  <si>
    <t>Chuignes</t>
  </si>
  <si>
    <t>80195</t>
  </si>
  <si>
    <t>Chuignolles</t>
  </si>
  <si>
    <t>80196</t>
  </si>
  <si>
    <t>Citerne</t>
  </si>
  <si>
    <t>80197</t>
  </si>
  <si>
    <t>Cizancourt</t>
  </si>
  <si>
    <t>80198</t>
  </si>
  <si>
    <t>Clairy-Saulchoix</t>
  </si>
  <si>
    <t>80200</t>
  </si>
  <si>
    <t>Cocquerel</t>
  </si>
  <si>
    <t>80201</t>
  </si>
  <si>
    <t>Coigneux</t>
  </si>
  <si>
    <t>80202</t>
  </si>
  <si>
    <t>Coisy</t>
  </si>
  <si>
    <t>80203</t>
  </si>
  <si>
    <t>Colincamps</t>
  </si>
  <si>
    <t>80206</t>
  </si>
  <si>
    <t>Contalmaison</t>
  </si>
  <si>
    <t>80207</t>
  </si>
  <si>
    <t>Contay</t>
  </si>
  <si>
    <t>80208</t>
  </si>
  <si>
    <t>80210</t>
  </si>
  <si>
    <t>Contre</t>
  </si>
  <si>
    <t>80213</t>
  </si>
  <si>
    <t>Cottenchy</t>
  </si>
  <si>
    <t>80214</t>
  </si>
  <si>
    <t>Coullemelle</t>
  </si>
  <si>
    <t>80215</t>
  </si>
  <si>
    <t>Coulonvillers</t>
  </si>
  <si>
    <t>80216</t>
  </si>
  <si>
    <t>Courcelette</t>
  </si>
  <si>
    <t>80217</t>
  </si>
  <si>
    <t>Courcelles-au-Bois</t>
  </si>
  <si>
    <t>80218</t>
  </si>
  <si>
    <t>Courcelles-sous-Moyencourt</t>
  </si>
  <si>
    <t>80219</t>
  </si>
  <si>
    <t>Courcelles-sous-Thoix</t>
  </si>
  <si>
    <t>80220</t>
  </si>
  <si>
    <t>Courtemanche</t>
  </si>
  <si>
    <t>80223</t>
  </si>
  <si>
    <t>Crémery</t>
  </si>
  <si>
    <t>80224</t>
  </si>
  <si>
    <t>Cressy-Omencourt</t>
  </si>
  <si>
    <t>80225</t>
  </si>
  <si>
    <t>Creuse</t>
  </si>
  <si>
    <t>80227</t>
  </si>
  <si>
    <t>Croixrault</t>
  </si>
  <si>
    <t>80230</t>
  </si>
  <si>
    <t>Curchy</t>
  </si>
  <si>
    <t>80231</t>
  </si>
  <si>
    <t>Curlu</t>
  </si>
  <si>
    <t>80232</t>
  </si>
  <si>
    <t>Damery</t>
  </si>
  <si>
    <t>80233</t>
  </si>
  <si>
    <t>Dancourt-Popincourt</t>
  </si>
  <si>
    <t>80239</t>
  </si>
  <si>
    <t>Devise</t>
  </si>
  <si>
    <t>80242</t>
  </si>
  <si>
    <t>Domart-sur-la-Luce</t>
  </si>
  <si>
    <t>80243</t>
  </si>
  <si>
    <t>Domesmont</t>
  </si>
  <si>
    <t>80244</t>
  </si>
  <si>
    <t>Dominois</t>
  </si>
  <si>
    <t>80246</t>
  </si>
  <si>
    <t>Dommartin</t>
  </si>
  <si>
    <t>80249</t>
  </si>
  <si>
    <t>Domqueur</t>
  </si>
  <si>
    <t>80251</t>
  </si>
  <si>
    <t>Doudelainville</t>
  </si>
  <si>
    <t>80252</t>
  </si>
  <si>
    <t>Douilly</t>
  </si>
  <si>
    <t>80258</t>
  </si>
  <si>
    <t>Driencourt</t>
  </si>
  <si>
    <t>80259</t>
  </si>
  <si>
    <t>Dromesnil</t>
  </si>
  <si>
    <t>80262</t>
  </si>
  <si>
    <t>Eaucourt-sur-Somme</t>
  </si>
  <si>
    <t>80263</t>
  </si>
  <si>
    <t>L'Échelle-Saint-Aurin</t>
  </si>
  <si>
    <t>80264</t>
  </si>
  <si>
    <t>Éclusier-Vaux</t>
  </si>
  <si>
    <t>80266</t>
  </si>
  <si>
    <t>Englebelmer</t>
  </si>
  <si>
    <t>80267</t>
  </si>
  <si>
    <t>Ennemain</t>
  </si>
  <si>
    <t>80269</t>
  </si>
  <si>
    <t>Épaumesnil</t>
  </si>
  <si>
    <t>80270</t>
  </si>
  <si>
    <t>Épécamps</t>
  </si>
  <si>
    <t>80272</t>
  </si>
  <si>
    <t>Épénancourt</t>
  </si>
  <si>
    <t>80273</t>
  </si>
  <si>
    <t>Éplessier</t>
  </si>
  <si>
    <t>80275</t>
  </si>
  <si>
    <t>Équancourt</t>
  </si>
  <si>
    <t>80276</t>
  </si>
  <si>
    <t>Équennes-Éramecourt</t>
  </si>
  <si>
    <t>80278</t>
  </si>
  <si>
    <t>Erches</t>
  </si>
  <si>
    <t>80279</t>
  </si>
  <si>
    <t>Ercheu</t>
  </si>
  <si>
    <t>80280</t>
  </si>
  <si>
    <t>Ercourt</t>
  </si>
  <si>
    <t>80281</t>
  </si>
  <si>
    <t>Ergnies</t>
  </si>
  <si>
    <t>80283</t>
  </si>
  <si>
    <t>Esclainvillers</t>
  </si>
  <si>
    <t>80285</t>
  </si>
  <si>
    <t>Essertaux</t>
  </si>
  <si>
    <t>80287</t>
  </si>
  <si>
    <t>Estrébœuf</t>
  </si>
  <si>
    <t>80290</t>
  </si>
  <si>
    <t>Estrées-lès-Crécy</t>
  </si>
  <si>
    <t>80291</t>
  </si>
  <si>
    <t>Estrées-sur-Noye</t>
  </si>
  <si>
    <t>80292</t>
  </si>
  <si>
    <t>Étalon</t>
  </si>
  <si>
    <t>80293</t>
  </si>
  <si>
    <t>Ételfay</t>
  </si>
  <si>
    <t>80294</t>
  </si>
  <si>
    <t>80297</t>
  </si>
  <si>
    <t>Étréjust</t>
  </si>
  <si>
    <t>80298</t>
  </si>
  <si>
    <t>Étricourt-Manancourt</t>
  </si>
  <si>
    <t>80300</t>
  </si>
  <si>
    <t>Falvy</t>
  </si>
  <si>
    <t>80301</t>
  </si>
  <si>
    <t>80302</t>
  </si>
  <si>
    <t>80304</t>
  </si>
  <si>
    <t>Fay</t>
  </si>
  <si>
    <t>80305</t>
  </si>
  <si>
    <t>80306</t>
  </si>
  <si>
    <t>Fescamps</t>
  </si>
  <si>
    <t>80307</t>
  </si>
  <si>
    <t>Feuillères</t>
  </si>
  <si>
    <t>80311</t>
  </si>
  <si>
    <t>Fignières</t>
  </si>
  <si>
    <t>80312</t>
  </si>
  <si>
    <t>Fins</t>
  </si>
  <si>
    <t>80313</t>
  </si>
  <si>
    <t>Flaucourt</t>
  </si>
  <si>
    <t>80314</t>
  </si>
  <si>
    <t>80317</t>
  </si>
  <si>
    <t>80319</t>
  </si>
  <si>
    <t>Fluy</t>
  </si>
  <si>
    <t>80320</t>
  </si>
  <si>
    <t>Folies</t>
  </si>
  <si>
    <t>80321</t>
  </si>
  <si>
    <t>Folleville</t>
  </si>
  <si>
    <t>80324</t>
  </si>
  <si>
    <t>Fontaine-le-Sec</t>
  </si>
  <si>
    <t>80325</t>
  </si>
  <si>
    <t>Fontaine-lès-Cappy</t>
  </si>
  <si>
    <t>80326</t>
  </si>
  <si>
    <t>Fontaine-sous-Montdidier</t>
  </si>
  <si>
    <t>80327</t>
  </si>
  <si>
    <t>Fontaine-sur-Maye</t>
  </si>
  <si>
    <t>80329</t>
  </si>
  <si>
    <t>Forceville</t>
  </si>
  <si>
    <t>80330</t>
  </si>
  <si>
    <t>Forceville-en-Vimeu</t>
  </si>
  <si>
    <t>80332</t>
  </si>
  <si>
    <t>Forest-Montiers</t>
  </si>
  <si>
    <t>80334</t>
  </si>
  <si>
    <t>Fossemanant</t>
  </si>
  <si>
    <t>80335</t>
  </si>
  <si>
    <t>Foucaucourt-en-Santerre</t>
  </si>
  <si>
    <t>80336</t>
  </si>
  <si>
    <t>Foucaucourt-Hors-Nesle</t>
  </si>
  <si>
    <t>80337</t>
  </si>
  <si>
    <t>Fouencamps</t>
  </si>
  <si>
    <t>80339</t>
  </si>
  <si>
    <t>Fouquescourt</t>
  </si>
  <si>
    <t>80340</t>
  </si>
  <si>
    <t>Fourcigny</t>
  </si>
  <si>
    <t>80341</t>
  </si>
  <si>
    <t>Fourdrinoy</t>
  </si>
  <si>
    <t>80343</t>
  </si>
  <si>
    <t>Framicourt</t>
  </si>
  <si>
    <t>80344</t>
  </si>
  <si>
    <t>80345</t>
  </si>
  <si>
    <t>Franleu</t>
  </si>
  <si>
    <t>80346</t>
  </si>
  <si>
    <t>80347</t>
  </si>
  <si>
    <t>Fransart</t>
  </si>
  <si>
    <t>80348</t>
  </si>
  <si>
    <t>Fransu</t>
  </si>
  <si>
    <t>80349</t>
  </si>
  <si>
    <t>Fransures</t>
  </si>
  <si>
    <t>80350</t>
  </si>
  <si>
    <t>Franvillers</t>
  </si>
  <si>
    <t>80351</t>
  </si>
  <si>
    <t>Fréchencourt</t>
  </si>
  <si>
    <t>80352</t>
  </si>
  <si>
    <t>Frémontiers</t>
  </si>
  <si>
    <t>80353</t>
  </si>
  <si>
    <t>Fresnes-Mazancourt</t>
  </si>
  <si>
    <t>80354</t>
  </si>
  <si>
    <t>Fresnes-Tilloloy</t>
  </si>
  <si>
    <t>80355</t>
  </si>
  <si>
    <t>Fresneville</t>
  </si>
  <si>
    <t>80356</t>
  </si>
  <si>
    <t>Fresnoy-Andainville</t>
  </si>
  <si>
    <t>80357</t>
  </si>
  <si>
    <t>Fresnoy-au-Val</t>
  </si>
  <si>
    <t>80358</t>
  </si>
  <si>
    <t>Fresnoy-en-Chaussée</t>
  </si>
  <si>
    <t>80359</t>
  </si>
  <si>
    <t>Fresnoy-lès-Roye</t>
  </si>
  <si>
    <t>80361</t>
  </si>
  <si>
    <t>Frettecuisse</t>
  </si>
  <si>
    <t>80362</t>
  </si>
  <si>
    <t>Frettemeule</t>
  </si>
  <si>
    <t>80365</t>
  </si>
  <si>
    <t>Fricamps</t>
  </si>
  <si>
    <t>80366</t>
  </si>
  <si>
    <t>Fricourt</t>
  </si>
  <si>
    <t>80369</t>
  </si>
  <si>
    <t>Frohen-sur-Authie</t>
  </si>
  <si>
    <t>80371</t>
  </si>
  <si>
    <t>Froyelles</t>
  </si>
  <si>
    <t>80372</t>
  </si>
  <si>
    <t>Frucourt</t>
  </si>
  <si>
    <t>80374</t>
  </si>
  <si>
    <t>Gapennes</t>
  </si>
  <si>
    <t>80375</t>
  </si>
  <si>
    <t>Gauville</t>
  </si>
  <si>
    <t>80378</t>
  </si>
  <si>
    <t>Ginchy</t>
  </si>
  <si>
    <t>80379</t>
  </si>
  <si>
    <t>Glisy</t>
  </si>
  <si>
    <t>80380</t>
  </si>
  <si>
    <t>Gorenflos</t>
  </si>
  <si>
    <t>80381</t>
  </si>
  <si>
    <t>Gorges</t>
  </si>
  <si>
    <t>80383</t>
  </si>
  <si>
    <t>Goyencourt</t>
  </si>
  <si>
    <t>80384</t>
  </si>
  <si>
    <t>Grandcourt</t>
  </si>
  <si>
    <t>80386</t>
  </si>
  <si>
    <t>Gratibus</t>
  </si>
  <si>
    <t>80387</t>
  </si>
  <si>
    <t>Grattepanche</t>
  </si>
  <si>
    <t>80388</t>
  </si>
  <si>
    <t>Grébault-Mesnil</t>
  </si>
  <si>
    <t>80390</t>
  </si>
  <si>
    <t>Grivesnes</t>
  </si>
  <si>
    <t>80391</t>
  </si>
  <si>
    <t>Grivillers</t>
  </si>
  <si>
    <t>80392</t>
  </si>
  <si>
    <t>Grouches-Luchuel</t>
  </si>
  <si>
    <t>80393</t>
  </si>
  <si>
    <t>Gruny</t>
  </si>
  <si>
    <t>80396</t>
  </si>
  <si>
    <t>Gueschart</t>
  </si>
  <si>
    <t>80397</t>
  </si>
  <si>
    <t>Gueudecourt</t>
  </si>
  <si>
    <t>80399</t>
  </si>
  <si>
    <t>Guignemicourt</t>
  </si>
  <si>
    <t>80401</t>
  </si>
  <si>
    <t>Guillemont</t>
  </si>
  <si>
    <t>80402</t>
  </si>
  <si>
    <t>Guizancourt</t>
  </si>
  <si>
    <t>80403</t>
  </si>
  <si>
    <t>Guyencourt-sur-Noye</t>
  </si>
  <si>
    <t>80404</t>
  </si>
  <si>
    <t>Guyencourt-Saulcourt</t>
  </si>
  <si>
    <t>80405</t>
  </si>
  <si>
    <t>Hailles</t>
  </si>
  <si>
    <t>80407</t>
  </si>
  <si>
    <t>Hallivillers</t>
  </si>
  <si>
    <t>80408</t>
  </si>
  <si>
    <t>Halloy-lès-Pernois</t>
  </si>
  <si>
    <t>80409</t>
  </si>
  <si>
    <t>Hallu</t>
  </si>
  <si>
    <t>80413</t>
  </si>
  <si>
    <t>Hancourt</t>
  </si>
  <si>
    <t>80414</t>
  </si>
  <si>
    <t>Hangard</t>
  </si>
  <si>
    <t>80418</t>
  </si>
  <si>
    <t>Hardecourt-aux-Bois</t>
  </si>
  <si>
    <t>80420</t>
  </si>
  <si>
    <t>Harponville</t>
  </si>
  <si>
    <t>80424</t>
  </si>
  <si>
    <t>Hébécourt</t>
  </si>
  <si>
    <t>80425</t>
  </si>
  <si>
    <t>Hédauville</t>
  </si>
  <si>
    <t>80426</t>
  </si>
  <si>
    <t>Heilly</t>
  </si>
  <si>
    <t>80427</t>
  </si>
  <si>
    <t>Hem-Hardinval</t>
  </si>
  <si>
    <t>80428</t>
  </si>
  <si>
    <t>Hem-Monacu</t>
  </si>
  <si>
    <t>80429</t>
  </si>
  <si>
    <t>Hénencourt</t>
  </si>
  <si>
    <t>80430</t>
  </si>
  <si>
    <t>Herbécourt</t>
  </si>
  <si>
    <t>80432</t>
  </si>
  <si>
    <t>Herleville</t>
  </si>
  <si>
    <t>80433</t>
  </si>
  <si>
    <t>80434</t>
  </si>
  <si>
    <t>Hervilly</t>
  </si>
  <si>
    <t>80435</t>
  </si>
  <si>
    <t>Hesbécourt</t>
  </si>
  <si>
    <t>80437</t>
  </si>
  <si>
    <t>Heucourt-Croquoison</t>
  </si>
  <si>
    <t>80439</t>
  </si>
  <si>
    <t>Heuzecourt</t>
  </si>
  <si>
    <t>80440</t>
  </si>
  <si>
    <t>Hiermont</t>
  </si>
  <si>
    <t>80445</t>
  </si>
  <si>
    <t>Humbercourt</t>
  </si>
  <si>
    <t>80449</t>
  </si>
  <si>
    <t>Ignaucourt</t>
  </si>
  <si>
    <t>80450</t>
  </si>
  <si>
    <t>Inval-Boiron</t>
  </si>
  <si>
    <t>80451</t>
  </si>
  <si>
    <t>Irles</t>
  </si>
  <si>
    <t>80452</t>
  </si>
  <si>
    <t>Jumel</t>
  </si>
  <si>
    <t>80453</t>
  </si>
  <si>
    <t>Laboissière-en-Santerre</t>
  </si>
  <si>
    <t>80455</t>
  </si>
  <si>
    <t>Lachapelle</t>
  </si>
  <si>
    <t>80458</t>
  </si>
  <si>
    <t>Lahoussoye</t>
  </si>
  <si>
    <t>80459</t>
  </si>
  <si>
    <t>Laleu</t>
  </si>
  <si>
    <t>80460</t>
  </si>
  <si>
    <t>Lamaronde</t>
  </si>
  <si>
    <t>80461</t>
  </si>
  <si>
    <t>Lamotte-Brebière</t>
  </si>
  <si>
    <t>80462</t>
  </si>
  <si>
    <t>Lamotte-Buleux</t>
  </si>
  <si>
    <t>80465</t>
  </si>
  <si>
    <t>Languevoisin-Quiquery</t>
  </si>
  <si>
    <t>80466</t>
  </si>
  <si>
    <t>Lanches-Saint-Hilaire</t>
  </si>
  <si>
    <t>80467</t>
  </si>
  <si>
    <t>Laucourt</t>
  </si>
  <si>
    <t>80468</t>
  </si>
  <si>
    <t>Laviéville</t>
  </si>
  <si>
    <t>80469</t>
  </si>
  <si>
    <t>Lawarde-Mauger-l'Hortoy</t>
  </si>
  <si>
    <t>80470</t>
  </si>
  <si>
    <t>Léalvillers</t>
  </si>
  <si>
    <t>80472</t>
  </si>
  <si>
    <t>Lesbœufs</t>
  </si>
  <si>
    <t>80477</t>
  </si>
  <si>
    <t>Ligescourt</t>
  </si>
  <si>
    <t>80478</t>
  </si>
  <si>
    <t>Lignières</t>
  </si>
  <si>
    <t>80479</t>
  </si>
  <si>
    <t>Lignières-Châtelain</t>
  </si>
  <si>
    <t>80480</t>
  </si>
  <si>
    <t>Lignières-en-Vimeu</t>
  </si>
  <si>
    <t>80482</t>
  </si>
  <si>
    <t>Limeux</t>
  </si>
  <si>
    <t>80485</t>
  </si>
  <si>
    <t>Ô-de-Selle</t>
  </si>
  <si>
    <t>80487</t>
  </si>
  <si>
    <t>Longavesnes</t>
  </si>
  <si>
    <t>80490</t>
  </si>
  <si>
    <t>Longueval</t>
  </si>
  <si>
    <t>80491</t>
  </si>
  <si>
    <t>Longuevillette</t>
  </si>
  <si>
    <t>80493</t>
  </si>
  <si>
    <t>Louvencourt</t>
  </si>
  <si>
    <t>80494</t>
  </si>
  <si>
    <t>Louvrechy</t>
  </si>
  <si>
    <t>80495</t>
  </si>
  <si>
    <t>Lucheux</t>
  </si>
  <si>
    <t>80496</t>
  </si>
  <si>
    <t>Machiel</t>
  </si>
  <si>
    <t>80499</t>
  </si>
  <si>
    <t>Mailly-Raineval</t>
  </si>
  <si>
    <t>80500</t>
  </si>
  <si>
    <t>Maisnières</t>
  </si>
  <si>
    <t>80501</t>
  </si>
  <si>
    <t>Maison-Ponthieu</t>
  </si>
  <si>
    <t>80502</t>
  </si>
  <si>
    <t>Maison-Roland</t>
  </si>
  <si>
    <t>80503</t>
  </si>
  <si>
    <t>Maizicourt</t>
  </si>
  <si>
    <t>80504</t>
  </si>
  <si>
    <t>Malpart</t>
  </si>
  <si>
    <t>80505</t>
  </si>
  <si>
    <t>Carnoy-Mametz</t>
  </si>
  <si>
    <t>80508</t>
  </si>
  <si>
    <t>Marché-Allouarde</t>
  </si>
  <si>
    <t>80509</t>
  </si>
  <si>
    <t>Marchélepot-Misery</t>
  </si>
  <si>
    <t>80511</t>
  </si>
  <si>
    <t>Marestmontiers</t>
  </si>
  <si>
    <t>80513</t>
  </si>
  <si>
    <t>Maricourt</t>
  </si>
  <si>
    <t>80514</t>
  </si>
  <si>
    <t>Marieux</t>
  </si>
  <si>
    <t>80515</t>
  </si>
  <si>
    <t>Marlers</t>
  </si>
  <si>
    <t>80516</t>
  </si>
  <si>
    <t>Marquaix</t>
  </si>
  <si>
    <t>80517</t>
  </si>
  <si>
    <t>Marquivillers</t>
  </si>
  <si>
    <t>80518</t>
  </si>
  <si>
    <t>Martainneville</t>
  </si>
  <si>
    <t>80519</t>
  </si>
  <si>
    <t>Matigny</t>
  </si>
  <si>
    <t>80520</t>
  </si>
  <si>
    <t>80521</t>
  </si>
  <si>
    <t>Maurepas</t>
  </si>
  <si>
    <t>80522</t>
  </si>
  <si>
    <t>Le Mazis</t>
  </si>
  <si>
    <t>80525</t>
  </si>
  <si>
    <t>Meigneux</t>
  </si>
  <si>
    <t>80526</t>
  </si>
  <si>
    <t>Le Meillard</t>
  </si>
  <si>
    <t>80527</t>
  </si>
  <si>
    <t>Méneslies</t>
  </si>
  <si>
    <t>80528</t>
  </si>
  <si>
    <t>Méréaucourt</t>
  </si>
  <si>
    <t>80529</t>
  </si>
  <si>
    <t>Mérélessart</t>
  </si>
  <si>
    <t>80531</t>
  </si>
  <si>
    <t>Méricourt-en-Vimeu</t>
  </si>
  <si>
    <t>80535</t>
  </si>
  <si>
    <t>Le Mesge</t>
  </si>
  <si>
    <t>80536</t>
  </si>
  <si>
    <t>Mesnil-Bruntel</t>
  </si>
  <si>
    <t>80537</t>
  </si>
  <si>
    <t>Mesnil-Domqueur</t>
  </si>
  <si>
    <t>80538</t>
  </si>
  <si>
    <t>Mesnil-en-Arrouaise</t>
  </si>
  <si>
    <t>80540</t>
  </si>
  <si>
    <t>Mesnil-Martinsart</t>
  </si>
  <si>
    <t>80541</t>
  </si>
  <si>
    <t>Mesnil-Saint-Georges</t>
  </si>
  <si>
    <t>80543</t>
  </si>
  <si>
    <t>Métigny</t>
  </si>
  <si>
    <t>80544</t>
  </si>
  <si>
    <t>Mézerolles</t>
  </si>
  <si>
    <t>80545</t>
  </si>
  <si>
    <t>Mézières-en-Santerre</t>
  </si>
  <si>
    <t>80547</t>
  </si>
  <si>
    <t>Millencourt</t>
  </si>
  <si>
    <t>80548</t>
  </si>
  <si>
    <t>Millencourt-en-Ponthieu</t>
  </si>
  <si>
    <t>80549</t>
  </si>
  <si>
    <t>Miraumont</t>
  </si>
  <si>
    <t>80550</t>
  </si>
  <si>
    <t>Mirvaux</t>
  </si>
  <si>
    <t>80559</t>
  </si>
  <si>
    <t>Montagne-Fayel</t>
  </si>
  <si>
    <t>80560</t>
  </si>
  <si>
    <t>Montauban-de-Picardie</t>
  </si>
  <si>
    <t>80562</t>
  </si>
  <si>
    <t>Montigny-sur-l'Hallue</t>
  </si>
  <si>
    <t>80563</t>
  </si>
  <si>
    <t>Montigny-les-Jongleurs</t>
  </si>
  <si>
    <t>80565</t>
  </si>
  <si>
    <t>Montonvillers</t>
  </si>
  <si>
    <t>80569</t>
  </si>
  <si>
    <t>80571</t>
  </si>
  <si>
    <t>Morisel</t>
  </si>
  <si>
    <t>80574</t>
  </si>
  <si>
    <t>Mouflers</t>
  </si>
  <si>
    <t>80575</t>
  </si>
  <si>
    <t>Mouflières</t>
  </si>
  <si>
    <t>80576</t>
  </si>
  <si>
    <t>Moyencourt</t>
  </si>
  <si>
    <t>80577</t>
  </si>
  <si>
    <t>Moyencourt-lès-Poix</t>
  </si>
  <si>
    <t>80580</t>
  </si>
  <si>
    <t>Nampont</t>
  </si>
  <si>
    <t>80583</t>
  </si>
  <si>
    <t>Nampty</t>
  </si>
  <si>
    <t>80586</t>
  </si>
  <si>
    <t>Nesle-l'Hôpital</t>
  </si>
  <si>
    <t>80587</t>
  </si>
  <si>
    <t>Neslette</t>
  </si>
  <si>
    <t>80588</t>
  </si>
  <si>
    <t>Neufmoulin</t>
  </si>
  <si>
    <t>80589</t>
  </si>
  <si>
    <t>Neuilly-le-Dien</t>
  </si>
  <si>
    <t>80591</t>
  </si>
  <si>
    <t>Neuville-au-Bois</t>
  </si>
  <si>
    <t>80595</t>
  </si>
  <si>
    <t>La Neuville-Sire-Bernard</t>
  </si>
  <si>
    <t>80597</t>
  </si>
  <si>
    <t>Nibas</t>
  </si>
  <si>
    <t>80599</t>
  </si>
  <si>
    <t>Noyelles-en-Chaussée</t>
  </si>
  <si>
    <t>80602</t>
  </si>
  <si>
    <t>Occoches</t>
  </si>
  <si>
    <t>80603</t>
  </si>
  <si>
    <t>Ochancourt</t>
  </si>
  <si>
    <t>80604</t>
  </si>
  <si>
    <t>Offignies</t>
  </si>
  <si>
    <t>80605</t>
  </si>
  <si>
    <t>80607</t>
  </si>
  <si>
    <t>Oissy</t>
  </si>
  <si>
    <t>80609</t>
  </si>
  <si>
    <t>Oneux</t>
  </si>
  <si>
    <t>80613</t>
  </si>
  <si>
    <t>Oust-Marest</t>
  </si>
  <si>
    <t>80614</t>
  </si>
  <si>
    <t>Outrebois</t>
  </si>
  <si>
    <t>80615</t>
  </si>
  <si>
    <t>Ovillers-la-Boisselle</t>
  </si>
  <si>
    <t>80616</t>
  </si>
  <si>
    <t>Pargny</t>
  </si>
  <si>
    <t>80617</t>
  </si>
  <si>
    <t>Parvillers-le-Quesnoy</t>
  </si>
  <si>
    <t>80623</t>
  </si>
  <si>
    <t>Piennes-Onvillers</t>
  </si>
  <si>
    <t>80624</t>
  </si>
  <si>
    <t>Pierregot</t>
  </si>
  <si>
    <t>80626</t>
  </si>
  <si>
    <t>Pissy</t>
  </si>
  <si>
    <t>80629</t>
  </si>
  <si>
    <t>Pœuilly</t>
  </si>
  <si>
    <t>80631</t>
  </si>
  <si>
    <t>Ponches-Estruval</t>
  </si>
  <si>
    <t>80633</t>
  </si>
  <si>
    <t>Ponthoile</t>
  </si>
  <si>
    <t>80634</t>
  </si>
  <si>
    <t>Pont-Noyelles</t>
  </si>
  <si>
    <t>80637</t>
  </si>
  <si>
    <t>Port-le-Grand</t>
  </si>
  <si>
    <t>80638</t>
  </si>
  <si>
    <t>Potte</t>
  </si>
  <si>
    <t>80640</t>
  </si>
  <si>
    <t>Pozières</t>
  </si>
  <si>
    <t>80642</t>
  </si>
  <si>
    <t>Prouville</t>
  </si>
  <si>
    <t>80643</t>
  </si>
  <si>
    <t>Prouzel</t>
  </si>
  <si>
    <t>80646</t>
  </si>
  <si>
    <t>Punchy</t>
  </si>
  <si>
    <t>80647</t>
  </si>
  <si>
    <t>Puzeaux</t>
  </si>
  <si>
    <t>80648</t>
  </si>
  <si>
    <t>Pys</t>
  </si>
  <si>
    <t>80650</t>
  </si>
  <si>
    <t>Querrieu</t>
  </si>
  <si>
    <t>80657</t>
  </si>
  <si>
    <t>Quiry-le-Sec</t>
  </si>
  <si>
    <t>80658</t>
  </si>
  <si>
    <t>Quivières</t>
  </si>
  <si>
    <t>80662</t>
  </si>
  <si>
    <t>Ramburelles</t>
  </si>
  <si>
    <t>80663</t>
  </si>
  <si>
    <t>Rambures</t>
  </si>
  <si>
    <t>80664</t>
  </si>
  <si>
    <t>Rancourt</t>
  </si>
  <si>
    <t>80665</t>
  </si>
  <si>
    <t>Regnière-Écluse</t>
  </si>
  <si>
    <t>80666</t>
  </si>
  <si>
    <t>Remaisnil</t>
  </si>
  <si>
    <t>80667</t>
  </si>
  <si>
    <t>Remaugies</t>
  </si>
  <si>
    <t>80668</t>
  </si>
  <si>
    <t>Remiencourt</t>
  </si>
  <si>
    <t>80670</t>
  </si>
  <si>
    <t>Revelles</t>
  </si>
  <si>
    <t>80671</t>
  </si>
  <si>
    <t>Ribeaucourt</t>
  </si>
  <si>
    <t>80673</t>
  </si>
  <si>
    <t>Riencourt</t>
  </si>
  <si>
    <t>80675</t>
  </si>
  <si>
    <t>Rogy</t>
  </si>
  <si>
    <t>80676</t>
  </si>
  <si>
    <t>Roiglise</t>
  </si>
  <si>
    <t>80681</t>
  </si>
  <si>
    <t>Rouvrel</t>
  </si>
  <si>
    <t>80682</t>
  </si>
  <si>
    <t>Rouvroy-en-Santerre</t>
  </si>
  <si>
    <t>80683</t>
  </si>
  <si>
    <t>Rouy-le-Grand</t>
  </si>
  <si>
    <t>80684</t>
  </si>
  <si>
    <t>Rouy-le-Petit</t>
  </si>
  <si>
    <t>80687</t>
  </si>
  <si>
    <t>Rubescourt</t>
  </si>
  <si>
    <t>80691</t>
  </si>
  <si>
    <t>Saigneville</t>
  </si>
  <si>
    <t>80693</t>
  </si>
  <si>
    <t>Sailly-Laurette</t>
  </si>
  <si>
    <t>80694</t>
  </si>
  <si>
    <t>Sailly-le-Sec</t>
  </si>
  <si>
    <t>80697</t>
  </si>
  <si>
    <t>Saint-Acheul</t>
  </si>
  <si>
    <t>80698</t>
  </si>
  <si>
    <t>Saint-Aubin-Montenoy</t>
  </si>
  <si>
    <t>80699</t>
  </si>
  <si>
    <t>Saint-Aubin-Rivière</t>
  </si>
  <si>
    <t>80700</t>
  </si>
  <si>
    <t>Saint-Blimont</t>
  </si>
  <si>
    <t>80701</t>
  </si>
  <si>
    <t>Saint-Christ-Briost</t>
  </si>
  <si>
    <t>80703</t>
  </si>
  <si>
    <t>Saint-Germain-sur-Bresle</t>
  </si>
  <si>
    <t>80704</t>
  </si>
  <si>
    <t>Saint-Gratien</t>
  </si>
  <si>
    <t>80705</t>
  </si>
  <si>
    <t>Saint-Léger-lès-Authie</t>
  </si>
  <si>
    <t>80707</t>
  </si>
  <si>
    <t>Saint-Léger-sur-Bresle</t>
  </si>
  <si>
    <t>80708</t>
  </si>
  <si>
    <t>80709</t>
  </si>
  <si>
    <t>Saint-Maulvis</t>
  </si>
  <si>
    <t>80710</t>
  </si>
  <si>
    <t>Saint-Maxent</t>
  </si>
  <si>
    <t>80719</t>
  </si>
  <si>
    <t>Sainte-Segrée</t>
  </si>
  <si>
    <t>80723</t>
  </si>
  <si>
    <t>Saisseval</t>
  </si>
  <si>
    <t>80726</t>
  </si>
  <si>
    <t>80728</t>
  </si>
  <si>
    <t>Saulchoy-sous-Poix</t>
  </si>
  <si>
    <t>80729</t>
  </si>
  <si>
    <t>Sauvillers-Mongival</t>
  </si>
  <si>
    <t>80732</t>
  </si>
  <si>
    <t>Senarpont</t>
  </si>
  <si>
    <t>80733</t>
  </si>
  <si>
    <t>Senlis-le-Sec</t>
  </si>
  <si>
    <t>80734</t>
  </si>
  <si>
    <t>Sentelie</t>
  </si>
  <si>
    <t>80735</t>
  </si>
  <si>
    <t>Seux</t>
  </si>
  <si>
    <t>80736</t>
  </si>
  <si>
    <t>Sorel-en-Vimeu</t>
  </si>
  <si>
    <t>80737</t>
  </si>
  <si>
    <t>Sorel</t>
  </si>
  <si>
    <t>80738</t>
  </si>
  <si>
    <t>Soues</t>
  </si>
  <si>
    <t>80740</t>
  </si>
  <si>
    <t>Sourdon</t>
  </si>
  <si>
    <t>80741</t>
  </si>
  <si>
    <t>Soyécourt</t>
  </si>
  <si>
    <t>80742</t>
  </si>
  <si>
    <t>Surcamps</t>
  </si>
  <si>
    <t>80743</t>
  </si>
  <si>
    <t>Suzanne</t>
  </si>
  <si>
    <t>80744</t>
  </si>
  <si>
    <t>Tailly</t>
  </si>
  <si>
    <t>80747</t>
  </si>
  <si>
    <t>Templeux-la-Fosse</t>
  </si>
  <si>
    <t>80748</t>
  </si>
  <si>
    <t>Templeux-le-Guérard</t>
  </si>
  <si>
    <t>80749</t>
  </si>
  <si>
    <t>Terramesnil</t>
  </si>
  <si>
    <t>80750</t>
  </si>
  <si>
    <t>Tertry</t>
  </si>
  <si>
    <t>80752</t>
  </si>
  <si>
    <t>Thézy-Glimont</t>
  </si>
  <si>
    <t>80753</t>
  </si>
  <si>
    <t>Thiepval</t>
  </si>
  <si>
    <t>80755</t>
  </si>
  <si>
    <t>Thieulloy-la-Ville</t>
  </si>
  <si>
    <t>80756</t>
  </si>
  <si>
    <t>80757</t>
  </si>
  <si>
    <t>Thoix</t>
  </si>
  <si>
    <t>80758</t>
  </si>
  <si>
    <t>Thory</t>
  </si>
  <si>
    <t>80760</t>
  </si>
  <si>
    <t>Tilloy-Floriville</t>
  </si>
  <si>
    <t>80763</t>
  </si>
  <si>
    <t>Le Titre</t>
  </si>
  <si>
    <t>80764</t>
  </si>
  <si>
    <t>Tœufles</t>
  </si>
  <si>
    <t>80766</t>
  </si>
  <si>
    <t>Toutencourt</t>
  </si>
  <si>
    <t>80767</t>
  </si>
  <si>
    <t>Le Translay</t>
  </si>
  <si>
    <t>80769</t>
  </si>
  <si>
    <t>Treux</t>
  </si>
  <si>
    <t>80771</t>
  </si>
  <si>
    <t>Ugny-l'Équipée</t>
  </si>
  <si>
    <t>80773</t>
  </si>
  <si>
    <t>80774</t>
  </si>
  <si>
    <t>Vaire-sous-Corbie</t>
  </si>
  <si>
    <t>80775</t>
  </si>
  <si>
    <t>Valines</t>
  </si>
  <si>
    <t>80776</t>
  </si>
  <si>
    <t>Varennes</t>
  </si>
  <si>
    <t>80777</t>
  </si>
  <si>
    <t>Vauchelles-lès-Authie</t>
  </si>
  <si>
    <t>80778</t>
  </si>
  <si>
    <t>Vauchelles-lès-Domart</t>
  </si>
  <si>
    <t>80781</t>
  </si>
  <si>
    <t>Vauvillers</t>
  </si>
  <si>
    <t>80782</t>
  </si>
  <si>
    <t>Vaux-en-Amiénois</t>
  </si>
  <si>
    <t>80783</t>
  </si>
  <si>
    <t>Vaux-Marquenneville</t>
  </si>
  <si>
    <t>80784</t>
  </si>
  <si>
    <t>Vaux-sur-Somme</t>
  </si>
  <si>
    <t>80786</t>
  </si>
  <si>
    <t>80787</t>
  </si>
  <si>
    <t>Vercourt</t>
  </si>
  <si>
    <t>80788</t>
  </si>
  <si>
    <t>Vergies</t>
  </si>
  <si>
    <t>80789</t>
  </si>
  <si>
    <t>Vermandovillers</t>
  </si>
  <si>
    <t>80790</t>
  </si>
  <si>
    <t>Verpillières</t>
  </si>
  <si>
    <t>80792</t>
  </si>
  <si>
    <t>La Vicogne</t>
  </si>
  <si>
    <t>80794</t>
  </si>
  <si>
    <t>Villecourt</t>
  </si>
  <si>
    <t>80796</t>
  </si>
  <si>
    <t>Villeroy</t>
  </si>
  <si>
    <t>80797</t>
  </si>
  <si>
    <t>Villers-aux-Érables</t>
  </si>
  <si>
    <t>80800</t>
  </si>
  <si>
    <t>Villers-Campsart</t>
  </si>
  <si>
    <t>80801</t>
  </si>
  <si>
    <t>Villers-Carbonnel</t>
  </si>
  <si>
    <t>80803</t>
  </si>
  <si>
    <t>Villers-lès-Roye</t>
  </si>
  <si>
    <t>80804</t>
  </si>
  <si>
    <t>Villers-sous-Ailly</t>
  </si>
  <si>
    <t>80805</t>
  </si>
  <si>
    <t>Villers-Tournelle</t>
  </si>
  <si>
    <t>80806</t>
  </si>
  <si>
    <t>Villers-sur-Authie</t>
  </si>
  <si>
    <t>80808</t>
  </si>
  <si>
    <t>Vironchaux</t>
  </si>
  <si>
    <t>80809</t>
  </si>
  <si>
    <t>Vismes</t>
  </si>
  <si>
    <t>80810</t>
  </si>
  <si>
    <t>Vitz-sur-Authie</t>
  </si>
  <si>
    <t>80812</t>
  </si>
  <si>
    <t>Vraignes-en-Vermandois</t>
  </si>
  <si>
    <t>80813</t>
  </si>
  <si>
    <t>Vraignes-lès-Hornoy</t>
  </si>
  <si>
    <t>80814</t>
  </si>
  <si>
    <t>Vrély</t>
  </si>
  <si>
    <t>80819</t>
  </si>
  <si>
    <t>Wargnies</t>
  </si>
  <si>
    <t>80820</t>
  </si>
  <si>
    <t>Warloy-Baillon</t>
  </si>
  <si>
    <t>80821</t>
  </si>
  <si>
    <t>80822</t>
  </si>
  <si>
    <t>Warsy</t>
  </si>
  <si>
    <t>80823</t>
  </si>
  <si>
    <t>Warvillers</t>
  </si>
  <si>
    <t>80824</t>
  </si>
  <si>
    <t>Wiencourt-l'Équipée</t>
  </si>
  <si>
    <t>80825</t>
  </si>
  <si>
    <t>Wiry-au-Mont</t>
  </si>
  <si>
    <t>80828</t>
  </si>
  <si>
    <t>Woirel</t>
  </si>
  <si>
    <t>80829</t>
  </si>
  <si>
    <t>Y</t>
  </si>
  <si>
    <t>80832</t>
  </si>
  <si>
    <t>Yvrench</t>
  </si>
  <si>
    <t>80833</t>
  </si>
  <si>
    <t>Yvrencheux</t>
  </si>
  <si>
    <t>80835</t>
  </si>
  <si>
    <t>Yzeux</t>
  </si>
  <si>
    <t>80836</t>
  </si>
  <si>
    <t>Yonval</t>
  </si>
  <si>
    <t xml:space="preserve">MEDIAN de taux de pauvreté </t>
  </si>
  <si>
    <t>SUM de population 2023</t>
  </si>
  <si>
    <t>Minimum</t>
  </si>
  <si>
    <t>Q1</t>
  </si>
  <si>
    <t>Médiane</t>
  </si>
  <si>
    <t>Q3</t>
  </si>
  <si>
    <t>Moyenne pondérée par population</t>
  </si>
  <si>
    <t>Maximum</t>
  </si>
  <si>
    <t>Étape 5 : 3783 communes ne disposent pas de taux de pauvretée de disponible, cela concerne 5992194 personnes</t>
  </si>
  <si>
    <t>Deux intercomunalitées débordent sur la Normandie : La communauté de communes interrégionale Aumale et La communauté de communes des Villes Sœurs</t>
  </si>
  <si>
    <t>Population des Villes Soeurs : 35 390 - total HDF seulement : 13 674 âmes</t>
  </si>
  <si>
    <t xml:space="preserve">Population de Aumale : 21 154 - total HDF seulement : 4261 âmes. Différence de </t>
  </si>
  <si>
    <t>Je choisi d'utiliser la maille de l'intercommunalité car toutes les données de pauvrétée sont dispo</t>
  </si>
  <si>
    <t>Je prendra le taux de pauvreté et le nombre de personnes pauvres</t>
  </si>
  <si>
    <t>Onglet</t>
  </si>
  <si>
    <t>Indicateur</t>
  </si>
  <si>
    <t>Producteur</t>
  </si>
  <si>
    <t>URL</t>
  </si>
  <si>
    <t>Licence</t>
  </si>
  <si>
    <t>Communes_HDF</t>
  </si>
  <si>
    <t>Population, superficie, EPCI</t>
  </si>
  <si>
    <t>API Geo (Etalab) - millesime INSEE en vigueur</t>
  </si>
  <si>
    <t>https://geo.api.gouv.fr/communes</t>
  </si>
  <si>
    <t>Licence Ouverte 2.0</t>
  </si>
  <si>
    <t>Marche_immobilier_2024</t>
  </si>
  <si>
    <t>Ventes de logements 2024, prix au m2</t>
  </si>
  <si>
    <t>DVF geolocalisees (Etalab / DGFiP)</t>
  </si>
  <si>
    <t>https://files.data.gouv.fr/geo-dvf/latest/csv/2024/departements/</t>
  </si>
  <si>
    <t>A aller chercher</t>
  </si>
  <si>
    <t>Emploi, chomage, diplomes, revenus</t>
  </si>
  <si>
    <t>INSEE - Dossier complet par commune</t>
  </si>
  <si>
    <t>https://www.insee.fr/fr/statistiques/zones/2011101</t>
  </si>
  <si>
    <t>Licence Ouverte</t>
  </si>
  <si>
    <t>Equipements et services (commerces, sante, ecoles)</t>
  </si>
  <si>
    <t>INSEE - Base permanente des equipements (BPE)</t>
  </si>
  <si>
    <t>https://www.insee.fr/fr/statistiques/3568638</t>
  </si>
  <si>
    <t>Equipements sportifs</t>
  </si>
  <si>
    <t>Ministere des Sports - Data ES</t>
  </si>
  <si>
    <t>https://www.data.gouv.fr/datasets/recensement-des-equipements-sportifs-espaces-et-sites-de-pratiques</t>
  </si>
  <si>
    <t>Resultats electoraux, budgets communaux, subventions</t>
  </si>
  <si>
    <t>data.gouv.fr - recherche par mot-cle</t>
  </si>
  <si>
    <t>https://www.data.gouv.fr/datasets/</t>
  </si>
  <si>
    <t>variable</t>
  </si>
  <si>
    <t>Donnees regionales Hauts-de-France</t>
  </si>
  <si>
    <t>Geo2France / Open data regional</t>
  </si>
  <si>
    <t>https://www.geo2france.fr/</t>
  </si>
  <si>
    <t>Élément</t>
  </si>
  <si>
    <t>Valeur</t>
  </si>
  <si>
    <t>INSEE</t>
  </si>
  <si>
    <t>Jeu de données</t>
  </si>
  <si>
    <t>Base du comparateur de territoires</t>
  </si>
  <si>
    <t>Page</t>
  </si>
  <si>
    <t>https://www.insee.fr/fr/statistiques/2521169</t>
  </si>
  <si>
    <t>Millésimes</t>
  </si>
  <si>
    <t>Revenus : Filosofi 2023 · Population : recensements 2017 et 2023 · géographie au 1er janvier 2026</t>
  </si>
  <si>
    <t>Licence Ouverte 2.0 (Etalab)</t>
  </si>
  <si>
    <t>Date d'extraction</t>
  </si>
  <si>
    <t>24/09/2026</t>
  </si>
  <si>
    <t>Périmètre</t>
  </si>
  <si>
    <t>Hauts-de-France : 3 782 communes (onglet Communes) et 92 intercommunalités (onglet EPCI)</t>
  </si>
  <si>
    <t>Colonnes</t>
  </si>
  <si>
    <t>Niveau_vie_median_2023 : niveau de vie médian, en euros par an · Taux_pauvrete_2023 : part de la population sous le seuil de pauvreté (60 % du niveau de vie médian national), en %</t>
  </si>
  <si>
    <t>Valeurs « non publié »</t>
  </si>
  <si>
    <t>Le niveau de vie et le taux de pauvreté ne sont pas publiés pour les petites communes (secret statistique) : ces cases contiennent le texte « non publié ». Taux de pauvreté publié pour 520 communes, et pour les 92 intercommunalités.</t>
  </si>
  <si>
    <t>Préparation</t>
  </si>
  <si>
    <t>Extrait filtré sur les Hauts-de-France du fichier complet (2,9 millions de lignes), mis en colonnes. Aucune valeur modifiée.</t>
  </si>
  <si>
    <t>Colonne</t>
  </si>
  <si>
    <t>Type</t>
  </si>
  <si>
    <t>Description</t>
  </si>
  <si>
    <t>Texte</t>
  </si>
  <si>
    <t>Code officiel de la commune (5 caracteres, garder le zero initial)</t>
  </si>
  <si>
    <t>Nom officiel de la commune</t>
  </si>
  <si>
    <t>Aisne, Nord, Oise, Pas-de-Calais ou Somme</t>
  </si>
  <si>
    <t>Intercommunalite de rattachement (communaute de communes, d'agglomeration, metropole)</t>
  </si>
  <si>
    <t>Code SIREN de l EPCI</t>
  </si>
  <si>
    <t>Entier</t>
  </si>
  <si>
    <t>Population municipale en vigueur (source INSEE via API Geo)</t>
  </si>
  <si>
    <t>Decimal</t>
  </si>
  <si>
    <t>Superficie de la commune en km2</t>
  </si>
  <si>
    <t>Population / Superficie_km2 - calcule</t>
  </si>
  <si>
    <t>Tranche de population, 5 modalites</t>
  </si>
  <si>
    <t>Nombre de ventes de logements en 2024 (communes a 5 ventes minimum)</t>
  </si>
  <si>
    <t>Decimal (EUR)</t>
  </si>
  <si>
    <t>Prix au m2 median des logements vendus en 2024</t>
  </si>
  <si>
    <t>Prix au m2 moyen des logements vendus en 2024</t>
  </si>
  <si>
    <t>Prix de vente median d un logement en 2024</t>
  </si>
  <si>
    <t>taux de pauvreté 25 % et population plus de 85000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</si>
</sst>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 +0.0%;-0.0%;0.0%"/>
    <numFmt numFmtId="165" formatCode="0.0"/>
    <numFmt numFmtId="166" formatCode="0.000"/>
  </numFmts>
  <fonts count="5">
    <font>
      <sz val="11.0"/>
      <color theme="1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Font="1"/>
    <xf borderId="1" fillId="3" fontId="1" numFmtId="0" xfId="0" applyBorder="1" applyFill="1" applyFont="1"/>
    <xf borderId="0" fillId="0" fontId="3" numFmtId="49" xfId="0" applyFont="1" applyNumberFormat="1"/>
    <xf borderId="0" fillId="0" fontId="2" numFmtId="165" xfId="0" applyFont="1" applyNumberForma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164" xfId="0" applyAlignment="1" applyFont="1" applyNumberFormat="1">
      <alignment readingOrder="0"/>
    </xf>
    <xf borderId="0" fillId="0" fontId="2" numFmtId="49" xfId="0" applyFont="1" applyNumberFormat="1"/>
    <xf borderId="0" fillId="0" fontId="2" numFmtId="0" xfId="0" applyFont="1"/>
    <xf borderId="0" fillId="0" fontId="2" numFmtId="1" xfId="0" applyFont="1" applyNumberFormat="1"/>
    <xf borderId="0" fillId="0" fontId="2" numFmtId="164" xfId="0" applyFont="1" applyNumberFormat="1"/>
    <xf borderId="0" fillId="0" fontId="2" numFmtId="2" xfId="0" applyFont="1" applyNumberFormat="1"/>
    <xf borderId="0" fillId="0" fontId="2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pivotCacheDefinition" Target="pivotCache/pivotCacheDefinition2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pivotCacheDefinition" Target="pivotCache/pivotCacheDefinition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MEDIAN de taux de pauvreté &lt;25% et SUM de population 2023 &lt;85000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strRef>
              <c:f>'Tableau croisé dynamique 3'!$B$1</c:f>
            </c:strRef>
          </c:tx>
          <c:spPr>
            <a:solidFill>
              <a:srgbClr val="FF0000">
                <a:alpha val="10196"/>
              </a:srgbClr>
            </a:solidFill>
            <a:ln cmpd="sng">
              <a:noFill/>
              <a:prstDash val="sysDot"/>
            </a:ln>
          </c:spPr>
          <c:invertIfNegative val="0"/>
          <c:dPt>
            <c:idx val="0"/>
            <c:spPr>
              <a:solidFill>
                <a:srgbClr val="8E7CC3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9900FF">
                  <a:alpha val="70196"/>
                </a:srgbClr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45818E">
                  <a:alpha val="70196"/>
                </a:srgbClr>
              </a:solidFill>
              <a:ln cmpd="sng">
                <a:noFill/>
              </a:ln>
            </c:spPr>
          </c:dPt>
          <c:dPt>
            <c:idx val="3"/>
            <c:spPr>
              <a:solidFill>
                <a:srgbClr val="FFFF00">
                  <a:alpha val="50196"/>
                </a:srgbClr>
              </a:solidFill>
              <a:ln cmpd="sng">
                <a:noFill/>
              </a:ln>
            </c:spPr>
          </c:dPt>
          <c:dPt>
            <c:idx val="4"/>
            <c:spPr>
              <a:solidFill>
                <a:srgbClr val="351C75"/>
              </a:solidFill>
              <a:ln cmpd="sng">
                <a:noFill/>
                <a:prstDash val="dashDot"/>
              </a:ln>
            </c:spPr>
          </c:dPt>
          <c:dPt>
            <c:idx val="5"/>
            <c:spPr>
              <a:solidFill>
                <a:srgbClr val="85200C">
                  <a:alpha val="30196"/>
                </a:srgbClr>
              </a:solidFill>
              <a:ln cmpd="sng">
                <a:noFill/>
              </a:ln>
            </c:spPr>
          </c:dPt>
          <c:dPt>
            <c:idx val="6"/>
            <c:spPr>
              <a:solidFill>
                <a:srgbClr val="BF9000">
                  <a:alpha val="70196"/>
                </a:srgbClr>
              </a:solidFill>
              <a:ln cmpd="sng">
                <a:noFill/>
              </a:ln>
            </c:spPr>
          </c:dPt>
          <c:dPt>
            <c:idx val="7"/>
            <c:spPr>
              <a:solidFill>
                <a:srgbClr val="0000FF"/>
              </a:solidFill>
              <a:ln cmpd="sng">
                <a:noFill/>
              </a:ln>
            </c:spPr>
          </c:dPt>
          <c:dPt>
            <c:idx val="8"/>
            <c:spPr>
              <a:solidFill>
                <a:schemeClr val="accent3"/>
              </a:solidFill>
              <a:ln cmpd="sng">
                <a:noFill/>
              </a:ln>
            </c:spPr>
          </c:dPt>
          <c:dPt>
            <c:idx val="9"/>
          </c:dPt>
          <c:dPt>
            <c:idx val="10"/>
            <c:spPr>
              <a:solidFill>
                <a:srgbClr val="FF00FF"/>
              </a:solidFill>
              <a:ln cmpd="sng">
                <a:noFill/>
              </a:ln>
            </c:spPr>
          </c:dPt>
          <c:dPt>
            <c:idx val="12"/>
            <c:spPr>
              <a:solidFill>
                <a:srgbClr val="F1C232"/>
              </a:solidFill>
              <a:ln cmpd="sng">
                <a:noFill/>
              </a:ln>
            </c:spPr>
          </c:dPt>
          <c:dPt>
            <c:idx val="13"/>
            <c:spPr>
              <a:solidFill>
                <a:srgbClr val="85200C">
                  <a:alpha val="50196"/>
                </a:srgbClr>
              </a:solidFill>
              <a:ln cmpd="sng">
                <a:noFill/>
                <a:prstDash val="sysDot"/>
              </a:ln>
            </c:spPr>
          </c:dPt>
          <c:cat>
            <c:strRef>
              <c:f>'Tableau croisé dynamique 3'!$A$2:$A$15</c:f>
            </c:strRef>
          </c:cat>
          <c:val>
            <c:numRef>
              <c:f>'Tableau croisé dynamique 3'!$B$2:$B$15</c:f>
              <c:numCache/>
            </c:numRef>
          </c:val>
        </c:ser>
        <c:axId val="481095010"/>
        <c:axId val="311725835"/>
      </c:barChart>
      <c:catAx>
        <c:axId val="4810950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Nom_EPCI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725835"/>
      </c:catAx>
      <c:valAx>
        <c:axId val="31172583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109501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2023 par rapport au taux de pauvreté </a:t>
            </a:r>
          </a:p>
        </c:rich>
      </c:tx>
      <c:layout>
        <c:manualLayout>
          <c:xMode val="edge"/>
          <c:yMode val="edge"/>
          <c:x val="0.14425"/>
          <c:y val="0.052695417789757414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'Tableau croisé dynamique 3'!$C$1</c:f>
            </c:strRef>
          </c:tx>
          <c:spPr>
            <a:ln>
              <a:noFill/>
            </a:ln>
          </c:spPr>
          <c:marker>
            <c:symbol val="star"/>
            <c:size val="14"/>
            <c:spPr>
              <a:solidFill>
                <a:srgbClr val="FF00FF"/>
              </a:solidFill>
              <a:ln cmpd="sng">
                <a:solidFill>
                  <a:srgbClr val="FF00FF"/>
                </a:solidFill>
              </a:ln>
            </c:spPr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7"/>
            <c:marker>
              <c:symbol val="none"/>
            </c:marker>
          </c:dPt>
          <c:dPt>
            <c:idx val="8"/>
            <c:marker>
              <c:symbol val="none"/>
            </c:marker>
          </c:dPt>
          <c:dPt>
            <c:idx val="9"/>
            <c:marker>
              <c:symbol val="none"/>
            </c:marker>
          </c:dPt>
          <c:dPt>
            <c:idx val="10"/>
            <c:marker>
              <c:symbol val="none"/>
            </c:marker>
          </c:dPt>
          <c:dPt>
            <c:idx val="11"/>
            <c:marker>
              <c:symbol val="none"/>
            </c:marker>
          </c:dPt>
          <c:dPt>
            <c:idx val="12"/>
            <c:marker>
              <c:symbol val="none"/>
            </c:marker>
          </c:dPt>
          <c:dPt>
            <c:idx val="13"/>
            <c:marker>
              <c:symbol val="none"/>
            </c:marker>
          </c:dPt>
          <c:xVal>
            <c:numRef>
              <c:f>'Tableau croisé dynamique 3'!$B$2:$B$15</c:f>
            </c:numRef>
          </c:xVal>
          <c:yVal>
            <c:numRef>
              <c:f>'Tableau croisé dynamique 3'!$C$2:$C$15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475757"/>
        <c:axId val="1382487691"/>
      </c:scatterChart>
      <c:valAx>
        <c:axId val="16384757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MEDIAN de taux de pauvreté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2487691"/>
      </c:valAx>
      <c:valAx>
        <c:axId val="1382487691"/>
        <c:scaling>
          <c:orientation val="minMax"/>
          <c:min val="9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de population 2023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475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Histogramme de taux de pauvreté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Analyse!$C$1</c:f>
            </c:strRef>
          </c:tx>
          <c:spPr>
            <a:solidFill>
              <a:schemeClr val="accent1"/>
            </a:solidFill>
            <a:ln cmpd="sng">
              <a:noFill/>
              <a:prstDash val="dashDot"/>
            </a:ln>
          </c:spPr>
          <c:invertIfNegative val="0"/>
          <c:cat>
            <c:strRef>
              <c:f>Analyse!$B$2:$B$93</c:f>
            </c:strRef>
          </c:cat>
          <c:val>
            <c:numRef>
              <c:f>Analyse!$C$2:$C$93</c:f>
              <c:numCache/>
            </c:numRef>
          </c:val>
        </c:ser>
        <c:axId val="1148488099"/>
        <c:axId val="1469569367"/>
      </c:barChart>
      <c:catAx>
        <c:axId val="11484880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taux de pauvreté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9569367"/>
      </c:catAx>
      <c:valAx>
        <c:axId val="14695693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84880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57150</xdr:rowOff>
    </xdr:from>
    <xdr:ext cx="5715000" cy="353377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1</xdr:row>
      <xdr:rowOff>142875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904875</xdr:colOff>
      <xdr:row>1</xdr:row>
      <xdr:rowOff>142875</xdr:rowOff>
    </xdr:from>
    <xdr:ext cx="10820400" cy="5657850"/>
    <xdr:graphicFrame>
      <xdr:nvGraphicFramePr>
        <xdr:cNvPr id="3" name="Chart 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3783" sheet="Communes_HDF"/>
  </cacheSource>
  <cacheFields>
    <cacheField name="Code_INSEE" numFmtId="0">
      <sharedItems>
        <s v="02001"/>
        <s v="02002"/>
        <s v="02003"/>
        <s v="02004"/>
        <s v="02005"/>
        <s v="02006"/>
        <s v="02007"/>
        <s v="02008"/>
        <s v="02009"/>
        <s v="02010"/>
        <s v="02011"/>
        <s v="02012"/>
        <s v="02013"/>
        <s v="02014"/>
        <s v="02015"/>
        <s v="02016"/>
        <s v="02017"/>
        <s v="02018"/>
        <s v="02019"/>
        <s v="02020"/>
        <s v="02021"/>
        <s v="02022"/>
        <s v="02023"/>
        <s v="02024"/>
        <s v="02025"/>
        <s v="02027"/>
        <s v="02028"/>
        <s v="02029"/>
        <s v="02030"/>
        <s v="02031"/>
        <s v="02032"/>
        <s v="02033"/>
        <s v="02034"/>
        <s v="02035"/>
        <s v="02036"/>
        <s v="02037"/>
        <s v="02039"/>
        <s v="02040"/>
        <s v="02041"/>
        <s v="02042"/>
        <s v="02043"/>
        <s v="02044"/>
        <s v="02046"/>
        <s v="02047"/>
        <s v="02048"/>
        <s v="02049"/>
        <s v="02050"/>
        <s v="02051"/>
        <s v="02052"/>
        <s v="02054"/>
        <s v="02056"/>
        <s v="02055"/>
        <s v="02057"/>
        <s v="02058"/>
        <s v="02059"/>
        <s v="02060"/>
        <s v="02061"/>
        <s v="02062"/>
        <s v="02063"/>
        <s v="02064"/>
        <s v="02065"/>
        <s v="02066"/>
        <s v="02067"/>
        <s v="02068"/>
        <s v="02069"/>
        <s v="02070"/>
        <s v="02564"/>
        <s v="02071"/>
        <s v="02072"/>
        <s v="02073"/>
        <s v="02074"/>
        <s v="02075"/>
        <s v="02076"/>
        <s v="02079"/>
        <s v="02078"/>
        <s v="02080"/>
        <s v="02082"/>
        <s v="02083"/>
        <s v="02086"/>
        <s v="02087"/>
        <s v="02089"/>
        <s v="02090"/>
        <s v="02088"/>
        <s v="02091"/>
        <s v="02094"/>
        <s v="02093"/>
        <s v="02095"/>
        <s v="02096"/>
        <s v="02097"/>
        <s v="02098"/>
        <s v="02099"/>
        <s v="02100"/>
        <s v="02101"/>
        <s v="02102"/>
        <s v="02104"/>
        <s v="02105"/>
        <s v="02106"/>
        <s v="02107"/>
        <s v="02108"/>
        <s v="02103"/>
        <s v="02110"/>
        <s v="02111"/>
        <s v="02112"/>
        <s v="02114"/>
        <s v="02117"/>
        <s v="02118"/>
        <s v="02115"/>
        <s v="02116"/>
        <s v="02120"/>
        <s v="02121"/>
        <s v="02122"/>
        <s v="02123"/>
        <s v="02124"/>
        <s v="02125"/>
        <s v="02126"/>
        <s v="02129"/>
        <s v="02128"/>
        <s v="02127"/>
        <s v="02119"/>
        <s v="02130"/>
        <s v="02131"/>
        <s v="02132"/>
        <s v="02133"/>
        <s v="02134"/>
        <s v="02135"/>
        <s v="02136"/>
        <s v="02137"/>
        <s v="02138"/>
        <s v="02081"/>
        <s v="02085"/>
        <s v="02084"/>
        <s v="02139"/>
        <s v="02140"/>
        <s v="02142"/>
        <s v="02144"/>
        <s v="02145"/>
        <s v="02146"/>
        <s v="02148"/>
        <s v="02149"/>
        <s v="02150"/>
        <s v="02151"/>
        <s v="02152"/>
        <s v="02153"/>
        <s v="02154"/>
        <s v="02155"/>
        <s v="02156"/>
        <s v="02157"/>
        <s v="02158"/>
        <s v="02159"/>
        <s v="02160"/>
        <s v="02163"/>
        <s v="02165"/>
        <s v="02166"/>
        <s v="02167"/>
        <s v="02171"/>
        <s v="02172"/>
        <s v="02173"/>
        <s v="02174"/>
        <s v="02175"/>
        <s v="02176"/>
        <s v="02178"/>
        <s v="02182"/>
        <s v="02183"/>
        <s v="02184"/>
        <s v="02187"/>
        <s v="02188"/>
        <s v="02190"/>
        <s v="02189"/>
        <s v="02191"/>
        <s v="02192"/>
        <s v="02168"/>
        <s v="02169"/>
        <s v="02170"/>
        <s v="02179"/>
        <s v="02180"/>
        <s v="02181"/>
        <s v="02177"/>
        <s v="02185"/>
        <s v="02186"/>
        <s v="02193"/>
        <s v="02194"/>
        <s v="02195"/>
        <s v="02196"/>
        <s v="02197"/>
        <s v="02198"/>
        <s v="02199"/>
        <s v="02200"/>
        <s v="02203"/>
        <s v="02204"/>
        <s v="02205"/>
        <s v="02206"/>
        <s v="02207"/>
        <s v="02208"/>
        <s v="02212"/>
        <s v="02209"/>
        <s v="02210"/>
        <s v="02211"/>
        <s v="02213"/>
        <s v="02214"/>
        <s v="02215"/>
        <s v="02216"/>
        <s v="02219"/>
        <s v="02217"/>
        <s v="02218"/>
        <s v="02220"/>
        <s v="02221"/>
        <s v="02222"/>
        <s v="02223"/>
        <s v="02224"/>
        <s v="02225"/>
        <s v="02226"/>
        <s v="02227"/>
        <s v="02228"/>
        <s v="02229"/>
        <s v="02230"/>
        <s v="02231"/>
        <s v="02232"/>
        <s v="02233"/>
        <s v="02234"/>
        <s v="02235"/>
        <s v="02240"/>
        <s v="02242"/>
        <s v="02243"/>
        <s v="02244"/>
        <s v="02236"/>
        <s v="02237"/>
        <s v="02238"/>
        <s v="02239"/>
        <s v="02245"/>
        <s v="02246"/>
        <s v="02248"/>
        <s v="02249"/>
        <s v="02250"/>
        <s v="02251"/>
        <s v="02252"/>
        <s v="02253"/>
        <s v="02254"/>
        <s v="02255"/>
        <s v="02201"/>
        <s v="02256"/>
        <s v="02257"/>
        <s v="02258"/>
        <s v="02259"/>
        <s v="02260"/>
        <s v="02261"/>
        <s v="02262"/>
        <s v="02263"/>
        <s v="02458"/>
        <s v="02264"/>
        <s v="02265"/>
        <s v="02266"/>
        <s v="02267"/>
        <s v="02268"/>
        <s v="02269"/>
        <s v="02270"/>
        <s v="02271"/>
        <s v="02272"/>
        <s v="02273"/>
        <s v="02275"/>
        <s v="02276"/>
        <s v="02282"/>
        <s v="02283"/>
        <s v="02284"/>
        <s v="02286"/>
        <s v="02287"/>
        <s v="02288"/>
        <s v="02289"/>
        <s v="02290"/>
        <s v="02291"/>
        <s v="02302"/>
        <s v="02303"/>
        <s v="02308"/>
        <s v="02309"/>
        <s v="02310"/>
        <s v="02313"/>
        <s v="02315"/>
        <s v="02316"/>
        <s v="02317"/>
        <s v="02318"/>
        <s v="02319"/>
        <s v="02322"/>
        <s v="02323"/>
        <s v="02320"/>
        <s v="02321"/>
        <s v="02324"/>
        <s v="02326"/>
        <s v="02327"/>
        <s v="02328"/>
        <s v="02329"/>
        <s v="02330"/>
        <s v="02331"/>
        <s v="02332"/>
        <s v="02333"/>
        <s v="02334"/>
        <s v="02335"/>
        <s v="02336"/>
        <s v="02337"/>
        <s v="02338"/>
        <s v="02305"/>
        <s v="02339"/>
        <s v="02340"/>
        <s v="02341"/>
        <s v="02342"/>
        <s v="02343"/>
        <s v="02345"/>
        <s v="02346"/>
        <s v="02347"/>
        <s v="02349"/>
        <s v="02350"/>
        <s v="02351"/>
        <s v="02352"/>
        <s v="02665"/>
        <s v="02783"/>
        <s v="02353"/>
        <s v="02354"/>
        <s v="02355"/>
        <s v="02356"/>
        <s v="02357"/>
        <s v="02358"/>
        <s v="02359"/>
        <s v="02361"/>
        <s v="02362"/>
        <s v="02363"/>
        <s v="02364"/>
        <s v="02366"/>
        <s v="02367"/>
        <s v="02368"/>
        <s v="02369"/>
        <s v="02370"/>
        <s v="02371"/>
        <s v="02372"/>
        <s v="02373"/>
        <s v="02375"/>
        <s v="02376"/>
        <s v="02377"/>
        <s v="02380"/>
        <s v="02381"/>
        <s v="02382"/>
        <s v="02383"/>
        <s v="02384"/>
        <s v="02385"/>
        <s v="02386"/>
        <s v="02387"/>
        <s v="02388"/>
        <s v="02389"/>
        <s v="02390"/>
        <s v="02391"/>
        <s v="02392"/>
        <s v="02393"/>
        <s v="02395"/>
        <s v="02396"/>
        <s v="02397"/>
        <s v="02398"/>
        <s v="02399"/>
        <s v="02281"/>
        <s v="02109"/>
        <s v="02141"/>
        <s v="02162"/>
        <s v="02241"/>
        <s v="02306"/>
        <s v="02307"/>
        <s v="02312"/>
        <s v="02304"/>
        <s v="02378"/>
        <s v="02454"/>
        <s v="02545"/>
        <s v="02547"/>
        <s v="02546"/>
        <s v="02548"/>
        <s v="02705"/>
        <s v="02760"/>
        <s v="02759"/>
        <s v="02802"/>
        <s v="02803"/>
        <s v="02400"/>
        <s v="02401"/>
        <s v="02402"/>
        <s v="02403"/>
        <s v="02404"/>
        <s v="02405"/>
        <s v="02406"/>
        <s v="02407"/>
        <s v="02408"/>
        <s v="02409"/>
        <s v="02410"/>
        <s v="02411"/>
        <s v="02412"/>
        <s v="02413"/>
        <s v="02414"/>
        <s v="02415"/>
        <s v="02143"/>
        <s v="02164"/>
        <s v="02379"/>
        <s v="02558"/>
        <s v="02606"/>
        <s v="02731"/>
        <s v="02743"/>
        <s v="02782"/>
        <s v="02374"/>
        <s v="02417"/>
        <s v="02416"/>
        <s v="02418"/>
        <s v="02038"/>
        <s v="02439"/>
        <s v="02419"/>
        <s v="02420"/>
        <s v="02421"/>
        <s v="02422"/>
        <s v="02423"/>
        <s v="02424"/>
        <s v="02425"/>
        <s v="02426"/>
        <s v="02427"/>
        <s v="02428"/>
        <s v="02429"/>
        <s v="02430"/>
        <s v="02431"/>
        <s v="02432"/>
        <s v="02433"/>
        <s v="02435"/>
        <s v="02438"/>
        <s v="02440"/>
        <s v="02442"/>
        <s v="02441"/>
        <s v="02443"/>
        <s v="02444"/>
        <s v="02445"/>
        <s v="02446"/>
        <s v="02447"/>
        <s v="02449"/>
        <s v="02450"/>
        <s v="02451"/>
        <s v="02452"/>
        <s v="02453"/>
        <s v="02455"/>
        <s v="02456"/>
        <s v="02457"/>
        <s v="02459"/>
        <s v="02460"/>
        <s v="02461"/>
        <s v="02462"/>
        <s v="02463"/>
        <s v="02464"/>
        <s v="02465"/>
        <s v="02467"/>
        <s v="02466"/>
        <s v="02468"/>
        <s v="02469"/>
        <s v="02470"/>
        <s v="02471"/>
        <s v="02472"/>
        <s v="02473"/>
        <s v="02474"/>
        <s v="02476"/>
        <s v="02477"/>
        <s v="02478"/>
        <s v="02480"/>
        <s v="02481"/>
        <s v="02482"/>
        <s v="02485"/>
        <s v="02486"/>
        <s v="02487"/>
        <s v="02488"/>
        <s v="02489"/>
        <s v="02490"/>
        <s v="02491"/>
        <s v="02493"/>
        <s v="02492"/>
        <s v="02494"/>
        <s v="02495"/>
        <s v="02496"/>
        <s v="02497"/>
        <s v="02520"/>
        <s v="02522"/>
        <s v="02523"/>
        <s v="02524"/>
        <s v="02503"/>
        <s v="02498"/>
        <s v="02499"/>
        <s v="02500"/>
        <s v="02501"/>
        <s v="02502"/>
        <s v="02504"/>
        <s v="02505"/>
        <s v="02506"/>
        <s v="02507"/>
        <s v="02508"/>
        <s v="02509"/>
        <s v="02510"/>
        <s v="02514"/>
        <s v="02511"/>
        <s v="02512"/>
        <s v="02513"/>
        <s v="02515"/>
        <s v="02516"/>
        <s v="02517"/>
        <s v="02518"/>
        <s v="02519"/>
        <s v="02521"/>
        <s v="02525"/>
        <s v="02526"/>
        <s v="02527"/>
        <s v="02528"/>
        <s v="02529"/>
        <s v="02530"/>
        <s v="02531"/>
        <s v="02532"/>
        <s v="02533"/>
        <s v="02534"/>
        <s v="02448"/>
        <s v="02483"/>
        <s v="02484"/>
        <s v="02535"/>
        <s v="02536"/>
        <s v="02538"/>
        <s v="02537"/>
        <s v="02539"/>
        <s v="02540"/>
        <s v="02541"/>
        <s v="02542"/>
        <s v="02543"/>
        <s v="02544"/>
        <s v="02549"/>
        <s v="02550"/>
        <s v="02551"/>
        <s v="02552"/>
        <s v="02553"/>
        <s v="02555"/>
        <s v="02554"/>
        <s v="02556"/>
        <s v="02557"/>
        <s v="02559"/>
        <s v="02560"/>
        <s v="02561"/>
        <s v="02562"/>
        <s v="02563"/>
        <s v="02566"/>
        <s v="02567"/>
        <s v="02568"/>
        <s v="02569"/>
        <s v="02570"/>
        <s v="02571"/>
        <s v="02572"/>
        <s v="02573"/>
        <s v="02575"/>
        <s v="02574"/>
        <s v="02576"/>
        <s v="02577"/>
        <s v="02578"/>
        <s v="02579"/>
        <s v="02580"/>
        <s v="02581"/>
        <s v="02582"/>
        <s v="02583"/>
        <s v="02584"/>
        <s v="02585"/>
        <s v="02586"/>
        <s v="02587"/>
        <s v="02588"/>
        <s v="02589"/>
        <s v="02590"/>
        <s v="02591"/>
        <s v="02592"/>
        <s v="02593"/>
        <s v="02594"/>
        <s v="02595"/>
        <s v="02596"/>
        <s v="02598"/>
        <s v="02784"/>
        <s v="02599"/>
        <s v="02600"/>
        <s v="02601"/>
        <s v="02602"/>
        <s v="02604"/>
        <s v="02605"/>
        <s v="02607"/>
        <s v="02608"/>
        <s v="02609"/>
        <s v="02610"/>
        <s v="02612"/>
        <s v="02616"/>
        <s v="02613"/>
        <s v="02614"/>
        <s v="02615"/>
        <s v="02617"/>
        <s v="02620"/>
        <s v="02621"/>
        <s v="02622"/>
        <s v="02623"/>
        <s v="02624"/>
        <s v="02625"/>
        <s v="02626"/>
        <s v="02627"/>
        <s v="02618"/>
        <s v="02619"/>
        <s v="02628"/>
        <s v="02629"/>
        <s v="02631"/>
        <s v="02632"/>
        <s v="02633"/>
        <s v="02634"/>
        <s v="02635"/>
        <s v="02636"/>
        <s v="02637"/>
        <s v="02638"/>
        <s v="02639"/>
        <s v="02640"/>
        <s v="02641"/>
        <s v="02643"/>
        <s v="02644"/>
        <s v="02645"/>
        <s v="02647"/>
        <s v="02648"/>
        <s v="02649"/>
        <s v="02650"/>
        <s v="02652"/>
        <s v="02651"/>
        <s v="02653"/>
        <s v="02654"/>
        <s v="02655"/>
        <s v="02656"/>
        <s v="02657"/>
        <s v="02658"/>
        <s v="02659"/>
        <s v="02660"/>
        <s v="02661"/>
        <s v="02662"/>
        <s v="02663"/>
        <s v="02664"/>
        <s v="02666"/>
        <s v="02642"/>
        <s v="02667"/>
        <s v="02668"/>
        <s v="02670"/>
        <s v="02671"/>
        <s v="02672"/>
        <s v="02673"/>
        <s v="02674"/>
        <s v="02676"/>
        <s v="02677"/>
        <s v="02679"/>
        <s v="02680"/>
        <s v="02681"/>
        <s v="02682"/>
        <s v="02683"/>
        <s v="02684"/>
        <s v="02685"/>
        <s v="02686"/>
        <s v="02687"/>
        <s v="02688"/>
        <s v="02689"/>
        <s v="02691"/>
        <s v="02693"/>
        <s v="02694"/>
        <s v="02696"/>
        <s v="02675"/>
        <s v="02678"/>
        <s v="02690"/>
        <s v="02697"/>
        <s v="02698"/>
        <s v="02699"/>
        <s v="02701"/>
        <s v="02702"/>
        <s v="02703"/>
        <s v="02704"/>
        <s v="02706"/>
        <s v="02707"/>
        <s v="02708"/>
        <s v="02709"/>
        <s v="02710"/>
        <s v="02711"/>
        <s v="02712"/>
        <s v="02713"/>
        <s v="02714"/>
        <s v="02716"/>
        <s v="02715"/>
        <s v="02718"/>
        <s v="02719"/>
        <s v="02720"/>
        <s v="02721"/>
        <s v="02722"/>
        <s v="02723"/>
        <s v="02724"/>
        <s v="02725"/>
        <s v="02726"/>
        <s v="02727"/>
        <s v="02728"/>
        <s v="02729"/>
        <s v="02730"/>
        <s v="02732"/>
        <s v="02717"/>
        <s v="02734"/>
        <s v="02735"/>
        <s v="02736"/>
        <s v="02737"/>
        <s v="02738"/>
        <s v="02739"/>
        <s v="02740"/>
        <s v="02741"/>
        <s v="02742"/>
        <s v="02744"/>
        <s v="02745"/>
        <s v="02746"/>
        <s v="02747"/>
        <s v="02750"/>
        <s v="02749"/>
        <s v="02751"/>
        <s v="02748"/>
        <s v="02752"/>
        <s v="02753"/>
        <s v="02754"/>
        <s v="02755"/>
        <s v="02756"/>
        <s v="02757"/>
        <s v="02758"/>
        <s v="02053"/>
        <s v="02761"/>
        <s v="02762"/>
        <s v="02763"/>
        <s v="02764"/>
        <s v="02765"/>
        <s v="02766"/>
        <s v="02769"/>
        <s v="02772"/>
        <s v="02768"/>
        <s v="02770"/>
        <s v="02767"/>
        <s v="02773"/>
        <s v="02774"/>
        <s v="02775"/>
        <s v="02776"/>
        <s v="02777"/>
        <s v="02778"/>
        <s v="02780"/>
        <s v="02781"/>
        <s v="02785"/>
        <s v="02786"/>
        <s v="02787"/>
        <s v="02788"/>
        <s v="02789"/>
        <s v="02790"/>
        <s v="02791"/>
        <s v="02792"/>
        <s v="02795"/>
        <s v="02796"/>
        <s v="02797"/>
        <s v="02798"/>
        <s v="02799"/>
        <s v="02800"/>
        <s v="02801"/>
        <s v="02817"/>
        <s v="02804"/>
        <s v="02805"/>
        <s v="02360"/>
        <s v="02806"/>
        <s v="02807"/>
        <s v="02808"/>
        <s v="02809"/>
        <s v="02810"/>
        <s v="02812"/>
        <s v="02815"/>
        <s v="02813"/>
        <s v="02814"/>
        <s v="02816"/>
        <s v="02818"/>
        <s v="02819"/>
        <s v="02820"/>
        <s v="02821"/>
        <s v="02822"/>
        <s v="02823"/>
        <s v="02824"/>
        <s v="02826"/>
        <s v="02827"/>
        <s v="02828"/>
        <s v="02829"/>
        <s v="02779"/>
        <s v="02793"/>
        <s v="02794"/>
        <s v="02830"/>
        <s v="02831"/>
        <s v="02833"/>
        <s v="02834"/>
        <s v="02832"/>
        <s v="02274"/>
        <s v="02277"/>
        <s v="02278"/>
        <s v="02279"/>
        <s v="02280"/>
        <s v="02292"/>
        <s v="02293"/>
        <s v="02294"/>
        <s v="02296"/>
        <s v="02298"/>
        <s v="02295"/>
        <s v="02297"/>
        <s v="02299"/>
        <s v="02565"/>
        <s v="59001"/>
        <s v="59002"/>
        <s v="59003"/>
        <s v="59004"/>
        <s v="59005"/>
        <s v="59007"/>
        <s v="59008"/>
        <s v="59010"/>
        <s v="59011"/>
        <s v="59012"/>
        <s v="59013"/>
        <s v="59014"/>
        <s v="59015"/>
        <s v="59016"/>
        <s v="59017"/>
        <s v="59018"/>
        <s v="59019"/>
        <s v="59021"/>
        <s v="59022"/>
        <s v="59023"/>
        <s v="59024"/>
        <s v="59025"/>
        <s v="59026"/>
        <s v="59027"/>
        <s v="59028"/>
        <s v="59029"/>
        <s v="59031"/>
        <s v="59032"/>
        <s v="59033"/>
        <s v="59034"/>
        <s v="59035"/>
        <s v="59038"/>
        <s v="59037"/>
        <s v="59036"/>
        <s v="59039"/>
        <s v="59041"/>
        <s v="59042"/>
        <s v="59043"/>
        <s v="59044"/>
        <s v="59045"/>
        <s v="59046"/>
        <s v="59047"/>
        <s v="59048"/>
        <s v="59049"/>
        <s v="59050"/>
        <s v="59052"/>
        <s v="59053"/>
        <s v="59054"/>
        <s v="59055"/>
        <s v="59056"/>
        <s v="59057"/>
        <s v="59058"/>
        <s v="59059"/>
        <s v="59060"/>
        <s v="59061"/>
        <s v="59062"/>
        <s v="59063"/>
        <s v="59064"/>
        <s v="59065"/>
        <s v="59067"/>
        <s v="59068"/>
        <s v="59069"/>
        <s v="59072"/>
        <s v="59071"/>
        <s v="59073"/>
        <s v="59074"/>
        <s v="59076"/>
        <s v="59077"/>
        <s v="59078"/>
        <s v="59079"/>
        <s v="59080"/>
        <s v="59082"/>
        <s v="59083"/>
        <s v="59084"/>
        <s v="59085"/>
        <s v="59086"/>
        <s v="59088"/>
        <s v="59089"/>
        <s v="59090"/>
        <s v="59091"/>
        <s v="59092"/>
        <s v="59093"/>
        <s v="59094"/>
        <s v="59096"/>
        <s v="59097"/>
        <s v="59098"/>
        <s v="59099"/>
        <s v="59100"/>
        <s v="59101"/>
        <s v="59102"/>
        <s v="59103"/>
        <s v="59104"/>
        <s v="59105"/>
        <s v="59106"/>
        <s v="59087"/>
        <s v="59107"/>
        <s v="59108"/>
        <s v="59109"/>
        <s v="59110"/>
        <s v="59111"/>
        <s v="59112"/>
        <s v="59114"/>
        <s v="59113"/>
        <s v="59115"/>
        <s v="59116"/>
        <s v="59117"/>
        <s v="59118"/>
        <s v="59119"/>
        <s v="59066"/>
        <s v="59075"/>
        <s v="59081"/>
        <s v="59121"/>
        <s v="59122"/>
        <s v="59123"/>
        <s v="59124"/>
        <s v="59125"/>
        <s v="59126"/>
        <s v="59127"/>
        <s v="59128"/>
        <s v="59130"/>
        <s v="59129"/>
        <s v="59131"/>
        <s v="59133"/>
        <s v="59132"/>
        <s v="59134"/>
        <s v="59135"/>
        <s v="59137"/>
        <s v="59138"/>
        <s v="59139"/>
        <s v="59140"/>
        <s v="59141"/>
        <s v="59120"/>
        <s v="59142"/>
        <s v="59145"/>
        <s v="59147"/>
        <s v="59144"/>
        <s v="59146"/>
        <s v="59148"/>
        <s v="59149"/>
        <s v="59150"/>
        <s v="59151"/>
        <s v="59152"/>
        <s v="59153"/>
        <s v="59155"/>
        <s v="59156"/>
        <s v="59157"/>
        <s v="59158"/>
        <s v="59159"/>
        <s v="59160"/>
        <s v="59162"/>
        <s v="59163"/>
        <s v="59164"/>
        <s v="59161"/>
        <s v="59165"/>
        <s v="59166"/>
        <s v="59167"/>
        <s v="59168"/>
        <s v="59169"/>
        <s v="59170"/>
        <s v="59171"/>
        <s v="59172"/>
        <s v="59173"/>
        <s v="59174"/>
        <s v="59175"/>
        <s v="59176"/>
        <s v="59177"/>
        <s v="59670"/>
        <s v="59178"/>
        <s v="59179"/>
        <s v="59181"/>
        <s v="59182"/>
        <s v="59183"/>
        <s v="59184"/>
        <s v="59186"/>
        <s v="59189"/>
        <s v="59193"/>
        <s v="59194"/>
        <s v="59195"/>
        <s v="59196"/>
        <s v="59197"/>
        <s v="59198"/>
        <s v="59199"/>
        <s v="59200"/>
        <s v="59202"/>
        <s v="59201"/>
        <s v="59203"/>
        <s v="59204"/>
        <s v="59205"/>
        <s v="59206"/>
        <s v="59207"/>
        <s v="59208"/>
        <s v="59209"/>
        <s v="59210"/>
        <s v="59211"/>
        <s v="59212"/>
        <s v="59213"/>
        <s v="59215"/>
        <s v="59219"/>
        <s v="59214"/>
        <s v="59216"/>
        <s v="59217"/>
        <s v="59220"/>
        <s v="59221"/>
        <s v="59222"/>
        <s v="59225"/>
        <s v="59226"/>
        <s v="59227"/>
        <s v="59230"/>
        <s v="59231"/>
        <s v="59233"/>
        <s v="59234"/>
        <s v="59236"/>
        <s v="59239"/>
        <s v="59238"/>
        <s v="59240"/>
        <s v="59241"/>
        <s v="59237"/>
        <s v="59244"/>
        <s v="59242"/>
        <s v="59243"/>
        <s v="59246"/>
        <s v="59247"/>
        <s v="59249"/>
        <s v="59250"/>
        <s v="59251"/>
        <s v="59252"/>
        <s v="59253"/>
        <s v="59254"/>
        <s v="59255"/>
        <s v="59256"/>
        <s v="59257"/>
        <s v="59224"/>
        <s v="59228"/>
        <s v="59229"/>
        <s v="59258"/>
        <s v="59259"/>
        <s v="59260"/>
        <s v="59261"/>
        <s v="59262"/>
        <s v="59264"/>
        <s v="59265"/>
        <s v="59266"/>
        <s v="59267"/>
        <s v="59269"/>
        <s v="59270"/>
        <s v="59272"/>
        <s v="59271"/>
        <s v="59273"/>
        <s v="59275"/>
        <s v="59276"/>
        <s v="59277"/>
        <s v="59263"/>
        <s v="59278"/>
        <s v="59279"/>
        <s v="59280"/>
        <s v="59281"/>
        <s v="59282"/>
        <s v="59283"/>
        <s v="59284"/>
        <s v="59285"/>
        <s v="59286"/>
        <s v="59287"/>
        <s v="59288"/>
        <s v="59289"/>
        <s v="59290"/>
        <s v="59291"/>
        <s v="59292"/>
        <s v="59293"/>
        <s v="59294"/>
        <s v="59295"/>
        <s v="59296"/>
        <s v="59299"/>
        <s v="59300"/>
        <s v="59301"/>
        <s v="59303"/>
        <s v="59304"/>
        <s v="59305"/>
        <s v="59306"/>
        <s v="59307"/>
        <s v="59310"/>
        <s v="59308"/>
        <s v="59309"/>
        <s v="59311"/>
        <s v="59312"/>
        <s v="59313"/>
        <s v="59314"/>
        <s v="59315"/>
        <s v="59316"/>
        <s v="59317"/>
        <s v="59318"/>
        <s v="59319"/>
        <s v="59297"/>
        <s v="59302"/>
        <s v="59320"/>
        <s v="59321"/>
        <s v="59322"/>
        <s v="59323"/>
        <s v="59324"/>
        <s v="59325"/>
        <s v="59326"/>
        <s v="59006"/>
        <s v="59051"/>
        <s v="59143"/>
        <s v="59232"/>
        <s v="59268"/>
        <s v="59274"/>
        <s v="59357"/>
        <s v="59368"/>
        <s v="59427"/>
        <s v="59564"/>
        <s v="59327"/>
        <s v="59328"/>
        <s v="59329"/>
        <s v="59330"/>
        <s v="59331"/>
        <s v="59332"/>
        <s v="59333"/>
        <s v="59334"/>
        <s v="59136"/>
        <s v="59180"/>
        <s v="59223"/>
        <s v="59371"/>
        <s v="59481"/>
        <s v="59335"/>
        <s v="59337"/>
        <s v="59338"/>
        <s v="59339"/>
        <s v="59340"/>
        <s v="59517"/>
        <s v="59341"/>
        <s v="59343"/>
        <s v="59344"/>
        <s v="59345"/>
        <s v="59342"/>
        <s v="59346"/>
        <s v="59347"/>
        <s v="59348"/>
        <s v="59349"/>
        <s v="59350"/>
        <s v="59351"/>
        <s v="59352"/>
        <s v="59353"/>
        <s v="59354"/>
        <s v="59356"/>
        <s v="59358"/>
        <s v="59359"/>
        <s v="59360"/>
        <s v="59361"/>
        <s v="59363"/>
        <s v="59364"/>
        <s v="59365"/>
        <s v="59366"/>
        <s v="59367"/>
        <s v="59336"/>
        <s v="59369"/>
        <s v="59370"/>
        <s v="59372"/>
        <s v="59374"/>
        <s v="59375"/>
        <s v="59377"/>
        <s v="59378"/>
        <s v="59379"/>
        <s v="59381"/>
        <s v="59382"/>
        <s v="59383"/>
        <s v="59384"/>
        <s v="59385"/>
        <s v="59387"/>
        <s v="59386"/>
        <s v="59388"/>
        <s v="59389"/>
        <s v="59390"/>
        <s v="59391"/>
        <s v="59392"/>
        <s v="59393"/>
        <s v="59394"/>
        <s v="59395"/>
        <s v="59396"/>
        <s v="59397"/>
        <s v="59399"/>
        <s v="59400"/>
        <s v="59402"/>
        <s v="59403"/>
        <s v="59406"/>
        <s v="59407"/>
        <s v="59408"/>
        <s v="59409"/>
        <s v="59410"/>
        <s v="59411"/>
        <s v="59412"/>
        <s v="59413"/>
        <s v="59414"/>
        <s v="59415"/>
        <s v="59416"/>
        <s v="59418"/>
        <s v="59419"/>
        <s v="59420"/>
        <s v="59421"/>
        <s v="59398"/>
        <s v="59401"/>
        <s v="59405"/>
        <s v="59422"/>
        <s v="59423"/>
        <s v="59424"/>
        <s v="59428"/>
        <s v="59425"/>
        <s v="59426"/>
        <s v="59429"/>
        <s v="59430"/>
        <s v="59431"/>
        <s v="59432"/>
        <s v="59433"/>
        <s v="59434"/>
        <s v="59435"/>
        <s v="59436"/>
        <s v="59437"/>
        <s v="59438"/>
        <s v="59439"/>
        <s v="59440"/>
        <s v="59441"/>
        <s v="59442"/>
        <s v="59443"/>
        <s v="59444"/>
        <s v="59445"/>
        <s v="59446"/>
        <s v="59447"/>
        <s v="59448"/>
        <s v="59449"/>
        <s v="59450"/>
        <s v="59451"/>
        <s v="59452"/>
        <s v="59453"/>
        <s v="59454"/>
        <s v="59455"/>
        <s v="59456"/>
        <s v="59461"/>
        <s v="59459"/>
        <s v="59462"/>
        <s v="59463"/>
        <s v="59464"/>
        <s v="59465"/>
        <s v="59467"/>
        <s v="59466"/>
        <s v="59468"/>
        <s v="59469"/>
        <s v="59472"/>
        <s v="59473"/>
        <s v="59474"/>
        <s v="59475"/>
        <s v="59476"/>
        <s v="59477"/>
        <s v="59470"/>
        <s v="59471"/>
        <s v="59457"/>
        <s v="59458"/>
        <s v="59479"/>
        <s v="59478"/>
        <s v="59482"/>
        <s v="59483"/>
        <s v="59484"/>
        <s v="59485"/>
        <s v="59480"/>
        <s v="59487"/>
        <s v="59488"/>
        <s v="59489"/>
        <s v="59490"/>
        <s v="59491"/>
        <s v="59492"/>
        <s v="59493"/>
        <s v="59494"/>
        <s v="59495"/>
        <s v="59496"/>
        <s v="59497"/>
        <s v="59498"/>
        <s v="59499"/>
        <s v="59500"/>
        <s v="59501"/>
        <s v="59502"/>
        <s v="59503"/>
        <s v="59505"/>
        <s v="59506"/>
        <s v="59507"/>
        <s v="59508"/>
        <s v="59509"/>
        <s v="59511"/>
        <s v="59512"/>
        <s v="59513"/>
        <s v="59514"/>
        <s v="59515"/>
        <s v="59516"/>
        <s v="59518"/>
        <s v="59519"/>
        <s v="59520"/>
        <s v="59486"/>
        <s v="59504"/>
        <s v="59521"/>
        <s v="59522"/>
        <s v="59523"/>
        <s v="59524"/>
        <s v="59525"/>
        <s v="59526"/>
        <s v="59527"/>
        <s v="59528"/>
        <s v="59529"/>
        <s v="59530"/>
        <s v="59531"/>
        <s v="59532"/>
        <s v="59533"/>
        <s v="59534"/>
        <s v="59535"/>
        <s v="59537"/>
        <s v="59538"/>
        <s v="59539"/>
        <s v="59541"/>
        <s v="59542"/>
        <s v="59543"/>
        <s v="59544"/>
        <s v="59545"/>
        <s v="59546"/>
        <s v="59547"/>
        <s v="59548"/>
        <s v="59536"/>
        <s v="59549"/>
        <s v="59550"/>
        <s v="59551"/>
        <s v="59552"/>
        <s v="59553"/>
        <s v="59555"/>
        <s v="59554"/>
        <s v="59556"/>
        <s v="59557"/>
        <s v="59558"/>
        <s v="59559"/>
        <s v="59560"/>
        <s v="59563"/>
        <s v="59565"/>
        <s v="59566"/>
        <s v="59568"/>
        <s v="59569"/>
        <s v="59570"/>
        <s v="59571"/>
        <s v="59572"/>
        <s v="59573"/>
        <s v="59574"/>
        <s v="59575"/>
        <s v="59576"/>
        <s v="59577"/>
        <s v="59578"/>
        <s v="59579"/>
        <s v="59580"/>
        <s v="59581"/>
        <s v="59582"/>
        <s v="59562"/>
        <s v="59567"/>
        <s v="59583"/>
        <s v="59584"/>
        <s v="59585"/>
        <s v="59586"/>
        <s v="59587"/>
        <s v="59589"/>
        <s v="59590"/>
        <s v="59591"/>
        <s v="59592"/>
        <s v="59594"/>
        <s v="59595"/>
        <s v="59593"/>
        <s v="59597"/>
        <s v="59596"/>
        <s v="59598"/>
        <s v="59599"/>
        <s v="59600"/>
        <s v="59602"/>
        <s v="59603"/>
        <s v="59604"/>
        <s v="59601"/>
        <s v="59588"/>
        <s v="59605"/>
        <s v="59606"/>
        <s v="59607"/>
        <s v="59608"/>
        <s v="59609"/>
        <s v="59610"/>
        <s v="59611"/>
        <s v="59612"/>
        <s v="59613"/>
        <s v="59614"/>
        <s v="59615"/>
        <s v="59616"/>
        <s v="59617"/>
        <s v="59618"/>
        <s v="59009"/>
        <s v="59619"/>
        <s v="59623"/>
        <s v="59624"/>
        <s v="59625"/>
        <s v="59626"/>
        <s v="59627"/>
        <s v="59620"/>
        <s v="59622"/>
        <s v="59628"/>
        <s v="59629"/>
        <s v="59630"/>
        <s v="59631"/>
        <s v="59632"/>
        <s v="59633"/>
        <s v="59634"/>
        <s v="59635"/>
        <s v="59636"/>
        <s v="59637"/>
        <s v="59638"/>
        <s v="59639"/>
        <s v="59640"/>
        <s v="59641"/>
        <s v="59642"/>
        <s v="59643"/>
        <s v="59645"/>
        <s v="59646"/>
        <s v="59647"/>
        <s v="59648"/>
        <s v="59649"/>
        <s v="59650"/>
        <s v="59651"/>
        <s v="59652"/>
        <s v="59653"/>
        <s v="59654"/>
        <s v="59655"/>
        <s v="59656"/>
        <s v="59657"/>
        <s v="59658"/>
        <s v="59659"/>
        <s v="59660"/>
        <s v="59661"/>
        <s v="59662"/>
        <s v="59663"/>
        <s v="59664"/>
        <s v="59665"/>
        <s v="59666"/>
        <s v="59667"/>
        <s v="59668"/>
        <s v="59669"/>
        <s v="59185"/>
        <s v="59187"/>
        <s v="59188"/>
        <s v="59190"/>
        <s v="59191"/>
        <s v="59192"/>
        <s v="59218"/>
        <s v="60001"/>
        <s v="60002"/>
        <s v="60003"/>
        <s v="60004"/>
        <s v="60005"/>
        <s v="60007"/>
        <s v="60008"/>
        <s v="60009"/>
        <s v="60010"/>
        <s v="60011"/>
        <s v="60012"/>
        <s v="60013"/>
        <s v="60014"/>
        <s v="60015"/>
        <s v="60016"/>
        <s v="60017"/>
        <s v="60019"/>
        <s v="60020"/>
        <s v="60021"/>
        <s v="60022"/>
        <s v="60023"/>
        <s v="60024"/>
        <s v="60025"/>
        <s v="60026"/>
        <s v="60027"/>
        <s v="60028"/>
        <s v="60029"/>
        <s v="60030"/>
        <s v="60031"/>
        <s v="60032"/>
        <s v="60703"/>
        <s v="60033"/>
        <s v="60034"/>
        <s v="60035"/>
        <s v="60036"/>
        <s v="60037"/>
        <s v="60039"/>
        <s v="60040"/>
        <s v="60041"/>
        <s v="60042"/>
        <s v="60043"/>
        <s v="60044"/>
        <s v="60045"/>
        <s v="60046"/>
        <s v="60047"/>
        <s v="60048"/>
        <s v="60049"/>
        <s v="60050"/>
        <s v="60051"/>
        <s v="60052"/>
        <s v="60053"/>
        <s v="60054"/>
        <s v="60055"/>
        <s v="60056"/>
        <s v="60057"/>
        <s v="60058"/>
        <s v="60060"/>
        <s v="60061"/>
        <s v="60062"/>
        <s v="60063"/>
        <s v="60064"/>
        <s v="60065"/>
        <s v="60069"/>
        <s v="60070"/>
        <s v="60071"/>
        <s v="60072"/>
        <s v="60073"/>
        <s v="60074"/>
        <s v="60075"/>
        <s v="60076"/>
        <s v="60077"/>
        <s v="60078"/>
        <s v="60079"/>
        <s v="60081"/>
        <s v="60083"/>
        <s v="60082"/>
        <s v="60084"/>
        <s v="60085"/>
        <s v="60086"/>
        <s v="60087"/>
        <s v="60088"/>
        <s v="60089"/>
        <s v="60090"/>
        <s v="60091"/>
        <s v="60092"/>
        <s v="60093"/>
        <s v="60094"/>
        <s v="60095"/>
        <s v="60097"/>
        <s v="60098"/>
        <s v="60099"/>
        <s v="60100"/>
        <s v="60102"/>
        <s v="60103"/>
        <s v="60104"/>
        <s v="60106"/>
        <s v="60107"/>
        <s v="60108"/>
        <s v="60109"/>
        <s v="60110"/>
        <s v="60111"/>
        <s v="60112"/>
        <s v="60101"/>
        <s v="60105"/>
        <s v="60113"/>
        <s v="60114"/>
        <s v="60115"/>
        <s v="60116"/>
        <s v="60117"/>
        <s v="60059"/>
        <s v="60066"/>
        <s v="60067"/>
        <s v="60068"/>
        <s v="60118"/>
        <s v="60120"/>
        <s v="60119"/>
        <s v="60121"/>
        <s v="60122"/>
        <s v="60123"/>
        <s v="60124"/>
        <s v="60125"/>
        <s v="60126"/>
        <s v="60127"/>
        <s v="60128"/>
        <s v="60129"/>
        <s v="60130"/>
        <s v="60131"/>
        <s v="60132"/>
        <s v="60133"/>
        <s v="60134"/>
        <s v="60135"/>
        <s v="60136"/>
        <s v="60137"/>
        <s v="60138"/>
        <s v="60139"/>
        <s v="60140"/>
        <s v="60141"/>
        <s v="60143"/>
        <s v="60144"/>
        <s v="60145"/>
        <s v="60146"/>
        <s v="60147"/>
        <s v="60149"/>
        <s v="60150"/>
        <s v="60151"/>
        <s v="60152"/>
        <s v="60153"/>
        <s v="60148"/>
        <s v="60154"/>
        <s v="60155"/>
        <s v="60156"/>
        <s v="60157"/>
        <s v="60158"/>
        <s v="60159"/>
        <s v="60160"/>
        <s v="60161"/>
        <s v="60162"/>
        <s v="60163"/>
        <s v="60166"/>
        <s v="60167"/>
        <s v="60168"/>
        <s v="60169"/>
        <s v="60170"/>
        <s v="60171"/>
        <s v="60172"/>
        <s v="60173"/>
        <s v="60174"/>
        <s v="60175"/>
        <s v="60177"/>
        <s v="60180"/>
        <s v="60181"/>
        <s v="60183"/>
        <s v="60184"/>
        <s v="60185"/>
        <s v="60178"/>
        <s v="60179"/>
        <s v="60176"/>
        <s v="60186"/>
        <s v="60187"/>
        <s v="60188"/>
        <s v="60189"/>
        <s v="60190"/>
        <s v="60191"/>
        <s v="60192"/>
        <s v="60193"/>
        <s v="60194"/>
        <s v="60195"/>
        <s v="60197"/>
        <s v="60198"/>
        <s v="60200"/>
        <s v="60201"/>
        <s v="60199"/>
        <s v="60203"/>
        <s v="60212"/>
        <s v="60213"/>
        <s v="60214"/>
        <s v="60215"/>
        <s v="60216"/>
        <s v="60217"/>
        <s v="60218"/>
        <s v="60219"/>
        <s v="60220"/>
        <s v="60221"/>
        <s v="60222"/>
        <s v="60223"/>
        <s v="60228"/>
        <s v="60231"/>
        <s v="60232"/>
        <s v="60233"/>
        <s v="60234"/>
        <s v="60235"/>
        <s v="60236"/>
        <s v="60238"/>
        <s v="60239"/>
        <s v="60237"/>
        <s v="60240"/>
        <s v="60241"/>
        <s v="60242"/>
        <s v="60243"/>
        <s v="60244"/>
        <s v="60245"/>
        <s v="60247"/>
        <s v="60248"/>
        <s v="60249"/>
        <s v="60250"/>
        <s v="60251"/>
        <s v="60252"/>
        <s v="60253"/>
        <s v="60254"/>
        <s v="60257"/>
        <s v="60258"/>
        <s v="60259"/>
        <s v="60260"/>
        <s v="60261"/>
        <s v="60264"/>
        <s v="60265"/>
        <s v="60255"/>
        <s v="60263"/>
        <s v="60268"/>
        <s v="60269"/>
        <s v="60270"/>
        <s v="60271"/>
        <s v="60272"/>
        <s v="60273"/>
        <s v="60274"/>
        <s v="60275"/>
        <s v="60276"/>
        <s v="60277"/>
        <s v="60278"/>
        <s v="60279"/>
        <s v="60280"/>
        <s v="60281"/>
        <s v="60282"/>
        <s v="60283"/>
        <s v="60284"/>
        <s v="60287"/>
        <s v="60285"/>
        <s v="60286"/>
        <s v="60289"/>
        <s v="60288"/>
        <s v="60290"/>
        <s v="60291"/>
        <s v="60292"/>
        <s v="60293"/>
        <s v="60294"/>
        <s v="60295"/>
        <s v="60296"/>
        <s v="60298"/>
        <s v="60299"/>
        <s v="60301"/>
        <s v="60302"/>
        <s v="60303"/>
        <s v="60304"/>
        <s v="60305"/>
        <s v="60307"/>
        <s v="60310"/>
        <s v="60313"/>
        <s v="60315"/>
        <s v="60316"/>
        <s v="60317"/>
        <s v="60318"/>
        <s v="60306"/>
        <s v="60308"/>
        <s v="60309"/>
        <s v="60312"/>
        <s v="60314"/>
        <s v="60320"/>
        <s v="60321"/>
        <s v="60322"/>
        <s v="60323"/>
        <s v="60324"/>
        <s v="60325"/>
        <s v="60326"/>
        <s v="60327"/>
        <s v="60328"/>
        <s v="60142"/>
        <s v="60209"/>
        <s v="60196"/>
        <s v="60319"/>
        <s v="60311"/>
        <s v="60456"/>
        <s v="60457"/>
        <s v="60460"/>
        <s v="60454"/>
        <s v="60458"/>
        <s v="60459"/>
        <s v="60559"/>
        <s v="60679"/>
        <s v="60329"/>
        <s v="60330"/>
        <s v="60331"/>
        <s v="60332"/>
        <s v="60334"/>
        <s v="60333"/>
        <s v="60335"/>
        <s v="60336"/>
        <s v="60337"/>
        <s v="60338"/>
        <s v="60339"/>
        <s v="60340"/>
        <s v="60341"/>
        <s v="60342"/>
        <s v="60343"/>
        <s v="60344"/>
        <s v="60346"/>
        <s v="60345"/>
        <s v="60347"/>
        <s v="60348"/>
        <s v="60350"/>
        <s v="60351"/>
        <s v="60352"/>
        <s v="60353"/>
        <s v="60354"/>
        <s v="60355"/>
        <s v="60356"/>
        <s v="60164"/>
        <s v="60165"/>
        <s v="60182"/>
        <s v="60230"/>
        <s v="60229"/>
        <s v="60262"/>
        <s v="60267"/>
        <s v="60297"/>
        <s v="60397"/>
        <s v="60399"/>
        <s v="60401"/>
        <s v="60398"/>
        <s v="60400"/>
        <s v="60402"/>
        <s v="60428"/>
        <s v="60497"/>
        <s v="60498"/>
        <s v="60500"/>
        <s v="60501"/>
        <s v="60502"/>
        <s v="60503"/>
        <s v="60520"/>
        <s v="60608"/>
        <s v="60660"/>
        <s v="60662"/>
        <s v="60006"/>
        <s v="60694"/>
        <s v="60359"/>
        <s v="60360"/>
        <s v="60361"/>
        <s v="60362"/>
        <s v="60363"/>
        <s v="60364"/>
        <s v="60365"/>
        <s v="60366"/>
        <s v="60367"/>
        <s v="60368"/>
        <s v="60369"/>
        <s v="60370"/>
        <s v="60371"/>
        <s v="60372"/>
        <s v="60357"/>
        <s v="60358"/>
        <s v="60373"/>
        <s v="60374"/>
        <s v="60375"/>
        <s v="60376"/>
        <s v="60377"/>
        <s v="60378"/>
        <s v="60379"/>
        <s v="60380"/>
        <s v="60381"/>
        <s v="60382"/>
        <s v="60383"/>
        <s v="60385"/>
        <s v="60386"/>
        <s v="60387"/>
        <s v="60388"/>
        <s v="60389"/>
        <s v="60390"/>
        <s v="60391"/>
        <s v="60393"/>
        <s v="60403"/>
        <s v="60404"/>
        <s v="60405"/>
        <s v="60406"/>
        <s v="60407"/>
        <s v="60408"/>
        <s v="60409"/>
        <s v="60410"/>
        <s v="60411"/>
        <s v="60421"/>
        <s v="60413"/>
        <s v="60412"/>
        <s v="60414"/>
        <s v="60256"/>
        <s v="60416"/>
        <s v="60418"/>
        <s v="60420"/>
        <s v="60422"/>
        <s v="60423"/>
        <s v="60424"/>
        <s v="60425"/>
        <s v="60426"/>
        <s v="60427"/>
        <s v="60415"/>
        <s v="60429"/>
        <s v="60430"/>
        <s v="60431"/>
        <s v="60432"/>
        <s v="60433"/>
        <s v="60434"/>
        <s v="60435"/>
        <s v="60436"/>
        <s v="60437"/>
        <s v="60438"/>
        <s v="60439"/>
        <s v="60440"/>
        <s v="60441"/>
        <s v="60442"/>
        <s v="60443"/>
        <s v="60444"/>
        <s v="60392"/>
        <s v="60394"/>
        <s v="60395"/>
        <s v="60396"/>
        <s v="60445"/>
        <s v="60446"/>
        <s v="60448"/>
        <s v="60449"/>
        <s v="60450"/>
        <s v="60451"/>
        <s v="60452"/>
        <s v="60461"/>
        <s v="60462"/>
        <s v="60463"/>
        <s v="60464"/>
        <s v="60465"/>
        <s v="60466"/>
        <s v="60468"/>
        <s v="60469"/>
        <s v="60470"/>
        <s v="60471"/>
        <s v="60447"/>
        <s v="60472"/>
        <s v="60473"/>
        <s v="60474"/>
        <s v="60476"/>
        <s v="60477"/>
        <s v="60479"/>
        <s v="60478"/>
        <s v="60480"/>
        <s v="60481"/>
        <s v="60482"/>
        <s v="60483"/>
        <s v="60484"/>
        <s v="60485"/>
        <s v="60486"/>
        <s v="60487"/>
        <s v="60488"/>
        <s v="60490"/>
        <s v="60491"/>
        <s v="60492"/>
        <s v="60493"/>
        <s v="60494"/>
        <s v="60495"/>
        <s v="60496"/>
        <s v="60499"/>
        <s v="60504"/>
        <s v="60509"/>
        <s v="60506"/>
        <s v="60505"/>
        <s v="60507"/>
        <s v="60508"/>
        <s v="60510"/>
        <s v="60511"/>
        <s v="60512"/>
        <s v="60515"/>
        <s v="60513"/>
        <s v="60514"/>
        <s v="60516"/>
        <s v="60517"/>
        <s v="60518"/>
        <s v="60489"/>
        <s v="60519"/>
        <s v="60521"/>
        <s v="60522"/>
        <s v="60523"/>
        <s v="60524"/>
        <s v="60525"/>
        <s v="60526"/>
        <s v="60528"/>
        <s v="60531"/>
        <s v="60533"/>
        <s v="60534"/>
        <s v="60535"/>
        <s v="60536"/>
        <s v="60537"/>
        <s v="60538"/>
        <s v="60539"/>
        <s v="60540"/>
        <s v="60541"/>
        <s v="60542"/>
        <s v="60543"/>
        <s v="60544"/>
        <s v="60545"/>
        <s v="60546"/>
        <s v="60547"/>
        <s v="60548"/>
        <s v="60549"/>
        <s v="60550"/>
        <s v="60551"/>
        <s v="60552"/>
        <s v="60553"/>
        <s v="60554"/>
        <s v="60555"/>
        <s v="60557"/>
        <s v="60556"/>
        <s v="60558"/>
        <s v="60560"/>
        <s v="60561"/>
        <s v="60527"/>
        <s v="60529"/>
        <s v="60530"/>
        <s v="60562"/>
        <s v="60563"/>
        <s v="60564"/>
        <s v="60565"/>
        <s v="60566"/>
        <s v="60567"/>
        <s v="60568"/>
        <s v="60570"/>
        <s v="60569"/>
        <s v="60571"/>
        <s v="60574"/>
        <s v="60576"/>
        <s v="60577"/>
        <s v="60579"/>
        <s v="60581"/>
        <s v="60584"/>
        <s v="60582"/>
        <s v="60583"/>
        <s v="60587"/>
        <s v="60585"/>
        <s v="60586"/>
        <s v="60588"/>
        <s v="60589"/>
        <s v="60590"/>
        <s v="60591"/>
        <s v="60592"/>
        <s v="60593"/>
        <s v="60594"/>
        <s v="60595"/>
        <s v="60596"/>
        <s v="60597"/>
        <s v="60598"/>
        <s v="60599"/>
        <s v="60600"/>
        <s v="60601"/>
        <s v="60602"/>
        <s v="60572"/>
        <s v="60573"/>
        <s v="60575"/>
        <s v="60578"/>
        <s v="60603"/>
        <s v="60604"/>
        <s v="60605"/>
        <s v="60609"/>
        <s v="60610"/>
        <s v="60611"/>
        <s v="60612"/>
        <s v="60613"/>
        <s v="60614"/>
        <s v="60617"/>
        <s v="60620"/>
        <s v="60619"/>
        <s v="60621"/>
        <s v="60622"/>
        <s v="60623"/>
        <s v="60624"/>
        <s v="60625"/>
        <s v="60616"/>
        <s v="60618"/>
        <s v="60615"/>
        <s v="60626"/>
        <s v="60627"/>
        <s v="60628"/>
        <s v="60630"/>
        <s v="60631"/>
        <s v="60632"/>
        <s v="60633"/>
        <s v="60634"/>
        <s v="60635"/>
        <s v="60636"/>
        <s v="60637"/>
        <s v="60638"/>
        <s v="60629"/>
        <s v="60639"/>
        <s v="60640"/>
        <s v="60641"/>
        <s v="60642"/>
        <s v="60643"/>
        <s v="60644"/>
        <s v="60645"/>
        <s v="60646"/>
        <s v="60647"/>
        <s v="60648"/>
        <s v="60650"/>
        <s v="60651"/>
        <s v="60652"/>
        <s v="60653"/>
        <s v="60654"/>
        <s v="60655"/>
        <s v="60656"/>
        <s v="60657"/>
        <s v="60658"/>
        <s v="60659"/>
        <s v="60661"/>
        <s v="60663"/>
        <s v="60664"/>
        <s v="60665"/>
        <s v="60666"/>
        <s v="60667"/>
        <s v="60668"/>
        <s v="60669"/>
        <s v="60670"/>
        <s v="60671"/>
        <s v="60672"/>
        <s v="60673"/>
        <s v="60674"/>
        <s v="60675"/>
        <s v="60676"/>
        <s v="60677"/>
        <s v="60678"/>
        <s v="60680"/>
        <s v="60681"/>
        <s v="60682"/>
        <s v="60683"/>
        <s v="60684"/>
        <s v="60685"/>
        <s v="60691"/>
        <s v="60692"/>
        <s v="60686"/>
        <s v="60687"/>
        <s v="60688"/>
        <s v="60689"/>
        <s v="60693"/>
        <s v="60695"/>
        <s v="60697"/>
        <s v="60698"/>
        <s v="60699"/>
        <s v="60700"/>
        <s v="60701"/>
        <s v="60702"/>
        <s v="60226"/>
        <s v="60204"/>
        <s v="60205"/>
        <s v="60206"/>
        <s v="60207"/>
        <s v="60208"/>
        <s v="60210"/>
        <s v="60211"/>
        <s v="60224"/>
        <s v="60225"/>
        <s v="60227"/>
        <s v="62001"/>
        <s v="62002"/>
        <s v="62003"/>
        <s v="62004"/>
        <s v="62005"/>
        <s v="62006"/>
        <s v="62007"/>
        <s v="62008"/>
        <s v="62009"/>
        <s v="62010"/>
        <s v="62011"/>
        <s v="62012"/>
        <s v="62013"/>
        <s v="62014"/>
        <s v="62015"/>
        <s v="62016"/>
        <s v="62019"/>
        <s v="62017"/>
        <s v="62018"/>
        <s v="62020"/>
        <s v="62021"/>
        <s v="62022"/>
        <s v="62023"/>
        <s v="62024"/>
        <s v="62025"/>
        <s v="62026"/>
        <s v="62027"/>
        <s v="62028"/>
        <s v="62029"/>
        <s v="62030"/>
        <s v="62031"/>
        <s v="62032"/>
        <s v="62033"/>
        <s v="62034"/>
        <s v="62035"/>
        <s v="62036"/>
        <s v="62037"/>
        <s v="62038"/>
        <s v="62039"/>
        <s v="62040"/>
        <s v="62041"/>
        <s v="62042"/>
        <s v="62044"/>
        <s v="62045"/>
        <s v="62046"/>
        <s v="62047"/>
        <s v="62048"/>
        <s v="62049"/>
        <s v="62051"/>
        <s v="62050"/>
        <s v="62052"/>
        <s v="62053"/>
        <s v="62054"/>
        <s v="62055"/>
        <s v="62056"/>
        <s v="62057"/>
        <s v="62058"/>
        <s v="62059"/>
        <s v="62060"/>
        <s v="62061"/>
        <s v="62062"/>
        <s v="62063"/>
        <s v="62064"/>
        <s v="62065"/>
        <s v="62066"/>
        <s v="62067"/>
        <s v="62068"/>
        <s v="62069"/>
        <s v="62073"/>
        <s v="62070"/>
        <s v="62071"/>
        <s v="62072"/>
        <s v="62074"/>
        <s v="62075"/>
        <s v="62076"/>
        <s v="62077"/>
        <s v="62078"/>
        <s v="62079"/>
        <s v="62080"/>
        <s v="62081"/>
        <s v="62082"/>
        <s v="62083"/>
        <s v="62084"/>
        <s v="62085"/>
        <s v="62086"/>
        <s v="62088"/>
        <s v="62087"/>
        <s v="62089"/>
        <s v="62091"/>
        <s v="62092"/>
        <s v="62093"/>
        <s v="62094"/>
        <s v="62095"/>
        <s v="62096"/>
        <s v="62097"/>
        <s v="62099"/>
        <s v="62100"/>
        <s v="62881"/>
        <s v="62101"/>
        <s v="62105"/>
        <s v="62104"/>
        <s v="62471"/>
        <s v="62106"/>
        <s v="62108"/>
        <s v="62109"/>
        <s v="62111"/>
        <s v="62113"/>
        <s v="62112"/>
        <s v="62114"/>
        <s v="62115"/>
        <s v="62116"/>
        <s v="62117"/>
        <s v="62120"/>
        <s v="62122"/>
        <s v="62121"/>
        <s v="62123"/>
        <s v="62124"/>
        <s v="62125"/>
        <s v="62126"/>
        <s v="62127"/>
        <s v="62128"/>
        <s v="62129"/>
        <s v="62130"/>
        <s v="62131"/>
        <s v="62132"/>
        <s v="62133"/>
        <s v="62134"/>
        <s v="62135"/>
        <s v="62137"/>
        <s v="62138"/>
        <s v="62139"/>
        <s v="62141"/>
        <s v="62142"/>
        <s v="62140"/>
        <s v="62143"/>
        <s v="62144"/>
        <s v="62145"/>
        <s v="62146"/>
        <s v="62147"/>
        <s v="62148"/>
        <s v="62149"/>
        <s v="62150"/>
        <s v="62152"/>
        <s v="62151"/>
        <s v="62153"/>
        <s v="62155"/>
        <s v="62156"/>
        <s v="62154"/>
        <s v="62157"/>
        <s v="62158"/>
        <s v="62661"/>
        <s v="62160"/>
        <s v="62161"/>
        <s v="62162"/>
        <s v="62163"/>
        <s v="62164"/>
        <s v="62165"/>
        <s v="62166"/>
        <s v="62167"/>
        <s v="62168"/>
        <s v="62169"/>
        <s v="62170"/>
        <s v="62171"/>
        <s v="62172"/>
        <s v="62173"/>
        <s v="62180"/>
        <s v="62177"/>
        <s v="62178"/>
        <s v="62179"/>
        <s v="62175"/>
        <s v="62176"/>
        <s v="62174"/>
        <s v="62181"/>
        <s v="62182"/>
        <s v="62183"/>
        <s v="62184"/>
        <s v="62185"/>
        <s v="62186"/>
        <s v="62187"/>
        <s v="62188"/>
        <s v="62189"/>
        <s v="62190"/>
        <s v="62090"/>
        <s v="62102"/>
        <s v="62103"/>
        <s v="62107"/>
        <s v="62118"/>
        <s v="62119"/>
        <s v="62191"/>
        <s v="62192"/>
        <s v="62193"/>
        <s v="62194"/>
        <s v="62195"/>
        <s v="62197"/>
        <s v="62199"/>
        <s v="62198"/>
        <s v="62200"/>
        <s v="62201"/>
        <s v="62202"/>
        <s v="62203"/>
        <s v="62204"/>
        <s v="62205"/>
        <s v="62206"/>
        <s v="62207"/>
        <s v="62208"/>
        <s v="62209"/>
        <s v="62211"/>
        <s v="62212"/>
        <s v="62213"/>
        <s v="62214"/>
        <s v="62215"/>
        <s v="62217"/>
        <s v="62218"/>
        <s v="62219"/>
        <s v="62220"/>
        <s v="62221"/>
        <s v="62224"/>
        <s v="62222"/>
        <s v="62223"/>
        <s v="62225"/>
        <s v="62227"/>
        <s v="62228"/>
        <s v="62229"/>
        <s v="62230"/>
        <s v="62231"/>
        <s v="62233"/>
        <s v="62234"/>
        <s v="62235"/>
        <s v="62236"/>
        <s v="62238"/>
        <s v="62237"/>
        <s v="62239"/>
        <s v="62240"/>
        <s v="62241"/>
        <s v="62242"/>
        <s v="62243"/>
        <s v="62244"/>
        <s v="62245"/>
        <s v="62246"/>
        <s v="62247"/>
        <s v="62248"/>
        <s v="62249"/>
        <s v="62250"/>
        <s v="62251"/>
        <s v="62253"/>
        <s v="62254"/>
        <s v="62258"/>
        <s v="62259"/>
        <s v="62260"/>
        <s v="62255"/>
        <s v="62256"/>
        <s v="62257"/>
        <s v="62261"/>
        <s v="62262"/>
        <s v="62263"/>
        <s v="62264"/>
        <s v="62265"/>
        <s v="62266"/>
        <s v="62267"/>
        <s v="62268"/>
        <s v="62270"/>
        <s v="62269"/>
        <s v="62271"/>
        <s v="62272"/>
        <s v="62273"/>
        <s v="62274"/>
        <s v="62275"/>
        <s v="62276"/>
        <s v="62277"/>
        <s v="62278"/>
        <s v="62279"/>
        <s v="62280"/>
        <s v="62281"/>
        <s v="62286"/>
        <s v="62288"/>
        <s v="62292"/>
        <s v="62293"/>
        <s v="62295"/>
        <s v="62296"/>
        <s v="62299"/>
        <s v="62302"/>
        <s v="62304"/>
        <s v="62306"/>
        <s v="62307"/>
        <s v="62308"/>
        <s v="62309"/>
        <s v="62310"/>
        <s v="62311"/>
        <s v="62312"/>
        <s v="62313"/>
        <s v="62314"/>
        <s v="62316"/>
        <s v="62315"/>
        <s v="62322"/>
        <s v="62323"/>
        <s v="62324"/>
        <s v="62325"/>
        <s v="62326"/>
        <s v="62327"/>
        <s v="62328"/>
        <s v="62329"/>
        <s v="62330"/>
        <s v="62331"/>
        <s v="62332"/>
        <s v="62333"/>
        <s v="62334"/>
        <s v="62335"/>
        <s v="62337"/>
        <s v="62338"/>
        <s v="62339"/>
        <s v="62340"/>
        <s v="62336"/>
        <s v="62341"/>
        <s v="62345"/>
        <s v="62342"/>
        <s v="62343"/>
        <s v="62344"/>
        <s v="62346"/>
        <s v="62347"/>
        <s v="62348"/>
        <s v="62349"/>
        <s v="62350"/>
        <s v="62351"/>
        <s v="62352"/>
        <s v="62354"/>
        <s v="62355"/>
        <s v="62356"/>
        <s v="62357"/>
        <s v="62358"/>
        <s v="62359"/>
        <s v="62364"/>
        <s v="62353"/>
        <s v="62360"/>
        <s v="62361"/>
        <s v="62362"/>
        <s v="62363"/>
        <s v="62365"/>
        <s v="62366"/>
        <s v="62367"/>
        <s v="62368"/>
        <s v="62369"/>
        <s v="62370"/>
        <s v="62371"/>
        <s v="62372"/>
        <s v="62373"/>
        <s v="62374"/>
        <s v="62375"/>
        <s v="62376"/>
        <s v="62377"/>
        <s v="62378"/>
        <s v="62382"/>
        <s v="62380"/>
        <s v="62379"/>
        <s v="62381"/>
        <s v="62383"/>
        <s v="62384"/>
        <s v="62385"/>
        <s v="62386"/>
        <s v="62388"/>
        <s v="62389"/>
        <s v="62390"/>
        <s v="62387"/>
        <s v="62391"/>
        <s v="62393"/>
        <s v="62395"/>
        <s v="62396"/>
        <s v="62398"/>
        <s v="62392"/>
        <s v="62397"/>
        <s v="62399"/>
        <s v="62400"/>
        <s v="62401"/>
        <s v="62402"/>
        <s v="62403"/>
        <s v="62404"/>
        <s v="62407"/>
        <s v="62405"/>
        <s v="62406"/>
        <s v="62408"/>
        <s v="62409"/>
        <s v="62410"/>
        <s v="62411"/>
        <s v="62412"/>
        <s v="62413"/>
        <s v="62414"/>
        <s v="62419"/>
        <s v="62415"/>
        <s v="62416"/>
        <s v="62418"/>
        <s v="62421"/>
        <s v="62423"/>
        <s v="62424"/>
        <s v="62425"/>
        <s v="62429"/>
        <s v="62432"/>
        <s v="62436"/>
        <s v="62435"/>
        <s v="62437"/>
        <s v="62438"/>
        <s v="62439"/>
        <s v="62440"/>
        <s v="62441"/>
        <s v="62442"/>
        <s v="62443"/>
        <s v="62444"/>
        <s v="62446"/>
        <s v="62445"/>
        <s v="62448"/>
        <s v="62447"/>
        <s v="62449"/>
        <s v="62450"/>
        <s v="62451"/>
        <s v="62452"/>
        <s v="62454"/>
        <s v="62455"/>
        <s v="62456"/>
        <s v="62457"/>
        <s v="62458"/>
        <s v="62459"/>
        <s v="62460"/>
        <s v="62462"/>
        <s v="62463"/>
        <s v="62464"/>
        <s v="62465"/>
        <s v="62466"/>
        <s v="62467"/>
        <s v="62468"/>
        <s v="62422"/>
        <s v="62427"/>
        <s v="62428"/>
        <s v="62426"/>
        <s v="62430"/>
        <s v="62433"/>
        <s v="62453"/>
        <s v="62469"/>
        <s v="62470"/>
        <s v="62472"/>
        <s v="62473"/>
        <s v="62474"/>
        <s v="62475"/>
        <s v="62477"/>
        <s v="62476"/>
        <s v="62478"/>
        <s v="62196"/>
        <s v="62908"/>
        <s v="62216"/>
        <s v="62232"/>
        <s v="62252"/>
        <s v="62434"/>
        <s v="62521"/>
        <s v="62535"/>
        <s v="62813"/>
        <s v="62479"/>
        <s v="62480"/>
        <s v="62481"/>
        <s v="62483"/>
        <s v="62484"/>
        <s v="62485"/>
        <s v="62486"/>
        <s v="62487"/>
        <s v="62488"/>
        <s v="62489"/>
        <s v="62490"/>
        <s v="62491"/>
        <s v="62647"/>
        <s v="62665"/>
        <s v="62667"/>
        <s v="62677"/>
        <s v="62777"/>
        <s v="62802"/>
        <s v="62826"/>
        <s v="62829"/>
        <s v="62880"/>
        <s v="62492"/>
        <s v="62493"/>
        <s v="62495"/>
        <s v="62496"/>
        <s v="62497"/>
        <s v="62498"/>
        <s v="62043"/>
        <s v="62500"/>
        <s v="62501"/>
        <s v="62502"/>
        <s v="62503"/>
        <s v="62504"/>
        <s v="62505"/>
        <s v="62907"/>
        <s v="62506"/>
        <s v="62507"/>
        <s v="62509"/>
        <s v="62511"/>
        <s v="62514"/>
        <s v="62515"/>
        <s v="62512"/>
        <s v="62513"/>
        <s v="62516"/>
        <s v="62517"/>
        <s v="62518"/>
        <s v="62519"/>
        <s v="62508"/>
        <s v="62510"/>
        <s v="62520"/>
        <s v="62523"/>
        <s v="62522"/>
        <s v="62524"/>
        <s v="62525"/>
        <s v="62526"/>
        <s v="62527"/>
        <s v="62528"/>
        <s v="62529"/>
        <s v="62530"/>
        <s v="62531"/>
        <s v="62532"/>
        <s v="62533"/>
        <s v="62534"/>
        <s v="62494"/>
        <s v="62499"/>
        <s v="62536"/>
        <s v="62537"/>
        <s v="62538"/>
        <s v="62539"/>
        <s v="62540"/>
        <s v="62541"/>
        <s v="62542"/>
        <s v="62543"/>
        <s v="62544"/>
        <s v="62545"/>
        <s v="62546"/>
        <s v="62547"/>
        <s v="62548"/>
        <s v="62550"/>
        <s v="62551"/>
        <s v="62552"/>
        <s v="62553"/>
        <s v="62554"/>
        <s v="62555"/>
        <s v="62556"/>
        <s v="62558"/>
        <s v="62559"/>
        <s v="62560"/>
        <s v="62561"/>
        <s v="62557"/>
        <s v="62562"/>
        <s v="62563"/>
        <s v="62564"/>
        <s v="62565"/>
        <s v="62566"/>
        <s v="62567"/>
        <s v="62568"/>
        <s v="62569"/>
        <s v="62571"/>
        <s v="62572"/>
        <s v="62573"/>
        <s v="62574"/>
        <s v="62576"/>
        <s v="62577"/>
        <s v="62578"/>
        <s v="62580"/>
        <s v="62581"/>
        <s v="62579"/>
        <s v="62582"/>
        <s v="62583"/>
        <s v="62584"/>
        <s v="62589"/>
        <s v="62585"/>
        <s v="62586"/>
        <s v="62587"/>
        <s v="62588"/>
        <s v="62590"/>
        <s v="62591"/>
        <s v="62592"/>
        <s v="62593"/>
        <s v="62594"/>
        <s v="62595"/>
        <s v="62596"/>
        <s v="62597"/>
        <s v="62598"/>
        <s v="62570"/>
        <s v="62599"/>
        <s v="62602"/>
        <s v="62603"/>
        <s v="62604"/>
        <s v="62605"/>
        <s v="62606"/>
        <s v="62608"/>
        <s v="62609"/>
        <s v="62611"/>
        <s v="62607"/>
        <s v="62610"/>
        <s v="62612"/>
        <s v="62614"/>
        <s v="62613"/>
        <s v="62615"/>
        <s v="62618"/>
        <s v="62619"/>
        <s v="62620"/>
        <s v="62622"/>
        <s v="62621"/>
        <s v="62623"/>
        <s v="62630"/>
        <s v="62624"/>
        <s v="62625"/>
        <s v="62626"/>
        <s v="62627"/>
        <s v="62628"/>
        <s v="62629"/>
        <s v="62631"/>
        <s v="62600"/>
        <s v="62601"/>
        <s v="62617"/>
        <s v="62616"/>
        <s v="62632"/>
        <s v="62634"/>
        <s v="62635"/>
        <s v="62636"/>
        <s v="62637"/>
        <s v="62638"/>
        <s v="62639"/>
        <s v="62640"/>
        <s v="62641"/>
        <s v="62642"/>
        <s v="62643"/>
        <s v="62644"/>
        <s v="62645"/>
        <s v="62646"/>
        <s v="62648"/>
        <s v="62649"/>
        <s v="62650"/>
        <s v="62651"/>
        <s v="62652"/>
        <s v="62653"/>
        <s v="62654"/>
        <s v="62655"/>
        <s v="62656"/>
        <s v="62657"/>
        <s v="62658"/>
        <s v="62659"/>
        <s v="62660"/>
        <s v="62662"/>
        <s v="62663"/>
        <s v="62664"/>
        <s v="62666"/>
        <s v="62669"/>
        <s v="62670"/>
        <s v="62671"/>
        <s v="62668"/>
        <s v="62672"/>
        <s v="62674"/>
        <s v="62675"/>
        <s v="62676"/>
        <s v="62678"/>
        <s v="62679"/>
        <s v="62681"/>
        <s v="62682"/>
        <s v="62680"/>
        <s v="62673"/>
        <s v="62683"/>
        <s v="62684"/>
        <s v="62685"/>
        <s v="62686"/>
        <s v="62688"/>
        <s v="62689"/>
        <s v="62690"/>
        <s v="62692"/>
        <s v="62693"/>
        <s v="62694"/>
        <s v="62695"/>
        <s v="62696"/>
        <s v="62698"/>
        <s v="62699"/>
        <s v="62700"/>
        <s v="62701"/>
        <s v="62702"/>
        <s v="62704"/>
        <s v="62705"/>
        <s v="62706"/>
        <s v="62708"/>
        <s v="62709"/>
        <s v="62710"/>
        <s v="62711"/>
        <s v="62712"/>
        <s v="62713"/>
        <s v="62714"/>
        <s v="62715"/>
        <s v="62716"/>
        <s v="62719"/>
        <s v="62720"/>
        <s v="62721"/>
        <s v="62722"/>
        <s v="62723"/>
        <s v="62724"/>
        <s v="62725"/>
        <s v="62717"/>
        <s v="62726"/>
        <s v="62727"/>
        <s v="62728"/>
        <s v="62729"/>
        <s v="62730"/>
        <s v="62731"/>
        <s v="62697"/>
        <s v="62703"/>
        <s v="62718"/>
        <s v="62732"/>
        <s v="62735"/>
        <s v="62733"/>
        <s v="62734"/>
        <s v="62736"/>
        <s v="62737"/>
        <s v="62738"/>
        <s v="62739"/>
        <s v="62740"/>
        <s v="62741"/>
        <s v="62742"/>
        <s v="62691"/>
        <s v="62745"/>
        <s v="62747"/>
        <s v="62748"/>
        <s v="62749"/>
        <s v="62750"/>
        <s v="62751"/>
        <s v="62752"/>
        <s v="62753"/>
        <s v="62754"/>
        <s v="62755"/>
        <s v="62758"/>
        <s v="62759"/>
        <s v="62760"/>
        <s v="62757"/>
        <s v="62761"/>
        <s v="62762"/>
        <s v="62763"/>
        <s v="62764"/>
        <s v="62765"/>
        <s v="62766"/>
        <s v="62767"/>
        <s v="62768"/>
        <s v="62769"/>
        <s v="62770"/>
        <s v="62746"/>
        <s v="62744"/>
        <s v="62756"/>
        <s v="62771"/>
        <s v="62772"/>
        <s v="62773"/>
        <s v="62774"/>
        <s v="62775"/>
        <s v="62776"/>
        <s v="62778"/>
        <s v="62779"/>
        <s v="62780"/>
        <s v="62781"/>
        <s v="62782"/>
        <s v="62783"/>
        <s v="62784"/>
        <s v="62785"/>
        <s v="62786"/>
        <s v="62787"/>
        <s v="62788"/>
        <s v="62789"/>
        <s v="62790"/>
        <s v="62792"/>
        <s v="62793"/>
        <s v="62794"/>
        <s v="62795"/>
        <s v="62796"/>
        <s v="62797"/>
        <s v="62798"/>
        <s v="62799"/>
        <s v="62800"/>
        <s v="62801"/>
        <s v="62803"/>
        <s v="62804"/>
        <s v="62791"/>
        <s v="62805"/>
        <s v="62806"/>
        <s v="62808"/>
        <s v="62809"/>
        <s v="62812"/>
        <s v="62814"/>
        <s v="62810"/>
        <s v="62811"/>
        <s v="62815"/>
        <s v="62816"/>
        <s v="62817"/>
        <s v="62818"/>
        <s v="62819"/>
        <s v="62820"/>
        <s v="62821"/>
        <s v="62822"/>
        <s v="62823"/>
        <s v="62824"/>
        <s v="62825"/>
        <s v="62827"/>
        <s v="62828"/>
        <s v="62830"/>
        <s v="62831"/>
        <s v="62832"/>
        <s v="62833"/>
        <s v="62834"/>
        <s v="62835"/>
        <s v="62836"/>
        <s v="62837"/>
        <s v="62838"/>
        <s v="62839"/>
        <s v="62842"/>
        <s v="62841"/>
        <s v="62843"/>
        <s v="62844"/>
        <s v="62845"/>
        <s v="62846"/>
        <s v="62847"/>
        <s v="62848"/>
        <s v="62849"/>
        <s v="62850"/>
        <s v="62853"/>
        <s v="62851"/>
        <s v="62852"/>
        <s v="62856"/>
        <s v="62857"/>
        <s v="62860"/>
        <s v="62854"/>
        <s v="62855"/>
        <s v="62859"/>
        <s v="62858"/>
        <s v="62861"/>
        <s v="62862"/>
        <s v="62863"/>
        <s v="62864"/>
        <s v="62865"/>
        <s v="62840"/>
        <s v="62866"/>
        <s v="62867"/>
        <s v="62868"/>
        <s v="62869"/>
        <s v="62870"/>
        <s v="62871"/>
        <s v="62872"/>
        <s v="62873"/>
        <s v="62874"/>
        <s v="62875"/>
        <s v="62876"/>
        <s v="62877"/>
        <s v="62878"/>
        <s v="62879"/>
        <s v="62883"/>
        <s v="62882"/>
        <s v="62885"/>
        <s v="62886"/>
        <s v="62887"/>
        <s v="62889"/>
        <s v="62888"/>
        <s v="62890"/>
        <s v="62891"/>
        <s v="62892"/>
        <s v="62893"/>
        <s v="62894"/>
        <s v="62895"/>
        <s v="62896"/>
        <s v="62897"/>
        <s v="62898"/>
        <s v="62899"/>
        <s v="62900"/>
        <s v="62901"/>
        <s v="62902"/>
        <s v="62909"/>
        <s v="62903"/>
        <s v="62904"/>
        <s v="62905"/>
        <s v="62906"/>
        <s v="62282"/>
        <s v="62283"/>
        <s v="62284"/>
        <s v="62285"/>
        <s v="62289"/>
        <s v="62290"/>
        <s v="62291"/>
        <s v="62297"/>
        <s v="62298"/>
        <s v="62300"/>
        <s v="62301"/>
        <s v="62303"/>
        <s v="62317"/>
        <s v="62318"/>
        <s v="62319"/>
        <s v="62320"/>
        <s v="62321"/>
        <s v="62633"/>
        <s v="80001"/>
        <s v="80002"/>
        <s v="80003"/>
        <s v="80004"/>
        <s v="80005"/>
        <s v="80006"/>
        <s v="80008"/>
        <s v="80009"/>
        <s v="80010"/>
        <s v="80011"/>
        <s v="80013"/>
        <s v="80014"/>
        <s v="80015"/>
        <s v="80016"/>
        <s v="80017"/>
        <s v="80018"/>
        <s v="80019"/>
        <s v="80020"/>
        <s v="80021"/>
        <s v="80022"/>
        <s v="80023"/>
        <s v="80025"/>
        <s v="80026"/>
        <s v="80024"/>
        <s v="80027"/>
        <s v="80028"/>
        <s v="80029"/>
        <s v="80030"/>
        <s v="80031"/>
        <s v="80032"/>
        <s v="80033"/>
        <s v="80034"/>
        <s v="80035"/>
        <s v="80036"/>
        <s v="80037"/>
        <s v="80038"/>
        <s v="80039"/>
        <s v="80041"/>
        <s v="80040"/>
        <s v="80042"/>
        <s v="80043"/>
        <s v="80044"/>
        <s v="80045"/>
        <s v="80046"/>
        <s v="80047"/>
        <s v="80048"/>
        <s v="80049"/>
        <s v="80050"/>
        <s v="80051"/>
        <s v="80052"/>
        <s v="80053"/>
        <s v="80054"/>
        <s v="80055"/>
        <s v="80056"/>
        <s v="80057"/>
        <s v="80058"/>
        <s v="80059"/>
        <s v="80061"/>
        <s v="80062"/>
        <s v="80063"/>
        <s v="80064"/>
        <s v="80065"/>
        <s v="80066"/>
        <s v="80067"/>
        <s v="80068"/>
        <s v="80069"/>
        <s v="80070"/>
        <s v="80071"/>
        <s v="80074"/>
        <s v="80078"/>
        <s v="80079"/>
        <s v="80081"/>
        <s v="80080"/>
        <s v="80082"/>
        <s v="80083"/>
        <s v="80084"/>
        <s v="80086"/>
        <s v="80087"/>
        <s v="80088"/>
        <s v="80089"/>
        <s v="80090"/>
        <s v="80085"/>
        <s v="80092"/>
        <s v="80093"/>
        <s v="80094"/>
        <s v="80095"/>
        <s v="80098"/>
        <s v="80099"/>
        <s v="80100"/>
        <s v="80101"/>
        <s v="80102"/>
        <s v="80103"/>
        <s v="80104"/>
        <s v="80105"/>
        <s v="80107"/>
        <s v="80106"/>
        <s v="80108"/>
        <s v="80110"/>
        <s v="80112"/>
        <s v="80113"/>
        <s v="80114"/>
        <s v="80115"/>
        <s v="80116"/>
        <s v="80117"/>
        <s v="80118"/>
        <s v="80119"/>
        <s v="80120"/>
        <s v="80121"/>
        <s v="80122"/>
        <s v="80123"/>
        <s v="80124"/>
        <s v="80125"/>
        <s v="80126"/>
        <s v="80127"/>
        <s v="80128"/>
        <s v="80129"/>
        <s v="80130"/>
        <s v="80131"/>
        <s v="80132"/>
        <s v="80133"/>
        <s v="80134"/>
        <s v="80135"/>
        <s v="80136"/>
        <s v="80137"/>
        <s v="80138"/>
        <s v="80139"/>
        <s v="80141"/>
        <s v="80142"/>
        <s v="80143"/>
        <s v="80144"/>
        <s v="80145"/>
        <s v="80146"/>
        <s v="80140"/>
        <s v="80149"/>
        <s v="80147"/>
        <s v="80148"/>
        <s v="80150"/>
        <s v="80151"/>
        <s v="80152"/>
        <s v="80153"/>
        <s v="80154"/>
        <s v="80155"/>
        <s v="80156"/>
        <s v="80157"/>
        <s v="80158"/>
        <s v="80060"/>
        <s v="80073"/>
        <s v="80076"/>
        <s v="80077"/>
        <s v="80096"/>
        <s v="80097"/>
        <s v="80159"/>
        <s v="80160"/>
        <s v="80161"/>
        <s v="80162"/>
        <s v="80163"/>
        <s v="80164"/>
        <s v="80165"/>
        <s v="80166"/>
        <s v="80167"/>
        <s v="80168"/>
        <s v="80169"/>
        <s v="80170"/>
        <s v="80171"/>
        <s v="80172"/>
        <s v="80173"/>
        <s v="80505"/>
        <s v="80176"/>
        <s v="80177"/>
        <s v="80179"/>
        <s v="80180"/>
        <s v="80181"/>
        <s v="80182"/>
        <s v="80184"/>
        <s v="80183"/>
        <s v="80185"/>
        <s v="80186"/>
        <s v="80188"/>
        <s v="80191"/>
        <s v="80192"/>
        <s v="80193"/>
        <s v="80194"/>
        <s v="80195"/>
        <s v="80190"/>
        <s v="80196"/>
        <s v="80197"/>
        <s v="80198"/>
        <s v="80199"/>
        <s v="80200"/>
        <s v="80201"/>
        <s v="80202"/>
        <s v="80203"/>
        <s v="80204"/>
        <s v="80205"/>
        <s v="80206"/>
        <s v="80207"/>
        <s v="80208"/>
        <s v="80210"/>
        <s v="80211"/>
        <s v="80212"/>
        <s v="80213"/>
        <s v="80214"/>
        <s v="80215"/>
        <s v="80216"/>
        <s v="80217"/>
        <s v="80218"/>
        <s v="80219"/>
        <s v="80220"/>
        <s v="80221"/>
        <s v="80224"/>
        <s v="80225"/>
        <s v="80226"/>
        <s v="80227"/>
        <s v="80229"/>
        <s v="80222"/>
        <s v="80223"/>
        <s v="80230"/>
        <s v="80231"/>
        <s v="80232"/>
        <s v="80233"/>
        <s v="80234"/>
        <s v="80235"/>
        <s v="80236"/>
        <s v="80238"/>
        <s v="80239"/>
        <s v="80240"/>
        <s v="80241"/>
        <s v="80242"/>
        <s v="80243"/>
        <s v="80244"/>
        <s v="80245"/>
        <s v="80246"/>
        <s v="80247"/>
        <s v="80248"/>
        <s v="80249"/>
        <s v="80250"/>
        <s v="80251"/>
        <s v="80252"/>
        <s v="80253"/>
        <s v="80256"/>
        <s v="80258"/>
        <s v="80259"/>
        <s v="80260"/>
        <s v="80261"/>
        <s v="80237"/>
        <s v="80262"/>
        <s v="80265"/>
        <s v="80266"/>
        <s v="80267"/>
        <s v="80274"/>
        <s v="80278"/>
        <s v="80279"/>
        <s v="80280"/>
        <s v="80281"/>
        <s v="80283"/>
        <s v="80284"/>
        <s v="80285"/>
        <s v="80287"/>
        <s v="80288"/>
        <s v="80557"/>
        <s v="80290"/>
        <s v="80291"/>
        <s v="80300"/>
        <s v="80301"/>
        <s v="80302"/>
        <s v="80303"/>
        <s v="80304"/>
        <s v="80305"/>
        <s v="80306"/>
        <s v="80307"/>
        <s v="80308"/>
        <s v="80566"/>
        <s v="80310"/>
        <s v="80311"/>
        <s v="80312"/>
        <s v="80313"/>
        <s v="80314"/>
        <s v="80315"/>
        <s v="80316"/>
        <s v="80317"/>
        <s v="80318"/>
        <s v="80319"/>
        <s v="80320"/>
        <s v="80321"/>
        <s v="80322"/>
        <s v="80324"/>
        <s v="80325"/>
        <s v="80326"/>
        <s v="80327"/>
        <s v="80328"/>
        <s v="80329"/>
        <s v="80330"/>
        <s v="80332"/>
        <s v="80331"/>
        <s v="80333"/>
        <s v="80334"/>
        <s v="80336"/>
        <s v="80335"/>
        <s v="80337"/>
        <s v="80338"/>
        <s v="80339"/>
        <s v="80340"/>
        <s v="80341"/>
        <s v="80342"/>
        <s v="80343"/>
        <s v="80344"/>
        <s v="80345"/>
        <s v="80346"/>
        <s v="80347"/>
        <s v="80348"/>
        <s v="80349"/>
        <s v="80350"/>
        <s v="80353"/>
        <s v="80354"/>
        <s v="80355"/>
        <s v="80356"/>
        <s v="80357"/>
        <s v="80358"/>
        <s v="80359"/>
        <s v="80360"/>
        <s v="80361"/>
        <s v="80362"/>
        <s v="80364"/>
        <s v="80365"/>
        <s v="80366"/>
        <s v="80367"/>
        <s v="80368"/>
        <s v="80369"/>
        <s v="80371"/>
        <s v="80372"/>
        <s v="80351"/>
        <s v="80352"/>
        <s v="80373"/>
        <s v="80374"/>
        <s v="80375"/>
        <s v="80376"/>
        <s v="80378"/>
        <s v="80379"/>
        <s v="80380"/>
        <s v="80381"/>
        <s v="80383"/>
        <s v="80385"/>
        <s v="80384"/>
        <s v="80386"/>
        <s v="80387"/>
        <s v="80390"/>
        <s v="80391"/>
        <s v="80392"/>
        <s v="80393"/>
        <s v="80388"/>
        <s v="80395"/>
        <s v="80396"/>
        <s v="80397"/>
        <s v="80399"/>
        <s v="80400"/>
        <s v="80401"/>
        <s v="80402"/>
        <s v="80404"/>
        <s v="80403"/>
        <s v="80377"/>
        <s v="80405"/>
        <s v="80406"/>
        <s v="80407"/>
        <s v="80408"/>
        <s v="80409"/>
        <s v="80410"/>
        <s v="80412"/>
        <s v="80413"/>
        <s v="80414"/>
        <s v="80415"/>
        <s v="80416"/>
        <s v="80417"/>
        <s v="80418"/>
        <s v="80420"/>
        <s v="80421"/>
        <s v="80422"/>
        <s v="80423"/>
        <s v="80426"/>
        <s v="80427"/>
        <s v="80428"/>
        <s v="80430"/>
        <s v="80432"/>
        <s v="80433"/>
        <s v="80434"/>
        <s v="80435"/>
        <s v="80436"/>
        <s v="80437"/>
        <s v="80438"/>
        <s v="80439"/>
        <s v="80440"/>
        <s v="80442"/>
        <s v="80443"/>
        <s v="80444"/>
        <s v="80445"/>
        <s v="80446"/>
        <s v="80621"/>
        <s v="80424"/>
        <s v="80425"/>
        <s v="80429"/>
        <s v="80431"/>
        <s v="80449"/>
        <s v="80450"/>
        <s v="80451"/>
        <s v="80452"/>
        <s v="80263"/>
        <s v="80296"/>
        <s v="80187"/>
        <s v="80189"/>
        <s v="80299"/>
        <s v="80595"/>
        <s v="80593"/>
        <s v="80792"/>
        <s v="80453"/>
        <s v="80455"/>
        <s v="80456"/>
        <s v="80458"/>
        <s v="80459"/>
        <s v="80460"/>
        <s v="80461"/>
        <s v="80462"/>
        <s v="80463"/>
        <s v="80466"/>
        <s v="80464"/>
        <s v="80465"/>
        <s v="80467"/>
        <s v="80468"/>
        <s v="80469"/>
        <s v="80109"/>
        <s v="80174"/>
        <s v="80228"/>
        <s v="80411"/>
        <s v="80522"/>
        <s v="80526"/>
        <s v="80535"/>
        <s v="80628"/>
        <s v="80651"/>
        <s v="80652"/>
        <s v="80763"/>
        <s v="80767"/>
        <s v="80472"/>
        <s v="80473"/>
        <s v="80474"/>
        <s v="80476"/>
        <s v="80477"/>
        <s v="80478"/>
        <s v="80479"/>
        <s v="80480"/>
        <s v="80481"/>
        <s v="80482"/>
        <s v="80484"/>
        <s v="80475"/>
        <s v="80486"/>
        <s v="80487"/>
        <s v="80488"/>
        <s v="80489"/>
        <s v="80490"/>
        <s v="80491"/>
        <s v="80493"/>
        <s v="80494"/>
        <s v="80495"/>
        <s v="80470"/>
        <s v="80496"/>
        <s v="80497"/>
        <s v="80498"/>
        <s v="80499"/>
        <s v="80500"/>
        <s v="80501"/>
        <s v="80502"/>
        <s v="80503"/>
        <s v="80504"/>
        <s v="80507"/>
        <s v="80508"/>
        <s v="80509"/>
        <s v="80511"/>
        <s v="80512"/>
        <s v="80513"/>
        <s v="80514"/>
        <s v="80515"/>
        <s v="80516"/>
        <s v="80517"/>
        <s v="80518"/>
        <s v="80519"/>
        <s v="80520"/>
        <s v="80521"/>
        <s v="80525"/>
        <s v="80533"/>
        <s v="80536"/>
        <s v="80537"/>
        <s v="80540"/>
        <s v="80541"/>
        <s v="80542"/>
        <s v="80538"/>
        <s v="80546"/>
        <s v="80547"/>
        <s v="80548"/>
        <s v="80549"/>
        <s v="80550"/>
        <s v="80552"/>
        <s v="80554"/>
        <s v="80553"/>
        <s v="80555"/>
        <s v="80556"/>
        <s v="80558"/>
        <s v="80559"/>
        <s v="80560"/>
        <s v="80561"/>
        <s v="80563"/>
        <s v="80562"/>
        <s v="80565"/>
        <s v="80568"/>
        <s v="80569"/>
        <s v="80570"/>
        <s v="80571"/>
        <s v="80572"/>
        <s v="80573"/>
        <s v="80574"/>
        <s v="80575"/>
        <s v="80576"/>
        <s v="80577"/>
        <s v="80578"/>
        <s v="80579"/>
        <s v="80523"/>
        <s v="80524"/>
        <s v="80527"/>
        <s v="80531"/>
        <s v="80530"/>
        <s v="80528"/>
        <s v="80529"/>
        <s v="80543"/>
        <s v="80544"/>
        <s v="80545"/>
        <s v="80580"/>
        <s v="80582"/>
        <s v="80583"/>
        <s v="80584"/>
        <s v="80585"/>
        <s v="80586"/>
        <s v="80587"/>
        <s v="80588"/>
        <s v="80590"/>
        <s v="80589"/>
        <s v="80592"/>
        <s v="80591"/>
        <s v="80596"/>
        <s v="80597"/>
        <s v="80598"/>
        <s v="80599"/>
        <s v="80600"/>
        <s v="80601"/>
        <s v="80602"/>
        <s v="80603"/>
        <s v="80604"/>
        <s v="80605"/>
        <s v="80606"/>
        <s v="80607"/>
        <s v="80609"/>
        <s v="80611"/>
        <s v="80613"/>
        <s v="80614"/>
        <s v="80615"/>
        <s v="80616"/>
        <s v="80617"/>
        <s v="80618"/>
        <s v="80619"/>
        <s v="80622"/>
        <s v="80623"/>
        <s v="80624"/>
        <s v="80626"/>
        <s v="80627"/>
        <s v="80630"/>
        <s v="80631"/>
        <s v="80634"/>
        <s v="80635"/>
        <s v="80632"/>
        <s v="80633"/>
        <s v="80637"/>
        <s v="80638"/>
        <s v="80639"/>
        <s v="80640"/>
        <s v="80642"/>
        <s v="80643"/>
        <s v="80644"/>
        <s v="80645"/>
        <s v="80646"/>
        <s v="80647"/>
        <s v="80648"/>
        <s v="80620"/>
        <s v="80629"/>
        <s v="80649"/>
        <s v="80650"/>
        <s v="80654"/>
        <s v="80655"/>
        <s v="80656"/>
        <s v="80657"/>
        <s v="80658"/>
        <s v="80659"/>
        <s v="80661"/>
        <s v="80662"/>
        <s v="80663"/>
        <s v="80664"/>
        <s v="80665"/>
        <s v="80666"/>
        <s v="80667"/>
        <s v="80668"/>
        <s v="80669"/>
        <s v="80670"/>
        <s v="80671"/>
        <s v="80672"/>
        <s v="80673"/>
        <s v="80674"/>
        <s v="80675"/>
        <s v="80676"/>
        <s v="80677"/>
        <s v="80678"/>
        <s v="80679"/>
        <s v="80680"/>
        <s v="80681"/>
        <s v="80682"/>
        <s v="80683"/>
        <s v="80684"/>
        <s v="80685"/>
        <s v="80686"/>
        <s v="80687"/>
        <s v="80688"/>
        <s v="80690"/>
        <s v="80691"/>
        <s v="80692"/>
        <s v="80693"/>
        <s v="80695"/>
        <s v="80694"/>
        <s v="80696"/>
        <s v="80697"/>
        <s v="80698"/>
        <s v="80699"/>
        <s v="80700"/>
        <s v="80701"/>
        <s v="80702"/>
        <s v="80703"/>
        <s v="80704"/>
        <s v="80705"/>
        <s v="80706"/>
        <s v="80707"/>
        <s v="80708"/>
        <s v="80709"/>
        <s v="80710"/>
        <s v="80711"/>
        <s v="80713"/>
        <s v="80714"/>
        <s v="80716"/>
        <s v="80717"/>
        <s v="80718"/>
        <s v="80722"/>
        <s v="80721"/>
        <s v="80719"/>
        <s v="80723"/>
        <s v="80724"/>
        <s v="80725"/>
        <s v="80726"/>
        <s v="80728"/>
        <s v="80729"/>
        <s v="80730"/>
        <s v="80732"/>
        <s v="80733"/>
        <s v="80734"/>
        <s v="80735"/>
        <s v="80737"/>
        <s v="80736"/>
        <s v="80738"/>
        <s v="80740"/>
        <s v="80741"/>
        <s v="80742"/>
        <s v="80743"/>
        <s v="80744"/>
        <s v="80746"/>
        <s v="80747"/>
        <s v="80748"/>
        <s v="80749"/>
        <s v="80750"/>
        <s v="80751"/>
        <s v="80753"/>
        <s v="80754"/>
        <s v="80755"/>
        <s v="80756"/>
        <s v="80757"/>
        <s v="80758"/>
        <s v="80752"/>
        <s v="80759"/>
        <s v="80760"/>
        <s v="80762"/>
        <s v="80765"/>
        <s v="80766"/>
        <s v="80769"/>
        <s v="80625"/>
        <s v="80770"/>
        <s v="80764"/>
        <s v="80771"/>
        <s v="80773"/>
        <s v="80774"/>
        <s v="80775"/>
        <s v="80776"/>
        <s v="80779"/>
        <s v="80777"/>
        <s v="80778"/>
        <s v="80780"/>
        <s v="80781"/>
        <s v="80783"/>
        <s v="80782"/>
        <s v="80784"/>
        <s v="80785"/>
        <s v="80786"/>
        <s v="80787"/>
        <s v="80788"/>
        <s v="80789"/>
        <s v="80790"/>
        <s v="80791"/>
        <s v="80793"/>
        <s v="80795"/>
        <s v="80807"/>
        <s v="80794"/>
        <s v="80796"/>
        <s v="80798"/>
        <s v="80799"/>
        <s v="80800"/>
        <s v="80801"/>
        <s v="80802"/>
        <s v="80805"/>
        <s v="80797"/>
        <s v="80803"/>
        <s v="80804"/>
        <s v="80806"/>
        <s v="80808"/>
        <s v="80809"/>
        <s v="80810"/>
        <s v="80811"/>
        <s v="80812"/>
        <s v="80813"/>
        <s v="80815"/>
        <s v="80814"/>
        <s v="80819"/>
        <s v="80820"/>
        <s v="80821"/>
        <s v="80822"/>
        <s v="80823"/>
        <s v="80824"/>
        <s v="80825"/>
        <s v="80826"/>
        <s v="80827"/>
        <s v="80828"/>
        <s v="80829"/>
        <s v="80836"/>
        <s v="80832"/>
        <s v="80833"/>
        <s v="80834"/>
        <s v="80835"/>
        <s v="80264"/>
        <s v="80268"/>
        <s v="80269"/>
        <s v="80271"/>
        <s v="80273"/>
        <s v="80270"/>
        <s v="80272"/>
        <s v="80275"/>
        <s v="80276"/>
        <s v="80282"/>
        <s v="80292"/>
        <s v="80293"/>
        <s v="80294"/>
        <s v="80295"/>
        <s v="80298"/>
        <s v="80297"/>
        <s v="80485"/>
      </sharedItems>
    </cacheField>
    <cacheField name="Commune" numFmtId="0">
      <sharedItems>
        <s v="Abbécourt"/>
        <s v="Achery"/>
        <s v="Acy"/>
        <s v="Agnicourt-et-Séchelles"/>
        <s v="Aguilcourt"/>
        <s v="Aisonville-et-Bernoville"/>
        <s v="Aizelles"/>
        <s v="Aizy-Jouy"/>
        <s v="Alaincourt"/>
        <s v="Allemant"/>
        <s v="Ambleny"/>
        <s v="Ambrief"/>
        <s v="Amifontaine"/>
        <s v="Amigny-Rouy"/>
        <s v="Ancienville"/>
        <s v="Andelain"/>
        <s v="Anguilcourt-le-Sart"/>
        <s v="Anizy-le-Grand"/>
        <s v="Annois"/>
        <s v="Any-Martin-Rieux"/>
        <s v="Archon"/>
        <s v="Arcy-Sainte-Restitue"/>
        <s v="Armentières-sur-Ourcq"/>
        <s v="Arrancy"/>
        <s v="Artemps"/>
        <s v="Assis-sur-Serre"/>
        <s v="Athies-sous-Laon"/>
        <s v="Attilly"/>
        <s v="Aubencheul-aux-Bois"/>
        <s v="Aubenton"/>
        <s v="Aubigny-aux-Kaisnes"/>
        <s v="Aubigny-en-Laonnois"/>
        <s v="Audignicourt"/>
        <s v="Audigny"/>
        <s v="Augy"/>
        <s v="Aulnois-sous-Laon"/>
        <s v="Autremencourt"/>
        <s v="Autreppes"/>
        <s v="Autreville"/>
        <s v="Azy-sur-Marne"/>
        <s v="Bagneux"/>
        <s v="Bancigny"/>
        <s v="Barenton-Bugny"/>
        <s v="Barenton-Cel"/>
        <s v="Barenton-sur-Serre"/>
        <s v="Barisis-aux-Bois"/>
        <s v="Barzy-en-Thiérache"/>
        <s v="Barzy-sur-Marne"/>
        <s v="Bassoles-Aulers"/>
        <s v="Bazoches-et-Saint-Thibaut"/>
        <s v="Beaumont-en-Beine"/>
        <s v="Beaumé"/>
        <s v="Beaurevoir"/>
        <s v="Beaurieux"/>
        <s v="Beautor"/>
        <s v="Beauvois-en-Vermandois"/>
        <s v="Becquigny"/>
        <s v="Belleau"/>
        <s v="Bellenglise"/>
        <s v="Belleu"/>
        <s v="Bellicourt"/>
        <s v="Benay"/>
        <s v="Bergues-sur-Sambre"/>
        <s v="Berlancourt"/>
        <s v="Berlise"/>
        <s v="Bernot"/>
        <s v="Bernoy-le-Château"/>
        <s v="Berny-Rivière"/>
        <s v="Berrieux"/>
        <s v="Berry-au-Bac"/>
        <s v="Bertaucourt-Epourdon"/>
        <s v="Berthenicourt"/>
        <s v="Bertricourt"/>
        <s v="Besmont"/>
        <s v="Besmé"/>
        <s v="Besny-et-Loizy"/>
        <s v="Beugneux"/>
        <s v="Beuvardes"/>
        <s v="Bichancourt"/>
        <s v="Bieuxy"/>
        <s v="Billy-sur-Aisne"/>
        <s v="Billy-sur-Ourcq"/>
        <s v="Bièvres"/>
        <s v="Blanzy-lès-Fismes"/>
        <s v="Blesmes"/>
        <s v="Blérancourt"/>
        <s v="Bohain-en-Vermandois"/>
        <s v="Bois-lès-Pargny"/>
        <s v="Boncourt"/>
        <s v="Bonneil"/>
        <s v="Bonnesvalyn"/>
        <s v="Bony"/>
        <s v="Bosmont-sur-Serre"/>
        <s v="Bouconville-Vauclair"/>
        <s v="Bouffignereux"/>
        <s v="Bouresches"/>
        <s v="Bourg-et-Comin"/>
        <s v="Bourguignon-sous-Coucy"/>
        <s v="Bourguignon-sous-Montbavin"/>
        <s v="Boué"/>
        <s v="Braine"/>
        <s v="Brancourt-en-Laonnois"/>
        <s v="Brancourt-le-Grand"/>
        <s v="Brasles"/>
        <s v="Bray-Saint-Christophe"/>
        <s v="Braye"/>
        <s v="Braye-en-Laonnois"/>
        <s v="Braye-en-Thiérache"/>
        <s v="Brenelle"/>
        <s v="Breny"/>
        <s v="Brie"/>
        <s v="Brissay-Choigny"/>
        <s v="Brissy-Hamégicourt"/>
        <s v="Brumetz"/>
        <s v="Brunehamel"/>
        <s v="Bruys"/>
        <s v="Bruyères-et-Montbérault"/>
        <s v="Bruyères-sur-Fère"/>
        <s v="Brécy"/>
        <s v="Bucilly"/>
        <s v="Bucy-le-Long"/>
        <s v="Bucy-lès-Cerny"/>
        <s v="Bucy-lès-Pierrepont"/>
        <s v="Buire"/>
        <s v="Buironfosse"/>
        <s v="Burelles"/>
        <s v="Bussiares"/>
        <s v="Buzancy"/>
        <s v="Béthancourt-en-Vaux"/>
        <s v="Bézu-Saint-Germain"/>
        <s v="Bézu-le-Guéry"/>
        <s v="Caillouël-Crépigny"/>
        <s v="Camelin"/>
        <s v="Castres"/>
        <s v="Caulaincourt"/>
        <s v="Caumont"/>
        <s v="Celles-lès-Condé"/>
        <s v="Celles-sur-Aisne"/>
        <s v="Cerizy"/>
        <s v="Cerny-en-Laonnois"/>
        <s v="Cerny-lès-Bucy"/>
        <s v="Cerseuil"/>
        <s v="Cessières-Suzy"/>
        <s v="Chacrise"/>
        <s v="Chaillevois"/>
        <s v="Chalandry"/>
        <s v="Chambry"/>
        <s v="Chamouille"/>
        <s v="Champs"/>
        <s v="Chaourse"/>
        <s v="Charly-sur-Marne"/>
        <s v="Charmes"/>
        <s v="Chartèves"/>
        <s v="Chassemy"/>
        <s v="Chaudardes"/>
        <s v="Chaudun"/>
        <s v="Chauny"/>
        <s v="Chavignon"/>
        <s v="Chavigny"/>
        <s v="Chavonne"/>
        <s v="Chermizy-Ailles"/>
        <s v="Chevennes"/>
        <s v="Chevregny"/>
        <s v="Chevresis-Monceau"/>
        <s v="Chierry"/>
        <s v="Chigny"/>
        <s v="Chivres-Val"/>
        <s v="Chivres-en-Laonnois"/>
        <s v="Chivy-lès-Étouvelles"/>
        <s v="Chouy"/>
        <s v="Château-Thierry"/>
        <s v="Châtillon-lès-Sons"/>
        <s v="Châtillon-sur-Oise"/>
        <s v="Chéry-Chartreuve"/>
        <s v="Chéry-lès-Pouilly"/>
        <s v="Chéry-lès-Rozoy"/>
        <s v="Chérêt"/>
        <s v="Chézy-en-Orxois"/>
        <s v="Chézy-sur-Marne"/>
        <s v="Cierges"/>
        <s v="Cilly"/>
        <s v="Ciry-Salsogne"/>
        <s v="Clacy-et-Thierret"/>
        <s v="Clairfontaine"/>
        <s v="Clamecy"/>
        <s v="Clastres"/>
        <s v="Clermont-les-Fermes"/>
        <s v="Coincy"/>
        <s v="Coingt"/>
        <s v="Colligis-Crandelain"/>
        <s v="Colonfay"/>
        <s v="Commenchon"/>
        <s v="Concevreux"/>
        <s v="Condren"/>
        <s v="Condé-en-Brie"/>
        <s v="Condé-sur-Aisne"/>
        <s v="Condé-sur-Suippe"/>
        <s v="Connigis"/>
        <s v="Contescourt"/>
        <s v="Corbeny"/>
        <s v="Corcy"/>
        <s v="Coucy-la-Ville"/>
        <s v="Coucy-le-Château-Auffrique"/>
        <s v="Coucy-lès-Eppes"/>
        <s v="Coulonges-Cohan"/>
        <s v="Coupru"/>
        <s v="Courbes"/>
        <s v="Courboin"/>
        <s v="Courcelles-sur-Vesle"/>
        <s v="Courchamps"/>
        <s v="Courmelles"/>
        <s v="Courmont"/>
        <s v="Courtemont-Varennes"/>
        <s v="Courtrizy-et-Fussigny"/>
        <s v="Couvrelles"/>
        <s v="Couvron-et-Aumencourt"/>
        <s v="Coyolles"/>
        <s v="Cramaille"/>
        <s v="Craonne"/>
        <s v="Craonnelle"/>
        <s v="Croix-Fonsomme"/>
        <s v="Crouttes-sur-Marne"/>
        <s v="Crouy"/>
        <s v="Crupilly"/>
        <s v="Crécy-au-Mont"/>
        <s v="Crécy-sur-Serre"/>
        <s v="Crépy"/>
        <s v="Crézancy"/>
        <s v="Cuffies"/>
        <s v="Cugny"/>
        <s v="Cuirieux"/>
        <s v="Cuiry-Housse"/>
        <s v="Cuiry-lès-Chaudardes"/>
        <s v="Cuiry-lès-Iviers"/>
        <s v="Cuissy-et-Geny"/>
        <s v="Cuisy-en-Almont"/>
        <s v="Cutry"/>
        <s v="Cys-la-Commune"/>
        <s v="Cœuvres-et-Valsery"/>
        <s v="Dagny-Lambercy"/>
        <s v="Dallon"/>
        <s v="Dammard"/>
        <s v="Dampleux"/>
        <s v="Danizy"/>
        <s v="Dercy"/>
        <s v="Deuillet"/>
        <s v="Dhuizel"/>
        <s v="Dhuys et Morin-en-Brie"/>
        <s v="Dizy-le-Gros"/>
        <s v="Dohis"/>
        <s v="Dolignon"/>
        <s v="Dommiers"/>
        <s v="Domptin"/>
        <s v="Dorengt"/>
        <s v="Douchy"/>
        <s v="Dravegny"/>
        <s v="Droizy"/>
        <s v="Dury"/>
        <s v="Effry"/>
        <s v="Englancourt"/>
        <s v="Eppes"/>
        <s v="Erlon"/>
        <s v="Erloy"/>
        <s v="Esquéhéries"/>
        <s v="Essigny-le-Grand"/>
        <s v="Essigny-le-Petit"/>
        <s v="Essises"/>
        <s v="Essômes-sur-Marne"/>
        <s v="Estrées"/>
        <s v="Faverolles"/>
        <s v="Fayet"/>
        <s v="Fesmy-le-Sart"/>
        <s v="Festieux"/>
        <s v="Fieulaine"/>
        <s v="Flavigny-le-Grand-et-Beaurain"/>
        <s v="Flavy-le-Martel"/>
        <s v="Fleury"/>
        <s v="Fluquières"/>
        <s v="Folembray"/>
        <s v="Fonsomme"/>
        <s v="Fontaine-Notre-Dame"/>
        <s v="Fontaine-Uterte"/>
        <s v="Fontaine-lès-Clercs"/>
        <s v="Fontaine-lès-Vervins"/>
        <s v="Fontenelle"/>
        <s v="Fontenoy"/>
        <s v="Foreste"/>
        <s v="Fossoy"/>
        <s v="Fourdrain"/>
        <s v="Francilly-Selency"/>
        <s v="Franqueville"/>
        <s v="Fresnes-en-Tardenois"/>
        <s v="Fresnes-sous-Coucy"/>
        <s v="Fresnoy-le-Grand"/>
        <s v="Fressancourt"/>
        <s v="Frières-Faillouël"/>
        <s v="Froidestrées"/>
        <s v="Froidmont-Cohartille"/>
        <s v="Fère-en-Tardenois"/>
        <s v="Gandelu"/>
        <s v="Gauchy"/>
        <s v="Gercy"/>
        <s v="Gergny"/>
        <s v="Germaine"/>
        <s v="Gibercourt"/>
        <s v="Gizy"/>
        <s v="Gland"/>
        <s v="Goudelancourt-lès-Berrieux"/>
        <s v="Goudelancourt-lès-Pierrepont"/>
        <s v="Goussancourt"/>
        <s v="Gouy"/>
        <s v="Grand-Rozoy"/>
        <s v="Grand-Verly"/>
        <s v="Grandlup-et-Fay"/>
        <s v="Grandrieux"/>
        <s v="Gricourt"/>
        <s v="Grisolles"/>
        <s v="Gronard"/>
        <s v="Grougis"/>
        <s v="Grugies"/>
        <s v="Guise"/>
        <s v="Guivry"/>
        <s v="Guny"/>
        <s v="Guyencourt"/>
        <s v="Hannapes"/>
        <s v="Happencourt"/>
        <s v="Haramont"/>
        <s v="Harcigny"/>
        <s v="Hargicourt"/>
        <s v="Harly"/>
        <s v="Hartennes-et-Taux"/>
        <s v="Hary"/>
        <s v="Hautevesnes"/>
        <s v="Hauteville"/>
        <s v="Haution"/>
        <s v="Hinacourt"/>
        <s v="Hirson"/>
        <s v="Holnon"/>
        <s v="Homblières"/>
        <s v="Houry"/>
        <s v="Housset"/>
        <s v="Iron"/>
        <s v="Itancourt"/>
        <s v="Iviers"/>
        <s v="Jaulgonne"/>
        <s v="Jeancourt"/>
        <s v="Jeantes"/>
        <s v="Joncourt"/>
        <s v="Jouaignes"/>
        <s v="Jumencourt"/>
        <s v="Jumigny"/>
        <s v="Jussy"/>
        <s v="Juvigny"/>
        <s v="Juvincourt-et-Damary"/>
        <s v="L'Épine-aux-Bois"/>
        <s v="La Bouteille"/>
        <s v="La Capelle"/>
        <s v="La Chapelle-sur-Chézy"/>
        <s v="La Croix-sur-Ourcq"/>
        <s v="La Ferté-Chevresis"/>
        <s v="La Ferté-Milon"/>
        <s v="La Flamengrie"/>
        <s v="La Fère"/>
        <s v="La Hérie"/>
        <s v="La Malmaison"/>
        <s v="La Neuville-Bosmont"/>
        <s v="La Neuville-Housset"/>
        <s v="La Neuville-en-Beine"/>
        <s v="La Neuville-lès-Dorengt"/>
        <s v="La Selve"/>
        <s v="La Vallée-Mulâtre"/>
        <s v="La Vallée-au-Blé"/>
        <s v="La Ville-aux-Bois-lès-Dizy"/>
        <s v="La Ville-aux-Bois-lès-Pontavert"/>
        <s v="Laffaux"/>
        <s v="Laigny"/>
        <s v="Lanchy"/>
        <s v="Landifay-et-Bertaignemont"/>
        <s v="Landouzy-la-Cour"/>
        <s v="Landouzy-la-Ville"/>
        <s v="Landricourt"/>
        <s v="Laniscourt"/>
        <s v="Laon"/>
        <s v="Lappion"/>
        <s v="Largny-sur-Automne"/>
        <s v="Latilly"/>
        <s v="Launoy"/>
        <s v="Laval-en-Laonnois"/>
        <s v="Lavaqueresse"/>
        <s v="Laversine"/>
        <s v="Le Catelet"/>
        <s v="Le Charmel"/>
        <s v="Le Hérie-la-Viéville"/>
        <s v="Le Nouvion-en-Thiérache"/>
        <s v="Le Plessier-Huleu"/>
        <s v="Le Sourd"/>
        <s v="Le Thuel"/>
        <s v="Le Verguier"/>
        <s v="Lehaucourt"/>
        <s v="Lempire"/>
        <s v="Lemé"/>
        <s v="Lerzy"/>
        <s v="Les Autels"/>
        <s v="Les Septvallons"/>
        <s v="Leschelle"/>
        <s v="Lesdins"/>
        <s v="Lesges"/>
        <s v="Lesquielles-Saint-Germain"/>
        <s v="Leuilly-sous-Coucy"/>
        <s v="Leury"/>
        <s v="Leuze"/>
        <s v="Levergies"/>
        <s v="Lhuys"/>
        <s v="Licy-Clignon"/>
        <s v="Lierval"/>
        <s v="Liesse-Notre-Dame"/>
        <s v="Liez"/>
        <s v="Limé"/>
        <s v="Lislet"/>
        <s v="Logny-lès-Aubenton"/>
        <s v="Longpont"/>
        <s v="Lor"/>
        <s v="Loupeigne"/>
        <s v="Louâtre"/>
        <s v="Lucy-le-Bocage"/>
        <s v="Lugny"/>
        <s v="Luzoir"/>
        <s v="Ly-Fontaine"/>
        <s v="Maast-et-Violaine"/>
        <s v="Macogny"/>
        <s v="Macquigny"/>
        <s v="Magny-la-Fosse"/>
        <s v="Maissemy"/>
        <s v="Maizy"/>
        <s v="Malzy"/>
        <s v="Manicamp"/>
        <s v="Marchais"/>
        <s v="Marcy"/>
        <s v="Marcy-sous-Marle"/>
        <s v="Marest-Dampcourt"/>
        <s v="Mareuil-en-Dôle"/>
        <s v="Marfontaine"/>
        <s v="Margival"/>
        <s v="Marigny-en-Orxois"/>
        <s v="Marizy-Saint-Mard"/>
        <s v="Marizy-Sainte-Geneviève"/>
        <s v="Marle"/>
        <s v="Marly-Gomont"/>
        <s v="Martigny"/>
        <s v="Martigny-Courpierre"/>
        <s v="Mauregny-en-Haye"/>
        <s v="Mayot"/>
        <s v="Mennessis"/>
        <s v="Mennevret"/>
        <s v="Mercin-et-Vaux"/>
        <s v="Merlieux-et-Fouquerolles"/>
        <s v="Mesbrecourt-Richecourt"/>
        <s v="Mesnil-Saint-Laurent"/>
        <s v="Meurival"/>
        <s v="Missy-aux-Bois"/>
        <s v="Missy-lès-Pierrepont"/>
        <s v="Missy-sur-Aisne"/>
        <s v="Molain"/>
        <s v="Molinchart"/>
        <s v="Monampteuil"/>
        <s v="Monceau-le-Neuf-et-Faucouzy"/>
        <s v="Monceau-le-Waast"/>
        <s v="Monceau-lès-Leups"/>
        <s v="Monceau-sur-Oise"/>
        <s v="Mondrepuis"/>
        <s v="Monnes"/>
        <s v="Mons-en-Laonnois"/>
        <s v="Mont-Notre-Dame"/>
        <s v="Mont-Saint-Jean"/>
        <s v="Mont-Saint-Martin"/>
        <s v="Mont-Saint-Père"/>
        <s v="Mont-d'Origny"/>
        <s v="Montaigu"/>
        <s v="Montbavin"/>
        <s v="Montbrehain"/>
        <s v="Montchâlons"/>
        <s v="Montcornet"/>
        <s v="Montescourt-Lizerolles"/>
        <s v="Montfaucon"/>
        <s v="Montgobert"/>
        <s v="Montgru-Saint-Hilaire"/>
        <s v="Monthenault"/>
        <s v="Monthiers"/>
        <s v="Monthurel"/>
        <s v="Montigny-Lengrain"/>
        <s v="Montigny-en-Arrouaise"/>
        <s v="Montigny-l'Allier"/>
        <s v="Montigny-le-Franc"/>
        <s v="Montigny-lès-Condé"/>
        <s v="Montigny-sous-Marle"/>
        <s v="Montigny-sur-Crécy"/>
        <s v="Montlevon"/>
        <s v="Montloué"/>
        <s v="Montreuil-aux-Lions"/>
        <s v="Morcourt"/>
        <s v="Morgny-en-Thiérache"/>
        <s v="Morsain"/>
        <s v="Mortefontaine"/>
        <s v="Mortiers"/>
        <s v="Moulins"/>
        <s v="Moussy-Verneuil"/>
        <s v="Moÿ-de-l'Aisne"/>
        <s v="Muret-et-Crouttes"/>
        <s v="Muscourt"/>
        <s v="Mâchecourt"/>
        <s v="Mézières-sur-Oise"/>
        <s v="Mézy-Moulins"/>
        <s v="Nampcelles-la-Cour"/>
        <s v="Nampteuil-sous-Muret"/>
        <s v="Nanteuil-Notre-Dame"/>
        <s v="Nanteuil-la-Fosse"/>
        <s v="Nauroy"/>
        <s v="Nesles-la-Montagne"/>
        <s v="Neufchâtel-sur-Aisne"/>
        <s v="Neuflieux"/>
        <s v="Neuilly-Saint-Front"/>
        <s v="Neuve-Maison"/>
        <s v="Neuville-Saint-Amand"/>
        <s v="Neuville-sur-Ailette"/>
        <s v="Neuville-sur-Margival"/>
        <s v="Neuvillette"/>
        <s v="Nizy-le-Comte"/>
        <s v="Nogent-l'Artaud"/>
        <s v="Nogentel"/>
        <s v="Noircourt"/>
        <s v="Noroy-sur-Ourcq"/>
        <s v="Nouvion-et-Catillon"/>
        <s v="Nouvion-le-Comte"/>
        <s v="Nouvion-le-Vineux"/>
        <s v="Nouvron-Vingré"/>
        <s v="Noyales"/>
        <s v="Ognes"/>
        <s v="Ohis"/>
        <s v="Oigny-en-Valois"/>
        <s v="Oisy"/>
        <s v="Ollezy"/>
        <s v="Omissy"/>
        <s v="Orainville"/>
        <s v="Orgeval"/>
        <s v="Origny-Sainte-Benoite"/>
        <s v="Origny-en-Thiérache"/>
        <s v="Osly-Courtil"/>
        <s v="Ostel"/>
        <s v="Oulches-la-Vallée-Foulon"/>
        <s v="Oulchy-la-Ville"/>
        <s v="Oulchy-le-Château"/>
        <s v="Paars"/>
        <s v="Paissy"/>
        <s v="Pancy-Courtecon"/>
        <s v="Papleux"/>
        <s v="Parcy-et-Tigny"/>
        <s v="Parfondeval"/>
        <s v="Parfondru"/>
        <s v="Pargnan"/>
        <s v="Pargny-et-Filain"/>
        <s v="Pargny-la-Dhuys"/>
        <s v="Pargny-les-Bois"/>
        <s v="Parpeville"/>
        <s v="Pasly"/>
        <s v="Passy-en-Valois"/>
        <s v="Passy-sur-Marne"/>
        <s v="Pavant"/>
        <s v="Pernant"/>
        <s v="Petit-Verly"/>
        <s v="Pierremande"/>
        <s v="Pierrepont"/>
        <s v="Pignicourt"/>
        <s v="Pinon"/>
        <s v="Pithon"/>
        <s v="Pleine-Selve"/>
        <s v="Ploisy"/>
        <s v="Plomion"/>
        <s v="Ployart-et-Vaurseine"/>
        <s v="Pommiers"/>
        <s v="Pont-Arcy"/>
        <s v="Pont-Saint-Mard"/>
        <s v="Pontavert"/>
        <s v="Pontru"/>
        <s v="Pontruet"/>
        <s v="Pouilly-sur-Serre"/>
        <s v="Presles-et-Boves"/>
        <s v="Presles-et-Thierny"/>
        <s v="Priez"/>
        <s v="Prisces"/>
        <s v="Proisy"/>
        <s v="Proix"/>
        <s v="Prouvais"/>
        <s v="Proviseux-et-Plesnoy"/>
        <s v="Prémont"/>
        <s v="Prémontré"/>
        <s v="Puiseux-en-Retz"/>
        <s v="Puisieux-et-Clanlieu"/>
        <s v="Quierzy"/>
        <s v="Quincy-Basse"/>
        <s v="Quincy-sous-le-Mont"/>
        <s v="Raillimont"/>
        <s v="Ramicourt"/>
        <s v="Regny"/>
        <s v="Remaucourt"/>
        <s v="Remies"/>
        <s v="Remigny"/>
        <s v="Renansart"/>
        <s v="Renneval"/>
        <s v="Ressons-le-Long"/>
        <s v="Retheuil"/>
        <s v="Reuilly-Sauvigny"/>
        <s v="Ribeauville"/>
        <s v="Ribemont"/>
        <s v="Rocourt-Saint-Martin"/>
        <s v="Rocquigny"/>
        <s v="Rogny"/>
        <s v="Rogécourt"/>
        <s v="Romeny-sur-Marne"/>
        <s v="Romery"/>
        <s v="Ronchères"/>
        <s v="Roucy"/>
        <s v="Rougeries"/>
        <s v="Roupy"/>
        <s v="Rouvroy"/>
        <s v="Rouvroy-sur-Serre"/>
        <s v="Royaucourt-et-Chailvet"/>
        <s v="Rozet-Saint-Albin"/>
        <s v="Rozières-sur-Crise"/>
        <s v="Rozoy-Bellevalle"/>
        <s v="Rozoy-sur-Serre"/>
        <s v="Résigny"/>
        <s v="Saconin-et-Breuil"/>
        <s v="Sains-Richaumont"/>
        <s v="Saint-Algis"/>
        <s v="Saint-Aubin"/>
        <s v="Saint-Bandry"/>
        <s v="Saint-Christophe-à-Berry"/>
        <s v="Saint-Clément"/>
        <s v="Saint-Erme-Outre-et-Ramecourt"/>
        <s v="Saint-Eugène"/>
        <s v="Saint-Gengoulph"/>
        <s v="Saint-Gobain"/>
        <s v="Saint-Gobert"/>
        <s v="Saint-Mard"/>
        <s v="Saint-Martin-Rivière"/>
        <s v="Saint-Michel"/>
        <s v="Saint-Nicolas-aux-Bois"/>
        <s v="Saint-Paul-aux-Bois"/>
        <s v="Saint-Pierre-Aigle"/>
        <s v="Saint-Pierre-lès-Franqueville"/>
        <s v="Saint-Pierremont"/>
        <s v="Saint-Quentin"/>
        <s v="Saint-Rémy-Blanzy"/>
        <s v="Saint-Simon"/>
        <s v="Saint-Thomas"/>
        <s v="Sainte-Croix"/>
        <s v="Sainte-Geneviève"/>
        <s v="Sainte-Preuve"/>
        <s v="Samoussy"/>
        <s v="Sancy-les-Cheminots"/>
        <s v="Saponay"/>
        <s v="Saulchery"/>
        <s v="Savy"/>
        <s v="Seboncourt"/>
        <s v="Selens"/>
        <s v="Septmonts"/>
        <s v="Septvaux"/>
        <s v="Sequehart"/>
        <s v="Serain"/>
        <s v="Seraucourt-le-Grand"/>
        <s v="Serches"/>
        <s v="Sergy"/>
        <s v="Seringes-et-Nesles"/>
        <s v="Sermoise"/>
        <s v="Servais"/>
        <s v="Serval"/>
        <s v="Silly-la-Poterie"/>
        <s v="Sinceny"/>
        <s v="Sissonne"/>
        <s v="Sissy"/>
        <s v="Soissons"/>
        <s v="Soize"/>
        <s v="Sommelans"/>
        <s v="Sommeron"/>
        <s v="Sommette-Eaucourt"/>
        <s v="Sons-et-Ronchères"/>
        <s v="Sorbais"/>
        <s v="Soucy"/>
        <s v="Soupir"/>
        <s v="Surfontaine"/>
        <s v="Séry-lès-Mézières"/>
        <s v="Taillefontaine"/>
        <s v="Tannières"/>
        <s v="Tartiers"/>
        <s v="Tavaux-et-Pontséricourt"/>
        <s v="Tergnier"/>
        <s v="Terny-Sorny"/>
        <s v="Thenailles"/>
        <s v="Thenelles"/>
        <s v="Thiernu"/>
        <s v="Torcy-en-Valois"/>
        <s v="Toulis-et-Attencourt"/>
        <s v="Travecy"/>
        <s v="Trefcon"/>
        <s v="Trosly-Loire"/>
        <s v="Troësnes"/>
        <s v="Trucy"/>
        <s v="Trélou-sur-Marne"/>
        <s v="Tugny-et-Pont"/>
        <s v="Tupigny"/>
        <s v="Ugny-le-Gay"/>
        <s v="Urcel"/>
        <s v="Urvillers"/>
        <s v="Vadencourt"/>
        <s v="Vailly-sur-Aisne"/>
        <s v="Vallées en Champagne"/>
        <s v="Variscourt"/>
        <s v="Vassens"/>
        <s v="Vasseny"/>
        <s v="Vassogne"/>
        <s v="Vaucelles-et-Beffecourt"/>
        <s v="Vaudesson"/>
        <s v="Vaux-Andigny"/>
        <s v="Vaux-en-Vermandois"/>
        <s v="Vauxaillon"/>
        <s v="Vauxbuin"/>
        <s v="Vauxrezis"/>
        <s v="Vauxtin"/>
        <s v="Vendelles"/>
        <s v="Vendeuil"/>
        <s v="Vendhuile"/>
        <s v="Vendières"/>
        <s v="Vendresse-Beaulne"/>
        <s v="Venizel"/>
        <s v="Verdilly"/>
        <s v="Vermand"/>
        <s v="Verneuil-sous-Coucy"/>
        <s v="Verneuil-sur-Serre"/>
        <s v="Versigny"/>
        <s v="Vervins"/>
        <s v="Vesles-et-Caumont"/>
        <s v="Veslud"/>
        <s v="Veuilly-la-Poterie"/>
        <s v="Vic-sur-Aisne"/>
        <s v="Vichel-Nanteuil"/>
        <s v="Viel-Arcy"/>
        <s v="Viels-Maisons"/>
        <s v="Vierzy"/>
        <s v="Viffort"/>
        <s v="Vigneux-Hocquet"/>
        <s v="Ville-Savoye"/>
        <s v="Villemontoire"/>
        <s v="Villeneuve-Saint-Germain"/>
        <s v="Villeneuve-sur-Aisne"/>
        <s v="Villeneuve-sur-Fère"/>
        <s v="Villequier-Aumont"/>
        <s v="Villeret"/>
        <s v="Villers-Agron-Aiguizy"/>
        <s v="Villers-Cotterêts"/>
        <s v="Villers-Hélon"/>
        <s v="Villers-Saint-Christophe"/>
        <s v="Villers-le-Sec"/>
        <s v="Villers-lès-Guise"/>
        <s v="Villers-sur-Fère"/>
        <s v="Villiers-Saint-Denis"/>
        <s v="Vincy-Reuil-et-Magny"/>
        <s v="Viry-Noureuil"/>
        <s v="Vivaise"/>
        <s v="Vivières"/>
        <s v="Voharies"/>
        <s v="Vorges"/>
        <s v="Voulpaix"/>
        <s v="Voyenne"/>
        <s v="Vregny"/>
        <s v="Vuillery"/>
        <s v="Vénérolles"/>
        <s v="Vézaponin"/>
        <s v="Vézilly"/>
        <s v="Wassigny"/>
        <s v="Watigny"/>
        <s v="Wimy"/>
        <s v="Wissignicourt"/>
        <s v="Wiège-Faty"/>
        <s v="Ébouleau"/>
        <s v="Épagny"/>
        <s v="Éparcy"/>
        <s v="Épaux-Bézu"/>
        <s v="Épieds"/>
        <s v="Étampes-sur-Marne"/>
        <s v="Étaves-et-Bocquiaux"/>
        <s v="Étouvelles"/>
        <s v="Étreillers"/>
        <s v="Étreux"/>
        <s v="Étréaupont"/>
        <s v="Étrépilly"/>
        <s v="Évergnicourt"/>
        <s v="Œuilly"/>
        <s v="Abancourt"/>
        <s v="Abscon"/>
        <s v="Aibes"/>
        <s v="Aix-en-Pévèle"/>
        <s v="Allennes-les-Marais"/>
        <s v="Anhiers"/>
        <s v="Aniche"/>
        <s v="Anneux"/>
        <s v="Annœullin"/>
        <s v="Anor"/>
        <s v="Anstaing"/>
        <s v="Anzin"/>
        <s v="Arleux"/>
        <s v="Armbouts-Cappel"/>
        <s v="Armentières"/>
        <s v="Arnèke"/>
        <s v="Artres"/>
        <s v="Assevent"/>
        <s v="Attiches"/>
        <s v="Aubencheul-au-Bac"/>
        <s v="Auberchicourt"/>
        <s v="Aubers"/>
        <s v="Aubigny-au-Bac"/>
        <s v="Aubry-du-Hainaut"/>
        <s v="Auby"/>
        <s v="Auchy-lez-Orchies"/>
        <s v="Audignies"/>
        <s v="Aulnoy-lez-Valenciennes"/>
        <s v="Aulnoye-Aymeries"/>
        <s v="Avelin"/>
        <s v="Avesnelles"/>
        <s v="Avesnes-le-Sec"/>
        <s v="Avesnes-les-Aubert"/>
        <s v="Avesnes-sur-Helpe"/>
        <s v="Awoingt"/>
        <s v="Bachant"/>
        <s v="Bachy"/>
        <s v="Bailleul"/>
        <s v="Baisieux"/>
        <s v="Baives"/>
        <s v="Bambecque"/>
        <s v="Banteux"/>
        <s v="Bantigny"/>
        <s v="Bantouzelle"/>
        <s v="Bas-Lieu"/>
        <s v="Bauvin"/>
        <s v="Bavay"/>
        <s v="Bavinchove"/>
        <s v="Bazuel"/>
        <s v="Beaucamps-Ligny"/>
        <s v="Beaudignies"/>
        <s v="Beaufort"/>
        <s v="Beaumont-en-Cambrésis"/>
        <s v="Beaurain"/>
        <s v="Beaurepaire-sur-Sambre"/>
        <s v="Beauvois-en-Cambrésis"/>
        <s v="Bellaing"/>
        <s v="Bellignies"/>
        <s v="Bergues"/>
        <s v="Berlaimont"/>
        <s v="Bermerain"/>
        <s v="Bersillies"/>
        <s v="Bersée"/>
        <s v="Berthen"/>
        <s v="Bertry"/>
        <s v="Bettignies"/>
        <s v="Bettrechies"/>
        <s v="Beugnies"/>
        <s v="Beuvrages"/>
        <s v="Beuvry-la-Forêt"/>
        <s v="Bierne"/>
        <s v="Bissezeele"/>
        <s v="Blaringhem"/>
        <s v="Blécourt"/>
        <s v="Boeschepe"/>
        <s v="Bois-Grenier"/>
        <s v="Bollezeele"/>
        <s v="Bondues"/>
        <s v="Borre"/>
        <s v="Bouchain"/>
        <s v="Boulogne-sur-Helpe"/>
        <s v="Bourbourg"/>
        <s v="Bourghelles"/>
        <s v="Boursies"/>
        <s v="Bousbecque"/>
        <s v="Bousies"/>
        <s v="Bousignies"/>
        <s v="Bousignies-sur-Roc"/>
        <s v="Boussières-en-Cambrésis"/>
        <s v="Boussières-sur-Sambre"/>
        <s v="Boussois"/>
        <s v="Bouvignies"/>
        <s v="Bouvines"/>
        <s v="Boëseghem"/>
        <s v="Bray-Dunes"/>
        <s v="Briastre"/>
        <s v="Brillon"/>
        <s v="Brouckerque"/>
        <s v="Broxeele"/>
        <s v="Bruay-sur-l'Escaut"/>
        <s v="Bruille-Saint-Amand"/>
        <s v="Bruille-lez-Marchiennes"/>
        <s v="Brunémont"/>
        <s v="Bry"/>
        <s v="Bugnicourt"/>
        <s v="Busigny"/>
        <s v="Buysscheure"/>
        <s v="Bérelles"/>
        <s v="Béthencourt"/>
        <s v="Bévillers"/>
        <s v="Cagnoncles"/>
        <s v="Cambrai"/>
        <s v="Camphin-en-Carembault"/>
        <s v="Camphin-en-Pévèle"/>
        <s v="Cantaing-sur-Escaut"/>
        <s v="Cantin"/>
        <s v="Capelle"/>
        <s v="Capinghem"/>
        <s v="Cappelle-Brouck"/>
        <s v="Cappelle-en-Pévèle"/>
        <s v="Cappelle-la-Grande"/>
        <s v="Carnin"/>
        <s v="Carnières"/>
        <s v="Cartignies"/>
        <s v="Cassel"/>
        <s v="Catillon-sur-Sambre"/>
        <s v="Cattenières"/>
        <s v="Caudry"/>
        <s v="Caullery"/>
        <s v="Cauroir"/>
        <s v="Caëstre"/>
        <s v="Cerfontaine"/>
        <s v="Chemy"/>
        <s v="Choisies"/>
        <s v="Château-l'Abbaye"/>
        <s v="Chéreng"/>
        <s v="Clairfayts"/>
        <s v="Clary"/>
        <s v="Cobrieux"/>
        <s v="Colleret"/>
        <s v="Comines"/>
        <s v="Condé-sur-l'Escaut"/>
        <s v="Coudekerque-Branche"/>
        <s v="Courchelettes"/>
        <s v="Cousolre"/>
        <s v="Coutiches"/>
        <s v="Craywick"/>
        <s v="Crespin"/>
        <s v="Crochte"/>
        <s v="Croix"/>
        <s v="Croix-Caluyau"/>
        <s v="Crèvecœur-sur-l'Escaut"/>
        <s v="Cuincy"/>
        <s v="Curgies"/>
        <s v="Cuvillers"/>
        <s v="Cysoing"/>
        <s v="Damousies"/>
        <s v="Dechy"/>
        <s v="Dehéries"/>
        <s v="Denain"/>
        <s v="Deûlémont"/>
        <s v="Dimechaux"/>
        <s v="Dimont"/>
        <s v="Doignies"/>
        <s v="Dompierre-sur-Helpe"/>
        <s v="Don"/>
        <s v="Douai"/>
        <s v="Douchy-les-Mines"/>
        <s v="Dourlers"/>
        <s v="Drincham"/>
        <s v="Dunkerque"/>
        <s v="Ebblinghem"/>
        <s v="Eccles"/>
        <s v="Eecke"/>
        <s v="Emmerin"/>
        <s v="Englefontaine"/>
        <s v="Englos"/>
        <s v="Ennetières-en-Weppes"/>
        <s v="Ennevelin"/>
        <s v="Eppe-Sauvage"/>
        <s v="Erchin"/>
        <s v="Eringhem"/>
        <s v="Erquinghem-Lys"/>
        <s v="Erquinghem-le-Sec"/>
        <s v="Erre"/>
        <s v="Escarmain"/>
        <s v="Escaudain"/>
        <s v="Escaudœuvres"/>
        <s v="Escautpont"/>
        <s v="Escobecques"/>
        <s v="Esnes"/>
        <s v="Esquelbecq"/>
        <s v="Esquerchin"/>
        <s v="Estaires"/>
        <s v="Estourmel"/>
        <s v="Estreux"/>
        <s v="Estrun"/>
        <s v="Eswars"/>
        <s v="Eth"/>
        <s v="Faches-Thumesnil"/>
        <s v="Famars"/>
        <s v="Faumont"/>
        <s v="Feignies"/>
        <s v="Felleries"/>
        <s v="Fenain"/>
        <s v="Ferrière-la-Grande"/>
        <s v="Ferrière-la-Petite"/>
        <s v="Flaumont-Waudrechies"/>
        <s v="Flers-en-Escrebieux"/>
        <s v="Flesquières"/>
        <s v="Flines-lez-Raches"/>
        <s v="Flines-lès-Mortagne"/>
        <s v="Floursies"/>
        <s v="Floyon"/>
        <s v="Flêtre"/>
        <s v="Fontaine-au-Bois"/>
        <s v="Fontaine-au-Pire"/>
        <s v="Forest-en-Cambrésis"/>
        <s v="Forest-sur-Marque"/>
        <s v="Fourmies"/>
        <s v="Fournes-en-Weppes"/>
        <s v="Frasnoy"/>
        <s v="Frelinghien"/>
        <s v="Fresnes-sur-Escaut"/>
        <s v="Fressain"/>
        <s v="Fressies"/>
        <s v="Fretin"/>
        <s v="Fromelles"/>
        <s v="Féchain"/>
        <s v="Férin"/>
        <s v="Féron"/>
        <s v="Genech"/>
        <s v="Ghissignies"/>
        <s v="Ghyvelde"/>
        <s v="Glageon"/>
        <s v="Godewaersvelde"/>
        <s v="Gognies-Chaussée"/>
        <s v="Gommegnies"/>
        <s v="Gondecourt"/>
        <s v="Gonnelieu"/>
        <s v="Gouzeaucourt"/>
        <s v="Grand-Fayt"/>
        <s v="Grand-Fort-Philippe"/>
        <s v="Grande-Synthe"/>
        <s v="Gravelines"/>
        <s v="Gruson"/>
        <s v="Guesnain"/>
        <s v="Gussignies"/>
        <s v="Gœulzin"/>
        <s v="Hallennes-lez-Haubourdin"/>
        <s v="Halluin"/>
        <s v="Hamel"/>
        <s v="Hantay"/>
        <s v="Hardifort"/>
        <s v="Hargnies"/>
        <s v="Hasnon"/>
        <s v="Haspres"/>
        <s v="Haubourdin"/>
        <s v="Haucourt-en-Cambrésis"/>
        <s v="Haulchin"/>
        <s v="Haussy"/>
        <s v="Haut-Lieu"/>
        <s v="Hautmont"/>
        <s v="Haveluy"/>
        <s v="Haverskerque"/>
        <s v="Haynecourt"/>
        <s v="Hazebrouck"/>
        <s v="Hecq"/>
        <s v="Hem"/>
        <s v="Hem-Lenglet"/>
        <s v="Hergnies"/>
        <s v="Herlies"/>
        <s v="Herrin"/>
        <s v="Herzeele"/>
        <s v="Hestrud"/>
        <s v="Holque"/>
        <s v="Hon-Hergies"/>
        <s v="Hondeghem"/>
        <s v="Hondschoote"/>
        <s v="Honnechy"/>
        <s v="Honnecourt-sur-Escaut"/>
        <s v="Hordain"/>
        <s v="Hornaing"/>
        <s v="Houdain-lez-Bavay"/>
        <s v="Houplin-Ancoisne"/>
        <s v="Houplines"/>
        <s v="Houtkerque"/>
        <s v="Hoymille"/>
        <s v="Hélesmes"/>
        <s v="Hérin"/>
        <s v="Illies"/>
        <s v="Inchy"/>
        <s v="Iwuy"/>
        <s v="Jenlain"/>
        <s v="Jeumont"/>
        <s v="Jolimetz"/>
        <s v="Killem"/>
        <s v="L'Orée de Mormal"/>
        <s v="La Bassée"/>
        <s v="La Chapelle-d'Armentières"/>
        <s v="La Gorgue"/>
        <s v="La Groise"/>
        <s v="La Longueville"/>
        <s v="La Madeleine"/>
        <s v="La Neuville"/>
        <s v="La Sentinelle"/>
        <s v="Lallaing"/>
        <s v="Lambersart"/>
        <s v="Lambres-lez-Douai"/>
        <s v="Landas"/>
        <s v="Landrecies"/>
        <s v="Lannoy"/>
        <s v="Larouillies"/>
        <s v="Lauwin-Planque"/>
        <s v="Le Cateau-Cambrésis"/>
        <s v="Le Doulieu"/>
        <s v="Le Favril"/>
        <s v="Le Maisnil"/>
        <s v="Le Quesnoy"/>
        <s v="Lecelles"/>
        <s v="Lederzeele"/>
        <s v="Ledringhem"/>
        <s v="Leers"/>
        <s v="Leffrinckoucke"/>
        <s v="Les Rues-des-Vignes"/>
        <s v="Lesdain"/>
        <s v="Lesquin"/>
        <s v="Leval"/>
        <s v="Lewarde"/>
        <s v="Lez-Fontaine"/>
        <s v="Lezennes"/>
        <s v="Liessies"/>
        <s v="Lieu-Saint-Amand"/>
        <s v="Ligny-en-Cambrésis"/>
        <s v="Lille"/>
        <s v="Limont-Fontaine"/>
        <s v="Linselles"/>
        <s v="Locquignol"/>
        <s v="Loffre"/>
        <s v="Lompret"/>
        <s v="Looberghe"/>
        <s v="Loon-Plage"/>
        <s v="Loos"/>
        <s v="Lourches"/>
        <s v="Louvignies-Quesnoy"/>
        <s v="Louvil"/>
        <s v="Louvroil"/>
        <s v="Lynde"/>
        <s v="Lys-lez-Lannoy"/>
        <s v="Lécluse"/>
        <s v="Maing"/>
        <s v="Mairieux"/>
        <s v="Malincourt"/>
        <s v="Marbaix"/>
        <s v="Marchiennes"/>
        <s v="Marcoing"/>
        <s v="Marcq-en-Barœul"/>
        <s v="Marcq-en-Ostrevent"/>
        <s v="Maresches"/>
        <s v="Maretz"/>
        <s v="Marly"/>
        <s v="Maroilles"/>
        <s v="Marpent"/>
        <s v="Marquette-en-Ostrevant"/>
        <s v="Marquette-lez-Lille"/>
        <s v="Marquillies"/>
        <s v="Masnières"/>
        <s v="Masny"/>
        <s v="Mastaing"/>
        <s v="Maubeuge"/>
        <s v="Maulde"/>
        <s v="Maurois"/>
        <s v="Mazinghien"/>
        <s v="Mecquignies"/>
        <s v="Merckeghem"/>
        <s v="Merris"/>
        <s v="Merville"/>
        <s v="Millam"/>
        <s v="Millonfosse"/>
        <s v="Monceau-Saint-Waast"/>
        <s v="Monchaux-sur-Écaillon"/>
        <s v="Moncheaux"/>
        <s v="Monchecourt"/>
        <s v="Mons-en-Barœul"/>
        <s v="Mons-en-Pévèle"/>
        <s v="Montay"/>
        <s v="Montigny-en-Cambrésis"/>
        <s v="Montigny-en-Ostrevent"/>
        <s v="Montrécourt"/>
        <s v="Morbecque"/>
        <s v="Mortagne-du-Nord"/>
        <s v="Mouchin"/>
        <s v="Moustier-en-Fagne"/>
        <s v="Mouvaux"/>
        <s v="Mérignies"/>
        <s v="Méteren"/>
        <s v="Mœuvres"/>
        <s v="Naves"/>
        <s v="Neuf-Berquin"/>
        <s v="Neuf-Mesnil"/>
        <s v="Neuville-Saint-Rémy"/>
        <s v="Neuville-en-Avesnois"/>
        <s v="Neuville-en-Ferrain"/>
        <s v="Neuville-sur-Escaut"/>
        <s v="Neuvilly"/>
        <s v="Nieppe"/>
        <s v="Niergnies"/>
        <s v="Nieurlet"/>
        <s v="Nivelle"/>
        <s v="Nomain"/>
        <s v="Noordpeene"/>
        <s v="Noyelles-lès-Seclin"/>
        <s v="Noyelles-sur-Escaut"/>
        <s v="Noyelles-sur-Sambre"/>
        <s v="Noyelles-sur-Selle"/>
        <s v="Obies"/>
        <s v="Obrechies"/>
        <s v="Ochtezeele"/>
        <s v="Odomez"/>
        <s v="Ohain"/>
        <s v="Onnaing"/>
        <s v="Oost-Cappel"/>
        <s v="Orchies"/>
        <s v="Ors"/>
        <s v="Orsinval"/>
        <s v="Ostricourt"/>
        <s v="Oudezeele"/>
        <s v="Oxelaëre"/>
        <s v="Paillencourt"/>
        <s v="Pecquencourt"/>
        <s v="Petit-Fayt"/>
        <s v="Petite-Forêt"/>
        <s v="Phalempin"/>
        <s v="Pitgam"/>
        <s v="Poix-du-Nord"/>
        <s v="Pommereuil"/>
        <s v="Pont-sur-Sambre"/>
        <s v="Pont-à-Marcq"/>
        <s v="Potelle"/>
        <s v="Pradelles"/>
        <s v="Preux-au-Bois"/>
        <s v="Preux-au-Sart"/>
        <s v="Prisches"/>
        <s v="Prouvy"/>
        <s v="Proville"/>
        <s v="Provin"/>
        <s v="Prémesques"/>
        <s v="Préseau"/>
        <s v="Pérenchies"/>
        <s v="Péronne-en-Mélantois"/>
        <s v="Quarouble"/>
        <s v="Quaëdypre"/>
        <s v="Quesnoy-sur-Deûle"/>
        <s v="Quiévelon"/>
        <s v="Quiévrechain"/>
        <s v="Quiévy"/>
        <s v="Quérénaing"/>
        <s v="Radinghem-en-Weppes"/>
        <s v="Raillencourt-Sainte-Olle"/>
        <s v="Raimbeaucourt"/>
        <s v="Rainsars"/>
        <s v="Raismes"/>
        <s v="Ramillies"/>
        <s v="Ramousies"/>
        <s v="Raucourt-au-Bois"/>
        <s v="Recquignies"/>
        <s v="Rejet-de-Beaulieu"/>
        <s v="Renescure"/>
        <s v="Reumont"/>
        <s v="Rexpoëde"/>
        <s v="Ribécourt-la-Tour"/>
        <s v="Rieulay"/>
        <s v="Rieux-en-Cambrésis"/>
        <s v="Robersart"/>
        <s v="Rombies-et-Marchipont"/>
        <s v="Romeries"/>
        <s v="Ronchin"/>
        <s v="Roncq"/>
        <s v="Roost-Warendin"/>
        <s v="Rosult"/>
        <s v="Roubaix"/>
        <s v="Roucourt"/>
        <s v="Rousies"/>
        <s v="Rouvignies"/>
        <s v="Rubrouck"/>
        <s v="Ruesnes"/>
        <s v="Rumegies"/>
        <s v="Rumilly-en-Cambrésis"/>
        <s v="Râches"/>
        <s v="Rœulx"/>
        <s v="Sailly-lez-Cambrai"/>
        <s v="Sailly-lez-Lannoy"/>
        <s v="Sainghin-en-Mélantois"/>
        <s v="Sainghin-en-Weppes"/>
        <s v="Sains-du-Nord"/>
        <s v="Saint-Amand-les-Eaux"/>
        <s v="Saint-André-lez-Lille"/>
        <s v="Saint-Aubert"/>
        <s v="Saint-Aybert"/>
        <s v="Saint-Benin"/>
        <s v="Saint-Georges-sur-l'Aa"/>
        <s v="Saint-Hilaire-lez-Cambrai"/>
        <s v="Saint-Hilaire-sur-Helpe"/>
        <s v="Saint-Jans-Cappel"/>
        <s v="Saint-Martin-sur-Écaillon"/>
        <s v="Saint-Momelin"/>
        <s v="Saint-Pierre-Brouck"/>
        <s v="Saint-Python"/>
        <s v="Saint-Remy-Chaussée"/>
        <s v="Saint-Remy-du-Nord"/>
        <s v="Saint-Saulve"/>
        <s v="Saint-Souplet"/>
        <s v="Saint-Sylvestre-Cappel"/>
        <s v="Saint-Vaast-en-Cambrésis"/>
        <s v="Saint-Waast"/>
        <s v="Sainte-Marie-Cappel"/>
        <s v="Salesches"/>
        <s v="Salomé"/>
        <s v="Saméon"/>
        <s v="Sancourt"/>
        <s v="Santes"/>
        <s v="Sars-Poteries"/>
        <s v="Sars-et-Rosières"/>
        <s v="Sassegnies"/>
        <s v="Saultain"/>
        <s v="Saulzoir"/>
        <s v="Sebourg"/>
        <s v="Seclin"/>
        <s v="Semousies"/>
        <s v="Sepmeries"/>
        <s v="Sequedin"/>
        <s v="Sercus"/>
        <s v="Sin-le-Noble"/>
        <s v="Socx"/>
        <s v="Solesmes"/>
        <s v="Solre-le-Château"/>
        <s v="Solrinnes"/>
        <s v="Somain"/>
        <s v="Sommaing"/>
        <s v="Spycker"/>
        <s v="Staple"/>
        <s v="Steenbecque"/>
        <s v="Steene"/>
        <s v="Steenvoorde"/>
        <s v="Steenwerck"/>
        <s v="Strazeele"/>
        <s v="Sémeries"/>
        <s v="Séranvillers-Forenville"/>
        <s v="Taisnières-en-Thiérache"/>
        <s v="Taisnières-sur-Hon"/>
        <s v="Templemars"/>
        <s v="Templeuve-en-Pévèle"/>
        <s v="Terdeghem"/>
        <s v="Thiant"/>
        <s v="Thiennes"/>
        <s v="Thivencelle"/>
        <s v="Thumeries"/>
        <s v="Thun-Saint-Amand"/>
        <s v="Thun-Saint-Martin"/>
        <s v="Thun-l'Évêque"/>
        <s v="Tilloy-lez-Cambrai"/>
        <s v="Tilloy-lez-Marchiennes"/>
        <s v="Toufflers"/>
        <s v="Tourcoing"/>
        <s v="Tourmignies"/>
        <s v="Tressin"/>
        <s v="Trith-Saint-Léger"/>
        <s v="Troisvilles"/>
        <s v="Trélon"/>
        <s v="Téteghem-Coudekerque-Village"/>
        <s v="Uxem"/>
        <s v="Valenciennes"/>
        <s v="Vendegies-au-Bois"/>
        <s v="Vendegies-sur-Écaillon"/>
        <s v="Vendeville"/>
        <s v="Verchain-Maugré"/>
        <s v="Verlinghem"/>
        <s v="Vertain"/>
        <s v="Vicq"/>
        <s v="Viesly"/>
        <s v="Vieux-Berquin"/>
        <s v="Vieux-Condé"/>
        <s v="Vieux-Mesnil"/>
        <s v="Vieux-Reng"/>
        <s v="Villeneuve-d'Ascq"/>
        <s v="Villereau"/>
        <s v="Villers-Guislain"/>
        <s v="Villers-Outréaux"/>
        <s v="Villers-Plouich"/>
        <s v="Villers-Pol"/>
        <s v="Villers-Sire-Nicole"/>
        <s v="Villers-au-Tertre"/>
        <s v="Villers-en-Cauchies"/>
        <s v="Volckerinckhove"/>
        <s v="Vred"/>
        <s v="Wahagnies"/>
        <s v="Walincourt-Selvigny"/>
        <s v="Wallers"/>
        <s v="Wallers-en-Fagne"/>
        <s v="Wallon-Cappel"/>
        <s v="Wambaix"/>
        <s v="Wambrechies"/>
        <s v="Wandignies-Hamage"/>
        <s v="Wannehain"/>
        <s v="Wargnies-le-Grand"/>
        <s v="Wargnies-le-Petit"/>
        <s v="Warhem"/>
        <s v="Warlaing"/>
        <s v="Warneton"/>
        <s v="Wasnes-au-Bac"/>
        <s v="Wasquehal"/>
        <s v="Watten"/>
        <s v="Wattignies"/>
        <s v="Wattignies-la-Victoire"/>
        <s v="Wattrelos"/>
        <s v="Wavrechain-sous-Denain"/>
        <s v="Wavrechain-sous-Faulx"/>
        <s v="Wavrin"/>
        <s v="Waziers"/>
        <s v="Wemaers-Cappel"/>
        <s v="Wervicq-Sud"/>
        <s v="West-Cappel"/>
        <s v="Wicres"/>
        <s v="Wignehies"/>
        <s v="Willems"/>
        <s v="Willies"/>
        <s v="Winnezeele"/>
        <s v="Wormhout"/>
        <s v="Wulverdinghe"/>
        <s v="Wylder"/>
        <s v="Zegerscappel"/>
        <s v="Zermezeele"/>
        <s v="Zuydcoote"/>
        <s v="Zuytpeene"/>
        <s v="Écaillon"/>
        <s v="Éclaibes"/>
        <s v="Écuélin"/>
        <s v="Élesmes"/>
        <s v="Élincourt"/>
        <s v="Émerchicourt"/>
        <s v="Étrœungt"/>
        <s v="Abbecourt"/>
        <s v="Abbeville-Saint-Lucien"/>
        <s v="Achy"/>
        <s v="Acy-en-Multien"/>
        <s v="Agnetz"/>
        <s v="Airion"/>
        <s v="Allonne"/>
        <s v="Amblainville"/>
        <s v="Amy"/>
        <s v="Andeville"/>
        <s v="Angicourt"/>
        <s v="Angivillers"/>
        <s v="Angy"/>
        <s v="Ansacq"/>
        <s v="Ansauvillers"/>
        <s v="Antheuil-Portes"/>
        <s v="Antilly"/>
        <s v="Appilly"/>
        <s v="Apremont"/>
        <s v="Armancourt"/>
        <s v="Arsy"/>
        <s v="Attichy"/>
        <s v="Auchy-la-Montagne"/>
        <s v="Auger-Saint-Vincent"/>
        <s v="Aumont-en-Halatte"/>
        <s v="Auneuil"/>
        <s v="Auteuil"/>
        <s v="Autheuil-en-Valois"/>
        <s v="Autrêches"/>
        <s v="Aux Marais"/>
        <s v="Avilly-Saint-Léonard"/>
        <s v="Avrechy"/>
        <s v="Avricourt"/>
        <s v="Avrigny"/>
        <s v="Babœuf"/>
        <s v="Bacouël"/>
        <s v="Bailleul-le-Soc"/>
        <s v="Bailleul-sur-Thérain"/>
        <s v="Bailleval"/>
        <s v="Bailly"/>
        <s v="Balagny-sur-Thérain"/>
        <s v="Barbery"/>
        <s v="Bargny"/>
        <s v="Baron"/>
        <s v="Baugy"/>
        <s v="Bazancourt"/>
        <s v="Bazicourt"/>
        <s v="Beaudéduit"/>
        <s v="Beaugies-sous-Bois"/>
        <s v="Beaulieu-les-Fontaines"/>
        <s v="Beaumont-les-Nonains"/>
        <s v="Beaurains-lès-Noyon"/>
        <s v="Beaurepaire"/>
        <s v="Beauvais"/>
        <s v="Beauvoir"/>
        <s v="Belle-Église"/>
        <s v="Belloy"/>
        <s v="Berneuil-en-Bray"/>
        <s v="Berneuil-sur-Aisne"/>
        <s v="Berthecourt"/>
        <s v="Betz"/>
        <s v="Bienville"/>
        <s v="Biermont"/>
        <s v="Bitry"/>
        <s v="Blacourt"/>
        <s v="Blaincourt-lès-Précy"/>
        <s v="Blancfossé"/>
        <s v="Blargies"/>
        <s v="Blicourt"/>
        <s v="Blincourt"/>
        <s v="Boissy-Fresnoy"/>
        <s v="Bonlier"/>
        <s v="Bonneuil-en-Valois"/>
        <s v="Bonneuil-les-Eaux"/>
        <s v="Bonnières"/>
        <s v="Bonvillers"/>
        <s v="Boran-sur-Oise"/>
        <s v="Borest"/>
        <s v="Bornel"/>
        <s v="Boubiers"/>
        <s v="Bouconvillers"/>
        <s v="Bouillancy"/>
        <s v="Boullarre"/>
        <s v="Boulogne-la-Grasse"/>
        <s v="Boursonne"/>
        <s v="Boury-en-Vexin"/>
        <s v="Boutencourt"/>
        <s v="Bouvresse"/>
        <s v="Braisnes-sur-Aronde"/>
        <s v="Brasseuse"/>
        <s v="Brenouille"/>
        <s v="Bresles"/>
        <s v="Breteuil"/>
        <s v="Breuil-le-Sec"/>
        <s v="Breuil-le-Vert"/>
        <s v="Briot"/>
        <s v="Brombos"/>
        <s v="Broquiers"/>
        <s v="Broyes"/>
        <s v="Brunvillers-la-Motte"/>
        <s v="Brégy"/>
        <s v="Brétigny"/>
        <s v="Bucamps"/>
        <s v="Buicourt"/>
        <s v="Bulles"/>
        <s v="Bury"/>
        <s v="Bussy"/>
        <s v="Béhéricourt"/>
        <s v="Béthancourt-en-Valois"/>
        <s v="Béthisy-Saint-Martin"/>
        <s v="Béthisy-Saint-Pierre"/>
        <s v="Caisnes"/>
        <s v="Cambronne-lès-Clermont"/>
        <s v="Cambronne-lès-Ribécourt"/>
        <s v="Campagne"/>
        <s v="Campeaux"/>
        <s v="Campremy"/>
        <s v="Candor"/>
        <s v="Canly"/>
        <s v="Cannectancourt"/>
        <s v="Canny-sur-Matz"/>
        <s v="Canny-sur-Thérain"/>
        <s v="Carlepont"/>
        <s v="Catenoy"/>
        <s v="Catheux"/>
        <s v="Catigny"/>
        <s v="Catillon-Fumechon"/>
        <s v="Cauffry"/>
        <s v="Cauvigny"/>
        <s v="Cempuis"/>
        <s v="Cernoy"/>
        <s v="Chamant"/>
        <s v="Chambly"/>
        <s v="Chambors"/>
        <s v="Chantilly"/>
        <s v="Chaumont-en-Vexin"/>
        <s v="Chavençon"/>
        <s v="Chelles"/>
        <s v="Chepoix"/>
        <s v="Chevincourt"/>
        <s v="Chevrières"/>
        <s v="Chiry-Ourscamp"/>
        <s v="Choisy-au-Bac"/>
        <s v="Choisy-la-Victoire"/>
        <s v="Choqueuse-les-Bénards"/>
        <s v="Chèvreville"/>
        <s v="Cinqueux"/>
        <s v="Cires-lès-Mello"/>
        <s v="Clairoix"/>
        <s v="Clermont"/>
        <s v="Coivrel"/>
        <s v="Compiègne"/>
        <s v="Conchy-les-Pots"/>
        <s v="Conteville"/>
        <s v="Corbeil-Cerf"/>
        <s v="Cormeilles"/>
        <s v="Coudun"/>
        <s v="Couloisy"/>
        <s v="Courcelles-Epayelles"/>
        <s v="Courcelles-lès-Gisors"/>
        <s v="Courteuil"/>
        <s v="Courtieux"/>
        <s v="Coye-la-Forêt"/>
        <s v="Cramoisy"/>
        <s v="Crapeaumesnil"/>
        <s v="Creil"/>
        <s v="Cressonsacq"/>
        <s v="Crillon"/>
        <s v="Crisolles"/>
        <s v="Croissy-sur-Celle"/>
        <s v="Croutoy"/>
        <s v="Crouy-en-Thelle"/>
        <s v="Crèvecœur-le-Grand"/>
        <s v="Crèvecœur-le-Petit"/>
        <s v="Crépy-en-Valois"/>
        <s v="Cuignières"/>
        <s v="Cuigy-en-Bray"/>
        <s v="Cuise-la-Motte"/>
        <s v="Cuts"/>
        <s v="Cuvergnon"/>
        <s v="Cuvilly"/>
        <s v="Cuy"/>
        <s v="Daméraucourt"/>
        <s v="Dargies"/>
        <s v="Delincourt"/>
        <s v="Dieudonné"/>
        <s v="Dives"/>
        <s v="Domfront"/>
        <s v="Dompierre"/>
        <s v="Doméliers"/>
        <s v="Duvy"/>
        <s v="Ercuis"/>
        <s v="Ermenonville"/>
        <s v="Ernemont-Boutavent"/>
        <s v="Erquery"/>
        <s v="Erquinvillers"/>
        <s v="Escames"/>
        <s v="Esches"/>
        <s v="Escles-Saint-Pierre"/>
        <s v="Espaubourg"/>
        <s v="Esquennoy"/>
        <s v="Essuiles"/>
        <s v="Estrées-Saint-Denis"/>
        <s v="Fay-les-Étangs"/>
        <s v="Feigneux"/>
        <s v="Ferrières"/>
        <s v="Feuquières"/>
        <s v="Fitz-James"/>
        <s v="Flavacourt"/>
        <s v="Flavy-le-Meldeux"/>
        <s v="Fleurines"/>
        <s v="Fléchy"/>
        <s v="Fontaine-Bonneleau"/>
        <s v="Fontaine-Chaalis"/>
        <s v="Fontaine-Lavaganne"/>
        <s v="Fontaine-Saint-Lucien"/>
        <s v="Fontenay-Torcy"/>
        <s v="Formerie"/>
        <s v="Fouilleuse"/>
        <s v="Fouilloy"/>
        <s v="Foulangues"/>
        <s v="Fouquenies"/>
        <s v="Fouquerolles"/>
        <s v="Fournival"/>
        <s v="Francastel"/>
        <s v="Francières"/>
        <s v="Fresne-Léguillon"/>
        <s v="Fresnières"/>
        <s v="Fresnoy-en-Thelle"/>
        <s v="Fresnoy-la-Rivière"/>
        <s v="Fresnoy-le-Luat"/>
        <s v="Frocourt"/>
        <s v="Froissy"/>
        <s v="Fréniches"/>
        <s v="Frétoy-le-Château"/>
        <s v="Gannes"/>
        <s v="Gaudechart"/>
        <s v="Genvry"/>
        <s v="Gerberoy"/>
        <s v="Gilocourt"/>
        <s v="Giraumont"/>
        <s v="Glaignes"/>
        <s v="Glatigny"/>
        <s v="Godenvillers"/>
        <s v="Goincourt"/>
        <s v="Golancourt"/>
        <s v="Gondreville"/>
        <s v="Gourchelles"/>
        <s v="Gournay-sur-Aronde"/>
        <s v="Gouvieux"/>
        <s v="Gouy-les-Groseillers"/>
        <s v="Grandfresnoy"/>
        <s v="Grandrû"/>
        <s v="Grandvillers-aux-Bois"/>
        <s v="Grandvilliers"/>
        <s v="Grez"/>
        <s v="Grémévillers"/>
        <s v="Guignecourt"/>
        <s v="Guiscard"/>
        <s v="Gury"/>
        <s v="Hadancourt-le-Haut-Clocher"/>
        <s v="Hainvillers"/>
        <s v="Halloy"/>
        <s v="Hannaches"/>
        <s v="Hanvoile"/>
        <s v="Hardivillers"/>
        <s v="Haucourt"/>
        <s v="Haudivillers"/>
        <s v="Hautbos"/>
        <s v="Haute-Épine"/>
        <s v="Hautefontaine"/>
        <s v="Heilles"/>
        <s v="Herchies"/>
        <s v="Hermes"/>
        <s v="Hodenc-en-Bray"/>
        <s v="Hodenc-l'Évêque"/>
        <s v="Hondainville"/>
        <s v="Houdancourt"/>
        <s v="Hécourt"/>
        <s v="Hémévillers"/>
        <s v="Hénonville"/>
        <s v="Héricourt-sur-Thérain"/>
        <s v="Hétomesnil"/>
        <s v="Ivors"/>
        <s v="Ivry-le-Temple"/>
        <s v="Jaméricourt"/>
        <s v="Janville"/>
        <s v="Jaulzy"/>
        <s v="Jaux"/>
        <s v="Jonquières"/>
        <s v="Jouy-sous-Thelle"/>
        <s v="Juvignies"/>
        <s v="La Chapelle-en-Serval"/>
        <s v="La Corne-en-Vexin"/>
        <s v="La Drenne"/>
        <s v="La Houssoye"/>
        <s v="La Hérelle"/>
        <s v="La Neuville-Roy"/>
        <s v="La Neuville-Saint-Pierre"/>
        <s v="La Neuville-Vault"/>
        <s v="La Neuville-en-Hez"/>
        <s v="La Neuville-sur-Oudeuil"/>
        <s v="La Neuville-sur-Ressons"/>
        <s v="La Rue-Saint-Pierre"/>
        <s v="La Villeneuve-sous-Thury"/>
        <s v="Laberlière"/>
        <s v="Laboissière-en-Thelle"/>
        <s v="Labosse"/>
        <s v="Labruyère"/>
        <s v="Lachapelle-Saint-Pierre"/>
        <s v="Lachapelle-aux-Pots"/>
        <s v="Lachapelle-sous-Gerberoy"/>
        <s v="Lachaussée-du-Bois-d'Écu"/>
        <s v="Lachelle"/>
        <s v="Lacroix-Saint-Ouen"/>
        <s v="Lafraye"/>
        <s v="Lagny"/>
        <s v="Lagny-le-Sec"/>
        <s v="Laigneville"/>
        <s v="Lalande-en-Son"/>
        <s v="Lalandelle"/>
        <s v="Lamorlaye"/>
        <s v="Lamécourt"/>
        <s v="Lannoy-Cuillère"/>
        <s v="Larbroye"/>
        <s v="Lassigny"/>
        <s v="Lataule"/>
        <s v="Lattainville"/>
        <s v="Lavacquerie"/>
        <s v="Laverrière"/>
        <s v="Laversines"/>
        <s v="Lavilletertre"/>
        <s v="Le Coudray-Saint-Germer"/>
        <s v="Le Coudray-sur-Thelle"/>
        <s v="Le Crocq"/>
        <s v="Le Fay-Saint-Quentin"/>
        <s v="Le Fayel"/>
        <s v="Le Frestoy-Vaux"/>
        <s v="Le Gallet"/>
        <s v="Le Hamel"/>
        <s v="Le Mesnil-Conteville"/>
        <s v="Le Mesnil-Saint-Firmin"/>
        <s v="Le Mesnil-Théribus"/>
        <s v="Le Mesnil-en-Thelle"/>
        <s v="Le Mesnil-sur-Bulles"/>
        <s v="Le Meux"/>
        <s v="Le Mont-Saint-Adrien"/>
        <s v="Le Plessier-sur-Bulles"/>
        <s v="Le Plessier-sur-Saint-Just"/>
        <s v="Le Plessis-Belleville"/>
        <s v="Le Plessis-Brion"/>
        <s v="Le Plessis-Patte-d'Oie"/>
        <s v="Le Ployron"/>
        <s v="Le Quesnel-Aubry"/>
        <s v="Le Saulchoy"/>
        <s v="Le Vaumain"/>
        <s v="Le Vauroux"/>
        <s v="Les Ageux"/>
        <s v="Les Hauts-Talican"/>
        <s v="Lhéraule"/>
        <s v="Liancourt"/>
        <s v="Liancourt-Saint-Pierre"/>
        <s v="Libermont"/>
        <s v="Lierville"/>
        <s v="Lieuvillers"/>
        <s v="Lihus"/>
        <s v="Litz"/>
        <s v="Loconville"/>
        <s v="Longueil-Annel"/>
        <s v="Longueil-Sainte-Marie"/>
        <s v="Lormaison"/>
        <s v="Loueuse"/>
        <s v="Luchy"/>
        <s v="Léglantiers"/>
        <s v="Lévignen"/>
        <s v="Machemont"/>
        <s v="Maignelay-Montigny"/>
        <s v="Maimbeville"/>
        <s v="Maisoncelle-Saint-Pierre"/>
        <s v="Maisoncelle-Tuilerie"/>
        <s v="Marest-sur-Matz"/>
        <s v="Mareuil-la-Motte"/>
        <s v="Mareuil-sur-Ourcq"/>
        <s v="Margny-aux-Cerises"/>
        <s v="Margny-lès-Compiègne"/>
        <s v="Margny-sur-Matz"/>
        <s v="Marolles"/>
        <s v="Marquéglise"/>
        <s v="Marseille-en-Beauvaisis"/>
        <s v="Martincourt"/>
        <s v="Maucourt"/>
        <s v="Maulers"/>
        <s v="Maysel"/>
        <s v="Mello"/>
        <s v="Milly-sur-Thérain"/>
        <s v="Mogneville"/>
        <s v="Moliens"/>
        <s v="Monceaux"/>
        <s v="Monceaux-l'Abbaye"/>
        <s v="Monchy-Humières"/>
        <s v="Monchy-Saint-Éloi"/>
        <s v="Mondescourt"/>
        <s v="Monneville"/>
        <s v="Mont-l'Évêque"/>
        <s v="Montagny-Sainte-Félicité"/>
        <s v="Montagny-en-Vexin"/>
        <s v="Montataire"/>
        <s v="Montchevreuil"/>
        <s v="Montgérain"/>
        <s v="Montiers"/>
        <s v="Montjavoult"/>
        <s v="Montlognon"/>
        <s v="Montmacq"/>
        <s v="Montmartin"/>
        <s v="Montreuil-sur-Brêche"/>
        <s v="Montreuil-sur-Thérain"/>
        <s v="Monts"/>
        <s v="Montépilloy"/>
        <s v="Morangles"/>
        <s v="Morienval"/>
        <s v="Morlincourt"/>
        <s v="Mortefontaine-en-Thelle"/>
        <s v="Mortemer"/>
        <s v="Morvillers"/>
        <s v="Mory-Montcrux"/>
        <s v="Mouchy-le-Châtel"/>
        <s v="Moulin-sous-Touvent"/>
        <s v="Mouy"/>
        <s v="Moyenneville"/>
        <s v="Moyvillers"/>
        <s v="Muidorge"/>
        <s v="Muirancourt"/>
        <s v="Mureaumont"/>
        <s v="Mélicocq"/>
        <s v="Ménévillers"/>
        <s v="Méru"/>
        <s v="Méry-la-Bataille"/>
        <s v="Nampcel"/>
        <s v="Nanteuil-le-Haudouin"/>
        <s v="Neufchelles"/>
        <s v="Neufvy-sur-Aronde"/>
        <s v="Neuilly-en-Thelle"/>
        <s v="Neuilly-sous-Clermont"/>
        <s v="Neuville-Bosc"/>
        <s v="Nivillers"/>
        <s v="Noailles"/>
        <s v="Nogent-sur-Oise"/>
        <s v="Nointel"/>
        <s v="Noirémont"/>
        <s v="Noroy"/>
        <s v="Nourard-le-Franc"/>
        <s v="Novillers"/>
        <s v="Noyers-Saint-Martin"/>
        <s v="Noyon"/>
        <s v="Néry"/>
        <s v="Offoy"/>
        <s v="Ognolles"/>
        <s v="Omécourt"/>
        <s v="Ons-en-Bray"/>
        <s v="Ormoy-Villers"/>
        <s v="Ormoy-le-Davien"/>
        <s v="Oroër"/>
        <s v="Orrouy"/>
        <s v="Orry-la-Ville"/>
        <s v="Orvillers-Sorel"/>
        <s v="Oudeuil"/>
        <s v="Oursel-Maison"/>
        <s v="Paillart"/>
        <s v="Parnes"/>
        <s v="Passel"/>
        <s v="Pierrefitte-en-Beauvaisis"/>
        <s v="Pierrefonds"/>
        <s v="Pimprez"/>
        <s v="Pisseleu"/>
        <s v="Plailly"/>
        <s v="Plainval"/>
        <s v="Plainville"/>
        <s v="Plessis-de-Roye"/>
        <s v="Ponchon"/>
        <s v="Pont-Sainte-Maxence"/>
        <s v="Pont-l'Évêque"/>
        <s v="Pontarmé"/>
        <s v="Pontoise-lès-Noyon"/>
        <s v="Pontpoint"/>
        <s v="Porcheux"/>
        <s v="Porquéricourt"/>
        <s v="Pouilly"/>
        <s v="Pronleroy"/>
        <s v="Précy-sur-Oise"/>
        <s v="Prévillers"/>
        <s v="Puiseux-en-Bray"/>
        <s v="Puiseux-le-Hauberger"/>
        <s v="Puits-la-Vallée"/>
        <s v="Péroy-les-Gombries"/>
        <s v="Quesmy"/>
        <s v="Quincampoix-Fleuzy"/>
        <s v="Quinquempoix"/>
        <s v="Rainvillers"/>
        <s v="Rantigny"/>
        <s v="Raray"/>
        <s v="Ravenel"/>
        <s v="Reilly"/>
        <s v="Remy"/>
        <s v="Ressons-sur-Matz"/>
        <s v="Rethondes"/>
        <s v="Reuil-sur-Brêche"/>
        <s v="Rhuis"/>
        <s v="Ribécourt-Dreslincourt"/>
        <s v="Ricquebourg"/>
        <s v="Rieux"/>
        <s v="Rivecourt"/>
        <s v="Roberval"/>
        <s v="Rochy-Condé"/>
        <s v="Rocquemont"/>
        <s v="Rocquencourt"/>
        <s v="Romescamps"/>
        <s v="Rosières"/>
        <s v="Rosoy"/>
        <s v="Rosoy-en-Multien"/>
        <s v="Rotangy"/>
        <s v="Rothois"/>
        <s v="Rousseloy"/>
        <s v="Rouville"/>
        <s v="Rouvillers"/>
        <s v="Rouvres-en-Multien"/>
        <s v="Rouvroy-les-Merles"/>
        <s v="Roy-Boissy"/>
        <s v="Royaucourt"/>
        <s v="Roye-sur-Matz"/>
        <s v="Rully"/>
        <s v="Russy-Bémont"/>
        <s v="Réez-Fosse-Martin"/>
        <s v="Rémécourt"/>
        <s v="Rémérangles"/>
        <s v="Sacy-le-Grand"/>
        <s v="Sacy-le-Petit"/>
        <s v="Sains-Morainvillers"/>
        <s v="Saint-André-Farivillers"/>
        <s v="Saint-Arnoult"/>
        <s v="Saint-Aubin-en-Bray"/>
        <s v="Saint-Aubin-sous-Erquery"/>
        <s v="Saint-Crépin-Ibouvillers"/>
        <s v="Saint-Crépin-aux-Bois"/>
        <s v="Saint-Deniscourt"/>
        <s v="Saint-Félix"/>
        <s v="Saint-Germain-la-Poterie"/>
        <s v="Saint-Germer-de-Fly"/>
        <s v="Saint-Jean-aux-Bois"/>
        <s v="Saint-Just-en-Chaussée"/>
        <s v="Saint-Leu-d'Esserent"/>
        <s v="Saint-Léger-aux-Bois"/>
        <s v="Saint-Léger-en-Bray"/>
        <s v="Saint-Martin-Longueau"/>
        <s v="Saint-Martin-aux-Bois"/>
        <s v="Saint-Martin-le-Nœud"/>
        <s v="Saint-Maur"/>
        <s v="Saint-Maximin"/>
        <s v="Saint-Omer-en-Chaussée"/>
        <s v="Saint-Paul"/>
        <s v="Saint-Pierre-es-Champs"/>
        <s v="Saint-Pierre-lès-Bitry"/>
        <s v="Saint-Quentin-des-Prés"/>
        <s v="Saint-Remy-en-l'Eau"/>
        <s v="Saint-Samson-la-Poterie"/>
        <s v="Saint-Sauveur"/>
        <s v="Saint-Sulpice"/>
        <s v="Saint-Thibault"/>
        <s v="Saint-Vaast-de-Longmont"/>
        <s v="Saint-Vaast-lès-Mello"/>
        <s v="Saint-Valery"/>
        <s v="Saint-Étienne-Roilaye"/>
        <s v="Sainte-Eusoye"/>
        <s v="Saintines"/>
        <s v="Salency"/>
        <s v="Sarcus"/>
        <s v="Sarnois"/>
        <s v="Savignies"/>
        <s v="Sempigny"/>
        <s v="Senantes"/>
        <s v="Senlis"/>
        <s v="Senots"/>
        <s v="Serans"/>
        <s v="Sermaize"/>
        <s v="Silly-Tillard"/>
        <s v="Silly-le-Long"/>
        <s v="Solente"/>
        <s v="Sommereux"/>
        <s v="Songeons"/>
        <s v="Sully"/>
        <s v="Suzoy"/>
        <s v="Sérifontaine"/>
        <s v="Séry-Magneval"/>
        <s v="Sérévillers"/>
        <s v="Talmontiers"/>
        <s v="Tartigny"/>
        <s v="Therdonne"/>
        <s v="Thibivillers"/>
        <s v="Thiers-sur-Thève"/>
        <s v="Thiescourt"/>
        <s v="Thieuloy-Saint-Antoine"/>
        <s v="Thieux"/>
        <s v="Thiverny"/>
        <s v="Thourotte"/>
        <s v="Thury-en-Valois"/>
        <s v="Thury-sous-Clermont"/>
        <s v="Thérines"/>
        <s v="Tillé"/>
        <s v="Tourly"/>
        <s v="Tracy-le-Mont"/>
        <s v="Tracy-le-Val"/>
        <s v="Tricot"/>
        <s v="Trie-Château"/>
        <s v="Trie-la-Ville"/>
        <s v="Troissereux"/>
        <s v="Trosly-Breuil"/>
        <s v="Troussencourt"/>
        <s v="Trumilly"/>
        <s v="Ully-Saint-Georges"/>
        <s v="Valdampierre"/>
        <s v="Valescourt"/>
        <s v="Vandélicourt"/>
        <s v="Varesnes"/>
        <s v="Varinfroy"/>
        <s v="Vauchelles"/>
        <s v="Vauciennes"/>
        <s v="Vaudancourt"/>
        <s v="Vaumoise"/>
        <s v="Velennes"/>
        <s v="Vendeuil-Caply"/>
        <s v="Venette"/>
        <s v="Ver-sur-Launette"/>
        <s v="Verberie"/>
        <s v="Verderel-lès-Sauqueuse"/>
        <s v="Verderonne"/>
        <s v="Verneuil-en-Halatte"/>
        <s v="Vez"/>
        <s v="Viefvillers"/>
        <s v="Vieux-Moulin"/>
        <s v="Vignemont"/>
        <s v="Ville"/>
        <s v="Villembray"/>
        <s v="Villeneuve-les-Sablons"/>
        <s v="Villeneuve-sur-Verberie"/>
        <s v="Villers-Saint-Barthélemy"/>
        <s v="Villers-Saint-Frambourg-Ognon"/>
        <s v="Villers-Saint-Genest"/>
        <s v="Villers-Saint-Paul"/>
        <s v="Villers-Saint-Sépulcre"/>
        <s v="Villers-Vermont"/>
        <s v="Villers-Vicomte"/>
        <s v="Villers-sous-Saint-Leu"/>
        <s v="Villers-sur-Auchy"/>
        <s v="Villers-sur-Bonnières"/>
        <s v="Villers-sur-Coudun"/>
        <s v="Villeselve"/>
        <s v="Vineuil-Saint-Firmin"/>
        <s v="Vrocourt"/>
        <s v="Wacquemoulin"/>
        <s v="Wambez"/>
        <s v="Warluis"/>
        <s v="Wavignies"/>
        <s v="Welles-Pérennes"/>
        <s v="Ève"/>
        <s v="Écuvilly"/>
        <s v="Élencourt"/>
        <s v="Élincourt-Sainte-Marguerite"/>
        <s v="Éméville"/>
        <s v="Énencourt-Léage"/>
        <s v="Épineuse"/>
        <s v="Éragny-sur-Epte"/>
        <s v="Étavigny"/>
        <s v="Étouy"/>
        <s v="Évricourt"/>
        <s v="Ablain-Saint-Nazaire"/>
        <s v="Ablainzevelle"/>
        <s v="Acheville"/>
        <s v="Achicourt"/>
        <s v="Achiet-le-Grand"/>
        <s v="Achiet-le-Petit"/>
        <s v="Acq"/>
        <s v="Acquin-Westbécourt"/>
        <s v="Adinfer"/>
        <s v="Affringues"/>
        <s v="Agnez-lès-Duisans"/>
        <s v="Agnières"/>
        <s v="Agny"/>
        <s v="Aire-sur-la-Lys"/>
        <s v="Airon-Notre-Dame"/>
        <s v="Airon-Saint-Vaast"/>
        <s v="Aix-Noulette"/>
        <s v="Aix-en-Ergny"/>
        <s v="Aix-en-Issart"/>
        <s v="Alembon"/>
        <s v="Alette"/>
        <s v="Alincthun"/>
        <s v="Allouagne"/>
        <s v="Alquines"/>
        <s v="Ambleteuse"/>
        <s v="Ambricourt"/>
        <s v="Ambrines"/>
        <s v="Ames"/>
        <s v="Amettes"/>
        <s v="Amplier"/>
        <s v="Andres"/>
        <s v="Angres"/>
        <s v="Annay"/>
        <s v="Annequin"/>
        <s v="Annezin"/>
        <s v="Anvin"/>
        <s v="Anzin-Saint-Aubin"/>
        <s v="Ardres"/>
        <s v="Arleux-en-Gohelle"/>
        <s v="Arques"/>
        <s v="Arras"/>
        <s v="Athies"/>
        <s v="Attin"/>
        <s v="Aubigny-en-Artois"/>
        <s v="Aubin-Saint-Vaast"/>
        <s v="Aubrometz"/>
        <s v="Auchel"/>
        <s v="Auchy-au-Bois"/>
        <s v="Auchy-les-Mines"/>
        <s v="Auchy-lès-Hesdin"/>
        <s v="Audembert"/>
        <s v="Audincthun"/>
        <s v="Audinghen"/>
        <s v="Audrehem"/>
        <s v="Audresselles"/>
        <s v="Audruicq"/>
        <s v="Aumerval"/>
        <s v="Autingues"/>
        <s v="Auxi-le-Château"/>
        <s v="Averdoingt"/>
        <s v="Avesnes"/>
        <s v="Avesnes-le-Comte"/>
        <s v="Avesnes-lès-Bapaume"/>
        <s v="Avion"/>
        <s v="Avondance"/>
        <s v="Avroult"/>
        <s v="Ayette"/>
        <s v="Azincourt"/>
        <s v="Bailleul-Sir-Berthoult"/>
        <s v="Bailleul-aux-Cornailles"/>
        <s v="Bailleul-lès-Pernes"/>
        <s v="Bailleulmont"/>
        <s v="Bailleulval"/>
        <s v="Baincthun"/>
        <s v="Bainghen"/>
        <s v="Bajus"/>
        <s v="Balinghem"/>
        <s v="Bancourt"/>
        <s v="Bapaume"/>
        <s v="Baralle"/>
        <s v="Barastre"/>
        <s v="Barlin"/>
        <s v="Barly"/>
        <s v="Basseux"/>
        <s v="Bavincourt"/>
        <s v="Bayenghem-lès-Seninghem"/>
        <s v="Bayenghem-lès-Éperlecques"/>
        <s v="Bazinghen"/>
        <s v="Beaudricourt"/>
        <s v="Beaufort-Blavincourt"/>
        <s v="Beaulencourt"/>
        <s v="Beaumerie-Saint-Martin"/>
        <s v="Beaumetz-lès-Aire"/>
        <s v="Beaumetz-lès-Cambrai"/>
        <s v="Beaumetz-lès-Loges"/>
        <s v="Beaurains"/>
        <s v="Beaurainville"/>
        <s v="Beauvoir-Wavans"/>
        <s v="Beauvois"/>
        <s v="Belle-et-Houllefort"/>
        <s v="Bellebrune"/>
        <s v="Bellinghem"/>
        <s v="Bellonne"/>
        <s v="Berck"/>
        <s v="Bergueneuse"/>
        <s v="Berlencourt-le-Cauroy"/>
        <s v="Berles-Monchel"/>
        <s v="Berles-au-Bois"/>
        <s v="Bermicourt"/>
        <s v="Berneville"/>
        <s v="Bernieulles"/>
        <s v="Bertincourt"/>
        <s v="Beugin"/>
        <s v="Beugny"/>
        <s v="Beugnâtre"/>
        <s v="Beussent"/>
        <s v="Beutin"/>
        <s v="Beuvrequen"/>
        <s v="Beuvry"/>
        <s v="Bezinghem"/>
        <s v="Biache-Saint-Vaast"/>
        <s v="Biefvillers-lès-Bapaume"/>
        <s v="Bienvillers-au-Bois"/>
        <s v="Bihucourt"/>
        <s v="Billy-Berclau"/>
        <s v="Billy-Montigny"/>
        <s v="Bimont"/>
        <s v="Blairville"/>
        <s v="Blangerval-Blangermont"/>
        <s v="Blangy-sur-Ternoise"/>
        <s v="Blendecques"/>
        <s v="Blessy"/>
        <s v="Blingel"/>
        <s v="Bléquin"/>
        <s v="Boffles"/>
        <s v="Boiry-Becquerelle"/>
        <s v="Boiry-Notre-Dame"/>
        <s v="Boiry-Saint-Martin"/>
        <s v="Boiry-Sainte-Rictrude"/>
        <s v="Bois-Bernard"/>
        <s v="Boisdinghem"/>
        <s v="Boisjean"/>
        <s v="Boisleux-Saint-Marc"/>
        <s v="Boisleux-au-Mont"/>
        <s v="Bomy"/>
        <s v="Bonningues-lès-Ardres"/>
        <s v="Bonningues-lès-Calais"/>
        <s v="Boubers-lès-Hesmond"/>
        <s v="Boubers-sur-Canche"/>
        <s v="Bouin-Plumoison"/>
        <s v="Boulogne-sur-Mer"/>
        <s v="Bouquehault"/>
        <s v="Bourecq"/>
        <s v="Bouret-sur-Canche"/>
        <s v="Bourlon"/>
        <s v="Bournonville"/>
        <s v="Bours"/>
        <s v="Boursin"/>
        <s v="Bourthes"/>
        <s v="Bouvelinghem"/>
        <s v="Bouvigny-Boyeffles"/>
        <s v="Boyaval"/>
        <s v="Boyelles"/>
        <s v="Brebières"/>
        <s v="Brias"/>
        <s v="Brimeux"/>
        <s v="Bruay-la-Buissière"/>
        <s v="Brunembert"/>
        <s v="Brévillers"/>
        <s v="Bréxent-Énocq"/>
        <s v="Brêmes"/>
        <s v="Bucquoy"/>
        <s v="Buire-au-Bois"/>
        <s v="Buire-le-Sec"/>
        <s v="Buissy"/>
        <s v="Bullecourt"/>
        <s v="Bully-les-Mines"/>
        <s v="Buneville"/>
        <s v="Burbure"/>
        <s v="Bus"/>
        <s v="Busnes"/>
        <s v="Béalencourt"/>
        <s v="Bécourt"/>
        <s v="Béhagnies"/>
        <s v="Bénifontaine"/>
        <s v="Béthonsart"/>
        <s v="Béthune"/>
        <s v="Caffiers"/>
        <s v="Cagnicourt"/>
        <s v="Calais"/>
        <s v="Calonne-Ricouart"/>
        <s v="Calonne-sur-la-Lys"/>
        <s v="Camblain-Châtelain"/>
        <s v="Camblain-l'Abbé"/>
        <s v="Cambligneul"/>
        <s v="Cambrin"/>
        <s v="Camiers"/>
        <s v="Campagne-lès-Boulonnais"/>
        <s v="Campagne-lès-Guines"/>
        <s v="Campagne-lès-Hesdin"/>
        <s v="Campagne-lès-Wardrecques"/>
        <s v="Campigneulles-les-Grandes"/>
        <s v="Campigneulles-les-Petites"/>
        <s v="Canettemont"/>
        <s v="Canlers"/>
        <s v="Capelle-Fermont"/>
        <s v="Capelle-lès-Hesdin"/>
        <s v="Carency"/>
        <s v="Carly"/>
        <s v="Carvin"/>
        <s v="Cauchy-à-la-Tour"/>
        <s v="Caucourt"/>
        <s v="Cavron-Saint-Martin"/>
        <s v="Chelers"/>
        <s v="Chocques"/>
        <s v="Chériennes"/>
        <s v="Chérisy"/>
        <s v="Clairmarais"/>
        <s v="Clenleu"/>
        <s v="Clerques"/>
        <s v="Cléty"/>
        <s v="Colembert"/>
        <s v="Colline-Beaumont"/>
        <s v="Conchil-le-Temple"/>
        <s v="Conchy-sur-Canche"/>
        <s v="Condette"/>
        <s v="Contes"/>
        <s v="Conteville-en-Ternois"/>
        <s v="Conteville-lès-Boulogne"/>
        <s v="Coquelles"/>
        <s v="Corbehem"/>
        <s v="Cormont"/>
        <s v="Couin"/>
        <s v="Coullemont"/>
        <s v="Coulogne"/>
        <s v="Coulomby"/>
        <s v="Coupelle-Neuve"/>
        <s v="Coupelle-Vieille"/>
        <s v="Courcelles-le-Comte"/>
        <s v="Courcelles-lès-Lens"/>
        <s v="Courrières"/>
        <s v="Courset"/>
        <s v="Couturelle"/>
        <s v="Coyecques"/>
        <s v="Croisette"/>
        <s v="Croisilles"/>
        <s v="Croix-en-Ternois"/>
        <s v="Crémarest"/>
        <s v="Créquy"/>
        <s v="Cucq"/>
        <s v="Cuinchy"/>
        <s v="Dainville"/>
        <s v="Dannes"/>
        <s v="Delettes"/>
        <s v="Denier"/>
        <s v="Dennebrœucq"/>
        <s v="Desvres"/>
        <s v="Divion"/>
        <s v="Diéval"/>
        <s v="Dohem"/>
        <s v="Douchy-lès-Ayette"/>
        <s v="Doudeauville"/>
        <s v="Dourges"/>
        <s v="Douriez"/>
        <s v="Douvrin"/>
        <s v="Drocourt"/>
        <s v="Drouvin-le-Marais"/>
        <s v="Duisans"/>
        <s v="Echinghen"/>
        <s v="Ecquedecques"/>
        <s v="Ecques"/>
        <s v="Elnes"/>
        <s v="Embry"/>
        <s v="Enquin-lez-Guinegatte"/>
        <s v="Enquin-sur-Baillons"/>
        <s v="Eps"/>
        <s v="Ergny"/>
        <s v="Erny-Saint-Julien"/>
        <s v="Ervillers"/>
        <s v="Escalles"/>
        <s v="Escœuilles"/>
        <s v="Esquerdes"/>
        <s v="Essars"/>
        <s v="Estevelles"/>
        <s v="Estrée"/>
        <s v="Estrée-Blanche"/>
        <s v="Estrée-Cauchy"/>
        <s v="Estrée-Wamin"/>
        <s v="Estréelles"/>
        <s v="Famechon"/>
        <s v="Fampoux"/>
        <s v="Farbus"/>
        <s v="Fauquembergues"/>
        <s v="Favreuil"/>
        <s v="Febvin-Palfart"/>
        <s v="Ferfay"/>
        <s v="Ferques"/>
        <s v="Festubert"/>
        <s v="Feuchy"/>
        <s v="Ficheux"/>
        <s v="Fiefs"/>
        <s v="Fiennes"/>
        <s v="Fillièvres"/>
        <s v="Flers"/>
        <s v="Fleurbaix"/>
        <s v="Floringhem"/>
        <s v="Fléchin"/>
        <s v="Foncquevillers"/>
        <s v="Fontaine-l'Étalon"/>
        <s v="Fontaine-lès-Boulans"/>
        <s v="Fontaine-lès-Croisilles"/>
        <s v="Fontaine-lès-Hermans"/>
        <s v="Fortel-en-Artois"/>
        <s v="Fosseux"/>
        <s v="Foufflin-Ricametz"/>
        <s v="Fouquereuil"/>
        <s v="Fouquières-lès-Béthune"/>
        <s v="Fouquières-lès-Lens"/>
        <s v="Framecourt"/>
        <s v="Frencq"/>
        <s v="Fresnes-lès-Montauban"/>
        <s v="Fresnicourt-le-Dolmen"/>
        <s v="Fresnoy"/>
        <s v="Fresnoy-en-Gohelle"/>
        <s v="Fressin"/>
        <s v="Fruges"/>
        <s v="Frémicourt"/>
        <s v="Fréthun"/>
        <s v="Frévent"/>
        <s v="Frévillers"/>
        <s v="Frévin-Capelle"/>
        <s v="Galametz"/>
        <s v="Gauchin-Légal"/>
        <s v="Gauchin-Verloingt"/>
        <s v="Gaudiempré"/>
        <s v="Gavrelle"/>
        <s v="Gennes-Ivergny"/>
        <s v="Givenchy-en-Gohelle"/>
        <s v="Givenchy-le-Noble"/>
        <s v="Givenchy-lès-la-Bassée"/>
        <s v="Gomiécourt"/>
        <s v="Gommecourt"/>
        <s v="Gonnehem"/>
        <s v="Gosnay"/>
        <s v="Gouves"/>
        <s v="Gouy-Saint-André"/>
        <s v="Gouy-Servins"/>
        <s v="Gouy-en-Artois"/>
        <s v="Gouy-en-Ternois"/>
        <s v="Gouy-sous-Bellonne"/>
        <s v="Graincourt-lès-Havrincourt"/>
        <s v="Grand-Rullecourt"/>
        <s v="Grenay"/>
        <s v="Grigny"/>
        <s v="Grincourt-lès-Pas"/>
        <s v="Groffliers"/>
        <s v="Grévillers"/>
        <s v="Guarbecque"/>
        <s v="Guemps"/>
        <s v="Guigny"/>
        <s v="Guinecourt"/>
        <s v="Guisy"/>
        <s v="Guémappe"/>
        <s v="Guînes"/>
        <s v="Habarcq"/>
        <s v="Haillicourt"/>
        <s v="Haisnes"/>
        <s v="Halinghen"/>
        <s v="Hallines"/>
        <s v="Ham-en-Artois"/>
        <s v="Hamblain-les-Prés"/>
        <s v="Hamelincourt"/>
        <s v="Hames-Boucres"/>
        <s v="Hannescamps"/>
        <s v="Haplincourt"/>
        <s v="Haravesnes"/>
        <s v="Hardinghen"/>
        <s v="Harnes"/>
        <s v="Haut-Loquin"/>
        <s v="Haute-Avesnes"/>
        <s v="Hautecloque"/>
        <s v="Havrincourt"/>
        <s v="Helfaut"/>
        <s v="Hendecourt-lès-Cagnicourt"/>
        <s v="Hendecourt-lès-Ransart"/>
        <s v="Henneveux"/>
        <s v="Herbinghen"/>
        <s v="Herlin-le-Sec"/>
        <s v="Herlincourt"/>
        <s v="Herly"/>
        <s v="Hermaville"/>
        <s v="Hermelinghen"/>
        <s v="Hermies"/>
        <s v="Hermin"/>
        <s v="Hernicourt"/>
        <s v="Hersin-Coupigny"/>
        <s v="Hervelinghen"/>
        <s v="Hesdigneul-lès-Boulogne"/>
        <s v="Hesdigneul-lès-Béthune"/>
        <s v="Hesdin-l'Abbé"/>
        <s v="Hesdin-la-Forêt"/>
        <s v="Hesmond"/>
        <s v="Hestrus"/>
        <s v="Heuchin"/>
        <s v="Heuringhem"/>
        <s v="Hinges"/>
        <s v="Hocquinghen"/>
        <s v="Houchin"/>
        <s v="Houdain"/>
        <s v="Houlle"/>
        <s v="Houvin-Houvigneul"/>
        <s v="Hubersent"/>
        <s v="Huclier"/>
        <s v="Hucqueliers"/>
        <s v="Hulluch"/>
        <s v="Humbercamps"/>
        <s v="Humbert"/>
        <s v="Humerœuille"/>
        <s v="Humières"/>
        <s v="Hébuterne"/>
        <s v="Hénin-Beaumont"/>
        <s v="Hénin-sur-Cojeul"/>
        <s v="Héninel"/>
        <s v="Hénu"/>
        <s v="Héricourt"/>
        <s v="Hézecques"/>
        <s v="Inchy-en-Artois"/>
        <s v="Incourt"/>
        <s v="Inxent"/>
        <s v="Isbergues"/>
        <s v="Isques"/>
        <s v="Ivergny"/>
        <s v="Izel-lès-Hameau"/>
        <s v="Izel-lès-Équerchin"/>
        <s v="Journy"/>
        <s v="La Calotterie"/>
        <s v="La Capelle-lès-Boulogne"/>
        <s v="La Cauchie"/>
        <s v="La Comté"/>
        <s v="La Couture"/>
        <s v="La Herlière"/>
        <s v="La Loge"/>
        <s v="La Madelaine-sous-Montreuil"/>
        <s v="La Thieuloye"/>
        <s v="Labeuvrière"/>
        <s v="Labourse"/>
        <s v="Labroye"/>
        <s v="Lacres"/>
        <s v="Lagnicourt-Marcel"/>
        <s v="Laires"/>
        <s v="Lambres-lez-Aire"/>
        <s v="Landrethun-le-Nord"/>
        <s v="Landrethun-lès-Ardres"/>
        <s v="Lapugnoy"/>
        <s v="Lattre-Saint-Quentin"/>
        <s v="Laventie"/>
        <s v="Le Parcq"/>
        <s v="Le Ponchel"/>
        <s v="Le Portel"/>
        <s v="Le Quesnoy-en-Artois"/>
        <s v="Le Sars"/>
        <s v="Le Souich"/>
        <s v="Le Touquet-Paris-Plage"/>
        <s v="Le Transloy"/>
        <s v="Le Wast"/>
        <s v="Lebiez"/>
        <s v="Lebucquière"/>
        <s v="Ledinghem"/>
        <s v="Lefaux"/>
        <s v="Leforest"/>
        <s v="Lens"/>
        <s v="Les Attaques"/>
        <s v="Lespesses"/>
        <s v="Lespinoy"/>
        <s v="Lestrem"/>
        <s v="Leubringhen"/>
        <s v="Leulinghem"/>
        <s v="Leulinghen-Bernes"/>
        <s v="Libercourt"/>
        <s v="Licques"/>
        <s v="Liencourt"/>
        <s v="Liettres"/>
        <s v="Lignereuil"/>
        <s v="Ligny-Saint-Flochel"/>
        <s v="Ligny-Thilloy"/>
        <s v="Ligny-lès-Aire"/>
        <s v="Ligny-sur-Canche"/>
        <s v="Lillers"/>
        <s v="Linghem"/>
        <s v="Linzeux"/>
        <s v="Lisbourg"/>
        <s v="Lières"/>
        <s v="Liévin"/>
        <s v="Locon"/>
        <s v="Loison-sous-Lens"/>
        <s v="Loison-sur-Créquoise"/>
        <s v="Longfossé"/>
        <s v="Longuenesse"/>
        <s v="Longueville"/>
        <s v="Longvilliers"/>
        <s v="Loos-en-Gohelle"/>
        <s v="Lorgies"/>
        <s v="Lottinghen"/>
        <s v="Louches"/>
        <s v="Lozinghem"/>
        <s v="Lugy"/>
        <s v="Lumbres"/>
        <s v="Léchelle"/>
        <s v="Lépine"/>
        <s v="Magnicourt-en-Comte"/>
        <s v="Magnicourt-sur-Canche"/>
        <s v="Maintenay"/>
        <s v="Maisnil"/>
        <s v="Maisnil-lès-Ruitz"/>
        <s v="Maisoncelle"/>
        <s v="Maizières"/>
        <s v="Mametz"/>
        <s v="Manin"/>
        <s v="Maninghem"/>
        <s v="Maninghen-Henne"/>
        <s v="Marant"/>
        <s v="Marck"/>
        <s v="Marconnelle"/>
        <s v="Marenla"/>
        <s v="Maresquel-Ecquemicourt"/>
        <s v="Marest"/>
        <s v="Maresville"/>
        <s v="Marles-les-Mines"/>
        <s v="Marles-sur-Canche"/>
        <s v="Marquay"/>
        <s v="Marquion"/>
        <s v="Marquise"/>
        <s v="Martinpuich"/>
        <s v="Marœuil"/>
        <s v="Matringhem"/>
        <s v="Mazingarbe"/>
        <s v="Mazinghem"/>
        <s v="Mencas"/>
        <s v="Menneville"/>
        <s v="Mentque-Nortbécourt"/>
        <s v="Mercatel"/>
        <s v="Merck-Saint-Liévin"/>
        <s v="Merlimont"/>
        <s v="Metz-en-Couture"/>
        <s v="Meurchin"/>
        <s v="Mingoval"/>
        <s v="Moncheaux-lès-Frévent"/>
        <s v="Monchel-sur-Canche"/>
        <s v="Monchiet"/>
        <s v="Monchy-Breton"/>
        <s v="Monchy-Cayeux"/>
        <s v="Monchy-au-Bois"/>
        <s v="Monchy-le-Preux"/>
        <s v="Mondicourt"/>
        <s v="Mont-Bernanchon"/>
        <s v="Mont-Saint-Éloi"/>
        <s v="Montcavrel"/>
        <s v="Montenescourt"/>
        <s v="Montigny-en-Gohelle"/>
        <s v="Montreuil-sur-Mer"/>
        <s v="Monts-en-Ternois"/>
        <s v="Morchies"/>
        <s v="Moringhem"/>
        <s v="Morval"/>
        <s v="Mory"/>
        <s v="Moulle"/>
        <s v="Mouriez"/>
        <s v="Muncq-Nieurlet"/>
        <s v="Méricourt"/>
        <s v="Nabringhen"/>
        <s v="Nempont-Saint-Firmin"/>
        <s v="Nesles"/>
        <s v="Neufchâtel-Hardelot"/>
        <s v="Neulette"/>
        <s v="Neuve-Chapelle"/>
        <s v="Neuville-Bourjonval"/>
        <s v="Neuville-Saint-Vaast"/>
        <s v="Neuville-Vitasse"/>
        <s v="Neuville-au-Cornet"/>
        <s v="Neuville-sous-Montreuil"/>
        <s v="Neuvireuil"/>
        <s v="Nielles-lès-Ardres"/>
        <s v="Nielles-lès-Bléquin"/>
        <s v="Nielles-lès-Calais"/>
        <s v="Nordausques"/>
        <s v="Noreuil"/>
        <s v="Norrent-Fontes"/>
        <s v="Nort-Leulinghem"/>
        <s v="Nortkerque"/>
        <s v="Nouvelle-Église"/>
        <s v="Noyelle-Vion"/>
        <s v="Noyelles-Godault"/>
        <s v="Noyelles-lès-Humières"/>
        <s v="Noyelles-lès-Vermelles"/>
        <s v="Noyelles-sous-Bellonne"/>
        <s v="Noyelles-sous-Lens"/>
        <s v="Noyellette"/>
        <s v="Nuncq-Hautecôte"/>
        <s v="Nédon"/>
        <s v="Nédonchel"/>
        <s v="Nœux-les-Mines"/>
        <s v="Nœux-lès-Auxi"/>
        <s v="Oblinghem"/>
        <s v="Offekerque"/>
        <s v="Offin"/>
        <s v="Offrethun"/>
        <s v="Oignies"/>
        <s v="Oisy-le-Verger"/>
        <s v="Oppy"/>
        <s v="Orville"/>
        <s v="Ostreville"/>
        <s v="Ourton"/>
        <s v="Outreau"/>
        <s v="Ouve-Wirquin"/>
        <s v="Oye-Plage"/>
        <s v="Palluel"/>
        <s v="Parenty"/>
        <s v="Pas-en-Artois"/>
        <s v="Pelves"/>
        <s v="Penin"/>
        <s v="Pernes"/>
        <s v="Pernes-lès-Boulogne"/>
        <s v="Peuplingues"/>
        <s v="Pierremont"/>
        <s v="Pihem"/>
        <s v="Pihen-lès-Guînes"/>
        <s v="Pittefaux"/>
        <s v="Planques"/>
        <s v="Plouvain"/>
        <s v="Polincove"/>
        <s v="Pommera"/>
        <s v="Pommier"/>
        <s v="Pont-à-Vendin"/>
        <s v="Pressy"/>
        <s v="Preures"/>
        <s v="Pronville-en-Artois"/>
        <s v="Prédefin"/>
        <s v="Puisieux"/>
        <s v="Quelmes"/>
        <s v="Quercamps"/>
        <s v="Quernes"/>
        <s v="Quesques"/>
        <s v="Questrecques"/>
        <s v="Quiestède"/>
        <s v="Quilen"/>
        <s v="Quiéry-la-Motte"/>
        <s v="Quéant"/>
        <s v="Quœux-Haut-Maînil"/>
        <s v="Racquinghem"/>
        <s v="Radinghem"/>
        <s v="Ramecourt"/>
        <s v="Rang-du-Fliers"/>
        <s v="Ransart"/>
        <s v="Raye-sur-Authie"/>
        <s v="Rebergues"/>
        <s v="Rebreuve-Ranchicourt"/>
        <s v="Rebreuve-sur-Canche"/>
        <s v="Rebreuviette"/>
        <s v="Reclinghem"/>
        <s v="Recques-sur-Course"/>
        <s v="Recques-sur-Hem"/>
        <s v="Regnauville"/>
        <s v="Rely"/>
        <s v="Remilly-Wirquin"/>
        <s v="Renty"/>
        <s v="Rety"/>
        <s v="Richebourg"/>
        <s v="Riencourt-lès-Bapaume"/>
        <s v="Riencourt-lès-Cagnicourt"/>
        <s v="Rimboval"/>
        <s v="Rinxent"/>
        <s v="Rivière"/>
        <s v="Robecq"/>
        <s v="Roclincourt"/>
        <s v="Rodelinghem"/>
        <s v="Rollancourt"/>
        <s v="Rombly"/>
        <s v="Roquetoire"/>
        <s v="Rougefay"/>
        <s v="Roussent"/>
        <s v="Royon"/>
        <s v="Roëllecourt"/>
        <s v="Ruisseauville"/>
        <s v="Ruitz"/>
        <s v="Rumaucourt"/>
        <s v="Rumilly"/>
        <s v="Ruminghem"/>
        <s v="Ruyaulcourt"/>
        <s v="Récourt"/>
        <s v="Rémy"/>
        <s v="Rœux"/>
        <s v="Sachin"/>
        <s v="Sailly-Labourse"/>
        <s v="Sailly-au-Bois"/>
        <s v="Sailly-en-Ostrevent"/>
        <s v="Sailly-sur-la-Lys"/>
        <s v="Sains-en-Gohelle"/>
        <s v="Sains-lès-Fressin"/>
        <s v="Sains-lès-Marquion"/>
        <s v="Sains-lès-Pernes"/>
        <s v="Saint-Amand"/>
        <s v="Saint-Augustin"/>
        <s v="Saint-Denœux"/>
        <s v="Saint-Floris"/>
        <s v="Saint-Folquin"/>
        <s v="Saint-Georges"/>
        <s v="Saint-Hilaire-Cottes"/>
        <s v="Saint-Inglevert"/>
        <s v="Saint-Josse"/>
        <s v="Saint-Laurent-Blangy"/>
        <s v="Saint-Léger"/>
        <s v="Saint-Léonard"/>
        <s v="Saint-Martin-Boulogne"/>
        <s v="Saint-Martin-Choquel"/>
        <s v="Saint-Martin-d'Hardinghem"/>
        <s v="Saint-Martin-lez-Tatinghem"/>
        <s v="Saint-Martin-sur-Cojeul"/>
        <s v="Saint-Michel-sous-Bois"/>
        <s v="Saint-Michel-sur-Ternoise"/>
        <s v="Saint-Nicolas"/>
        <s v="Saint-Omer"/>
        <s v="Saint-Omer-Capelle"/>
        <s v="Saint-Pol-sur-Ternoise"/>
        <s v="Saint-Rémy-au-Bois"/>
        <s v="Saint-Tricat"/>
        <s v="Saint-Venant"/>
        <s v="Saint-Étienne-au-Mont"/>
        <s v="Sainte-Catherine"/>
        <s v="Sainte-Marie-Kerque"/>
        <s v="Sallaumines"/>
        <s v="Salperwick"/>
        <s v="Samer"/>
        <s v="Sangatte"/>
        <s v="Sanghen"/>
        <s v="Sapignies"/>
        <s v="Sars-le-Bois"/>
        <s v="Sarton"/>
        <s v="Sauchy-Cauchy"/>
        <s v="Sauchy-Lestrée"/>
        <s v="Saudemont"/>
        <s v="Saulchoy"/>
        <s v="Saulty"/>
        <s v="Savy-Berlette"/>
        <s v="Selles"/>
        <s v="Sempy"/>
        <s v="Seninghem"/>
        <s v="Senlecques"/>
        <s v="Serques"/>
        <s v="Servins"/>
        <s v="Setques"/>
        <s v="Sibiville"/>
        <s v="Simencourt"/>
        <s v="Siracourt"/>
        <s v="Sombrin"/>
        <s v="Sorrus"/>
        <s v="Souastre"/>
        <s v="Souchez"/>
        <s v="Surques"/>
        <s v="Sus-Saint-Léger"/>
        <s v="Séricourt"/>
        <s v="Tangry"/>
        <s v="Tardinghen"/>
        <s v="Teneur"/>
        <s v="Ternas"/>
        <s v="Thiembronne"/>
        <s v="Thièvres"/>
        <s v="Thélus"/>
        <s v="Thérouanne"/>
        <s v="Tigny-Noyelle"/>
        <s v="Tilloy-lès-Hermaville"/>
        <s v="Tilloy-lès-Mofflaines"/>
        <s v="Tilly-Capelle"/>
        <s v="Tilques"/>
        <s v="Tincques"/>
        <s v="Tingry"/>
        <s v="Tollent"/>
        <s v="Torcy"/>
        <s v="Tortefontaine"/>
        <s v="Tortequesne"/>
        <s v="Tournehem-sur-la-Hem"/>
        <s v="Tramecourt"/>
        <s v="Trescault"/>
        <s v="Troisvaux"/>
        <s v="Tubersent"/>
        <s v="Vacquerie-le-Boucq"/>
        <s v="Vacqueriette-Erquières"/>
        <s v="Valhuon"/>
        <s v="Vaudricourt"/>
        <s v="Vaudringhem"/>
        <s v="Vaulx"/>
        <s v="Vaulx-Vraucourt"/>
        <s v="Vendin-le-Vieil"/>
        <s v="Vendin-lès-Béthune"/>
        <s v="Verchin"/>
        <s v="Verchocq"/>
        <s v="Verlincthun"/>
        <s v="Vermelles"/>
        <s v="Verquigneul"/>
        <s v="Verquin"/>
        <s v="Verton"/>
        <s v="Vieil-Hesdin"/>
        <s v="Vieil-Moutier"/>
        <s v="Vieille-Chapelle"/>
        <s v="Vieille-Église"/>
        <s v="Villers-Brûlin"/>
        <s v="Villers-Châtel"/>
        <s v="Villers-Sir-Simon"/>
        <s v="Villers-au-Bois"/>
        <s v="Villers-au-Flos"/>
        <s v="Villers-l'Hôpital"/>
        <s v="Villers-lès-Cagnicourt"/>
        <s v="Vimy"/>
        <s v="Vincly"/>
        <s v="Violaines"/>
        <s v="Vis-en-Artois"/>
        <s v="Vitry-en-Artois"/>
        <s v="Vélu"/>
        <s v="Waben"/>
        <s v="Wacquinghen"/>
        <s v="Wail"/>
        <s v="Wailly"/>
        <s v="Wailly-Beaucamp"/>
        <s v="Wambercourt"/>
        <s v="Wamin"/>
        <s v="Wancourt"/>
        <s v="Wanquetin"/>
        <s v="Wardrecques"/>
        <s v="Warlencourt-Eaucourt"/>
        <s v="Warlincourt-lès-Pas"/>
        <s v="Warlus"/>
        <s v="Warluzel"/>
        <s v="Wavrans-sur-Ternoise"/>
        <s v="Wavrans-sur-l'Aa"/>
        <s v="Westrehem"/>
        <s v="Wicquinghem"/>
        <s v="Widehem"/>
        <s v="Wierre-Effroy"/>
        <s v="Wierre-au-Bois"/>
        <s v="Willeman"/>
        <s v="Willencourt"/>
        <s v="Willerval"/>
        <s v="Wimereux"/>
        <s v="Wimille"/>
        <s v="Wingles"/>
        <s v="Wirwignes"/>
        <s v="Wismes"/>
        <s v="Wisques"/>
        <s v="Wissant"/>
        <s v="Witternesse"/>
        <s v="Wittes"/>
        <s v="Wizernes"/>
        <s v="Ytres"/>
        <s v="Zoteux"/>
        <s v="Zouafques"/>
        <s v="Zudausques"/>
        <s v="Zutkerque"/>
        <s v="Éclimeux"/>
        <s v="Écoivres"/>
        <s v="Écourt-Saint-Quentin"/>
        <s v="Écoust-Saint-Mein"/>
        <s v="Écuires"/>
        <s v="Écurie"/>
        <s v="Éleu-dit-Leauwette"/>
        <s v="Éperlecques"/>
        <s v="Épinoy"/>
        <s v="Équihen-Plage"/>
        <s v="Équirre"/>
        <s v="Érin"/>
        <s v="Étaing"/>
        <s v="Étaples"/>
        <s v="Éterpigny"/>
        <s v="Étrun"/>
        <s v="Évin-Malmaison"/>
        <s v="Œuf-en-Ternois"/>
        <s v="Abbeville"/>
        <s v="Ablaincourt-Pressoir"/>
        <s v="Acheux-en-Amiénois"/>
        <s v="Acheux-en-Vimeu"/>
        <s v="Agenville"/>
        <s v="Agenvillers"/>
        <s v="Aigneville"/>
        <s v="Ailly-le-Haut-Clocher"/>
        <s v="Ailly-sur-Noye"/>
        <s v="Ailly-sur-Somme"/>
        <s v="Airaines"/>
        <s v="Aizecourt-le-Bas"/>
        <s v="Aizecourt-le-Haut"/>
        <s v="Albert"/>
        <s v="Allaines"/>
        <s v="Allenay"/>
        <s v="Allery"/>
        <s v="Allonville"/>
        <s v="Amiens"/>
        <s v="Andainville"/>
        <s v="Andechy"/>
        <s v="Argoules"/>
        <s v="Arguel"/>
        <s v="Argœuves"/>
        <s v="Arquèves"/>
        <s v="Arrest"/>
        <s v="Arry"/>
        <s v="Arvillers"/>
        <s v="Assainvillers"/>
        <s v="Assevillers"/>
        <s v="Aubercourt"/>
        <s v="Aubigny"/>
        <s v="Aubvillers"/>
        <s v="Auchonvillers"/>
        <s v="Ault"/>
        <s v="Aumont"/>
        <s v="Aumâtre"/>
        <s v="Autheux"/>
        <s v="Authie"/>
        <s v="Authieule"/>
        <s v="Authuille"/>
        <s v="Avelesges"/>
        <s v="Aveluy"/>
        <s v="Avesnes-Chaussoy"/>
        <s v="Ayencourt"/>
        <s v="Bacouel-sur-Selle"/>
        <s v="Baizieux"/>
        <s v="Balâtre"/>
        <s v="Barleux"/>
        <s v="Bavelincourt"/>
        <s v="Bayencourt"/>
        <s v="Bayonvillers"/>
        <s v="Bazentin"/>
        <s v="Beaucamps-le-Jeune"/>
        <s v="Beaucamps-le-Vieux"/>
        <s v="Beauchamps"/>
        <s v="Beaucourt-en-Santerre"/>
        <s v="Beaucourt-sur-l'Ancre"/>
        <s v="Beaucourt-sur-l'Hallue"/>
        <s v="Beaufort-en-Santerre"/>
        <s v="Beaumetz"/>
        <s v="Beaumont-Hamel"/>
        <s v="Beauquesne"/>
        <s v="Beauval"/>
        <s v="Bellancourt"/>
        <s v="Belleuse"/>
        <s v="Belloy-Saint-Léonard"/>
        <s v="Belloy-en-Santerre"/>
        <s v="Belloy-sur-Somme"/>
        <s v="Bergicourt"/>
        <s v="Bermesnil"/>
        <s v="Bernaville"/>
        <s v="Bernay-en-Ponthieu"/>
        <s v="Bernes"/>
        <s v="Berneuil"/>
        <s v="Berny-en-Santerre"/>
        <s v="Bernâtre"/>
        <s v="Bertangles"/>
        <s v="Berteaucourt-les-Dames"/>
        <s v="Berteaucourt-lès-Thennes"/>
        <s v="Bertrancourt"/>
        <s v="Bettembos"/>
        <s v="Bettencourt-Rivière"/>
        <s v="Bettencourt-Saint-Ouen"/>
        <s v="Beuvraignes"/>
        <s v="Biaches"/>
        <s v="Biarre"/>
        <s v="Biencourt"/>
        <s v="Billancourt"/>
        <s v="Blangy-Tronville"/>
        <s v="Blangy-sous-Poix"/>
        <s v="Boisbergues"/>
        <s v="Boismont"/>
        <s v="Bonnay"/>
        <s v="Bonneville"/>
        <s v="Bosquel"/>
        <s v="Bouchavesnes-Bergen"/>
        <s v="Bouchoir"/>
        <s v="Bouchon"/>
        <s v="Boufflers"/>
        <s v="Bougainville"/>
        <s v="Bouillancourt-en-Séry"/>
        <s v="Bouillancourt-la-Bataille"/>
        <s v="Bouquemaison"/>
        <s v="Bourdon"/>
        <s v="Bourseville"/>
        <s v="Boussicourt"/>
        <s v="Bouttencourt"/>
        <s v="Bouvaincourt-sur-Bresle"/>
        <s v="Bouvincourt-en-Vermandois"/>
        <s v="Bouzincourt"/>
        <s v="Bovelles"/>
        <s v="Boves"/>
        <s v="Braches"/>
        <s v="Brailly-Cornehotte"/>
        <s v="Brassy"/>
        <s v="Bray-lès-Mareuil"/>
        <s v="Bray-sur-Somme"/>
        <s v="Breilly"/>
        <s v="Bresle"/>
        <s v="Breuil"/>
        <s v="Briquemesnil-Floxicourt"/>
        <s v="Brocourt"/>
        <s v="Brouchy"/>
        <s v="Brucamps"/>
        <s v="Brutelles"/>
        <s v="Buigny-Saint-Maclou"/>
        <s v="Buigny-l'Abbé"/>
        <s v="Buigny-lès-Gamaches"/>
        <s v="Buire-Courcelles"/>
        <s v="Buire-sur-l'Ancre"/>
        <s v="Bus-la-Mésière"/>
        <s v="Bus-lès-Artois"/>
        <s v="Bussu"/>
        <s v="Bussus-lès-Yaucourt"/>
        <s v="Bussy-lès-Daours"/>
        <s v="Bussy-lès-Poix"/>
        <s v="Buverchy"/>
        <s v="Béalcourt"/>
        <s v="Bécordel-Bécourt"/>
        <s v="Béhen"/>
        <s v="Béhencourt"/>
        <s v="Béthencourt-sur-Mer"/>
        <s v="Béthencourt-sur-Somme"/>
        <s v="Cachy"/>
        <s v="Cagny"/>
        <s v="Cahon"/>
        <s v="Caix"/>
        <s v="Cambron"/>
        <s v="Camon"/>
        <s v="Camps-en-Amiénois"/>
        <s v="Canaples"/>
        <s v="Canchy"/>
        <s v="Candas"/>
        <s v="Cannessières"/>
        <s v="Cantigny"/>
        <s v="Caours"/>
        <s v="Cappy"/>
        <s v="Cardonnette"/>
        <s v="Carnoy-Mametz"/>
        <s v="Carrépuis"/>
        <s v="Cartigny"/>
        <s v="Caulières"/>
        <s v="Cavillon"/>
        <s v="Cayeux-en-Santerre"/>
        <s v="Cayeux-sur-Mer"/>
        <s v="Cerisy"/>
        <s v="Cerisy-Buleux"/>
        <s v="Champien"/>
        <s v="Chaulnes"/>
        <s v="Chaussoy-Epagny"/>
        <s v="Chilly"/>
        <s v="Chipilly"/>
        <s v="Chirmont"/>
        <s v="Chuignes"/>
        <s v="Chuignolles"/>
        <s v="Chépy"/>
        <s v="Citerne"/>
        <s v="Cizancourt"/>
        <s v="Clairy-Saulchoix"/>
        <s v="Cléry-sur-Somme"/>
        <s v="Cocquerel"/>
        <s v="Coigneux"/>
        <s v="Coisy"/>
        <s v="Colincamps"/>
        <s v="Combles"/>
        <s v="Condé-Folie"/>
        <s v="Contalmaison"/>
        <s v="Contay"/>
        <s v="Contre"/>
        <s v="Conty"/>
        <s v="Corbie"/>
        <s v="Cottenchy"/>
        <s v="Coullemelle"/>
        <s v="Coulonvillers"/>
        <s v="Courcelette"/>
        <s v="Courcelles-au-Bois"/>
        <s v="Courcelles-sous-Moyencourt"/>
        <s v="Courcelles-sous-Thoix"/>
        <s v="Courtemanche"/>
        <s v="Cramont"/>
        <s v="Cressy-Omencourt"/>
        <s v="Creuse"/>
        <s v="Croix-Moligneaux"/>
        <s v="Croixrault"/>
        <s v="Crouy-Saint-Pierre"/>
        <s v="Crécy-en-Ponthieu"/>
        <s v="Crémery"/>
        <s v="Curchy"/>
        <s v="Curlu"/>
        <s v="Damery"/>
        <s v="Dancourt-Popincourt"/>
        <s v="Daours"/>
        <s v="Dargnies"/>
        <s v="Davenescourt"/>
        <s v="Dernancourt"/>
        <s v="Devise"/>
        <s v="Doingt"/>
        <s v="Domart-en-Ponthieu"/>
        <s v="Domart-sur-la-Luce"/>
        <s v="Domesmont"/>
        <s v="Dominois"/>
        <s v="Domléger-Longvillers"/>
        <s v="Dommartin"/>
        <s v="Dompierre-Becquincourt"/>
        <s v="Dompierre-sur-Authie"/>
        <s v="Domqueur"/>
        <s v="Domvast"/>
        <s v="Doudelainville"/>
        <s v="Douilly"/>
        <s v="Doullens"/>
        <s v="Dreuil-lès-Amiens"/>
        <s v="Driencourt"/>
        <s v="Dromesnil"/>
        <s v="Drucat"/>
        <s v="Démuin"/>
        <s v="Eaucourt-sur-Somme"/>
        <s v="Embreville"/>
        <s v="Englebelmer"/>
        <s v="Ennemain"/>
        <s v="Eppeville"/>
        <s v="Erches"/>
        <s v="Ercheu"/>
        <s v="Ercourt"/>
        <s v="Ergnies"/>
        <s v="Esclainvillers"/>
        <s v="Esmery-Hallon"/>
        <s v="Essertaux"/>
        <s v="Estrébœuf"/>
        <s v="Estrées-Deniécourt"/>
        <s v="Estrées-Mons"/>
        <s v="Estrées-lès-Crécy"/>
        <s v="Estrées-sur-Noye"/>
        <s v="Falvy"/>
        <s v="Favières"/>
        <s v="Fay"/>
        <s v="Fescamps"/>
        <s v="Feuillères"/>
        <s v="Feuquières-en-Vimeu"/>
        <s v="Fieffes-Montrelet"/>
        <s v="Fienvillers"/>
        <s v="Fignières"/>
        <s v="Fins"/>
        <s v="Flaucourt"/>
        <s v="Flers-sur-Noye"/>
        <s v="Flesselles"/>
        <s v="Flixecourt"/>
        <s v="Fluy"/>
        <s v="Folies"/>
        <s v="Folleville"/>
        <s v="Fonches-Fonchette"/>
        <s v="Fontaine-le-Sec"/>
        <s v="Fontaine-lès-Cappy"/>
        <s v="Fontaine-sous-Montdidier"/>
        <s v="Fontaine-sur-Maye"/>
        <s v="Fontaine-sur-Somme"/>
        <s v="Forceville"/>
        <s v="Forceville-en-Vimeu"/>
        <s v="Forest-Montiers"/>
        <s v="Forest-l'Abbaye"/>
        <s v="Fort-Mahon-Plage"/>
        <s v="Fossemanant"/>
        <s v="Foucaucourt-Hors-Nesle"/>
        <s v="Foucaucourt-en-Santerre"/>
        <s v="Fouencamps"/>
        <s v="Fouquescourt"/>
        <s v="Fourcigny"/>
        <s v="Fourdrinoy"/>
        <s v="Framerville-Rainecourt"/>
        <s v="Framicourt"/>
        <s v="Franleu"/>
        <s v="Fransart"/>
        <s v="Fransu"/>
        <s v="Fransures"/>
        <s v="Franvillers"/>
        <s v="Fresnes-Mazancourt"/>
        <s v="Fresnes-Tilloloy"/>
        <s v="Fresneville"/>
        <s v="Fresnoy-Andainville"/>
        <s v="Fresnoy-au-Val"/>
        <s v="Fresnoy-en-Chaussée"/>
        <s v="Fresnoy-lès-Roye"/>
        <s v="Fressenneville"/>
        <s v="Frettecuisse"/>
        <s v="Frettemeule"/>
        <s v="Friaucourt"/>
        <s v="Fricamps"/>
        <s v="Fricourt"/>
        <s v="Frise"/>
        <s v="Friville-Escarbotin"/>
        <s v="Frohen-sur-Authie"/>
        <s v="Froyelles"/>
        <s v="Frucourt"/>
        <s v="Fréchencourt"/>
        <s v="Frémontiers"/>
        <s v="Gamaches"/>
        <s v="Gapennes"/>
        <s v="Gauville"/>
        <s v="Gentelles"/>
        <s v="Ginchy"/>
        <s v="Glisy"/>
        <s v="Gorenflos"/>
        <s v="Gorges"/>
        <s v="Goyencourt"/>
        <s v="Grand-Laviers"/>
        <s v="Grandcourt"/>
        <s v="Gratibus"/>
        <s v="Grattepanche"/>
        <s v="Grivesnes"/>
        <s v="Grivillers"/>
        <s v="Grouches-Luchuel"/>
        <s v="Gruny"/>
        <s v="Grébault-Mesnil"/>
        <s v="Guerbigny"/>
        <s v="Gueschart"/>
        <s v="Gueudecourt"/>
        <s v="Guignemicourt"/>
        <s v="Guillaucourt"/>
        <s v="Guillemont"/>
        <s v="Guizancourt"/>
        <s v="Guyencourt-Saulcourt"/>
        <s v="Guyencourt-sur-Noye"/>
        <s v="Gézaincourt"/>
        <s v="Hailles"/>
        <s v="Hallencourt"/>
        <s v="Hallivillers"/>
        <s v="Halloy-lès-Pernois"/>
        <s v="Hallu"/>
        <s v="Ham"/>
        <s v="Hamelet"/>
        <s v="Hancourt"/>
        <s v="Hangard"/>
        <s v="Hangest-en-Santerre"/>
        <s v="Hangest-sur-Somme"/>
        <s v="Harbonnières"/>
        <s v="Hardecourt-aux-Bois"/>
        <s v="Harponville"/>
        <s v="Hattencourt"/>
        <s v="Hautvillers-Ouville"/>
        <s v="Havernas"/>
        <s v="Heilly"/>
        <s v="Hem-Hardinval"/>
        <s v="Hem-Monacu"/>
        <s v="Herbécourt"/>
        <s v="Herleville"/>
        <s v="Hervilly"/>
        <s v="Hesbécourt"/>
        <s v="Hescamps"/>
        <s v="Heucourt-Croquoison"/>
        <s v="Heudicourt"/>
        <s v="Heuzecourt"/>
        <s v="Hiermont"/>
        <s v="Hombleux"/>
        <s v="Hornoy-le-Bourg"/>
        <s v="Huchenneville"/>
        <s v="Humbercourt"/>
        <s v="Huppy"/>
        <s v="Hypercourt"/>
        <s v="Hébécourt"/>
        <s v="Hédauville"/>
        <s v="Hénencourt"/>
        <s v="Hérissart"/>
        <s v="Ignaucourt"/>
        <s v="Inval-Boiron"/>
        <s v="Irles"/>
        <s v="Jumel"/>
        <s v="L'Échelle-Saint-Aurin"/>
        <s v="L'Étoile"/>
        <s v="La Chaussée-Tirancourt"/>
        <s v="La Chavatte"/>
        <s v="La Faloise"/>
        <s v="La Neuville-Sire-Bernard"/>
        <s v="La Neuville-lès-Bray"/>
        <s v="La Vicogne"/>
        <s v="Laboissière-en-Santerre"/>
        <s v="Lachapelle"/>
        <s v="Lafresguimont-Saint-Martin"/>
        <s v="Lahoussoye"/>
        <s v="Laleu"/>
        <s v="Lamaronde"/>
        <s v="Lamotte-Brebière"/>
        <s v="Lamotte-Buleux"/>
        <s v="Lamotte-Warfusée"/>
        <s v="Lanches-Saint-Hilaire"/>
        <s v="Lanchères"/>
        <s v="Languevoisin-Quiquery"/>
        <s v="Laucourt"/>
        <s v="Laviéville"/>
        <s v="Lawarde-Mauger-l'Hortoy"/>
        <s v="Le Boisle"/>
        <s v="Le Cardonnois"/>
        <s v="Le Crotoy"/>
        <s v="Le Mazis"/>
        <s v="Le Meillard"/>
        <s v="Le Mesge"/>
        <s v="Le Plessier-Rozainvillers"/>
        <s v="Le Quesne"/>
        <s v="Le Quesnel"/>
        <s v="Le Titre"/>
        <s v="Le Translay"/>
        <s v="Lesbœufs"/>
        <s v="Liancourt-Fosse"/>
        <s v="Licourt"/>
        <s v="Liercourt"/>
        <s v="Ligescourt"/>
        <s v="Lignières"/>
        <s v="Lignières-Châtelain"/>
        <s v="Lignières-en-Vimeu"/>
        <s v="Lihons"/>
        <s v="Limeux"/>
        <s v="Liomer"/>
        <s v="Liéramont"/>
        <s v="Long"/>
        <s v="Longavesnes"/>
        <s v="Longpré-les-Corps-Saints"/>
        <s v="Longueau"/>
        <s v="Longueval"/>
        <s v="Longuevillette"/>
        <s v="Louvencourt"/>
        <s v="Louvrechy"/>
        <s v="Lucheux"/>
        <s v="Léalvillers"/>
        <s v="Machiel"/>
        <s v="Machy"/>
        <s v="Mailly-Maillet"/>
        <s v="Mailly-Raineval"/>
        <s v="Maisnières"/>
        <s v="Maison-Ponthieu"/>
        <s v="Maison-Roland"/>
        <s v="Maizicourt"/>
        <s v="Malpart"/>
        <s v="Marcelcave"/>
        <s v="Marché-Allouarde"/>
        <s v="Marchélepot-Misery"/>
        <s v="Marestmontiers"/>
        <s v="Mareuil-Caubert"/>
        <s v="Maricourt"/>
        <s v="Marieux"/>
        <s v="Marlers"/>
        <s v="Marquaix"/>
        <s v="Marquivillers"/>
        <s v="Martainneville"/>
        <s v="Matigny"/>
        <s v="Maurepas"/>
        <s v="Meigneux"/>
        <s v="Mers-les-Bains"/>
        <s v="Mesnil-Bruntel"/>
        <s v="Mesnil-Domqueur"/>
        <s v="Mesnil-Martinsart"/>
        <s v="Mesnil-Saint-Georges"/>
        <s v="Mesnil-Saint-Nicaise"/>
        <s v="Mesnil-en-Arrouaise"/>
        <s v="Miannay"/>
        <s v="Millencourt"/>
        <s v="Millencourt-en-Ponthieu"/>
        <s v="Miraumont"/>
        <s v="Mirvaux"/>
        <s v="Moislains"/>
        <s v="Molliens-Dreuil"/>
        <s v="Molliens-au-Bois"/>
        <s v="Monchy-Lagache"/>
        <s v="Mons-Boubert"/>
        <s v="Monsures"/>
        <s v="Montagne-Fayel"/>
        <s v="Montauban-de-Picardie"/>
        <s v="Montdidier"/>
        <s v="Montigny-les-Jongleurs"/>
        <s v="Montigny-sur-l'Hallue"/>
        <s v="Montonvillers"/>
        <s v="Morchain"/>
        <s v="Moreuil"/>
        <s v="Morisel"/>
        <s v="Morlancourt"/>
        <s v="Morvillers-Saint-Saturnin"/>
        <s v="Mouflers"/>
        <s v="Mouflières"/>
        <s v="Moyencourt"/>
        <s v="Moyencourt-lès-Poix"/>
        <s v="Muille-Villette"/>
        <s v="Méaulte"/>
        <s v="Méharicourt"/>
        <s v="Méneslies"/>
        <s v="Méricourt-en-Vimeu"/>
        <s v="Méricourt-l'Abbé"/>
        <s v="Méréaucourt"/>
        <s v="Mérélessart"/>
        <s v="Métigny"/>
        <s v="Mézerolles"/>
        <s v="Mézières-en-Santerre"/>
        <s v="Nampont"/>
        <s v="Namps-Maisnil"/>
        <s v="Nampty"/>
        <s v="Naours"/>
        <s v="Nesle"/>
        <s v="Nesle-l'Hôpital"/>
        <s v="Neslette"/>
        <s v="Neufmoulin"/>
        <s v="Neuilly-l'Hôpital"/>
        <s v="Neuilly-le-Dien"/>
        <s v="Neuville-Coppegueule"/>
        <s v="Neuville-au-Bois"/>
        <s v="Nibas"/>
        <s v="Nouvion"/>
        <s v="Noyelles-en-Chaussée"/>
        <s v="Noyelles-sur-Mer"/>
        <s v="Nurlu"/>
        <s v="Occoches"/>
        <s v="Ochancourt"/>
        <s v="Offignies"/>
        <s v="Oisemont"/>
        <s v="Oissy"/>
        <s v="Oneux"/>
        <s v="Oresmaux"/>
        <s v="Oust-Marest"/>
        <s v="Outrebois"/>
        <s v="Ovillers-la-Boisselle"/>
        <s v="Pargny"/>
        <s v="Parvillers-le-Quesnoy"/>
        <s v="Pendé"/>
        <s v="Pernois"/>
        <s v="Picquigny"/>
        <s v="Piennes-Onvillers"/>
        <s v="Pierregot"/>
        <s v="Pissy"/>
        <s v="Plachy-Buyon"/>
        <s v="Poix-de-Picardie"/>
        <s v="Ponches-Estruval"/>
        <s v="Pont-Noyelles"/>
        <s v="Pont-Remy"/>
        <s v="Pont-de-Metz"/>
        <s v="Ponthoile"/>
        <s v="Port-le-Grand"/>
        <s v="Potte"/>
        <s v="Poulainville"/>
        <s v="Pozières"/>
        <s v="Prouville"/>
        <s v="Prouzel"/>
        <s v="Proyart"/>
        <s v="Puchevillers"/>
        <s v="Punchy"/>
        <s v="Puzeaux"/>
        <s v="Pys"/>
        <s v="Péronne"/>
        <s v="Pœuilly"/>
        <s v="Quend"/>
        <s v="Querrieu"/>
        <s v="Quesnoy-le-Montant"/>
        <s v="Quesnoy-sur-Airaines"/>
        <s v="Quevauvillers"/>
        <s v="Quiry-le-Sec"/>
        <s v="Quivières"/>
        <s v="Raincheval"/>
        <s v="Rainneville"/>
        <s v="Ramburelles"/>
        <s v="Rambures"/>
        <s v="Rancourt"/>
        <s v="Regnière-Écluse"/>
        <s v="Remaisnil"/>
        <s v="Remaugies"/>
        <s v="Remiencourt"/>
        <s v="Rethonvillers"/>
        <s v="Revelles"/>
        <s v="Ribeaucourt"/>
        <s v="Ribemont-sur-Ancre"/>
        <s v="Riencourt"/>
        <s v="Rivery"/>
        <s v="Rogy"/>
        <s v="Roiglise"/>
        <s v="Roisel"/>
        <s v="Rollot"/>
        <s v="Ronssoy"/>
        <s v="Rosières-en-Santerre"/>
        <s v="Rouvrel"/>
        <s v="Rouvroy-en-Santerre"/>
        <s v="Rouy-le-Grand"/>
        <s v="Rouy-le-Petit"/>
        <s v="Roye"/>
        <s v="Rubempré"/>
        <s v="Rubescourt"/>
        <s v="Rue"/>
        <s v="Rumigny"/>
        <s v="Saigneville"/>
        <s v="Sailly-Flibeaucourt"/>
        <s v="Sailly-Laurette"/>
        <s v="Sailly-Saillisel"/>
        <s v="Sailly-le-Sec"/>
        <s v="Sains-en-Amiénois"/>
        <s v="Saint-Acheul"/>
        <s v="Saint-Aubin-Montenoy"/>
        <s v="Saint-Aubin-Rivière"/>
        <s v="Saint-Blimont"/>
        <s v="Saint-Christ-Briost"/>
        <s v="Saint-Fuscien"/>
        <s v="Saint-Germain-sur-Bresle"/>
        <s v="Saint-Gratien"/>
        <s v="Saint-Léger-lès-Authie"/>
        <s v="Saint-Léger-lès-Domart"/>
        <s v="Saint-Léger-sur-Bresle"/>
        <s v="Saint-Maulvis"/>
        <s v="Saint-Maxent"/>
        <s v="Saint-Ouen"/>
        <s v="Saint-Quentin-en-Tourmont"/>
        <s v="Saint-Quentin-la-Motte-Croix-au-Bailly"/>
        <s v="Saint-Riquier"/>
        <s v="Saint-Sauflieu"/>
        <s v="Saint-Vaast-en-Chaussée"/>
        <s v="Saint-Valery-sur-Somme"/>
        <s v="Sainte-Segrée"/>
        <s v="Saisseval"/>
        <s v="Saleux"/>
        <s v="Salouël"/>
        <s v="Saulchoy-sous-Poix"/>
        <s v="Sauvillers-Mongival"/>
        <s v="Saveuse"/>
        <s v="Senarpont"/>
        <s v="Senlis-le-Sec"/>
        <s v="Sentelie"/>
        <s v="Seux"/>
        <s v="Sorel"/>
        <s v="Sorel-en-Vimeu"/>
        <s v="Soues"/>
        <s v="Sourdon"/>
        <s v="Soyécourt"/>
        <s v="Surcamps"/>
        <s v="Suzanne"/>
        <s v="Tailly"/>
        <s v="Talmas"/>
        <s v="Templeux-la-Fosse"/>
        <s v="Templeux-le-Guérard"/>
        <s v="Terramesnil"/>
        <s v="Tertry"/>
        <s v="Thennes"/>
        <s v="Thiepval"/>
        <s v="Thieulloy-l'Abbaye"/>
        <s v="Thieulloy-la-Ville"/>
        <s v="Thoix"/>
        <s v="Thory"/>
        <s v="Thézy-Glimont"/>
        <s v="Tilloloy"/>
        <s v="Tilloy-Floriville"/>
        <s v="Tincourt-Boucly"/>
        <s v="Tours-en-Vimeu"/>
        <s v="Toutencourt"/>
        <s v="Treux"/>
        <s v="Trois-Rivières"/>
        <s v="Tully"/>
        <s v="Tœufles"/>
        <s v="Ugny-l'Équipée"/>
        <s v="Vaire-sous-Corbie"/>
        <s v="Valines"/>
        <s v="Varennes"/>
        <s v="Vauchelles-les-Quesnoy"/>
        <s v="Vauchelles-lès-Authie"/>
        <s v="Vauchelles-lès-Domart"/>
        <s v="Vauvillers"/>
        <s v="Vaux-Marquenneville"/>
        <s v="Vaux-en-Amiénois"/>
        <s v="Vaux-sur-Somme"/>
        <s v="Vecquemont"/>
        <s v="Vercourt"/>
        <s v="Vergies"/>
        <s v="Vermandovillers"/>
        <s v="Verpillières"/>
        <s v="Vers-sur-Selle"/>
        <s v="Vignacourt"/>
        <s v="Ville-le-Marclet"/>
        <s v="Ville-sur-Ancre"/>
        <s v="Villecourt"/>
        <s v="Villeroy"/>
        <s v="Villers-Bocage"/>
        <s v="Villers-Bretonneux"/>
        <s v="Villers-Campsart"/>
        <s v="Villers-Carbonnel"/>
        <s v="Villers-Faucon"/>
        <s v="Villers-Tournelle"/>
        <s v="Villers-aux-Érables"/>
        <s v="Villers-lès-Roye"/>
        <s v="Villers-sous-Ailly"/>
        <s v="Villers-sur-Authie"/>
        <s v="Vironchaux"/>
        <s v="Vismes"/>
        <s v="Vitz-sur-Authie"/>
        <s v="Voyennes"/>
        <s v="Vraignes-en-Vermandois"/>
        <s v="Vraignes-lès-Hornoy"/>
        <s v="Vron"/>
        <s v="Vrély"/>
        <s v="Wargnies"/>
        <s v="Warloy-Baillon"/>
        <s v="Warsy"/>
        <s v="Warvillers"/>
        <s v="Wiencourt-l'Équipée"/>
        <s v="Wiry-au-Mont"/>
        <s v="Woignarue"/>
        <s v="Woincourt"/>
        <s v="Woirel"/>
        <s v="Y"/>
        <s v="Yonval"/>
        <s v="Yvrench"/>
        <s v="Yvrencheux"/>
        <s v="Yzengremer"/>
        <s v="Yzeux"/>
        <s v="Éclusier-Vaux"/>
        <s v="Épagne-Épagnette"/>
        <s v="Épaumesnil"/>
        <s v="Épehy"/>
        <s v="Éplessier"/>
        <s v="Épécamps"/>
        <s v="Épénancourt"/>
        <s v="Équancourt"/>
        <s v="Équennes-Éramecourt"/>
        <s v="Érondelle"/>
        <s v="Étalon"/>
        <s v="Ételfay"/>
        <s v="Étinehem-Méricourt"/>
        <s v="Étricourt-Manancourt"/>
        <s v="Étréjust"/>
        <s v="Ô-de-Selle"/>
      </sharedItems>
    </cacheField>
    <cacheField name="Departement" numFmtId="0">
      <sharedItems>
        <s v="Aisne"/>
        <s v="Nord"/>
        <s v="Oise"/>
        <s v="Pas-de-Calais"/>
        <s v="Somme"/>
      </sharedItems>
    </cacheField>
    <cacheField name="EPCI" numFmtId="0">
      <sharedItems>
        <s v="CA Chauny Tergnier La Fère"/>
        <s v="CA GrandSoissons Agglomération"/>
        <s v="CC du Pays de la Serre"/>
        <s v="CC de la Champagne Picarde"/>
        <s v="CC Thiérache Sambre et Oise"/>
        <s v="CC du Chemin des Dames"/>
        <s v="CC du Val de l'Aisne"/>
        <s v="CC du Val de l'Oise"/>
        <s v="CC Retz en Valois"/>
        <s v="CC du Canton d'Oulchy-le-Château"/>
        <s v="CC Picardie des Châteaux"/>
        <s v="CA du Saint-Quentinois"/>
        <s v="CC des Trois Rivières"/>
        <s v="CC des Portes de la Thiérache"/>
        <s v="CA de la Région de Château-Thierry"/>
        <s v="CA du Pays de Laon"/>
        <s v="CC du Pays du Vermandois"/>
        <s v="CC de la Thiérache du Centre"/>
        <s v="CC du Canton de Charly-sur-Marne"/>
        <s v="CC de l'Est de la Somme"/>
        <s v="CA de Cambrai"/>
        <s v="CA de la Porte du Hainaut"/>
        <s v="CA Maubeuge Val de Sambre"/>
        <s v="CC Pévèle-Carembault"/>
        <s v="Métropole Européenne de Lille"/>
        <s v="CA Douaisis Agglo"/>
        <s v="CA Coeur d'Ostrevent"/>
        <s v="CC du Sud Avesnois"/>
        <s v="CA Valenciennes Métropole"/>
        <s v="CU de Dunkerque"/>
        <s v="CA Coeur de Flandre"/>
        <s v="CC du Pays de Mormal"/>
        <s v="CC Coeur de l'Avesnois"/>
        <s v="CA du Caudrésis et du Catésis"/>
        <s v="CC des Hauts de Flandre"/>
        <s v="CC du Pays Solesmois"/>
        <s v="CC Flandre Lys"/>
        <s v="CC de la Picardie Verte"/>
        <s v="CC Thelloise"/>
        <s v="CC de l'Oise Picarde"/>
        <s v="CC du Pays de Valois"/>
        <s v="CC du Clermontois"/>
        <s v="CC du Plateau Picard"/>
        <s v="CA du Beauvaisis"/>
        <s v="CC des Sablons"/>
        <s v="CC du Pays des Sources"/>
        <s v="CC des Pays d'Oise et d'Halatte"/>
        <s v="CC du Pays Noyonnais"/>
        <s v="CC de l'Aire Cantilienne"/>
        <s v="CA de la Région de Compiègne et de la Basse Automne"/>
        <s v="CC de la Plaine d'Estrées"/>
        <s v="CC des Lisières de l'Oise"/>
        <s v="CC Senlis Sud Oise"/>
        <s v="CC du Liancourtois"/>
        <s v="CC des Deux Vallées"/>
        <s v="CC du Pays de Bray"/>
        <s v="CC du Vexin-Thelle"/>
        <s v="CA Creil Sud Oise"/>
        <s v="CA de Lens - Liévin"/>
        <s v="CC du Sud Artois"/>
        <s v="CU d'Arras"/>
        <s v="CC du Pays de Lumbres"/>
        <s v="CC des Campagnes de l'Artois"/>
        <s v="CA du Pays de Saint-Omer"/>
        <s v="CA des Deux Baies en Montreuillois"/>
        <s v="CC du Haut Pays du Montreuillois"/>
        <s v="CC des 7 Vallées"/>
        <s v="CC Pays d'Opale"/>
        <s v="CC de Desvres-Samer"/>
        <s v="CA de Béthune-Bruay, Artois-Lys Romane"/>
        <s v="CC de la Terre des Deux Caps"/>
        <s v="CC du Ternois"/>
        <s v="CC Osartis Marquion"/>
        <s v="CC de la Région d'Audruicq"/>
        <s v="CA du Boulonnais"/>
        <s v="CA d'Hénin-Carvin"/>
        <s v="CA Grand Calais Terres et Mers"/>
        <s v="CA de la Baie de Somme"/>
        <s v="CC Terre de Picardie"/>
        <s v="CC du Pays du Coquelicot"/>
        <s v="CC du Vimeu"/>
        <s v="CC du Territoire Nord Picardie"/>
        <s v="CC Ponthieu-Marquenterre"/>
        <s v="CC Avre Luce Noye"/>
        <s v="CC Nièvre et Somme"/>
        <s v="CC Somme Sud-Ouest"/>
        <s v="CC de la Haute Somme (Combles - Péronne - Roisel)"/>
        <s v="CC des Villes Soeurs"/>
        <s v="CA Amiens Métropole"/>
        <s v="CC du Grand Roye"/>
        <s v="CC du Val de Somme"/>
        <s v="CC Interrégionale Aumale - Blangy-sur-Bresle"/>
      </sharedItems>
    </cacheField>
    <cacheField name="Code_EPCI" numFmtId="0">
      <sharedItems>
        <s v="200071785"/>
        <s v="240200477"/>
        <s v="240200469"/>
        <s v="240200576"/>
        <s v="200071983"/>
        <s v="240200592"/>
        <s v="240200501"/>
        <s v="200040426"/>
        <s v="200071991"/>
        <s v="240200519"/>
        <s v="200071769"/>
        <s v="200071892"/>
        <s v="240200600"/>
        <s v="240200634"/>
        <s v="200072031"/>
        <s v="200043495"/>
        <s v="240200493"/>
        <s v="240200444"/>
        <s v="240200584"/>
        <s v="200070985"/>
        <s v="200068500"/>
        <s v="200042190"/>
        <s v="200043396"/>
        <s v="200041960"/>
        <s v="200093201"/>
        <s v="200044618"/>
        <s v="245901152"/>
        <s v="200043404"/>
        <s v="245901160"/>
        <s v="245900428"/>
        <s v="200040947"/>
        <s v="200043321"/>
        <s v="200043263"/>
        <s v="200030633"/>
        <s v="200040954"/>
        <s v="245901038"/>
        <s v="245900758"/>
        <s v="246000848"/>
        <s v="200067973"/>
        <s v="200068005"/>
        <s v="246000871"/>
        <s v="246000376"/>
        <s v="246000566"/>
        <s v="200067999"/>
        <s v="246000582"/>
        <s v="246000855"/>
        <s v="246000921"/>
        <s v="246000756"/>
        <s v="246000764"/>
        <s v="200067965"/>
        <s v="246000897"/>
        <s v="246000749"/>
        <s v="200066975"/>
        <s v="246000129"/>
        <s v="246000772"/>
        <s v="246000913"/>
        <s v="246000707"/>
        <s v="200068047"/>
        <s v="246200364"/>
        <s v="200035442"/>
        <s v="200033579"/>
        <s v="246201016"/>
        <s v="200069482"/>
        <s v="200069037"/>
        <s v="200069029"/>
        <s v="200069235"/>
        <s v="200044030"/>
        <s v="200072478"/>
        <s v="200018083"/>
        <s v="200072460"/>
        <s v="246200380"/>
        <s v="200069672"/>
        <s v="200044048"/>
        <s v="246200844"/>
        <s v="246200729"/>
        <s v="246200299"/>
        <s v="200090751"/>
        <s v="200070993"/>
        <s v="200070928"/>
        <s v="248000747"/>
        <s v="200070944"/>
        <s v="200070951"/>
        <s v="200070936"/>
        <s v="200070969"/>
        <s v="200071223"/>
        <s v="200071181"/>
        <s v="200037059"/>
        <s v="247600588"/>
        <s v="248000531"/>
        <s v="200070977"/>
        <s v="248000499"/>
        <s v="200069722"/>
      </sharedItems>
    </cacheField>
    <cacheField name="Population" numFmtId="0">
      <sharedItems containsSemiMixedTypes="0" containsString="0" containsNumber="1" containsInteger="1">
        <n v="518.0"/>
        <n v="584.0"/>
        <n v="1004.0"/>
        <n v="189.0"/>
        <n v="417.0"/>
        <n v="259.0"/>
        <n v="118.0"/>
        <n v="306.0"/>
        <n v="517.0"/>
        <n v="163.0"/>
        <n v="1205.0"/>
        <n v="79.0"/>
        <n v="391.0"/>
        <n v="707.0"/>
        <n v="78.0"/>
        <n v="212.0"/>
        <n v="274.0"/>
        <n v="2472.0"/>
        <n v="349.0"/>
        <n v="456.0"/>
        <n v="76.0"/>
        <n v="396.0"/>
        <n v="96.0"/>
        <n v="45.0"/>
        <n v="361.0"/>
        <n v="209.0"/>
        <n v="2578.0"/>
        <n v="337.0"/>
        <n v="238.0"/>
        <n v="658.0"/>
        <n v="231.0"/>
        <n v="102.0"/>
        <n v="104.0"/>
        <n v="273.0"/>
        <n v="72.0"/>
        <n v="1348.0"/>
        <n v="176.0"/>
        <n v="175.0"/>
        <n v="777.0"/>
        <n v="369.0"/>
        <n v="62.0"/>
        <n v="26.0"/>
        <n v="555.0"/>
        <n v="108.0"/>
        <n v="130.0"/>
        <n v="752.0"/>
        <n v="316.0"/>
        <n v="380.0"/>
        <n v="131.0"/>
        <n v="516.0"/>
        <n v="168.0"/>
        <n v="82.0"/>
        <n v="1281.0"/>
        <n v="794.0"/>
        <n v="2579.0"/>
        <n v="263.0"/>
        <n v="268.0"/>
        <n v="378.0"/>
        <n v="3659.0"/>
        <n v="560.0"/>
        <n v="191.0"/>
        <n v="205.0"/>
        <n v="85.0"/>
        <n v="431.0"/>
        <n v="825.0"/>
        <n v="631.0"/>
        <n v="178.0"/>
        <n v="722.0"/>
        <n v="601.0"/>
        <n v="203.0"/>
        <n v="159.0"/>
        <n v="132.0"/>
        <n v="166.0"/>
        <n v="309.0"/>
        <n v="120.0"/>
        <n v="736.0"/>
        <n v="979.0"/>
        <n v="31.0"/>
        <n v="1130.0"/>
        <n v="194.0"/>
        <n v="80.0"/>
        <n v="98.0"/>
        <n v="474.0"/>
        <n v="1162.0"/>
        <n v="5605.0"/>
        <n v="187.0"/>
        <n v="272.0"/>
        <n v="375.0"/>
        <n v="137.0"/>
        <n v="170.0"/>
        <n v="181.0"/>
        <n v="183.0"/>
        <n v="809.0"/>
        <n v="140.0"/>
        <n v="1315.0"/>
        <n v="2248.0"/>
        <n v="702.0"/>
        <n v="554.0"/>
        <n v="1788.0"/>
        <n v="64.0"/>
        <n v="129.0"/>
        <n v="195.0"/>
        <n v="193.0"/>
        <n v="210.0"/>
        <n v="55.0"/>
        <n v="296.0"/>
        <n v="653.0"/>
        <n v="463.0"/>
        <n v="20.0"/>
        <n v="1411.0"/>
        <n v="199.0"/>
        <n v="317.0"/>
        <n v="204.0"/>
        <n v="1947.0"/>
        <n v="188.0"/>
        <n v="410.0"/>
        <n v="795.0"/>
        <n v="1122.0"/>
        <n v="123.0"/>
        <n v="126.0"/>
        <n v="421.0"/>
        <n v="991.0"/>
        <n v="248.0"/>
        <n v="459.0"/>
        <n v="426.0"/>
        <n v="246.0"/>
        <n v="143.0"/>
        <n v="547.0"/>
        <n v="88.0"/>
        <n v="58.0"/>
        <n v="63.0"/>
        <n v="111.0"/>
        <n v="87.0"/>
        <n v="801.0"/>
        <n v="201.0"/>
        <n v="234.0"/>
        <n v="827.0"/>
        <n v="313.0"/>
        <n v="495.0"/>
        <n v="2594.0"/>
        <n v="1568.0"/>
        <n v="895.0"/>
        <n v="91.0"/>
        <n v="11596.0"/>
        <n v="859.0"/>
        <n v="153.0"/>
        <n v="214.0"/>
        <n v="127.0"/>
        <n v="136.0"/>
        <n v="197.0"/>
        <n v="329.0"/>
        <n v="1195.0"/>
        <n v="526.0"/>
        <n v="359.0"/>
        <n v="484.0"/>
        <n v="364.0"/>
        <n v="15097.0"/>
        <n v="83.0"/>
        <n v="125.0"/>
        <n v="742.0"/>
        <n v="147.0"/>
        <n v="389.0"/>
        <n v="1296.0"/>
        <n v="173.0"/>
        <n v="882.0"/>
        <n v="289.0"/>
        <n v="509.0"/>
        <n v="243.0"/>
        <n v="589.0"/>
        <n v="97.0"/>
        <n v="1308.0"/>
        <n v="61.0"/>
        <n v="207.0"/>
        <n v="71.0"/>
        <n v="224.0"/>
        <n v="256.0"/>
        <n v="674.0"/>
        <n v="654.0"/>
        <n v="352.0"/>
        <n v="357.0"/>
        <n v="851.0"/>
        <n v="332.0"/>
        <n v="990.0"/>
        <n v="649.0"/>
        <n v="443.0"/>
        <n v="161.0"/>
        <n v="39.0"/>
        <n v="304.0"/>
        <n v="1808.0"/>
        <n v="174.0"/>
        <n v="926.0"/>
        <n v="366.0"/>
        <n v="84.0"/>
        <n v="119.0"/>
        <n v="591.0"/>
        <n v="3049.0"/>
        <n v="335.0"/>
        <n v="1472.0"/>
        <n v="1812.0"/>
        <n v="1166.0"/>
        <n v="1733.0"/>
        <n v="607.0"/>
        <n v="152.0"/>
        <n v="28.0"/>
        <n v="467.0"/>
        <n v="424.0"/>
        <n v="370.0"/>
        <n v="609.0"/>
        <n v="392.0"/>
        <n v="208.0"/>
        <n v="114.0"/>
        <n v="821.0"/>
        <n v="717.0"/>
        <n v="30.0"/>
        <n v="287.0"/>
        <n v="148.0"/>
        <n v="134.0"/>
        <n v="75.0"/>
        <n v="307.0"/>
        <n v="122.0"/>
        <n v="438.0"/>
        <n v="278.0"/>
        <n v="847.0"/>
        <n v="1072.0"/>
        <n v="345.0"/>
        <n v="399.0"/>
        <n v="2691.0"/>
        <n v="408.0"/>
        <n v="363.0"/>
        <n v="724.0"/>
        <n v="519.0"/>
        <n v="704.0"/>
        <n v="249.0"/>
        <n v="420.0"/>
        <n v="1701.0"/>
        <n v="1355.0"/>
        <n v="232.0"/>
        <n v="862.0"/>
        <n v="280.0"/>
        <n v="483.0"/>
        <n v="535.0"/>
        <n v="404.0"/>
        <n v="106.0"/>
        <n v="160.0"/>
        <n v="2890.0"/>
        <n v="971.0"/>
        <n v="198.0"/>
        <n v="236.0"/>
        <n v="2836.0"/>
        <n v="683.0"/>
        <n v="5183.0"/>
        <n v="258.0"/>
        <n v="37.0"/>
        <n v="630.0"/>
        <n v="425.0"/>
        <n v="65.0"/>
        <n v="572.0"/>
        <n v="299.0"/>
        <n v="124.0"/>
        <n v="275.0"/>
        <n v="1011.0"/>
        <n v="227.0"/>
        <n v="56.0"/>
        <n v="1280.0"/>
        <n v="4490.0"/>
        <n v="244.0"/>
        <n v="320.0"/>
        <n v="179.0"/>
        <n v="556.0"/>
        <n v="545.0"/>
        <n v="1569.0"/>
        <n v="343.0"/>
        <n v="165.0"/>
        <n v="8469.0"/>
        <n v="1343.0"/>
        <n v="1412.0"/>
        <n v="57.0"/>
        <n v="999.0"/>
        <n v="218.0"/>
        <n v="672.0"/>
        <n v="251.0"/>
        <n v="229.0"/>
        <n v="328.0"/>
        <n v="141.0"/>
        <n v="60.0"/>
        <n v="1153.0"/>
        <n v="288.0"/>
        <n v="604.0"/>
        <n v="241.0"/>
        <n v="464.0"/>
        <n v="1745.0"/>
        <n v="301.0"/>
        <n v="2027.0"/>
        <n v="1103.0"/>
        <n v="2796.0"/>
        <n v="403.0"/>
        <n v="394.0"/>
        <n v="355.0"/>
        <n v="150.0"/>
        <n v="149.0"/>
        <n v="38.0"/>
        <n v="167.0"/>
        <n v="503.0"/>
        <n v="216.0"/>
        <n v="24220.0"/>
        <n v="283.0"/>
        <n v="239.0"/>
        <n v="155.0"/>
        <n v="186.0"/>
        <n v="323.0"/>
        <n v="192.0"/>
        <n v="2468.0"/>
        <n v="93.0"/>
        <n v="158.0"/>
        <n v="822.0"/>
        <n v="409.0"/>
        <n v="223.0"/>
        <n v="1232.0"/>
        <n v="269.0"/>
        <n v="790.0"/>
        <n v="754.0"/>
        <n v="455.0"/>
        <n v="101.0"/>
        <n v="190.0"/>
        <n v="543.0"/>
        <n v="117.0"/>
        <n v="1264.0"/>
        <n v="385.0"/>
        <n v="220.0"/>
        <n v="202.0"/>
        <n v="110.0"/>
        <n v="266.0"/>
        <n v="311.0"/>
        <n v="151.0"/>
        <n v="341.0"/>
        <n v="221.0"/>
        <n v="377.0"/>
        <n v="530.0"/>
        <n v="47.0"/>
        <n v="2229.0"/>
        <n v="398.0"/>
        <n v="419.0"/>
        <n v="637.0"/>
        <n v="935.0"/>
        <n v="253.0"/>
        <n v="435.0"/>
        <n v="100.0"/>
        <n v="107.0"/>
        <n v="625.0"/>
        <n v="211.0"/>
        <n v="1028.0"/>
        <n v="90.0"/>
        <n v="1146.0"/>
        <n v="751.0"/>
        <n v="70.0"/>
        <n v="684.0"/>
        <n v="839.0"/>
        <n v="766.0"/>
        <n v="816.0"/>
        <n v="1207.0"/>
        <n v="1606.0"/>
        <n v="200.0"/>
        <n v="157.0"/>
        <n v="135.0"/>
        <n v="51.0"/>
        <n v="279.0"/>
        <n v="1305.0"/>
        <n v="544.0"/>
        <n v="469.0"/>
        <n v="185.0"/>
        <n v="74.0"/>
        <n v="994.0"/>
        <n v="44.0"/>
        <n v="507.0"/>
        <n v="558.0"/>
        <n v="115.0"/>
        <n v="86.0"/>
        <n v="659.0"/>
        <n v="1189.0"/>
        <n v="1943.0"/>
        <n v="602.0"/>
        <n v="848.0"/>
        <n v="121.0"/>
        <n v="116.0"/>
        <n v="225.0"/>
        <n v="2134.0"/>
        <n v="1106.0"/>
        <n v="68.0"/>
        <n v="527.0"/>
        <n v="1109.0"/>
        <n v="169.0"/>
        <n v="660.0"/>
        <n v="490.0"/>
        <n v="53.0"/>
        <n v="1587.0"/>
        <n v="1354.0"/>
        <n v="325.0"/>
        <n v="92.0"/>
        <n v="785.0"/>
        <n v="245.0"/>
        <n v="353.0"/>
        <n v="66.0"/>
        <n v="367.0"/>
        <n v="142.0"/>
        <n v="1100.0"/>
        <n v="139.0"/>
        <n v="745.0"/>
        <n v="682.0"/>
        <n v="250.0"/>
        <n v="1637.0"/>
        <n v="432.0"/>
        <n v="24.0"/>
        <n v="726.0"/>
        <n v="605.0"/>
        <n v="290.0"/>
        <n v="401.0"/>
        <n v="94.0"/>
        <n v="276.0"/>
        <n v="146.0"/>
        <n v="346.0"/>
        <n v="594.0"/>
        <n v="219.0"/>
        <n v="331.0"/>
        <n v="428.0"/>
        <n v="89.0"/>
        <n v="265.0"/>
        <n v="339.0"/>
        <n v="144.0"/>
        <n v="360.0"/>
        <n v="1931.0"/>
        <n v="95.0"/>
        <n v="450.0"/>
        <n v="365.0"/>
        <n v="237.0"/>
        <n v="506.0"/>
        <n v="226.0"/>
        <n v="917.0"/>
        <n v="923.0"/>
        <n v="441.0"/>
        <n v="1697.0"/>
        <n v="2288.0"/>
        <n v="281.0"/>
        <n v="3199.0"/>
        <n v="41.0"/>
        <n v="52813.0"/>
        <n v="593.0"/>
        <n v="73.0"/>
        <n v="67.0"/>
        <n v="384.0"/>
        <n v="687.0"/>
        <n v="618.0"/>
        <n v="1087.0"/>
        <n v="576.0"/>
        <n v="706.0"/>
        <n v="340.0"/>
        <n v="42.0"/>
        <n v="112.0"/>
        <n v="2005.0"/>
        <n v="2065.0"/>
        <n v="505.0"/>
        <n v="28046.0"/>
        <n v="257.0"/>
        <n v="16.0"/>
        <n v="162.0"/>
        <n v="13045.0"/>
        <n v="541.0"/>
        <n v="81.0"/>
        <n v="685.0"/>
        <n v="952.0"/>
        <n v="282.0"/>
        <n v="534.0"/>
        <n v="2050.0"/>
        <n v="599.0"/>
        <n v="217.0"/>
        <n v="172.0"/>
        <n v="230.0"/>
        <n v="924.0"/>
        <n v="498.0"/>
        <n v="763.0"/>
        <n v="43.0"/>
        <n v="585.0"/>
        <n v="133.0"/>
        <n v="1324.0"/>
        <n v="1104.0"/>
        <n v="470.0"/>
        <n v="2549.0"/>
        <n v="235.0"/>
        <n v="270.0"/>
        <n v="1608.0"/>
        <n v="1192.0"/>
        <n v="310.0"/>
        <n v="262.0"/>
        <n v="2616.0"/>
        <n v="2792.0"/>
        <n v="277.0"/>
        <n v="10489.0"/>
        <n v="418.0"/>
        <n v="508.0"/>
        <n v="997.0"/>
        <n v="1651.0"/>
        <n v="383.0"/>
        <n v="348.0"/>
        <n v="312.0"/>
        <n v="113.0"/>
        <n v="927.0"/>
        <n v="350.0"/>
        <n v="460.0"/>
        <n v="145.0"/>
        <n v="164.0"/>
        <n v="395.0"/>
        <n v="1329.0"/>
        <n v="1157.0"/>
        <n v="1436.0"/>
        <n v="522.0"/>
        <n v="293.0"/>
        <n v="4108.0"/>
        <n v="1338.0"/>
        <n v="3545.0"/>
        <n v="888.0"/>
        <n v="9963.0"/>
        <n v="10847.0"/>
        <n v="3099.0"/>
        <n v="1631.0"/>
        <n v="13183.0"/>
        <n v="3125.0"/>
        <n v="2077.0"/>
        <n v="26998.0"/>
        <n v="1594.0"/>
        <n v="1082.0"/>
        <n v="1769.0"/>
        <n v="2245.0"/>
        <n v="549.0"/>
        <n v="4626.0"/>
        <n v="1749.0"/>
        <n v="1143.0"/>
        <n v="1705.0"/>
        <n v="7083.0"/>
        <n v="1599.0"/>
        <n v="7080.0"/>
        <n v="8612.0"/>
        <n v="2561.0"/>
        <n v="2232.0"/>
        <n v="1458.0"/>
        <n v="3562.0"/>
        <n v="4012.0"/>
        <n v="757.0"/>
        <n v="2230.0"/>
        <n v="1898.0"/>
        <n v="14732.0"/>
        <n v="5545.0"/>
        <n v="845.0"/>
        <n v="494.0"/>
        <n v="5249.0"/>
        <n v="3249.0"/>
        <n v="1045.0"/>
        <n v="551.0"/>
        <n v="574.0"/>
        <n v="995.0"/>
        <n v="458.0"/>
        <n v="1933.0"/>
        <n v="1301.0"/>
        <n v="810.0"/>
        <n v="3525.0"/>
        <n v="3159.0"/>
        <n v="778.0"/>
        <n v="2318.0"/>
        <n v="627.0"/>
        <n v="2140.0"/>
        <n v="6796.0"/>
        <n v="2861.0"/>
        <n v="1716.0"/>
        <n v="2008.0"/>
        <n v="2244.0"/>
        <n v="1775.0"/>
        <n v="1445.0"/>
        <n v="9747.0"/>
        <n v="553.0"/>
        <n v="4113.0"/>
        <n v="291.0"/>
        <n v="6931.0"/>
        <n v="1682.0"/>
        <n v="4978.0"/>
        <n v="436.0"/>
        <n v="3123.0"/>
        <n v="1580.0"/>
        <n v="4189.0"/>
        <n v="689.0"/>
        <n v="771.0"/>
        <n v="1452.0"/>
        <n v="11644.0"/>
        <n v="1698.0"/>
        <n v="1340.0"/>
        <n v="390.0"/>
        <n v="1095.0"/>
        <n v="2435.0"/>
        <n v="582.0"/>
        <n v="529.0"/>
        <n v="663.0"/>
        <n v="31134.0"/>
        <n v="1737.0"/>
        <n v="2518.0"/>
        <n v="1741.0"/>
        <n v="2728.0"/>
        <n v="1169.0"/>
        <n v="2257.0"/>
        <n v="7839.0"/>
        <n v="1105.0"/>
        <n v="983.0"/>
        <n v="1209.0"/>
        <n v="2198.0"/>
        <n v="781.0"/>
        <n v="13833.0"/>
        <n v="579.0"/>
        <n v="1951.0"/>
        <n v="646.0"/>
        <n v="3078.0"/>
        <n v="1088.0"/>
        <n v="563.0"/>
        <n v="1541.0"/>
        <n v="12731.0"/>
        <n v="9253.0"/>
        <n v="20787.0"/>
        <n v="2855.0"/>
        <n v="2153.0"/>
        <n v="3436.0"/>
        <n v="791.0"/>
        <n v="4532.0"/>
        <n v="20566.0"/>
        <n v="716.0"/>
        <n v="6467.0"/>
        <n v="1333.0"/>
        <n v="177.0"/>
        <n v="4839.0"/>
        <n v="5338.0"/>
        <n v="20665.0"/>
        <n v="1778.0"/>
        <n v="327.0"/>
        <n v="815.0"/>
        <n v="1387.0"/>
        <n v="40250.0"/>
        <n v="10109.0"/>
        <n v="536.0"/>
        <n v="86263.0"/>
        <n v="1213.0"/>
        <n v="3026.0"/>
        <n v="1291.0"/>
        <n v="2416.0"/>
        <n v="670.0"/>
        <n v="462.0"/>
        <n v="5341.0"/>
        <n v="620.0"/>
        <n v="1586.0"/>
        <n v="479.0"/>
        <n v="9039.0"/>
        <n v="3171.0"/>
        <n v="4202.0"/>
        <n v="302.0"/>
        <n v="656.0"/>
        <n v="2137.0"/>
        <n v="893.0"/>
        <n v="6525.0"/>
        <n v="475.0"/>
        <n v="937.0"/>
        <n v="725.0"/>
        <n v="1134.0"/>
        <n v="18619.0"/>
        <n v="2474.0"/>
        <n v="2278.0"/>
        <n v="6703.0"/>
        <n v="1433.0"/>
        <n v="5441.0"/>
        <n v="5131.0"/>
        <n v="1024.0"/>
        <n v="342.0"/>
        <n v="5424.0"/>
        <n v="5745.0"/>
        <n v="1685.0"/>
        <n v="1754.0"/>
        <n v="1214.0"/>
        <n v="1662.0"/>
        <n v="11449.0"/>
        <n v="2179.0"/>
        <n v="2609.0"/>
        <n v="7354.0"/>
        <n v="919.0"/>
        <n v="571.0"/>
        <n v="3214.0"/>
        <n v="1161.0"/>
        <n v="1635.0"/>
        <n v="1432.0"/>
        <n v="514.0"/>
        <n v="2803.0"/>
        <n v="4133.0"/>
        <n v="1699.0"/>
        <n v="2024.0"/>
        <n v="723.0"/>
        <n v="2264.0"/>
        <n v="4148.0"/>
        <n v="1413.0"/>
        <n v="473.0"/>
        <n v="4887.0"/>
        <n v="20239.0"/>
        <n v="11430.0"/>
        <n v="4635.0"/>
        <n v="1070.0"/>
        <n v="4683.0"/>
        <n v="20715.0"/>
        <n v="797.0"/>
        <n v="1244.0"/>
        <n v="3849.0"/>
        <n v="2626.0"/>
        <n v="15074.0"/>
        <n v="2281.0"/>
        <n v="1451.0"/>
        <n v="14152.0"/>
        <n v="3222.0"/>
        <n v="1376.0"/>
        <n v="21912.0"/>
        <n v="18582.0"/>
        <n v="565.0"/>
        <n v="4479.0"/>
        <n v="2267.0"/>
        <n v="1638.0"/>
        <n v="837.0"/>
        <n v="867.0"/>
        <n v="916.0"/>
        <n v="3957.0"/>
        <n v="710.0"/>
        <n v="1446.0"/>
        <n v="3496.0"/>
        <n v="902.0"/>
        <n v="3326.0"/>
        <n v="7921.0"/>
        <n v="978.0"/>
        <n v="3259.0"/>
        <n v="1907.0"/>
        <n v="4169.0"/>
        <n v="1712.0"/>
        <n v="619.0"/>
        <n v="3403.0"/>
        <n v="1115.0"/>
        <n v="10160.0"/>
        <n v="856.0"/>
        <n v="1164.0"/>
        <n v="6650.0"/>
        <n v="8754.0"/>
        <n v="5616.0"/>
        <n v="2057.0"/>
        <n v="21790.0"/>
        <n v="3103.0"/>
        <n v="6287.0"/>
        <n v="27090.0"/>
        <n v="4883.0"/>
        <n v="3407.0"/>
        <n v="6764.0"/>
        <n v="628.0"/>
        <n v="4878.0"/>
        <n v="3046.0"/>
        <n v="703.0"/>
        <n v="611.0"/>
        <n v="9521.0"/>
        <n v="4078.0"/>
        <n v="737.0"/>
        <n v="9600.0"/>
        <n v="2353.0"/>
        <n v="2978.0"/>
        <n v="1462.0"/>
        <n v="1847.0"/>
        <n v="238246.0"/>
        <n v="525.0"/>
        <n v="8161.0"/>
        <n v="712.0"/>
        <n v="2155.0"/>
        <n v="1228.0"/>
        <n v="5952.0"/>
        <n v="22567.0"/>
        <n v="3734.0"/>
        <n v="899.0"/>
        <n v="922.0"/>
        <n v="6294.0"/>
        <n v="783.0"/>
        <n v="14050.0"/>
        <n v="1346.0"/>
        <n v="3954.0"/>
        <n v="699.0"/>
        <n v="461.0"/>
        <n v="4507.0"/>
        <n v="1841.0"/>
        <n v="40184.0"/>
        <n v="741.0"/>
        <n v="808.0"/>
        <n v="1402.0"/>
        <n v="11995.0"/>
        <n v="1454.0"/>
        <n v="2653.0"/>
        <n v="12622.0"/>
        <n v="1961.0"/>
        <n v="2689.0"/>
        <n v="3999.0"/>
        <n v="911.0"/>
        <n v="28767.0"/>
        <n v="949.0"/>
        <n v="405.0"/>
        <n v="695.0"/>
        <n v="615.0"/>
        <n v="9808.0"/>
        <n v="838.0"/>
        <n v="705.0"/>
        <n v="616.0"/>
        <n v="1663.0"/>
        <n v="2516.0"/>
        <n v="21105.0"/>
        <n v="2075.0"/>
        <n v="552.0"/>
        <n v="4495.0"/>
        <n v="228.0"/>
        <n v="2573.0"/>
        <n v="1491.0"/>
        <n v="13369.0"/>
        <n v="3527.0"/>
        <n v="2231.0"/>
        <n v="1417.0"/>
        <n v="1286.0"/>
        <n v="298.0"/>
        <n v="10002.0"/>
        <n v="2901.0"/>
        <n v="7764.0"/>
        <n v="908.0"/>
        <n v="1406.0"/>
        <n v="2651.0"/>
        <n v="657.0"/>
        <n v="351.0"/>
        <n v="945.0"/>
        <n v="1171.0"/>
        <n v="8479.0"/>
        <n v="8396.0"/>
        <n v="644.0"/>
        <n v="564.0"/>
        <n v="6097.0"/>
        <n v="690.0"/>
        <n v="540.0"/>
        <n v="1030.0"/>
        <n v="6092.0"/>
        <n v="286.0"/>
        <n v="5054.0"/>
        <n v="4847.0"/>
        <n v="1007.0"/>
        <n v="2126.0"/>
        <n v="765.0"/>
        <n v="2371.0"/>
        <n v="3016.0"/>
        <n v="439.0"/>
        <n v="832.0"/>
        <n v="300.0"/>
        <n v="1000.0"/>
        <n v="2178.0"/>
        <n v="3206.0"/>
        <n v="4428.0"/>
        <n v="2031.0"/>
        <n v="2100.0"/>
        <n v="8455.0"/>
        <n v="1025.0"/>
        <n v="3145.0"/>
        <n v="1108.0"/>
        <n v="6805.0"/>
        <n v="5949.0"/>
        <n v="1803.0"/>
        <n v="865.0"/>
        <n v="1410.0"/>
        <n v="2127.0"/>
        <n v="4000.0"/>
        <n v="12199.0"/>
        <n v="2338.0"/>
        <n v="2113.0"/>
        <n v="1976.0"/>
        <n v="1261.0"/>
        <n v="1425.0"/>
        <n v="471.0"/>
        <n v="19787.0"/>
        <n v="14075.0"/>
        <n v="5956.0"/>
        <n v="2022.0"/>
        <n v="98286.0"/>
        <n v="3980.0"/>
        <n v="655.0"/>
        <n v="448.0"/>
        <n v="1722.0"/>
        <n v="1431.0"/>
        <n v="2672.0"/>
        <n v="3743.0"/>
        <n v="1923.0"/>
        <n v="2840.0"/>
        <n v="5638.0"/>
        <n v="2755.0"/>
        <n v="15974.0"/>
        <n v="13233.0"/>
        <n v="1570.0"/>
        <n v="1558.0"/>
        <n v="733.0"/>
        <n v="1598.0"/>
        <n v="989.0"/>
        <n v="1054.0"/>
        <n v="10947.0"/>
        <n v="1191.0"/>
        <n v="1144.0"/>
        <n v="871.0"/>
        <n v="686.0"/>
        <n v="3182.0"/>
        <n v="1704.0"/>
        <n v="5652.0"/>
        <n v="260.0"/>
        <n v="2499.0"/>
        <n v="1672.0"/>
        <n v="1967.0"/>
        <n v="13261.0"/>
        <n v="640.0"/>
        <n v="4675.0"/>
        <n v="486.0"/>
        <n v="16076.0"/>
        <n v="869.0"/>
        <n v="4142.0"/>
        <n v="1796.0"/>
        <n v="11766.0"/>
        <n v="397.0"/>
        <n v="1718.0"/>
        <n v="756.0"/>
        <n v="1602.0"/>
        <n v="1405.0"/>
        <n v="4332.0"/>
        <n v="3450.0"/>
        <n v="942.0"/>
        <n v="520.0"/>
        <n v="416.0"/>
        <n v="963.0"/>
        <n v="3669.0"/>
        <n v="7202.0"/>
        <n v="2914.0"/>
        <n v="920.0"/>
        <n v="817.0"/>
        <n v="4170.0"/>
        <n v="788.0"/>
        <n v="98772.0"/>
        <n v="936.0"/>
        <n v="1386.0"/>
        <n v="6019.0"/>
        <n v="805.0"/>
        <n v="2604.0"/>
        <n v="8247.0"/>
        <n v="1518.0"/>
        <n v="43468.0"/>
        <n v="482.0"/>
        <n v="1123.0"/>
        <n v="1654.0"/>
        <n v="2682.0"/>
        <n v="1464.0"/>
        <n v="1364.0"/>
        <n v="2628.0"/>
        <n v="10617.0"/>
        <n v="641.0"/>
        <n v="938.0"/>
        <n v="62868.0"/>
        <n v="1084.0"/>
        <n v="2117.0"/>
        <n v="1197.0"/>
        <n v="1009.0"/>
        <n v="1151.0"/>
        <n v="573.0"/>
        <n v="1302.0"/>
        <n v="2613.0"/>
        <n v="2081.0"/>
        <n v="5633.0"/>
        <n v="284.0"/>
        <n v="381.0"/>
        <n v="11012.0"/>
        <n v="1125.0"/>
        <n v="2020.0"/>
        <n v="603.0"/>
        <n v="20726.0"/>
        <n v="2564.0"/>
        <n v="15525.0"/>
        <n v="240.0"/>
        <n v="40847.0"/>
        <n v="440.0"/>
        <n v="7758.0"/>
        <n v="7266.0"/>
        <n v="5426.0"/>
        <n v="581.0"/>
        <n v="2804.0"/>
        <n v="2941.0"/>
        <n v="128.0"/>
        <n v="5584.0"/>
        <n v="334.0"/>
        <n v="1562.0"/>
        <n v="252.0"/>
        <n v="1630.0"/>
        <n v="557.0"/>
        <n v="1869.0"/>
        <n v="1013.0"/>
        <n v="606.0"/>
        <n v="804.0"/>
        <n v="1233.0"/>
        <n v="569.0"/>
        <n v="879.0"/>
        <n v="499.0"/>
        <n v="3058.0"/>
        <n v="1767.0"/>
        <n v="1805.0"/>
        <n v="3434.0"/>
        <n v="1345.0"/>
        <n v="1124.0"/>
        <n v="636.0"/>
        <n v="548.0"/>
        <n v="1857.0"/>
        <n v="562.0"/>
        <n v="515.0"/>
        <n v="567.0"/>
        <n v="2898.0"/>
        <n v="738.0"/>
        <n v="921.0"/>
        <n v="852.0"/>
        <n v="1147.0"/>
        <n v="477.0"/>
        <n v="645.0"/>
        <n v="2330.0"/>
        <n v="1483.0"/>
        <n v="1628.0"/>
        <n v="528.0"/>
        <n v="324.0"/>
        <n v="729.0"/>
        <n v="388.0"/>
        <n v="55550.0"/>
        <n v="730.0"/>
        <n v="813.0"/>
        <n v="912.0"/>
        <n v="1564.0"/>
        <n v="308.0"/>
        <n v="592.0"/>
        <n v="356.0"/>
        <n v="986.0"/>
        <n v="787.0"/>
        <n v="2135.0"/>
        <n v="4832.0"/>
        <n v="382.0"/>
        <n v="423.0"/>
        <n v="429.0"/>
        <n v="472.0"/>
        <n v="303.0"/>
        <n v="213.0"/>
        <n v="2105.0"/>
        <n v="4029.0"/>
        <n v="4222.0"/>
        <n v="2467.0"/>
        <n v="3183.0"/>
        <n v="830.0"/>
        <n v="2838.0"/>
        <n v="305.0"/>
        <n v="996.0"/>
        <n v="3111.0"/>
        <n v="1831.0"/>
        <n v="321.0"/>
        <n v="415.0"/>
        <n v="222.0"/>
        <n v="1393.0"/>
        <n v="542.0"/>
        <n v="2649.0"/>
        <n v="1669.0"/>
        <n v="1043.0"/>
        <n v="9959.0"/>
        <n v="10591.0"/>
        <n v="3338.0"/>
        <n v="442.0"/>
        <n v="772.0"/>
        <n v="2036.0"/>
        <n v="1093.0"/>
        <n v="3449.0"/>
        <n v="3978.0"/>
        <n v="2208.0"/>
        <n v="10564.0"/>
        <n v="40761.0"/>
        <n v="734.0"/>
        <n v="1050.0"/>
        <n v="171.0"/>
        <n v="3915.0"/>
        <n v="803.0"/>
        <n v="36301.0"/>
        <n v="488.0"/>
        <n v="1092.0"/>
        <n v="3462.0"/>
        <n v="14351.0"/>
        <n v="987.0"/>
        <n v="2042.0"/>
        <n v="215.0"/>
        <n v="537.0"/>
        <n v="376.0"/>
        <n v="412.0"/>
        <n v="1603.0"/>
        <n v="906.0"/>
        <n v="1623.0"/>
        <n v="732.0"/>
        <n v="3664.0"/>
        <n v="465.0"/>
        <n v="1437.0"/>
        <n v="2514.0"/>
        <n v="1910.0"/>
        <n v="318.0"/>
        <n v="502.0"/>
        <n v="2097.0"/>
        <n v="406.0"/>
        <n v="497.0"/>
        <n v="154.0"/>
        <n v="962.0"/>
        <n v="264.0"/>
        <n v="347.0"/>
        <n v="626.0"/>
        <n v="196.0"/>
        <n v="1552.0"/>
        <n v="233.0"/>
        <n v="8867.0"/>
        <n v="15.0"/>
        <n v="1829.0"/>
        <n v="371.0"/>
        <n v="297.0"/>
        <n v="2786.0"/>
        <n v="478.0"/>
        <n v="773.0"/>
        <n v="2466.0"/>
        <n v="680.0"/>
        <n v="925.0"/>
        <n v="878.0"/>
        <n v="2243.0"/>
        <n v="588.0"/>
        <n v="1071.0"/>
        <n v="294.0"/>
        <n v="3084.0"/>
        <n v="1080.0"/>
        <n v="897.0"/>
        <n v="961.0"/>
        <n v="855.0"/>
        <n v="1326.0"/>
        <n v="1512.0"/>
        <n v="182.0"/>
        <n v="5415.0"/>
        <n v="524.0"/>
        <n v="2043.0"/>
        <n v="4926.0"/>
        <n v="504.0"/>
        <n v="9082.0"/>
        <n v="1469.0"/>
        <n v="180.0"/>
        <n v="32.0"/>
        <n v="1116.0"/>
        <n v="870.0"/>
        <n v="531.0"/>
        <n v="770.0"/>
        <n v="2439.0"/>
        <n v="2327.0"/>
        <n v="652.0"/>
        <n v="521.0"/>
        <n v="4009.0"/>
        <n v="1298.0"/>
        <n v="105.0"/>
        <n v="6785.0"/>
        <n v="718.0"/>
        <n v="2586.0"/>
        <n v="1895.0"/>
        <n v="1247.0"/>
        <n v="1014.0"/>
        <n v="2473.0"/>
        <n v="285.0"/>
        <n v="1581.0"/>
        <n v="8677.0"/>
        <n v="1409.0"/>
        <n v="344.0"/>
        <n v="600.0"/>
        <n v="1922.0"/>
        <n v="1487.0"/>
        <n v="1117.0"/>
        <n v="947.0"/>
        <n v="247.0"/>
        <n v="14257.0"/>
        <n v="1142.0"/>
        <n v="1035.0"/>
        <n v="500.0"/>
        <n v="834.0"/>
        <n v="958.0"/>
        <n v="5319.0"/>
        <n v="575.0"/>
        <n v="647.0"/>
        <n v="587.0"/>
        <n v="789.0"/>
        <n v="103.0"/>
        <n v="13897.0"/>
        <n v="4258.0"/>
        <n v="386.0"/>
        <n v="4127.0"/>
        <n v="1571.0"/>
        <n v="2877.0"/>
        <n v="21907.0"/>
        <n v="1170.0"/>
        <n v="887.0"/>
        <n v="12971.0"/>
        <n v="109.0"/>
        <n v="1367.0"/>
        <n v="3583.0"/>
        <n v="513.0"/>
        <n v="271.0"/>
        <n v="1877.0"/>
        <n v="1786.0"/>
        <n v="422.0"/>
        <n v="1163.0"/>
        <n v="12361.0"/>
        <n v="648.0"/>
        <n v="905.0"/>
        <n v="427.0"/>
        <n v="3275.0"/>
        <n v="677.0"/>
        <n v="3332.0"/>
        <n v="877.0"/>
        <n v="1224.0"/>
        <n v="2524.0"/>
        <n v="1041.0"/>
        <n v="1928.0"/>
        <n v="1727.0"/>
        <n v="3871.0"/>
        <n v="1559.0"/>
        <n v="639.0"/>
        <n v="184.0"/>
        <n v="622.0"/>
        <n v="254.0"/>
        <n v="1573.0"/>
        <n v="638.0"/>
        <n v="1174.0"/>
        <n v="5810.0"/>
        <n v="4638.0"/>
        <n v="735.0"/>
        <n v="1449.0"/>
        <n v="3335.0"/>
        <n v="1172.0"/>
        <n v="1633.0"/>
        <n v="1751.0"/>
        <n v="1079.0"/>
        <n v="984.0"/>
        <n v="3505.0"/>
        <n v="1060.0"/>
        <n v="933.0"/>
        <n v="760.0"/>
        <n v="577.0"/>
        <n v="15157.0"/>
        <n v="1217.0"/>
        <n v="481.0"/>
        <n v="2784.0"/>
        <n v="643.0"/>
        <n v="1225.0"/>
        <n v="1090.0"/>
        <n v="750.0"/>
        <n v="379.0"/>
        <n v="4463.0"/>
        <n v="667.0"/>
        <n v="1258.0"/>
        <n v="1686.0"/>
        <n v="1037.0"/>
        <n v="1392.0"/>
        <n v="1875.0"/>
        <n v="1374.0"/>
        <n v="314.0"/>
        <n v="1941.0"/>
        <n v="941.0"/>
        <n v="295.0"/>
        <n v="701.0"/>
        <n v="998.0"/>
        <n v="447.0"/>
        <n v="2758.0"/>
        <n v="3898.0"/>
        <n v="721.0"/>
        <n v="4775.0"/>
        <n v="1196.0"/>
        <n v="6480.0"/>
        <n v="951.0"/>
        <n v="2284.0"/>
        <n v="1421.0"/>
        <n v="1380.0"/>
        <n v="33.0"/>
        <n v="1218.0"/>
        <n v="1341.0"/>
        <n v="411.0"/>
        <n v="48.0"/>
        <n v="598.0"/>
        <n v="844.0"/>
        <n v="1994.0"/>
        <n v="7873.0"/>
        <n v="974.0"/>
        <n v="802.0"/>
        <n v="621.0"/>
        <n v="255.0"/>
        <n v="1871.0"/>
        <n v="9598.0"/>
        <n v="261.0"/>
        <n v="3902.0"/>
        <n v="624.0"/>
        <n v="2823.0"/>
        <n v="973.0"/>
        <n v="2033.0"/>
        <n v="676.0"/>
        <n v="1523.0"/>
        <n v="4641.0"/>
        <n v="4571.0"/>
        <n v="2133.0"/>
        <n v="5825.0"/>
        <n v="700.0"/>
        <n v="2833.0"/>
        <n v="4389.0"/>
        <n v="960.0"/>
        <n v="9431.0"/>
        <n v="42875.0"/>
        <n v="1038.0"/>
        <n v="885.0"/>
        <n v="1489.0"/>
        <n v="10051.0"/>
        <n v="4625.0"/>
        <n v="1513.0"/>
        <n v="617.0"/>
        <n v="608.0"/>
        <n v="5309.0"/>
        <n v="2547.0"/>
        <n v="46.0"/>
        <n v="1840.0"/>
        <n v="17435.0"/>
        <n v="330.0"/>
        <n v="1429.0"/>
        <n v="1220.0"/>
        <n v="3779.0"/>
        <n v="434.0"/>
        <n v="7331.0"/>
        <n v="354.0"/>
        <n v="1018.0"/>
        <n v="1003.0"/>
        <n v="5559.0"/>
        <n v="2014.0"/>
        <n v="1062.0"/>
        <n v="12951.0"/>
        <n v="485.0"/>
        <n v="546.0"/>
        <n v="9189.0"/>
        <n v="4568.0"/>
        <n v="671.0"/>
        <n v="5093.0"/>
        <n v="7937.0"/>
        <n v="715.0"/>
        <n v="4859.0"/>
        <n v="907.0"/>
        <n v="597.0"/>
        <n v="578.0"/>
        <n v="511.0"/>
        <n v="40539.0"/>
        <n v="568.0"/>
        <n v="1156.0"/>
        <n v="860.0"/>
        <n v="2398.0"/>
        <n v="5283.0"/>
        <n v="868.0"/>
        <n v="21424.0"/>
        <n v="387.0"/>
        <n v="156.0"/>
        <n v="634.0"/>
        <n v="1503.0"/>
        <n v="753.0"/>
        <n v="12146.0"/>
        <n v="2834.0"/>
        <n v="1243.0"/>
        <n v="25224.0"/>
        <n v="67571.0"/>
        <n v="5369.0"/>
        <n v="1595.0"/>
        <n v="1762.0"/>
        <n v="1263.0"/>
        <n v="2582.0"/>
        <n v="669.0"/>
        <n v="407.0"/>
        <n v="819.0"/>
        <n v="17909.0"/>
        <n v="2593.0"/>
        <n v="2785.0"/>
        <n v="1073.0"/>
        <n v="2443.0"/>
        <n v="2638.0"/>
        <n v="2258.0"/>
        <n v="5438.0"/>
        <n v="550.0"/>
        <n v="7830.0"/>
        <n v="10176.0"/>
        <n v="1939.0"/>
        <n v="333.0"/>
        <n v="5129.0"/>
        <n v="1784.0"/>
        <n v="5683.0"/>
        <n v="1311.0"/>
        <n v="4829.0"/>
        <n v="6766.0"/>
        <n v="709.0"/>
        <n v="826.0"/>
        <n v="6139.0"/>
        <n v="5867.0"/>
        <n v="2939.0"/>
        <n v="1399.0"/>
        <n v="2181.0"/>
        <n v="836.0"/>
        <n v="338.0"/>
        <n v="1753.0"/>
        <n v="1979.0"/>
        <n v="913.0"/>
        <n v="1267.0"/>
        <n v="629.0"/>
        <n v="932.0"/>
        <n v="861.0"/>
        <n v="1770.0"/>
        <n v="1242.0"/>
        <n v="496.0"/>
        <n v="850.0"/>
        <n v="510.0"/>
        <n v="2947.0"/>
        <n v="1632.0"/>
        <n v="6087.0"/>
        <n v="2362.0"/>
        <n v="1403.0"/>
        <n v="400.0"/>
        <n v="774.0"/>
        <n v="768.0"/>
        <n v="2072.0"/>
        <n v="982.0"/>
        <n v="2525.0"/>
        <n v="1391.0"/>
        <n v="632.0"/>
        <n v="6644.0"/>
        <n v="1470.0"/>
        <n v="1381.0"/>
        <n v="1067.0"/>
        <n v="13.0"/>
        <n v="5479.0"/>
        <n v="5064.0"/>
        <n v="4396.0"/>
        <n v="944.0"/>
        <n v="454.0"/>
        <n v="1439.0"/>
        <n v="1270.0"/>
        <n v="12247.0"/>
        <n v="206.0"/>
        <n v="1724.0"/>
        <n v="512.0"/>
        <n v="6082.0"/>
        <n v="853.0"/>
        <n v="828.0"/>
        <n v="1891.0"/>
        <n v="4480.0"/>
        <n v="1389.0"/>
        <n v="2485.0"/>
        <n v="6945.0"/>
        <n v="3371.0"/>
        <n v="25688.0"/>
        <n v="77.0"/>
        <n v="8650.0"/>
        <n v="1040.0"/>
        <n v="1551.0"/>
        <n v="2590.0"/>
        <n v="476.0"/>
        <n v="1648.0"/>
        <n v="2858.0"/>
        <n v="3481.0"/>
        <n v="5044.0"/>
        <n v="740.0"/>
        <n v="8768.0"/>
        <n v="4224.0"/>
        <n v="7060.0"/>
        <n v="32920.0"/>
        <n v="2064.0"/>
        <n v="402.0"/>
        <n v="5009.0"/>
        <n v="7973.0"/>
        <n v="1679.0"/>
        <n v="10193.0"/>
        <n v="30063.0"/>
        <n v="2324.0"/>
        <n v="5169.0"/>
        <n v="1528.0"/>
        <n v="10548.0"/>
        <n v="6799.0"/>
        <n v="1256.0"/>
        <n v="3579.0"/>
        <n v="451.0"/>
        <n v="1678.0"/>
        <n v="1973.0"/>
        <n v="336.0"/>
        <n v="10467.0"/>
        <n v="5411.0"/>
        <n v="1039.0"/>
        <n v="5217.0"/>
        <n v="2422.0"/>
        <n v="8217.0"/>
        <n v="457.0"/>
        <n v="3342.0"/>
        <n v="3691.0"/>
        <n v="679.0"/>
        <n v="1317.0"/>
        <n v="1022.0"/>
        <n v="9743.0"/>
        <n v="1912.0"/>
        <n v="673.0"/>
        <n v="11619.0"/>
        <n v="4115.0"/>
        <n v="22.0"/>
        <n v="59.0"/>
        <n v="570.0"/>
        <n v="1271.0"/>
        <n v="1756.0"/>
        <n v="5994.0"/>
        <n v="2273.0"/>
        <n v="6854.0"/>
        <n v="11590.0"/>
        <n v="10323.0"/>
        <n v="719.0"/>
        <n v="13138.0"/>
        <n v="493.0"/>
        <n v="5780.0"/>
        <n v="566.0"/>
        <n v="559.0"/>
        <n v="1574.0"/>
        <n v="452.0"/>
        <n v="3062.0"/>
        <n v="642.0"/>
        <n v="675.0"/>
        <n v="292.0"/>
        <n v="720.0"/>
        <n v="4297.0"/>
        <n v="596.0"/>
        <n v="2032.0"/>
        <n v="2687.0"/>
        <n v="2987.0"/>
        <n v="1328.0"/>
        <n v="1970.0"/>
        <n v="8552.0"/>
        <n v="1478.0"/>
        <n v="691.0"/>
        <n v="1614.0"/>
        <n v="2493.0"/>
        <n v="665.0"/>
        <n v="3981.0"/>
        <n v="5948.0"/>
        <n v="880.0"/>
        <n v="2349.0"/>
        <n v="6459.0"/>
        <n v="3353.0"/>
        <n v="10888.0"/>
        <n v="5843.0"/>
        <n v="4494.0"/>
        <n v="14382.0"/>
        <n v="4677.0"/>
        <n v="2999.0"/>
        <n v="5029.0"/>
        <n v="3471.0"/>
        <n v="1708.0"/>
        <n v="9414.0"/>
        <n v="4704.0"/>
        <n v="4668.0"/>
        <n v="315.0"/>
        <n v="929.0"/>
        <n v="1210.0"/>
        <n v="2663.0"/>
        <n v="49.0"/>
        <n v="1310.0"/>
        <n v="1616.0"/>
        <n v="818.0"/>
        <n v="538.0"/>
        <n v="1138.0"/>
        <n v="1099.0"/>
        <n v="8536.0"/>
        <n v="2374.0"/>
        <n v="4729.0"/>
        <n v="1978.0"/>
        <n v="3445.0"/>
        <n v="2571.0"/>
        <n v="1511.0"/>
        <n v="368.0"/>
        <n v="4270.0"/>
        <n v="3839.0"/>
        <n v="4849.0"/>
        <n v="449.0"/>
        <n v="748.0"/>
        <n v="1203.0"/>
        <n v="267.0"/>
        <n v="138.0"/>
        <n v="6256.0"/>
        <n v="3866.0"/>
        <n v="8720.0"/>
        <n v="492.0"/>
        <n v="835.0"/>
        <n v="3321.0"/>
        <n v="1820.0"/>
        <n v="1706.0"/>
        <n v="2805.0"/>
        <n v="3737.0"/>
        <n v="491.0"/>
        <n v="2619.0"/>
        <n v="10710.0"/>
        <n v="4628.0"/>
        <n v="22395.0"/>
        <n v="590.0"/>
        <n v="501.0"/>
        <n v="904.0"/>
        <n v="2648.0"/>
        <n v="3003.0"/>
        <n v="2204.0"/>
        <n v="69.0"/>
        <n v="843.0"/>
        <n v="136449.0"/>
        <n v="322.0"/>
        <n v="820.0"/>
        <n v="759.0"/>
        <n v="614.0"/>
        <n v="393.0"/>
        <n v="1396.0"/>
        <n v="1352.0"/>
        <n v="1929.0"/>
        <n v="1042.0"/>
        <n v="40.0"/>
        <n v="900.0"/>
        <n v="613.0"/>
        <n v="3234.0"/>
        <n v="1184.0"/>
        <n v="4359.0"/>
        <n v="688.0"/>
        <n v="2316.0"/>
        <n v="1969.0"/>
        <n v="1190.0"/>
        <n v="1660.0"/>
        <n v="5982.0"/>
        <n v="99.0"/>
        <n v="374.0"/>
        <n v="1081.0"/>
        <n v="5751.0"/>
        <n v="1576.0"/>
        <n v="1441.0"/>
        <n v="453.0"/>
        <n v="2414.0"/>
        <n v="1937.0"/>
        <n v="3221.0"/>
        <n v="54.0"/>
        <n v="1363.0"/>
        <n v="1723.0"/>
        <n v="2045.0"/>
        <n v="4306.0"/>
        <n v="2397.0"/>
        <n v="1351.0"/>
        <n v="4378.0"/>
        <n v="1027.0"/>
        <n v="1640.0"/>
        <n v="1111.0"/>
        <n v="1622.0"/>
        <n v="749.0"/>
        <n v="764.0"/>
        <n v="532.0"/>
        <n v="1128.0"/>
        <n v="1958.0"/>
        <n v="1500.0"/>
        <n v="5680.0"/>
        <n v="840.0"/>
        <n v="2540.0"/>
        <n v="5935.0"/>
        <n v="362.0"/>
        <n v="3936.0"/>
        <n v="372.0"/>
        <n v="693.0"/>
        <n v="1285.0"/>
        <n v="9.0"/>
        <n v="1047.0"/>
        <n v="242.0"/>
        <n v="373.0"/>
        <n v="1127.0"/>
        <n v="1273.0"/>
        <n v="2282.0"/>
        <n v="1438.0"/>
        <n v="2425.0"/>
        <n v="1335.0"/>
        <n v="761.0"/>
        <n v="7090.0"/>
        <n v="1102.0"/>
        <n v="3636.0"/>
        <n v="1626.0"/>
        <n v="755.0"/>
        <n v="2894.0"/>
        <n v="5833.0"/>
        <n v="1187.0"/>
        <n v="36.0"/>
        <n v="883.0"/>
        <n v="1809.0"/>
        <n v="1772.0"/>
        <n v="1252.0"/>
        <n v="1279.0"/>
        <n v="976.0"/>
        <n v="1344.0"/>
        <n v="2306.0"/>
        <n v="2739.0"/>
        <n v="4179.0"/>
        <n v="1096.0"/>
        <n v="623.0"/>
        <n v="1085.0"/>
        <n v="661.0"/>
        <n v="1482.0"/>
        <n v="29.0"/>
        <n v="414.0"/>
        <n v="444.0"/>
        <n v="2263.0"/>
        <n v="1545.0"/>
        <n v="4647.0"/>
        <n v="468.0"/>
        <n v="595.0"/>
        <n v="743.0"/>
        <n v="7.0"/>
        <n v="1148.0"/>
      </sharedItems>
    </cacheField>
    <cacheField name="Superficie_km2" numFmtId="0">
      <sharedItems containsSemiMixedTypes="0" containsString="0" containsNumber="1">
        <n v="5.98"/>
        <n v="6.95"/>
        <n v="11.55"/>
        <n v="10.72"/>
        <n v="10.61"/>
        <n v="8.71"/>
        <n v="4.88"/>
        <n v="14.72"/>
        <n v="5.99"/>
        <n v="5.16"/>
        <n v="17.24"/>
        <n v="4.48"/>
        <n v="28.04"/>
        <n v="13.12"/>
        <n v="3.86"/>
        <n v="2.86"/>
        <n v="9.18"/>
        <n v="20.9"/>
        <n v="5.96"/>
        <n v="17.78"/>
        <n v="6.41"/>
        <n v="26.37"/>
        <n v="6.83"/>
        <n v="5.58"/>
        <n v="6.32"/>
        <n v="8.05"/>
        <n v="15.48"/>
        <n v="11.83"/>
        <n v="2.11"/>
        <n v="23.7"/>
        <n v="3.74"/>
        <n v="4.44"/>
        <n v="5.71"/>
        <n v="10.73"/>
        <n v="2.64"/>
        <n v="9.73"/>
        <n v="9.27"/>
        <n v="6.85"/>
        <n v="3.63"/>
        <n v="2.77"/>
        <n v="2.17"/>
        <n v="3.33"/>
        <n v="11.49"/>
        <n v="6.7"/>
        <n v="7.99"/>
        <n v="14.91"/>
        <n v="7.69"/>
        <n v="7.6"/>
        <n v="7.08"/>
        <n v="13.65"/>
        <n v="5.44"/>
        <n v="9.2"/>
        <n v="21.75"/>
        <n v="9.68"/>
        <n v="7.53"/>
        <n v="7.5"/>
        <n v="4.72"/>
        <n v="6.75"/>
        <n v="6.44"/>
        <n v="4.49"/>
        <n v="9.78"/>
        <n v="6.8"/>
        <n v="4.47"/>
        <n v="5.22"/>
        <n v="6.68"/>
        <n v="16.74"/>
        <n v="16.29"/>
        <n v="7.94"/>
        <n v="4.98"/>
        <n v="8.15"/>
        <n v="7.56"/>
        <n v="3.13"/>
        <n v="4.52"/>
        <n v="15.84"/>
        <n v="2.7"/>
        <n v="9.64"/>
        <n v="7.68"/>
        <n v="15.63"/>
        <n v="7.78"/>
        <n v="7.54"/>
        <n v="10.18"/>
        <n v="2.68"/>
        <n v="5.27"/>
        <n v="9.83"/>
        <n v="10.81"/>
        <n v="31.78"/>
        <n v="10.45"/>
        <n v="13.42"/>
        <n v="2.15"/>
        <n v="6.34"/>
        <n v="8.01"/>
        <n v="9.75"/>
        <n v="13.08"/>
        <n v="4.39"/>
        <n v="7.61"/>
        <n v="5.13"/>
        <n v="2.81"/>
        <n v="1.94"/>
        <n v="10.69"/>
        <n v="11.59"/>
        <n v="6.71"/>
        <n v="13.35"/>
        <n v="7.34"/>
        <n v="2.92"/>
        <n v="1.35"/>
        <n v="8.2"/>
        <n v="9.25"/>
        <n v="4.38"/>
        <n v="4.54"/>
        <n v="8.79"/>
        <n v="12.24"/>
        <n v="7.24"/>
        <n v="8.88"/>
        <n v="5.6"/>
        <n v="11.58"/>
        <n v="9.01"/>
        <n v="12.9"/>
        <n v="12.89"/>
        <n v="8.74"/>
        <n v="14.57"/>
        <n v="4.14"/>
        <n v="17.65"/>
        <n v="13.96"/>
        <n v="4.85"/>
        <n v="4.3"/>
        <n v="11.04"/>
        <n v="11.2"/>
        <n v="6.72"/>
        <n v="5.77"/>
        <n v="5.76"/>
        <n v="3.91"/>
        <n v="6.07"/>
        <n v="4.02"/>
        <n v="7.3"/>
        <n v="3.16"/>
        <n v="4.6"/>
        <n v="19.86"/>
        <n v="12.75"/>
        <n v="2.22"/>
        <n v="7.74"/>
        <n v="8.93"/>
        <n v="3.31"/>
        <n v="9.23"/>
        <n v="18.58"/>
        <n v="20.64"/>
        <n v="3.67"/>
        <n v="8.87"/>
        <n v="10.96"/>
        <n v="4.68"/>
        <n v="8.55"/>
        <n v="13.31"/>
        <n v="11.6"/>
        <n v="5.24"/>
        <n v="3.65"/>
        <n v="10.91"/>
        <n v="5.95"/>
        <n v="8.76"/>
        <n v="17.14"/>
        <n v="2.85"/>
        <n v="10.59"/>
        <n v="13.73"/>
        <n v="3.53"/>
        <n v="20.41"/>
        <n v="16.98"/>
        <n v="10.64"/>
        <n v="2.63"/>
        <n v="13.81"/>
        <n v="17.43"/>
        <n v="5.02"/>
        <n v="3.69"/>
        <n v="16.49"/>
        <n v="22.59"/>
        <n v="8.17"/>
        <n v="9.33"/>
        <n v="8.96"/>
        <n v="4.23"/>
        <n v="14.39"/>
        <n v="3.45"/>
        <n v="8.3"/>
        <n v="9.3"/>
        <n v="7.39"/>
        <n v="3.38"/>
        <n v="3.36"/>
        <n v="13.23"/>
        <n v="5.61"/>
        <n v="4.45"/>
        <n v="3.75"/>
        <n v="5.9"/>
        <n v="5.5"/>
        <n v="3.46"/>
        <n v="15.27"/>
        <n v="7.32"/>
        <n v="6.12"/>
        <n v="11.38"/>
        <n v="6.08"/>
        <n v="28.72"/>
        <n v="7.82"/>
        <n v="3.17"/>
        <n v="14.05"/>
        <n v="8.98"/>
        <n v="2.76"/>
        <n v="6.74"/>
        <n v="10.13"/>
        <n v="5.97"/>
        <n v="4.24"/>
        <n v="7.49"/>
        <n v="13.59"/>
        <n v="24.58"/>
        <n v="8.67"/>
        <n v="9.44"/>
        <n v="4.34"/>
        <n v="10.37"/>
        <n v="3.49"/>
        <n v="11.81"/>
        <n v="18.08"/>
        <n v="27.77"/>
        <n v="7.11"/>
        <n v="9.38"/>
        <n v="6.6"/>
        <n v="8.56"/>
        <n v="5.21"/>
        <n v="4.95"/>
        <n v="9.1"/>
        <n v="4.81"/>
        <n v="12.34"/>
        <n v="10.04"/>
        <n v="8.1"/>
        <n v="11.45"/>
        <n v="3.78"/>
        <n v="6.88"/>
        <n v="40.08"/>
        <n v="20.02"/>
        <n v="3.18"/>
        <n v="7.25"/>
        <n v="4.53"/>
        <n v="10.48"/>
        <n v="5.07"/>
        <n v="15.92"/>
        <n v="5.39"/>
        <n v="7.73"/>
        <n v="2.69"/>
        <n v="8.02"/>
        <n v="7.75"/>
        <n v="8.84"/>
        <n v="7.46"/>
        <n v="16.18"/>
        <n v="13.32"/>
        <n v="4.61"/>
        <n v="28.64"/>
        <n v="7.04"/>
        <n v="13.69"/>
        <n v="5.92"/>
        <n v="16.19"/>
        <n v="7.79"/>
        <n v="13.76"/>
        <n v="12.82"/>
        <n v="6.62"/>
        <n v="5.26"/>
        <n v="9.62"/>
        <n v="11.99"/>
        <n v="5.8"/>
        <n v="5.33"/>
        <n v="8.99"/>
        <n v="9.5"/>
        <n v="5.46"/>
        <n v="2.91"/>
        <n v="9.03"/>
        <n v="7.22"/>
        <n v="15.15"/>
        <n v="2.53"/>
        <n v="15.36"/>
        <n v="4.91"/>
        <n v="8.83"/>
        <n v="20.85"/>
        <n v="10.09"/>
        <n v="6.25"/>
        <n v="6.38"/>
        <n v="4.56"/>
        <n v="10.35"/>
        <n v="5.59"/>
        <n v="8.75"/>
        <n v="8.57"/>
        <n v="17.67"/>
        <n v="12.48"/>
        <n v="3.8"/>
        <n v="20.58"/>
        <n v="9.98"/>
        <n v="10.86"/>
        <n v="7.16"/>
        <n v="11.39"/>
        <n v="5.1"/>
        <n v="16.22"/>
        <n v="7.21"/>
        <n v="9.42"/>
        <n v="5.2"/>
        <n v="3.7"/>
        <n v="6.21"/>
        <n v="11.19"/>
        <n v="7.28"/>
        <n v="7.06"/>
        <n v="9.51"/>
        <n v="3.09"/>
        <n v="33.9"/>
        <n v="6.39"/>
        <n v="14.65"/>
        <n v="13.26"/>
        <n v="1.74"/>
        <n v="5.83"/>
        <n v="7.98"/>
        <n v="6.18"/>
        <n v="2.5"/>
        <n v="13.45"/>
        <n v="13.91"/>
        <n v="30.09"/>
        <n v="12.31"/>
        <n v="19.37"/>
        <n v="12.27"/>
        <n v="8.09"/>
        <n v="10.57"/>
        <n v="24.12"/>
        <n v="18.95"/>
        <n v="26.58"/>
        <n v="6.81"/>
        <n v="4.18"/>
        <n v="25.75"/>
        <n v="9.94"/>
        <n v="3.82"/>
        <n v="10.92"/>
        <n v="4.79"/>
        <n v="5.36"/>
        <n v="10.17"/>
        <n v="8.46"/>
        <n v="6.82"/>
        <n v="10.87"/>
        <n v="3.71"/>
        <n v="19.43"/>
        <n v="15.85"/>
        <n v="5.79"/>
        <n v="3.0"/>
        <n v="44.48"/>
        <n v="23.63"/>
        <n v="9.29"/>
        <n v="9.17"/>
        <n v="7.2"/>
        <n v="0.41"/>
        <n v="9.77"/>
        <n v="9.28"/>
        <n v="48.57"/>
        <n v="5.18"/>
        <n v="7.44"/>
        <n v="7.12"/>
        <n v="4.29"/>
        <n v="2.62"/>
        <n v="11.56"/>
        <n v="6.04"/>
        <n v="38.07"/>
        <n v="14.68"/>
        <n v="10.89"/>
        <n v="6.65"/>
        <n v="16.48"/>
        <n v="12.7"/>
        <n v="3.68"/>
        <n v="10.19"/>
        <n v="4.92"/>
        <n v="4.12"/>
        <n v="3.87"/>
        <n v="10.1"/>
        <n v="5.66"/>
        <n v="8.28"/>
        <n v="8.22"/>
        <n v="10.78"/>
        <n v="8.92"/>
        <n v="11.12"/>
        <n v="4.78"/>
        <n v="11.11"/>
        <n v="3.52"/>
        <n v="11.05"/>
        <n v="6.16"/>
        <n v="20.28"/>
        <n v="10.46"/>
        <n v="10.3"/>
        <n v="15.55"/>
        <n v="7.43"/>
        <n v="8.36"/>
        <n v="9.14"/>
        <n v="9.22"/>
        <n v="5.48"/>
        <n v="15.54"/>
        <n v="7.88"/>
        <n v="13.8"/>
        <n v="13.05"/>
        <n v="16.92"/>
        <n v="3.56"/>
        <n v="11.9"/>
        <n v="5.84"/>
        <n v="9.02"/>
        <n v="2.94"/>
        <n v="3.05"/>
        <n v="6.73"/>
        <n v="1.81"/>
        <n v="13.39"/>
        <n v="20.3"/>
        <n v="4.83"/>
        <n v="4.2"/>
        <n v="9.96"/>
        <n v="4.0"/>
        <n v="5.67"/>
        <n v="10.52"/>
        <n v="13.47"/>
        <n v="23.64"/>
        <n v="9.92"/>
        <n v="6.26"/>
        <n v="15.37"/>
        <n v="11.15"/>
        <n v="3.27"/>
        <n v="2.95"/>
        <n v="4.01"/>
        <n v="11.47"/>
        <n v="9.85"/>
        <n v="10.34"/>
        <n v="9.84"/>
        <n v="4.82"/>
        <n v="7.37"/>
        <n v="8.49"/>
        <n v="22.77"/>
        <n v="13.01"/>
        <n v="6.01"/>
        <n v="7.03"/>
        <n v="14.37"/>
        <n v="11.86"/>
        <n v="6.47"/>
        <n v="1.61"/>
        <n v="6.22"/>
        <n v="2.07"/>
        <n v="10.16"/>
        <n v="9.65"/>
        <n v="10.97"/>
        <n v="3.73"/>
        <n v="6.28"/>
        <n v="17.3"/>
        <n v="2.9"/>
        <n v="1.92"/>
        <n v="17.98"/>
        <n v="8.45"/>
        <n v="8.07"/>
        <n v="4.5"/>
        <n v="31.6"/>
        <n v="24.1"/>
        <n v="6.91"/>
        <n v="5.19"/>
        <n v="16.69"/>
        <n v="7.23"/>
        <n v="6.55"/>
        <n v="10.85"/>
        <n v="5.35"/>
        <n v="8.73"/>
        <n v="2.41"/>
        <n v="23.26"/>
        <n v="16.35"/>
        <n v="9.15"/>
        <n v="4.35"/>
        <n v="15.09"/>
        <n v="5.15"/>
        <n v="7.1"/>
        <n v="1.96"/>
        <n v="10.63"/>
        <n v="10.27"/>
        <n v="9.07"/>
        <n v="2.4"/>
        <n v="9.69"/>
        <n v="6.93"/>
        <n v="3.01"/>
        <n v="3.55"/>
        <n v="3.79"/>
        <n v="9.8"/>
        <n v="7.59"/>
        <n v="10.65"/>
        <n v="2.44"/>
        <n v="6.1"/>
        <n v="2.88"/>
        <n v="16.44"/>
        <n v="4.93"/>
        <n v="3.23"/>
        <n v="13.63"/>
        <n v="15.06"/>
        <n v="6.78"/>
        <n v="9.79"/>
        <n v="8.34"/>
        <n v="5.06"/>
        <n v="6.59"/>
        <n v="18.17"/>
        <n v="11.33"/>
        <n v="12.23"/>
        <n v="17.5"/>
        <n v="8.26"/>
        <n v="3.94"/>
        <n v="4.99"/>
        <n v="12.01"/>
        <n v="6.4"/>
        <n v="10.05"/>
        <n v="8.78"/>
        <n v="14.97"/>
        <n v="6.67"/>
        <n v="3.62"/>
        <n v="27.04"/>
        <n v="5.69"/>
        <n v="11.08"/>
        <n v="5.65"/>
        <n v="5.51"/>
        <n v="4.25"/>
        <n v="3.9"/>
        <n v="8.04"/>
        <n v="6.77"/>
        <n v="16.68"/>
        <n v="12.53"/>
        <n v="6.92"/>
        <n v="8.42"/>
        <n v="6.17"/>
        <n v="7.89"/>
        <n v="20.34"/>
        <n v="6.97"/>
        <n v="7.58"/>
        <n v="29.76"/>
        <n v="7.83"/>
        <n v="5.52"/>
        <n v="42.22"/>
        <n v="12.06"/>
        <n v="22.8"/>
        <n v="14.02"/>
        <n v="6.36"/>
        <n v="2.48"/>
        <n v="3.37"/>
        <n v="25.35"/>
        <n v="10.06"/>
        <n v="2.67"/>
        <n v="11.84"/>
        <n v="6.43"/>
        <n v="9.12"/>
        <n v="13.67"/>
        <n v="5.53"/>
        <n v="2.2"/>
        <n v="2.37"/>
        <n v="13.16"/>
        <n v="53.5"/>
        <n v="10.84"/>
        <n v="12.32"/>
        <n v="6.0"/>
        <n v="4.62"/>
        <n v="9.26"/>
        <n v="13.94"/>
        <n v="11.7"/>
        <n v="10.58"/>
        <n v="2.54"/>
        <n v="25.58"/>
        <n v="18.3"/>
        <n v="16.75"/>
        <n v="6.99"/>
        <n v="6.23"/>
        <n v="3.59"/>
        <n v="7.8"/>
        <n v="14.5"/>
        <n v="4.05"/>
        <n v="15.24"/>
        <n v="2.8"/>
        <n v="3.02"/>
        <n v="20.4"/>
        <n v="12.98"/>
        <n v="7.31"/>
        <n v="12.4"/>
        <n v="9.97"/>
        <n v="41.57"/>
        <n v="3.22"/>
        <n v="8.53"/>
        <n v="15.88"/>
        <n v="3.89"/>
        <n v="14.1"/>
        <n v="5.01"/>
        <n v="2.28"/>
        <n v="5.25"/>
        <n v="14.58"/>
        <n v="12.78"/>
        <n v="8.97"/>
        <n v="5.23"/>
        <n v="16.01"/>
        <n v="4.64"/>
        <n v="5.29"/>
        <n v="6.33"/>
        <n v="21.54"/>
        <n v="7.66"/>
        <n v="25.15"/>
        <n v="42.11"/>
        <n v="8.18"/>
        <n v="8.13"/>
        <n v="10.75"/>
        <n v="7.63"/>
        <n v="12.05"/>
        <n v="17.79"/>
        <n v="13.97"/>
        <n v="4.76"/>
        <n v="13.84"/>
        <n v="4.58"/>
        <n v="1.07"/>
        <n v="10.74"/>
        <n v="6.76"/>
        <n v="21.36"/>
        <n v="12.02"/>
        <n v="4.51"/>
        <n v="13.06"/>
        <n v="7.55"/>
        <n v="19.1"/>
        <n v="2.19"/>
        <n v="8.66"/>
        <n v="10.33"/>
        <n v="17.63"/>
        <n v="5.68"/>
        <n v="6.54"/>
        <n v="5.54"/>
        <n v="1.71"/>
        <n v="6.52"/>
        <n v="5.41"/>
        <n v="22.27"/>
        <n v="2.3"/>
        <n v="11.13"/>
        <n v="6.27"/>
        <n v="13.41"/>
        <n v="6.5"/>
        <n v="1.87"/>
        <n v="3.21"/>
        <n v="4.32"/>
        <n v="7.13"/>
        <n v="7.77"/>
        <n v="8.65"/>
        <n v="13.85"/>
        <n v="12.74"/>
        <n v="10.51"/>
        <n v="9.04"/>
        <n v="2.31"/>
        <n v="6.31"/>
        <n v="9.41"/>
        <n v="43.49"/>
        <n v="8.68"/>
        <n v="7.96"/>
        <n v="11.82"/>
        <n v="7.62"/>
        <n v="8.44"/>
        <n v="5.04"/>
        <n v="1.01"/>
        <n v="7.9"/>
        <n v="7.38"/>
        <n v="3.54"/>
        <n v="3.4"/>
        <n v="1.34"/>
        <n v="11.14"/>
        <n v="3.32"/>
        <n v="2.98"/>
        <n v="12.59"/>
        <n v="11.07"/>
        <n v="3.58"/>
        <n v="18.24"/>
        <n v="13.71"/>
        <n v="7.41"/>
        <n v="17.59"/>
        <n v="13.0"/>
        <n v="12.42"/>
        <n v="8.72"/>
        <n v="38.35"/>
        <n v="6.57"/>
        <n v="6.42"/>
        <n v="3.15"/>
        <n v="12.16"/>
        <n v="3.28"/>
        <n v="8.69"/>
        <n v="2.71"/>
        <n v="7.09"/>
        <n v="8.63"/>
        <n v="6.96"/>
        <n v="2.84"/>
        <n v="3.77"/>
        <n v="7.91"/>
        <n v="4.36"/>
        <n v="2.03"/>
        <n v="16.5"/>
        <n v="4.8"/>
        <n v="18.19"/>
        <n v="6.45"/>
        <n v="6.46"/>
        <n v="17.61"/>
        <n v="2.34"/>
        <n v="8.16"/>
        <n v="26.41"/>
        <n v="13.09"/>
        <n v="5.4"/>
        <n v="12.95"/>
        <n v="10.21"/>
        <n v="3.88"/>
        <n v="2.51"/>
        <n v="4.41"/>
        <n v="4.19"/>
        <n v="9.95"/>
        <n v="18.82"/>
        <n v="16.06"/>
        <n v="18.36"/>
        <n v="1.66"/>
        <n v="20.99"/>
        <n v="16.34"/>
        <n v="7.85"/>
        <n v="3.97"/>
        <n v="19.02"/>
        <n v="7.0"/>
        <n v="6.06"/>
        <n v="13.62"/>
        <n v="1.89"/>
        <n v="11.51"/>
        <n v="4.84"/>
        <n v="7.45"/>
        <n v="16.86"/>
        <n v="9.19"/>
        <n v="41.96"/>
        <n v="10.43"/>
        <n v="4.73"/>
        <n v="10.47"/>
        <n v="16.71"/>
        <n v="5.28"/>
        <n v="11.62"/>
        <n v="9.08"/>
        <n v="1.75"/>
        <n v="5.86"/>
        <n v="10.24"/>
        <n v="6.66"/>
        <n v="5.74"/>
        <n v="1.85"/>
        <n v="14.49"/>
        <n v="12.26"/>
        <n v="13.4"/>
        <n v="5.32"/>
        <n v="2.82"/>
        <n v="2.83"/>
        <n v="4.75"/>
        <n v="9.56"/>
        <n v="18.77"/>
        <n v="19.59"/>
        <n v="5.82"/>
        <n v="10.01"/>
        <n v="19.16"/>
        <n v="4.67"/>
        <n v="17.35"/>
        <n v="10.56"/>
        <n v="1.06"/>
        <n v="22.97"/>
        <n v="8.32"/>
        <n v="11.22"/>
        <n v="13.29"/>
        <n v="7.47"/>
        <n v="35.76"/>
        <n v="11.79"/>
        <n v="11.94"/>
        <n v="7.97"/>
        <n v="15.79"/>
        <n v="8.19"/>
        <n v="12.13"/>
        <n v="8.77"/>
        <n v="1.84"/>
        <n v="20.67"/>
        <n v="3.14"/>
        <n v="4.06"/>
        <n v="3.43"/>
        <n v="4.77"/>
        <n v="12.57"/>
        <n v="6.13"/>
        <n v="5.17"/>
        <n v="12.8"/>
        <n v="5.38"/>
        <n v="16.13"/>
        <n v="12.35"/>
        <n v="5.94"/>
        <n v="27.41"/>
        <n v="1.36"/>
        <n v="9.67"/>
        <n v="17.19"/>
        <n v="10.98"/>
        <n v="12.63"/>
        <n v="23.62"/>
        <n v="15.52"/>
        <n v="5.57"/>
        <n v="12.14"/>
        <n v="6.48"/>
        <n v="11.27"/>
        <n v="13.19"/>
        <n v="10.23"/>
        <n v="3.96"/>
        <n v="2.02"/>
        <n v="15.03"/>
        <n v="9.37"/>
        <n v="17.6"/>
        <n v="8.8"/>
        <n v="11.96"/>
        <n v="21.65"/>
        <n v="0.18"/>
        <n v="27.22"/>
        <n v="11.89"/>
        <n v="3.51"/>
        <n v="14.22"/>
        <n v="16.31"/>
        <n v="7.02"/>
        <n v="7.19"/>
        <n v="17.7"/>
        <n v="8.47"/>
        <n v="4.46"/>
        <n v="17.57"/>
        <n v="5.12"/>
        <n v="34.75"/>
        <n v="97.47"/>
        <n v="2.61"/>
        <n v="3.1"/>
        <n v="19.5"/>
        <n v="42.3"/>
        <n v="6.9"/>
        <n v="2.66"/>
        <n v="8.39"/>
        <n v="2.52"/>
        <n v="11.67"/>
        <n v="6.61"/>
        <n v="21.45"/>
        <n v="15.07"/>
        <n v="11.24"/>
        <n v="8.03"/>
        <n v="22.05"/>
        <n v="7.48"/>
        <n v="11.0"/>
        <n v="18.86"/>
        <n v="2.1"/>
        <n v="10.14"/>
        <n v="27.0"/>
        <n v="12.33"/>
        <n v="3.47"/>
        <n v="4.96"/>
        <n v="6.84"/>
        <n v="12.29"/>
        <n v="44.33"/>
        <n v="9.21"/>
        <n v="4.16"/>
        <n v="8.64"/>
        <n v="18.49"/>
        <n v="7.4"/>
        <n v="1.26"/>
        <n v="17.12"/>
        <n v="10.29"/>
        <n v="19.07"/>
        <n v="17.23"/>
        <n v="2.38"/>
        <n v="5.05"/>
        <n v="5.62"/>
        <n v="4.86"/>
        <n v="2.55"/>
        <n v="4.03"/>
        <n v="3.34"/>
        <n v="4.7"/>
        <n v="9.6"/>
        <n v="8.0"/>
        <n v="23.33"/>
        <n v="11.31"/>
        <n v="2.24"/>
        <n v="3.26"/>
        <n v="3.98"/>
        <n v="23.11"/>
        <n v="6.3"/>
        <n v="3.39"/>
        <n v="3.04"/>
        <n v="1.14"/>
        <n v="12.22"/>
        <n v="14.41"/>
        <n v="4.69"/>
        <n v="4.26"/>
        <n v="33.33"/>
        <n v="9.54"/>
        <n v="1.04"/>
        <n v="6.14"/>
        <n v="6.35"/>
        <n v="13.36"/>
        <n v="7.35"/>
        <n v="2.32"/>
        <n v="5.43"/>
        <n v="7.15"/>
        <n v="8.11"/>
        <n v="3.19"/>
        <n v="5.78"/>
        <n v="4.43"/>
        <n v="10.53"/>
        <n v="16.02"/>
        <n v="33.94"/>
        <n v="4.66"/>
        <n v="15.44"/>
        <n v="7.42"/>
        <n v="12.04"/>
        <n v="12.66"/>
        <n v="8.12"/>
        <n v="5.87"/>
        <n v="5.3"/>
        <n v="2.58"/>
        <n v="10.08"/>
        <n v="14.18"/>
        <n v="17.42"/>
        <n v="3.07"/>
        <n v="23.19"/>
        <n v="13.74"/>
        <n v="12.28"/>
        <n v="9.46"/>
        <n v="11.97"/>
        <n v="30.12"/>
        <n v="27.48"/>
        <n v="13.48"/>
        <n v="8.9"/>
        <n v="8.38"/>
        <n v="2.39"/>
        <n v="15.13"/>
        <n v="2.06"/>
        <n v="1.9"/>
        <n v="6.87"/>
        <n v="39.13"/>
        <n v="30.62"/>
        <n v="13.82"/>
        <n v="2.56"/>
        <n v="9.61"/>
        <n v="10.62"/>
        <n v="25.98"/>
        <n v="11.02"/>
        <n v="11.69"/>
        <n v="27.45"/>
        <n v="5.72"/>
        <n v="11.3"/>
        <n v="12.15"/>
        <n v="8.5"/>
        <n v="8.94"/>
        <n v="15.12"/>
        <n v="21.0"/>
        <n v="5.45"/>
        <n v="15.46"/>
        <n v="3.72"/>
        <n v="27.76"/>
        <n v="13.66"/>
        <n v="4.33"/>
        <n v="5.09"/>
        <n v="13.89"/>
        <n v="5.81"/>
        <n v="15.73"/>
        <n v="27.37"/>
        <n v="17.48"/>
        <n v="2.6"/>
        <n v="4.87"/>
        <n v="8.35"/>
        <n v="5.14"/>
        <n v="12.73"/>
        <n v="13.28"/>
        <n v="12.64"/>
        <n v="4.21"/>
        <n v="8.41"/>
        <n v="7.05"/>
        <n v="3.66"/>
        <n v="2.05"/>
        <n v="14.77"/>
        <n v="14.16"/>
        <n v="27.57"/>
        <n v="13.03"/>
        <n v="12.19"/>
        <n v="12.52"/>
        <n v="6.09"/>
        <n v="14.38"/>
        <n v="9.58"/>
        <n v="4.28"/>
        <n v="21.63"/>
        <n v="3.83"/>
        <n v="12.68"/>
        <n v="32.94"/>
        <n v="10.28"/>
        <n v="15.18"/>
        <n v="8.27"/>
        <n v="14.62"/>
        <n v="16.0"/>
        <n v="12.94"/>
        <n v="18.37"/>
        <n v="5.88"/>
        <n v="12.85"/>
        <n v="23.78"/>
        <n v="10.36"/>
        <n v="9.45"/>
        <n v="3.5"/>
        <n v="11.16"/>
        <n v="7.57"/>
        <n v="4.31"/>
        <n v="21.13"/>
        <n v="17.25"/>
        <n v="7.36"/>
        <n v="6.86"/>
        <n v="13.17"/>
        <n v="5.85"/>
        <n v="16.79"/>
        <n v="17.02"/>
        <n v="4.13"/>
        <n v="9.82"/>
        <n v="6.51"/>
        <n v="9.36"/>
        <n v="4.55"/>
        <n v="11.42"/>
        <n v="19.56"/>
        <n v="12.61"/>
        <n v="11.85"/>
        <n v="13.3"/>
        <n v="4.74"/>
        <n v="9.39"/>
        <n v="12.08"/>
        <n v="16.04"/>
        <n v="18.54"/>
        <n v="9.09"/>
        <n v="12.65"/>
        <n v="15.94"/>
        <n v="10.11"/>
        <n v="4.17"/>
        <n v="6.79"/>
        <n v="16.78"/>
        <n v="6.15"/>
        <n v="53.09"/>
        <n v="5.34"/>
        <n v="8.62"/>
        <n v="10.67"/>
        <n v="11.06"/>
        <n v="16.46"/>
        <n v="6.29"/>
        <n v="8.59"/>
        <n v="14.44"/>
        <n v="10.42"/>
        <n v="8.31"/>
        <n v="2.74"/>
        <n v="8.58"/>
        <n v="11.76"/>
        <n v="6.05"/>
        <n v="9.87"/>
        <n v="13.64"/>
        <n v="8.6"/>
        <n v="11.54"/>
        <n v="18.57"/>
        <n v="16.36"/>
        <n v="33.36"/>
        <n v="10.31"/>
        <n v="10.93"/>
        <n v="6.63"/>
        <n v="5.42"/>
        <n v="3.64"/>
        <n v="14.87"/>
        <n v="23.35"/>
        <n v="20.52"/>
        <n v="5.03"/>
        <n v="9.55"/>
        <n v="5.56"/>
        <n v="6.03"/>
        <n v="4.4"/>
        <n v="6.98"/>
        <n v="7.81"/>
        <n v="0.95"/>
        <n v="10.82"/>
        <n v="16.99"/>
        <n v="12.6"/>
        <n v="2.73"/>
        <n v="14.32"/>
        <n v="2.43"/>
        <n v="9.93"/>
        <n v="5.93"/>
        <n v="20.84"/>
        <n v="10.77"/>
        <n v="11.29"/>
        <n v="15.19"/>
        <n v="14.96"/>
        <n v="3.44"/>
        <n v="13.57"/>
        <n v="3.11"/>
        <n v="6.64"/>
        <n v="7.72"/>
        <n v="7.71"/>
        <n v="8.14"/>
        <n v="11.41"/>
        <n v="9.48"/>
        <n v="15.96"/>
        <n v="10.79"/>
        <n v="13.92"/>
        <n v="18.74"/>
        <n v="4.22"/>
        <n v="3.24"/>
        <n v="4.57"/>
        <n v="7.27"/>
        <n v="5.11"/>
        <n v="19.28"/>
        <n v="3.2"/>
        <n v="14.36"/>
        <n v="4.07"/>
        <n v="17.18"/>
        <n v="16.76"/>
        <n v="10.6"/>
        <n v="1.49"/>
        <n v="5.91"/>
        <n v="25.94"/>
        <n v="15.35"/>
        <n v="6.02"/>
        <n v="18.18"/>
        <n v="4.89"/>
        <n v="23.06"/>
        <n v="20.93"/>
        <n v="7.76"/>
        <n v="11.44"/>
        <n v="18.07"/>
        <n v="6.58"/>
        <n v="14.03"/>
        <n v="14.34"/>
        <n v="12.72"/>
        <n v="22.39"/>
        <n v="9.49"/>
        <n v="2.89"/>
        <n v="9.13"/>
        <n v="14.79"/>
        <n v="19.2"/>
        <n v="9.81"/>
        <n v="5.89"/>
        <n v="20.46"/>
        <n v="9.32"/>
        <n v="12.71"/>
        <n v="13.02"/>
        <n v="3.99"/>
        <n v="9.34"/>
        <n v="7.01"/>
        <n v="10.99"/>
        <n v="9.47"/>
        <n v="15.59"/>
        <n v="9.88"/>
        <n v="12.38"/>
        <n v="19.61"/>
        <n v="16.33"/>
        <n v="20.01"/>
        <n v="25.29"/>
        <n v="14.64"/>
        <n v="13.25"/>
        <n v="9.66"/>
        <n v="16.56"/>
        <n v="4.9"/>
        <n v="20.04"/>
        <n v="20.66"/>
        <n v="3.3"/>
        <n v="9.72"/>
        <n v="14.84"/>
        <n v="18.67"/>
        <n v="12.0"/>
        <n v="13.52"/>
        <n v="11.09"/>
        <n v="6.94"/>
        <n v="2.93"/>
        <n v="2.35"/>
        <n v="8.51"/>
        <n v="15.16"/>
        <n v="22.31"/>
        <n v="14.75"/>
        <n v="4.04"/>
        <n v="4.59"/>
        <n v="9.9"/>
        <n v="13.44"/>
        <n v="10.5"/>
        <n v="1.33"/>
        <n v="3.03"/>
        <n v="5.08"/>
        <n v="7.29"/>
        <n v="14.45"/>
        <n v="2.97"/>
        <n v="6.11"/>
        <n v="33.2"/>
        <n v="10.44"/>
        <n v="9.99"/>
        <n v="10.54"/>
        <n v="5.64"/>
        <n v="22.37"/>
        <n v="11.88"/>
        <n v="6.69"/>
        <n v="2.72"/>
        <n v="15.22"/>
        <n v="14.43"/>
        <n v="3.42"/>
        <n v="27.28"/>
        <n v="2.23"/>
        <n v="5.31"/>
        <n v="3.95"/>
        <n v="26.83"/>
        <n v="7.64"/>
        <n v="2.04"/>
        <n v="8.48"/>
        <n v="7.51"/>
        <n v="15.99"/>
        <n v="2.96"/>
        <n v="16.82"/>
        <n v="4.08"/>
        <n v="9.59"/>
        <n v="6.2"/>
        <n v="14.53"/>
        <n v="27.09"/>
        <n v="5.0"/>
        <n v="12.2"/>
        <n v="7.65"/>
        <n v="22.36"/>
        <n v="10.76"/>
        <n v="10.68"/>
        <n v="16.43"/>
        <n v="6.19"/>
        <n v="20.76"/>
        <n v="11.57"/>
        <n v="6.37"/>
        <n v="3.81"/>
        <n v="9.52"/>
        <n v="3.08"/>
        <n v="9.53"/>
        <n v="36.8"/>
        <n v="9.91"/>
        <n v="1.78"/>
        <n v="15.67"/>
        <n v="1.77"/>
        <n v="8.52"/>
        <n v="20.95"/>
        <n v="5.55"/>
        <n v="18.05"/>
        <n v="10.0"/>
        <n v="4.65"/>
        <n v="16.42"/>
        <n v="7.17"/>
        <n v="2.33"/>
        <n v="2.12"/>
        <n v="2.13"/>
        <n v="20.43"/>
        <n v="11.23"/>
        <n v="12.07"/>
        <n v="5.37"/>
        <n v="20.18"/>
        <n v="9.24"/>
        <n v="3.6"/>
        <n v="3.12"/>
        <n v="14.46"/>
        <n v="9.06"/>
        <n v="11.61"/>
        <n v="12.91"/>
        <n v="1.99"/>
        <n v="2.42"/>
        <n v="2.26"/>
        <n v="2.47"/>
        <n v="18.87"/>
        <n v="15.26"/>
        <n v="3.35"/>
        <n v="15.29"/>
        <n v="15.8"/>
        <n v="1.17"/>
        <n v="26.22"/>
        <n v="5.7"/>
        <n v="16.77"/>
        <n v="21.37"/>
        <n v="8.29"/>
        <n v="1.97"/>
        <n v="6.49"/>
        <n v="5.73"/>
        <n v="1.86"/>
        <n v="13.43"/>
        <n v="0.69"/>
        <n v="2.46"/>
        <n v="4.11"/>
        <n v="8.24"/>
        <n v="18.29"/>
        <n v="15.3"/>
        <n v="0.94"/>
        <n v="11.65"/>
        <n v="21.33"/>
        <n v="6.53"/>
        <n v="18.46"/>
        <n v="3.41"/>
        <n v="3.06"/>
        <n v="26.59"/>
        <n v="17.88"/>
        <n v="12.84"/>
        <n v="10.26"/>
        <n v="8.43"/>
        <n v="12.69"/>
        <n v="12.97"/>
        <n v="12.12"/>
        <n v="9.7"/>
        <n v="32.18"/>
        <n v="10.07"/>
        <n v="2.01"/>
        <n v="11.95"/>
        <n v="20.29"/>
        <n v="3.85"/>
        <n v="2.75"/>
        <n v="11.1"/>
        <n v="11.46"/>
        <n v="15.82"/>
        <n v="15.81"/>
        <n v="1.4"/>
        <n v="3.48"/>
        <n v="13.21"/>
        <n v="9.16"/>
        <n v="1.16"/>
        <n v="8.85"/>
        <n v="13.34"/>
        <n v="5.49"/>
        <n v="11.36"/>
        <n v="3.93"/>
        <n v="34.32"/>
        <n v="9.31"/>
        <n v="9.89"/>
        <n v="15.65"/>
        <n v="18.32"/>
        <n v="17.38"/>
        <n v="4.37"/>
        <n v="9.43"/>
        <n v="13.9"/>
        <n v="3.61"/>
        <n v="5.47"/>
        <n v="17.86"/>
        <n v="20.94"/>
        <n v="12.92"/>
        <n v="10.39"/>
        <n v="4.1"/>
        <n v="14.3"/>
        <n v="13.77"/>
        <n v="18.5"/>
        <n v="16.84"/>
        <n v="2.49"/>
        <n v="4.09"/>
        <n v="12.88"/>
        <n v="10.4"/>
        <n v="7.26"/>
        <n v="2.45"/>
        <n v="8.61"/>
        <n v="22.85"/>
        <n v="1.25"/>
        <n v="11.32"/>
        <n v="4.27"/>
        <n v="18.22"/>
        <n v="15.62"/>
        <n v="21.2"/>
        <n v="11.43"/>
        <n v="10.02"/>
        <n v="14.29"/>
        <n v="7.14"/>
        <n v="8.95"/>
        <n v="11.71"/>
        <n v="22.02"/>
        <n v="12.11"/>
        <n v="7.33"/>
        <n v="25.69"/>
        <n v="2.25"/>
        <n v="26.24"/>
        <n v="7.18"/>
        <n v="25.37"/>
        <n v="15.1"/>
        <n v="24.83"/>
        <n v="8.4"/>
        <n v="13.07"/>
        <n v="50.4"/>
        <n v="7.7"/>
        <n v="12.77"/>
        <n v="3.57"/>
        <n v="11.66"/>
        <n v="22.86"/>
        <n v="7.87"/>
        <n v="13.24"/>
        <n v="17.44"/>
        <n v="4.42"/>
        <n v="4.63"/>
        <n v="4.97"/>
        <n v="12.51"/>
        <n v="15.75"/>
        <n v="10.15"/>
        <n v="25.38"/>
        <n v="11.52"/>
        <n v="16.96"/>
        <n v="6.89"/>
        <n v="1.88"/>
        <n v="13.04"/>
        <n v="17.26"/>
        <n v="3.76"/>
        <n v="11.91"/>
        <n v="27.24"/>
        <n v="1.82"/>
        <n v="18.83"/>
        <n v="9.63"/>
        <n v="23.73"/>
        <n v="56.76"/>
        <n v="2.59"/>
        <n v="11.8"/>
        <n v="17.93"/>
        <n v="1.95"/>
        <n v="22.84"/>
        <n v="33.3"/>
        <n v="11.03"/>
        <n v="4.94"/>
        <n v="15.38"/>
        <n v="11.18"/>
        <n v="12.99"/>
        <n v="20.75"/>
        <n v="9.05"/>
        <n v="15.17"/>
        <n v="3.84"/>
        <n v="8.7"/>
        <n v="5.63"/>
        <n v="2.79"/>
        <n v="12.76"/>
        <n v="9.0"/>
        <n v="3.29"/>
        <n v="20.59"/>
        <n v="12.47"/>
        <n v="15.42"/>
        <n v="10.25"/>
        <n v="34.59"/>
        <n v="51.49"/>
        <n v="8.33"/>
        <n v="10.8"/>
        <n v="16.38"/>
        <n v="3.25"/>
        <n v="7.84"/>
        <n v="26.74"/>
        <n v="1.57"/>
        <n v="15.25"/>
        <n v="9.35"/>
        <n v="16.61"/>
        <n v="1.43"/>
        <n v="6.56"/>
        <n v="3.92"/>
        <n v="27.94"/>
        <n v="11.25"/>
        <n v="10.95"/>
        <n v="12.54"/>
        <n v="20.7"/>
        <n v="22.87"/>
        <n v="12.62"/>
        <n v="23.66"/>
        <n v="14.11"/>
        <n v="19.52"/>
        <n v="22.0"/>
        <n v="16.53"/>
        <n v="19.62"/>
        <n v="12.44"/>
        <n v="9.57"/>
        <n v="16.09"/>
        <n v="17.95"/>
        <n v="14.21"/>
        <n v="37.53"/>
        <n v="10.22"/>
        <n v="15.53"/>
        <n v="29.26"/>
        <n v="9.4"/>
        <n v="10.41"/>
        <n v="1.1"/>
        <n v="26.95"/>
        <n v="14.7"/>
        <n v="7.86"/>
        <n v="2.29"/>
        <n v="7.92"/>
        <n v="2.99"/>
        <n v="19.17"/>
        <n v="14.76"/>
        <n v="8.08"/>
        <n v="16.83"/>
        <n v="8.86"/>
        <n v="2.87"/>
        <n v="29.0"/>
        <n v="16.2"/>
        <n v="13.6"/>
        <n v="15.33"/>
        <n v="16.26"/>
        <n v="17.36"/>
        <n v="14.13"/>
        <n v="26.94"/>
      </sharedItems>
    </cacheField>
    <cacheField name="Densite_hab_km2" numFmtId="0">
      <sharedItems containsSemiMixedTypes="0" containsString="0" containsNumber="1">
        <n v="86.6"/>
        <n v="84.0"/>
        <n v="86.9"/>
        <n v="17.6"/>
        <n v="39.3"/>
        <n v="29.7"/>
        <n v="24.2"/>
        <n v="20.8"/>
        <n v="86.3"/>
        <n v="31.6"/>
        <n v="69.9"/>
        <n v="13.9"/>
        <n v="53.9"/>
        <n v="20.2"/>
        <n v="74.1"/>
        <n v="29.8"/>
        <n v="118.3"/>
        <n v="58.6"/>
        <n v="25.6"/>
        <n v="11.9"/>
        <n v="15.0"/>
        <n v="14.1"/>
        <n v="8.1"/>
        <n v="57.1"/>
        <n v="26.0"/>
        <n v="166.5"/>
        <n v="28.5"/>
        <n v="112.8"/>
        <n v="27.8"/>
        <n v="61.8"/>
        <n v="23.0"/>
        <n v="18.2"/>
        <n v="25.4"/>
        <n v="27.3"/>
        <n v="138.5"/>
        <n v="19.0"/>
        <n v="25.5"/>
        <n v="214.0"/>
        <n v="133.2"/>
        <n v="28.6"/>
        <n v="7.8"/>
        <n v="48.3"/>
        <n v="16.1"/>
        <n v="16.3"/>
        <n v="50.4"/>
        <n v="41.1"/>
        <n v="50.0"/>
        <n v="18.5"/>
        <n v="37.8"/>
        <n v="30.9"/>
        <n v="8.9"/>
        <n v="58.9"/>
        <n v="82.0"/>
        <n v="342.5"/>
        <n v="35.1"/>
        <n v="56.8"/>
        <n v="19.4"/>
        <n v="58.7"/>
        <n v="814.9"/>
        <n v="57.3"/>
        <n v="28.1"/>
        <n v="45.9"/>
        <n v="15.6"/>
        <n v="25.7"/>
        <n v="50.6"/>
        <n v="79.5"/>
        <n v="35.7"/>
        <n v="88.6"/>
        <n v="64.9"/>
        <n v="35.2"/>
        <n v="8.3"/>
        <n v="61.5"/>
        <n v="32.1"/>
        <n v="47.1"/>
        <n v="125.8"/>
        <n v="6.9"/>
        <n v="149.9"/>
        <n v="19.1"/>
        <n v="29.9"/>
        <n v="18.6"/>
        <n v="48.2"/>
        <n v="107.5"/>
        <n v="176.4"/>
        <n v="17.9"/>
        <n v="20.3"/>
        <n v="174.4"/>
        <n v="33.4"/>
        <n v="17.1"/>
        <n v="17.4"/>
        <n v="13.8"/>
        <n v="21.9"/>
        <n v="24.0"/>
        <n v="157.7"/>
        <n v="37.0"/>
        <n v="72.2"/>
        <n v="123.0"/>
        <n v="194.0"/>
        <n v="104.6"/>
        <n v="41.5"/>
        <n v="243.6"/>
        <n v="95.6"/>
        <n v="23.8"/>
        <n v="14.2"/>
        <n v="44.1"/>
        <n v="46.3"/>
        <n v="19.2"/>
        <n v="33.7"/>
        <n v="53.3"/>
        <n v="52.1"/>
        <n v="3.6"/>
        <n v="121.8"/>
        <n v="22.1"/>
        <n v="30.3"/>
        <n v="15.8"/>
        <n v="151.0"/>
        <n v="21.5"/>
        <n v="192.0"/>
        <n v="63.6"/>
        <n v="8.8"/>
        <n v="16.4"/>
        <n v="36.1"/>
        <n v="97.9"/>
        <n v="89.8"/>
        <n v="68.3"/>
        <n v="46.4"/>
        <n v="42.6"/>
        <n v="23.9"/>
        <n v="95.0"/>
        <n v="22.5"/>
        <n v="40.9"/>
        <n v="14.4"/>
        <n v="8.6"/>
        <n v="18.9"/>
        <n v="40.3"/>
        <n v="29.4"/>
        <n v="90.5"/>
        <n v="30.2"/>
        <n v="92.6"/>
        <n v="82.2"/>
        <n v="33.9"/>
        <n v="26.6"/>
        <n v="125.7"/>
        <n v="427.2"/>
        <n v="40.7"/>
        <n v="81.7"/>
        <n v="871.2"/>
        <n v="29.2"/>
        <n v="11.6"/>
        <n v="22.9"/>
        <n v="419.3"/>
        <n v="13.2"/>
        <n v="94.3"/>
        <n v="26.1"/>
        <n v="137.1"/>
        <n v="17.8"/>
        <n v="889.1"/>
        <n v="47.5"/>
        <n v="27.4"/>
        <n v="19.5"/>
        <n v="39.8"/>
        <n v="23.6"/>
        <n v="57.4"/>
        <n v="7.6"/>
        <n v="98.4"/>
        <n v="35.4"/>
        <n v="70.4"/>
        <n v="71.0"/>
        <n v="10.4"/>
        <n v="75.9"/>
        <n v="30.7"/>
        <n v="21.0"/>
        <n v="66.7"/>
        <n v="19.3"/>
        <n v="120.1"/>
        <n v="147.0"/>
        <n v="93.9"/>
        <n v="60.5"/>
        <n v="55.6"/>
        <n v="55.7"/>
        <n v="45.4"/>
        <n v="31.7"/>
        <n v="87.0"/>
        <n v="106.7"/>
        <n v="15.4"/>
        <n v="20.6"/>
        <n v="12.3"/>
        <n v="21.6"/>
        <n v="39.2"/>
        <n v="268.2"/>
        <n v="12.4"/>
        <n v="18.4"/>
        <n v="23.2"/>
        <n v="68.1"/>
        <n v="14.9"/>
        <n v="15.5"/>
        <n v="9.7"/>
        <n v="20.0"/>
        <n v="136.2"/>
        <n v="294.0"/>
        <n v="18.3"/>
        <n v="28.4"/>
        <n v="81.4"/>
        <n v="65.3"/>
        <n v="164.0"/>
        <n v="345.2"/>
        <n v="64.7"/>
        <n v="5.8"/>
        <n v="14.5"/>
        <n v="39.7"/>
        <n v="26.2"/>
        <n v="36.7"/>
        <n v="73.6"/>
        <n v="46.7"/>
        <n v="134.1"/>
        <n v="34.2"/>
        <n v="55.0"/>
        <n v="16.6"/>
        <n v="20.5"/>
        <n v="35.8"/>
        <n v="10.2"/>
        <n v="9.4"/>
        <n v="39.6"/>
        <n v="144.4"/>
        <n v="8.4"/>
        <n v="24.7"/>
        <n v="114.1"/>
        <n v="15.2"/>
        <n v="56.5"/>
        <n v="31.4"/>
        <n v="13.1"/>
        <n v="52.3"/>
        <n v="80.5"/>
        <n v="74.8"/>
        <n v="52.9"/>
        <n v="94.0"/>
        <n v="58.0"/>
        <n v="26.5"/>
        <n v="122.3"/>
        <n v="105.4"/>
        <n v="32.0"/>
        <n v="30.5"/>
        <n v="132.7"/>
        <n v="19.6"/>
        <n v="36.9"/>
        <n v="151.7"/>
        <n v="53.8"/>
        <n v="31.5"/>
        <n v="24.1"/>
        <n v="43.5"/>
        <n v="43.4"/>
        <n v="27.0"/>
        <n v="53.7"/>
        <n v="33.5"/>
        <n v="71.3"/>
        <n v="42.5"/>
        <n v="84.8"/>
        <n v="36.4"/>
        <n v="30.1"/>
        <n v="22.2"/>
        <n v="190.8"/>
        <n v="65.6"/>
        <n v="63.2"/>
        <n v="26.7"/>
        <n v="136.0"/>
        <n v="67.7"/>
        <n v="829.3"/>
        <n v="40.4"/>
        <n v="21.2"/>
        <n v="60.9"/>
        <n v="76.0"/>
        <n v="11.8"/>
        <n v="16.0"/>
        <n v="14.0"/>
        <n v="32.4"/>
        <n v="32.6"/>
        <n v="13.4"/>
        <n v="101.3"/>
        <n v="20.9"/>
        <n v="251.0"/>
        <n v="276.8"/>
        <n v="33.0"/>
        <n v="37.9"/>
        <n v="57.7"/>
        <n v="34.5"/>
        <n v="34.4"/>
        <n v="32.3"/>
        <n v="66.9"/>
        <n v="424.1"/>
        <n v="55.2"/>
        <n v="18.1"/>
        <n v="22.7"/>
        <n v="26.8"/>
        <n v="9.1"/>
        <n v="249.8"/>
        <n v="210.2"/>
        <n v="96.4"/>
        <n v="12.8"/>
        <n v="140.5"/>
        <n v="29.0"/>
        <n v="386.2"/>
        <n v="43.1"/>
        <n v="14.7"/>
        <n v="44.7"/>
        <n v="17.7"/>
        <n v="85.7"/>
        <n v="20.7"/>
        <n v="20.1"/>
        <n v="142.2"/>
        <n v="37.2"/>
        <n v="8.2"/>
        <n v="21.8"/>
        <n v="107.0"/>
        <n v="410.6"/>
        <n v="15.7"/>
        <n v="18.8"/>
        <n v="51.6"/>
        <n v="42.0"/>
        <n v="68.0"/>
        <n v="16.5"/>
        <n v="72.0"/>
        <n v="544.5"/>
        <n v="12.0"/>
        <n v="24.8"/>
        <n v="21.3"/>
        <n v="10.5"/>
        <n v="453.7"/>
        <n v="33.1"/>
        <n v="50.8"/>
        <n v="18.0"/>
        <n v="49.4"/>
        <n v="87.6"/>
        <n v="47.7"/>
        <n v="35.3"/>
        <n v="10.3"/>
        <n v="72.5"/>
        <n v="12.5"/>
        <n v="45.8"/>
        <n v="69.8"/>
        <n v="125.1"/>
        <n v="70.0"/>
        <n v="23.1"/>
        <n v="26.3"/>
        <n v="11.4"/>
        <n v="33.2"/>
        <n v="54.1"/>
        <n v="17.0"/>
        <n v="25.0"/>
        <n v="40.8"/>
        <n v="9.0"/>
        <n v="68.8"/>
        <n v="34.1"/>
        <n v="15.9"/>
        <n v="161.5"/>
        <n v="37.7"/>
        <n v="58.1"/>
        <n v="80.3"/>
        <n v="53.5"/>
        <n v="119.6"/>
        <n v="43.3"/>
        <n v="35.5"/>
        <n v="79.1"/>
        <n v="32.8"/>
        <n v="188.8"/>
        <n v="89.0"/>
        <n v="80.7"/>
        <n v="39.4"/>
        <n v="31.8"/>
        <n v="22.3"/>
        <n v="272.9"/>
        <n v="75.4"/>
        <n v="19.8"/>
        <n v="65.0"/>
        <n v="62.3"/>
        <n v="7.1"/>
        <n v="82.3"/>
        <n v="9.3"/>
        <n v="208.1"/>
        <n v="256.5"/>
        <n v="13.6"/>
        <n v="9.2"/>
        <n v="58.8"/>
        <n v="32.2"/>
        <n v="26.4"/>
        <n v="14.3"/>
        <n v="10.6"/>
        <n v="9.6"/>
        <n v="36.0"/>
        <n v="100.3"/>
        <n v="17.5"/>
        <n v="46.0"/>
        <n v="159.8"/>
        <n v="52.5"/>
        <n v="123.2"/>
        <n v="104.9"/>
        <n v="68.7"/>
        <n v="146.2"/>
        <n v="41.7"/>
        <n v="108.1"/>
        <n v="71.2"/>
        <n v="105.1"/>
        <n v="26.9"/>
        <n v="88.5"/>
        <n v="160.1"/>
        <n v="41.0"/>
        <n v="179.4"/>
        <n v="91.3"/>
        <n v="56.1"/>
        <n v="22.0"/>
        <n v="68.2"/>
        <n v="82.8"/>
        <n v="62.0"/>
        <n v="10.1"/>
        <n v="52.0"/>
        <n v="60.0"/>
        <n v="11.3"/>
        <n v="58.2"/>
        <n v="38.9"/>
        <n v="27.5"/>
        <n v="13.3"/>
        <n v="12.1"/>
        <n v="365.4"/>
        <n v="138.2"/>
        <n v="69.6"/>
        <n v="32.9"/>
        <n v="23.3"/>
        <n v="168.9"/>
        <n v="34.7"/>
        <n v="4.9"/>
        <n v="108.0"/>
        <n v="35.6"/>
        <n v="25.8"/>
        <n v="44.4"/>
        <n v="50.1"/>
        <n v="33.3"/>
        <n v="48.1"/>
        <n v="11.1"/>
        <n v="51.8"/>
        <n v="41.8"/>
        <n v="55.8"/>
        <n v="71.6"/>
        <n v="13.5"/>
        <n v="38.4"/>
        <n v="41.4"/>
        <n v="74.2"/>
        <n v="71.4"/>
        <n v="16.8"/>
        <n v="51.7"/>
        <n v="40.2"/>
        <n v="98.3"/>
        <n v="11.5"/>
        <n v="75.1"/>
        <n v="32.7"/>
        <n v="73.7"/>
        <n v="21.4"/>
        <n v="55.9"/>
        <n v="8.7"/>
        <n v="83.4"/>
        <n v="76.9"/>
        <n v="35.9"/>
        <n v="75.8"/>
        <n v="16.7"/>
        <n v="27.2"/>
        <n v="5.4"/>
        <n v="2316.4"/>
        <n v="93.2"/>
        <n v="7.0"/>
        <n v="15.1"/>
        <n v="257.3"/>
        <n v="82.4"/>
        <n v="91.8"/>
        <n v="119.8"/>
        <n v="56.6"/>
        <n v="67.6"/>
        <n v="51.2"/>
        <n v="47.3"/>
        <n v="152.4"/>
        <n v="38.6"/>
        <n v="46.6"/>
        <n v="2276.5"/>
        <n v="28.3"/>
        <n v="51.4"/>
        <n v="24.3"/>
        <n v="6.3"/>
        <n v="712.8"/>
        <n v="44.9"/>
        <n v="77.4"/>
        <n v="22.6"/>
        <n v="47.2"/>
        <n v="73.9"/>
        <n v="47.6"/>
        <n v="31.2"/>
        <n v="73.1"/>
        <n v="49.8"/>
        <n v="205.6"/>
        <n v="61.2"/>
        <n v="31.3"/>
        <n v="57.2"/>
        <n v="36.5"/>
        <n v="152.3"/>
        <n v="49.3"/>
        <n v="23.4"/>
        <n v="63.3"/>
        <n v="53.4"/>
        <n v="355.0"/>
        <n v="84.7"/>
        <n v="69.0"/>
        <n v="30.0"/>
        <n v="243.2"/>
        <n v="22.8"/>
        <n v="65.5"/>
        <n v="304.0"/>
        <n v="25.1"/>
        <n v="55.3"/>
        <n v="30.8"/>
        <n v="577.5"/>
        <n v="111.0"/>
        <n v="25.9"/>
        <n v="55.4"/>
        <n v="65.8"/>
        <n v="5.7"/>
        <n v="249.1"/>
        <n v="46.8"/>
        <n v="20.4"/>
        <n v="130.7"/>
        <n v="92.8"/>
        <n v="72.6"/>
        <n v="28.8"/>
        <n v="35.0"/>
        <n v="16.9"/>
        <n v="38.3"/>
        <n v="23.5"/>
        <n v="12.6"/>
        <n v="5.0"/>
        <n v="606.8"/>
        <n v="86.7"/>
        <n v="133.6"/>
        <n v="139.0"/>
        <n v="56.9"/>
        <n v="102.4"/>
        <n v="77.6"/>
        <n v="567.4"/>
        <n v="38.0"/>
        <n v="204.6"/>
        <n v="639.9"/>
        <n v="519.3"/>
        <n v="1528.1"/>
        <n v="1209.3"/>
        <n v="139.2"/>
        <n v="709.1"/>
        <n v="3611.8"/>
        <n v="280.8"/>
        <n v="204.2"/>
        <n v="4305.9"/>
        <n v="118.9"/>
        <n v="946.0"/>
        <n v="333.1"/>
        <n v="171.0"/>
        <n v="653.4"/>
        <n v="173.2"/>
        <n v="221.5"/>
        <n v="394.7"/>
        <n v="993.4"/>
        <n v="205.8"/>
        <n v="100.8"/>
        <n v="1164.5"/>
        <n v="995.6"/>
        <n v="184.9"/>
        <n v="175.2"/>
        <n v="138.7"/>
        <n v="394.0"/>
        <n v="1736.8"/>
        <n v="120.0"/>
        <n v="237.0"/>
        <n v="295.2"/>
        <n v="338.7"/>
        <n v="638.8"/>
        <n v="71.5"/>
        <n v="155.3"/>
        <n v="45.7"/>
        <n v="1356.3"/>
        <n v="314.5"/>
        <n v="123.8"/>
        <n v="167.7"/>
        <n v="72.8"/>
        <n v="138.4"/>
        <n v="231.7"/>
        <n v="546.0"/>
        <n v="382.6"/>
        <n v="155.5"/>
        <n v="2630.6"/>
        <n v="240.0"/>
        <n v="117.5"/>
        <n v="83.2"/>
        <n v="122.2"/>
        <n v="250.3"/>
        <n v="76.2"/>
        <n v="67.2"/>
        <n v="2280.5"/>
        <n v="227.2"/>
        <n v="155.0"/>
        <n v="66.8"/>
        <n v="110.1"/>
        <n v="87.2"/>
        <n v="163.7"/>
        <n v="239.5"/>
        <n v="82.1"/>
        <n v="749.8"/>
        <n v="331.2"/>
        <n v="180.7"/>
        <n v="256.0"/>
        <n v="775.4"/>
        <n v="179.6"/>
        <n v="107.6"/>
        <n v="90.6"/>
        <n v="159.1"/>
        <n v="497.3"/>
        <n v="181.8"/>
        <n v="282.7"/>
        <n v="485.4"/>
        <n v="99.0"/>
        <n v="271.5"/>
        <n v="122.0"/>
        <n v="112.7"/>
        <n v="1745.7"/>
        <n v="214.7"/>
        <n v="307.3"/>
        <n v="346.8"/>
        <n v="135.4"/>
        <n v="173.5"/>
        <n v="147.6"/>
        <n v="94.2"/>
        <n v="133.8"/>
        <n v="110.2"/>
        <n v="107.3"/>
        <n v="1711.6"/>
        <n v="233.5"/>
        <n v="390.4"/>
        <n v="63.5"/>
        <n v="187.6"/>
        <n v="1458.8"/>
        <n v="66.4"/>
        <n v="277.6"/>
        <n v="1430.5"/>
        <n v="472.2"/>
        <n v="120.5"/>
        <n v="167.9"/>
        <n v="127.6"/>
        <n v="1068.2"/>
        <n v="186.8"/>
        <n v="103.2"/>
        <n v="191.1"/>
        <n v="221.4"/>
        <n v="207.9"/>
        <n v="734.6"/>
        <n v="109.3"/>
        <n v="198.2"/>
        <n v="81.9"/>
        <n v="792.7"/>
        <n v="504.0"/>
        <n v="2279.3"/>
        <n v="1719.9"/>
        <n v="102.6"/>
        <n v="210.3"/>
        <n v="102.1"/>
        <n v="455.9"/>
        <n v="83.9"/>
        <n v="4632.0"/>
        <n v="59.9"/>
        <n v="37.6"/>
        <n v="923.9"/>
        <n v="220.0"/>
        <n v="61.0"/>
        <n v="355.3"/>
        <n v="574.6"/>
        <n v="1795.4"/>
        <n v="178.3"/>
        <n v="38.8"/>
        <n v="44.3"/>
        <n v="600.4"/>
        <n v="2387.3"/>
        <n v="1100.0"/>
        <n v="61.3"/>
        <n v="2055.8"/>
        <n v="71.7"/>
        <n v="116.3"/>
        <n v="611.3"/>
        <n v="461.2"/>
        <n v="242.3"/>
        <n v="126.9"/>
        <n v="588.2"/>
        <n v="354.3"/>
        <n v="270.6"/>
        <n v="882.7"/>
        <n v="476.1"/>
        <n v="732.1"/>
        <n v="163.2"/>
        <n v="45.3"/>
        <n v="174.3"/>
        <n v="165.7"/>
        <n v="486.9"/>
        <n v="176.1"/>
        <n v="257.1"/>
        <n v="195.5"/>
        <n v="131.0"/>
        <n v="115.9"/>
        <n v="4038.8"/>
        <n v="520.8"/>
        <n v="238.3"/>
        <n v="357.1"/>
        <n v="934.9"/>
        <n v="512.6"/>
        <n v="190.0"/>
        <n v="60.4"/>
        <n v="760.7"/>
        <n v="43.7"/>
        <n v="299.8"/>
        <n v="29.1"/>
        <n v="166.1"/>
        <n v="89.5"/>
        <n v="159.5"/>
        <n v="62.1"/>
        <n v="1567.9"/>
        <n v="498.4"/>
        <n v="261.9"/>
        <n v="232.5"/>
        <n v="628.5"/>
        <n v="143.4"/>
        <n v="120.7"/>
        <n v="241.8"/>
        <n v="134.2"/>
        <n v="317.5"/>
        <n v="259.4"/>
        <n v="375.2"/>
        <n v="112.2"/>
        <n v="115.6"/>
        <n v="144.1"/>
        <n v="169.5"/>
        <n v="90.7"/>
        <n v="506.5"/>
        <n v="56.4"/>
        <n v="116.5"/>
        <n v="2656.0"/>
        <n v="964.2"/>
        <n v="553.0"/>
        <n v="384.4"/>
        <n v="1141.6"/>
        <n v="102.9"/>
        <n v="224.3"/>
        <n v="1079.0"/>
        <n v="1648.0"/>
        <n v="222.6"/>
        <n v="589.6"/>
        <n v="62.8"/>
        <n v="300.7"/>
        <n v="2801.9"/>
        <n v="54.2"/>
        <n v="442.9"/>
        <n v="90.0"/>
        <n v="1145.9"/>
        <n v="682.6"/>
        <n v="148.4"/>
        <n v="799.4"/>
        <n v="259.6"/>
        <n v="1921.6"/>
        <n v="115.1"/>
        <n v="417.0"/>
        <n v="318.4"/>
        <n v="197.7"/>
        <n v="95.3"/>
        <n v="47.4"/>
        <n v="220.3"/>
        <n v="79.0"/>
        <n v="167.5"/>
        <n v="82.7"/>
        <n v="391.5"/>
        <n v="74.3"/>
        <n v="513.3"/>
        <n v="702.8"/>
        <n v="588.3"/>
        <n v="260.5"/>
        <n v="932.7"/>
        <n v="214.8"/>
        <n v="160.4"/>
        <n v="266.9"/>
        <n v="189.0"/>
        <n v="993.2"/>
        <n v="216.2"/>
        <n v="97.1"/>
        <n v="90.8"/>
        <n v="1883.9"/>
        <n v="818.9"/>
        <n v="213.4"/>
        <n v="373.7"/>
        <n v="49.5"/>
        <n v="116.9"/>
        <n v="8100.4"/>
        <n v="149.7"/>
        <n v="801.8"/>
        <n v="1049.6"/>
        <n v="4462.9"/>
        <n v="554.9"/>
        <n v="210.5"/>
        <n v="157.4"/>
        <n v="10066.7"/>
        <n v="42.9"/>
        <n v="443.0"/>
        <n v="248.5"/>
        <n v="120.8"/>
        <n v="178.9"/>
        <n v="343.0"/>
        <n v="81.1"/>
        <n v="1759.9"/>
        <n v="567.2"/>
        <n v="41.6"/>
        <n v="1133.4"/>
        <n v="603.3"/>
        <n v="1385.1"/>
        <n v="285.5"/>
        <n v="208.0"/>
        <n v="6856.0"/>
        <n v="77.2"/>
        <n v="697.5"/>
        <n v="3.1"/>
        <n v="272.8"/>
        <n v="695.2"/>
        <n v="63.0"/>
        <n v="140.7"/>
        <n v="3270.6"/>
        <n v="1403.8"/>
        <n v="107.2"/>
        <n v="365.9"/>
        <n v="1056.0"/>
        <n v="86.2"/>
        <n v="4296.6"/>
        <n v="273.6"/>
        <n v="338.8"/>
        <n v="106.4"/>
        <n v="48.5"/>
        <n v="69.7"/>
        <n v="210.1"/>
        <n v="2876.4"/>
        <n v="119.3"/>
        <n v="168.7"/>
        <n v="124.7"/>
        <n v="1493.8"/>
        <n v="65.9"/>
        <n v="550.4"/>
        <n v="259.8"/>
        <n v="2602.5"/>
        <n v="288.0"/>
        <n v="244.5"/>
        <n v="562.4"/>
        <n v="1525.3"/>
        <n v="184.3"/>
        <n v="192.9"/>
        <n v="31.0"/>
        <n v="146.3"/>
        <n v="109.1"/>
        <n v="363.3"/>
        <n v="203.2"/>
        <n v="70.3"/>
        <n v="136.9"/>
        <n v="335.3"/>
        <n v="367.8"/>
        <n v="7328.1"/>
        <n v="168.8"/>
        <n v="49.9"/>
        <n v="94.5"/>
        <n v="826.3"/>
        <n v="64.6"/>
        <n v="736.9"/>
        <n v="161.9"/>
        <n v="8.5"/>
        <n v="3213.7"/>
        <n v="408.2"/>
        <n v="66.2"/>
        <n v="119.0"/>
        <n v="220.7"/>
        <n v="1020.6"/>
        <n v="1692.8"/>
        <n v="1618.4"/>
        <n v="609.5"/>
        <n v="88.0"/>
        <n v="453.5"/>
        <n v="117.0"/>
        <n v="88.2"/>
        <n v="47.9"/>
        <n v="352.1"/>
        <n v="163.9"/>
        <n v="130.1"/>
        <n v="62.5"/>
        <n v="194.4"/>
        <n v="98.9"/>
        <n v="274.1"/>
        <n v="654.7"/>
        <n v="114.9"/>
        <n v="768.9"/>
        <n v="804.4"/>
        <n v="73.2"/>
        <n v="135.7"/>
        <n v="634.6"/>
        <n v="1118.1"/>
        <n v="605.9"/>
        <n v="43.2"/>
        <n v="246.1"/>
        <n v="118.4"/>
        <n v="209.6"/>
        <n v="1346.4"/>
        <n v="109.2"/>
        <n v="122.4"/>
        <n v="209.0"/>
        <n v="508.9"/>
        <n v="1306.2"/>
        <n v="402.2"/>
        <n v="330.2"/>
        <n v="2781.2"/>
        <n v="899.1"/>
        <n v="257.4"/>
        <n v="59.0"/>
        <n v="1268.4"/>
        <n v="264.4"/>
        <n v="203.1"/>
        <n v="206.4"/>
        <n v="299.2"/>
        <n v="361.3"/>
        <n v="31.9"/>
        <n v="366.0"/>
        <n v="113.5"/>
        <n v="144.2"/>
        <n v="380.8"/>
        <n v="111.5"/>
        <n v="121.7"/>
        <n v="147.9"/>
        <n v="171.6"/>
        <n v="154.7"/>
        <n v="78.6"/>
        <n v="3644.0"/>
        <n v="1332.9"/>
        <n v="833.0"/>
        <n v="249.3"/>
        <n v="7491.3"/>
        <n v="142.9"/>
        <n v="688.6"/>
        <n v="200.9"/>
        <n v="60.1"/>
        <n v="66.3"/>
        <n v="224.8"/>
        <n v="214.2"/>
        <n v="550.9"/>
        <n v="924.2"/>
        <n v="434.1"/>
        <n v="269.7"/>
        <n v="722.8"/>
        <n v="172.0"/>
        <n v="470.7"/>
        <n v="4187.7"/>
        <n v="193.8"/>
        <n v="78.5"/>
        <n v="239.0"/>
        <n v="200.8"/>
        <n v="91.5"/>
        <n v="111.9"/>
        <n v="131.8"/>
        <n v="177.1"/>
        <n v="909.2"/>
        <n v="94.1"/>
        <n v="140.9"/>
        <n v="198.9"/>
        <n v="193.0"/>
        <n v="749.6"/>
        <n v="179.1"/>
        <n v="240.3"/>
        <n v="388.0"/>
        <n v="165.9"/>
        <n v="761.3"/>
        <n v="1177.6"/>
        <n v="98.0"/>
        <n v="1396.7"/>
        <n v="108.4"/>
        <n v="178.6"/>
        <n v="958.1"/>
        <n v="110.6"/>
        <n v="181.6"/>
        <n v="136.4"/>
        <n v="143.8"/>
        <n v="125.5"/>
        <n v="200.4"/>
        <n v="59.5"/>
        <n v="797.6"/>
        <n v="454.4"/>
        <n v="58.3"/>
        <n v="347.7"/>
        <n v="121.9"/>
        <n v="590.7"/>
        <n v="299.7"/>
        <n v="211.9"/>
        <n v="97.5"/>
        <n v="1655.6"/>
        <n v="6528.2"/>
        <n v="729.5"/>
        <n v="876.1"/>
        <n v="95.2"/>
        <n v="66.5"/>
        <n v="269.3"/>
        <n v="3145.3"/>
        <n v="171.5"/>
        <n v="646.1"/>
        <n v="114.8"/>
        <n v="266.1"/>
        <n v="92.4"/>
        <n v="128.4"/>
        <n v="101.2"/>
        <n v="963.4"/>
        <n v="107.9"/>
        <n v="80.2"/>
        <n v="2290.3"/>
        <n v="189.5"/>
        <n v="298.6"/>
        <n v="98.5"/>
        <n v="118.7"/>
        <n v="146.9"/>
        <n v="128.7"/>
        <n v="57.8"/>
        <n v="379.6"/>
        <n v="459.2"/>
        <n v="137.6"/>
        <n v="148.3"/>
        <n v="712.3"/>
        <n v="207.5"/>
        <n v="359.7"/>
        <n v="198.1"/>
        <n v="148.0"/>
        <n v="153.0"/>
        <n v="115.7"/>
        <n v="3016.9"/>
        <n v="330.0"/>
        <n v="2464.3"/>
        <n v="2990.3"/>
        <n v="674.7"/>
        <n v="115.2"/>
        <n v="570.9"/>
        <n v="1678.1"/>
        <n v="1066.0"/>
        <n v="84.4"/>
        <n v="206.8"/>
        <n v="201.9"/>
        <n v="506.2"/>
        <n v="31.1"/>
        <n v="204.0"/>
        <n v="114.4"/>
        <n v="116.4"/>
        <n v="89.4"/>
        <n v="51.1"/>
        <n v="626.9"/>
        <n v="47.0"/>
        <n v="466.1"/>
        <n v="161.8"/>
        <n v="156.4"/>
        <n v="49.0"/>
        <n v="117.8"/>
        <n v="94.9"/>
        <n v="230.3"/>
        <n v="115.0"/>
        <n v="86.0"/>
        <n v="815.7"/>
        <n v="271.2"/>
        <n v="314.0"/>
        <n v="32.5"/>
        <n v="160.9"/>
        <n v="74.6"/>
        <n v="111.4"/>
        <n v="46.5"/>
        <n v="267.3"/>
        <n v="113.2"/>
        <n v="83.0"/>
        <n v="91.6"/>
        <n v="85.0"/>
        <n v="140.0"/>
        <n v="239.1"/>
        <n v="69.2"/>
        <n v="89.3"/>
        <n v="12.2"/>
        <n v="1686.4"/>
        <n v="93.4"/>
        <n v="53.6"/>
        <n v="222.2"/>
        <n v="70.8"/>
        <n v="139.8"/>
        <n v="27.7"/>
        <n v="49.6"/>
        <n v="24.4"/>
        <n v="44.2"/>
        <n v="104.2"/>
        <n v="42.8"/>
        <n v="23.7"/>
        <n v="184.7"/>
        <n v="88.1"/>
        <n v="488.4"/>
        <n v="190.7"/>
        <n v="244.8"/>
        <n v="275.0"/>
        <n v="432.5"/>
        <n v="51.5"/>
        <n v="166.7"/>
        <n v="36.3"/>
        <n v="101.4"/>
        <n v="477.9"/>
        <n v="83.3"/>
        <n v="263.5"/>
        <n v="42.3"/>
        <n v="91.4"/>
        <n v="67.9"/>
        <n v="89.2"/>
        <n v="558.9"/>
        <n v="95.4"/>
        <n v="49.7"/>
        <n v="772.6"/>
        <n v="44.8"/>
        <n v="660.3"/>
        <n v="180.0"/>
        <n v="95.1"/>
        <n v="81.8"/>
        <n v="216.4"/>
        <n v="24.9"/>
        <n v="38.1"/>
        <n v="240.1"/>
        <n v="237.1"/>
        <n v="465.8"/>
        <n v="1818.2"/>
        <n v="40.5"/>
        <n v="767.8"/>
        <n v="54.4"/>
        <n v="99.8"/>
        <n v="157.0"/>
        <n v="108.8"/>
        <n v="556.1"/>
        <n v="126.5"/>
        <n v="3279.2"/>
        <n v="85.9"/>
        <n v="61.9"/>
        <n v="185.7"/>
        <n v="871.9"/>
        <n v="43.6"/>
        <n v="100.4"/>
        <n v="202.6"/>
        <n v="87.5"/>
        <n v="44.0"/>
        <n v="67.0"/>
        <n v="94.7"/>
        <n v="45.2"/>
        <n v="113.1"/>
        <n v="89.9"/>
        <n v="48.0"/>
        <n v="54.3"/>
        <n v="99.5"/>
        <n v="48.8"/>
        <n v="210.0"/>
        <n v="52.4"/>
        <n v="83.8"/>
        <n v="451.8"/>
        <n v="90.1"/>
        <n v="255.5"/>
        <n v="36.8"/>
        <n v="158.9"/>
        <n v="93.8"/>
        <n v="9.5"/>
        <n v="74.5"/>
        <n v="164.7"/>
        <n v="37.3"/>
        <n v="63.8"/>
        <n v="29.6"/>
        <n v="39.5"/>
        <n v="64.2"/>
        <n v="59.6"/>
        <n v="51.3"/>
        <n v="138.3"/>
        <n v="98.2"/>
        <n v="145.1"/>
        <n v="54.0"/>
        <n v="42.7"/>
        <n v="61.4"/>
        <n v="144.7"/>
        <n v="65.7"/>
        <n v="59.3"/>
        <n v="236.9"/>
        <n v="34.6"/>
        <n v="379.7"/>
        <n v="170.5"/>
        <n v="50.2"/>
        <n v="420.2"/>
        <n v="83.7"/>
        <n v="85.2"/>
        <n v="46.1"/>
        <n v="34.0"/>
        <n v="106.8"/>
        <n v="132.3"/>
        <n v="208.3"/>
        <n v="68.6"/>
        <n v="114.7"/>
        <n v="99.9"/>
        <n v="19.9"/>
        <n v="70.1"/>
        <n v="70.6"/>
        <n v="673.7"/>
        <n v="112.1"/>
        <n v="258.7"/>
        <n v="79.9"/>
        <n v="36.2"/>
        <n v="285.0"/>
        <n v="77.3"/>
        <n v="46.9"/>
        <n v="33.6"/>
        <n v="73.3"/>
        <n v="105.2"/>
        <n v="56.0"/>
        <n v="137.0"/>
        <n v="195.0"/>
        <n v="48.7"/>
        <n v="180.8"/>
        <n v="576.1"/>
        <n v="44.6"/>
        <n v="597.9"/>
        <n v="230.6"/>
        <n v="87.7"/>
        <n v="80.1"/>
        <n v="64.1"/>
        <n v="146.6"/>
        <n v="89.6"/>
        <n v="60.2"/>
        <n v="116.0"/>
        <n v="403.1"/>
        <n v="42.1"/>
        <n v="301.4"/>
        <n v="84.3"/>
        <n v="579.3"/>
        <n v="173.1"/>
        <n v="50.3"/>
        <n v="226.1"/>
        <n v="1434.5"/>
        <n v="75.7"/>
        <n v="59.4"/>
        <n v="433.9"/>
        <n v="109.9"/>
        <n v="247.4"/>
        <n v="131.7"/>
        <n v="132.0"/>
        <n v="42.2"/>
        <n v="67.3"/>
        <n v="153.5"/>
        <n v="1299.0"/>
        <n v="73.0"/>
        <n v="70.7"/>
        <n v="70.2"/>
        <n v="45.1"/>
        <n v="99.7"/>
        <n v="377.4"/>
        <n v="143.3"/>
        <n v="96.6"/>
        <n v="547.0"/>
        <n v="83.1"/>
        <n v="165.1"/>
        <n v="1341.2"/>
        <n v="39.9"/>
        <n v="156.9"/>
        <n v="51.0"/>
        <n v="151.1"/>
        <n v="98.1"/>
        <n v="521.0"/>
        <n v="79.6"/>
        <n v="103.5"/>
        <n v="21.1"/>
        <n v="602.6"/>
        <n v="203.4"/>
        <n v="59.8"/>
        <n v="37.4"/>
        <n v="261.4"/>
        <n v="202.4"/>
        <n v="52.8"/>
        <n v="285.1"/>
        <n v="2960.4"/>
        <n v="124.9"/>
        <n v="717.8"/>
        <n v="50.7"/>
        <n v="97.4"/>
        <n v="77.0"/>
        <n v="298.8"/>
        <n v="24.6"/>
        <n v="73.8"/>
        <n v="64.4"/>
        <n v="46.2"/>
        <n v="835.8"/>
        <n v="568.4"/>
        <n v="170.6"/>
        <n v="110.3"/>
        <n v="339.7"/>
        <n v="162.4"/>
        <n v="109.4"/>
        <n v="135.6"/>
        <n v="601.0"/>
        <n v="185.3"/>
        <n v="297.3"/>
        <n v="666.2"/>
        <n v="160.2"/>
        <n v="155.2"/>
        <n v="18.7"/>
        <n v="53.2"/>
        <n v="57.9"/>
        <n v="41.3"/>
        <n v="48.6"/>
        <n v="27.9"/>
        <n v="85.5"/>
        <n v="185.8"/>
        <n v="54.9"/>
        <n v="83.5"/>
        <n v="121.4"/>
        <n v="72.9"/>
        <n v="396.9"/>
        <n v="350.0"/>
        <n v="85.3"/>
        <n v="397.0"/>
        <n v="28.0"/>
        <n v="201.5"/>
        <n v="270.9"/>
        <n v="113.0"/>
        <n v="169.0"/>
        <n v="61.7"/>
        <n v="42.4"/>
        <n v="105.7"/>
        <n v="121.2"/>
        <n v="133.5"/>
        <n v="123.9"/>
        <n v="438.7"/>
        <n v="366.8"/>
        <n v="115.4"/>
        <n v="94.8"/>
        <n v="170.8"/>
        <n v="628.9"/>
        <n v="52.2"/>
        <n v="40.1"/>
        <n v="37.1"/>
        <n v="67.5"/>
        <n v="100.0"/>
        <n v="134.8"/>
        <n v="40.0"/>
        <n v="33.8"/>
        <n v="57.5"/>
        <n v="151.6"/>
        <n v="502.9"/>
        <n v="1018.9"/>
        <n v="90.3"/>
        <n v="221.1"/>
        <n v="187.3"/>
        <n v="103.4"/>
        <n v="107.4"/>
        <n v="90.4"/>
        <n v="104.7"/>
        <n v="110.7"/>
        <n v="314.8"/>
        <n v="324.1"/>
        <n v="145.0"/>
        <n v="96.8"/>
        <n v="122.9"/>
        <n v="267.0"/>
        <n v="1306.5"/>
        <n v="129.6"/>
        <n v="496.5"/>
        <n v="54.5"/>
        <n v="175.1"/>
        <n v="7.5"/>
        <n v="106.0"/>
        <n v="135.5"/>
        <n v="17.3"/>
        <n v="39.1"/>
        <n v="69.4"/>
        <n v="1352.7"/>
        <n v="191.7"/>
        <n v="43.9"/>
        <n v="160.8"/>
        <n v="55.5"/>
        <n v="78.0"/>
        <n v="306.2"/>
        <n v="289.1"/>
        <n v="373.8"/>
        <n v="361.0"/>
        <n v="92.3"/>
        <n v="360.5"/>
        <n v="185.2"/>
        <n v="34.3"/>
        <n v="960.9"/>
        <n v="1058.1"/>
        <n v="537.3"/>
        <n v="964.4"/>
        <n v="88.7"/>
        <n v="553.3"/>
        <n v="322.0"/>
        <n v="152.6"/>
        <n v="421.6"/>
        <n v="3609.0"/>
        <n v="239.7"/>
        <n v="134.3"/>
        <n v="237.9"/>
        <n v="109.6"/>
        <n v="1683.6"/>
        <n v="127.7"/>
        <n v="908.6"/>
        <n v="56.2"/>
        <n v="105.6"/>
        <n v="367.9"/>
        <n v="197.8"/>
        <n v="1340.1"/>
        <n v="14.8"/>
        <n v="112.4"/>
        <n v="64.0"/>
        <n v="153.3"/>
        <n v="115.3"/>
        <n v="119.1"/>
        <n v="210.7"/>
        <n v="653.8"/>
        <n v="1165.5"/>
        <n v="54.6"/>
        <n v="108.3"/>
        <n v="224.2"/>
        <n v="49.1"/>
        <n v="52.7"/>
        <n v="53.1"/>
        <n v="199.0"/>
        <n v="935.9"/>
        <n v="78.3"/>
        <n v="136.5"/>
        <n v="103.9"/>
        <n v="893.8"/>
        <n v="76.1"/>
        <n v="85.4"/>
        <n v="122.5"/>
        <n v="147.3"/>
        <n v="546.3"/>
        <n v="491.7"/>
        <n v="90.9"/>
        <n v="692.9"/>
        <n v="2918.0"/>
        <n v="66.1"/>
        <n v="61.6"/>
        <n v="506.7"/>
        <n v="169.2"/>
        <n v="74.7"/>
        <n v="108.9"/>
        <n v="59.7"/>
        <n v="62.7"/>
        <n v="5204.0"/>
        <n v="97.3"/>
        <n v="47.8"/>
        <n v="48.4"/>
        <n v="38.5"/>
        <n v="262.9"/>
        <n v="88.8"/>
        <n v="491.0"/>
        <n v="81.3"/>
        <n v="1304.0"/>
        <n v="181.4"/>
        <n v="72.4"/>
        <n v="1555.2"/>
        <n v="513.4"/>
        <n v="130.6"/>
        <n v="79.3"/>
        <n v="36.6"/>
        <n v="2666.4"/>
        <n v="152.9"/>
        <n v="1836.2"/>
        <n v="1164.6"/>
        <n v="177.8"/>
        <n v="121.5"/>
        <n v="74.4"/>
        <n v="709.6"/>
        <n v="124.0"/>
        <n v="279.2"/>
        <n v="84.5"/>
        <n v="96.1"/>
        <n v="100.9"/>
        <n v="854.8"/>
        <n v="825.8"/>
        <n v="350.8"/>
        <n v="130.3"/>
        <n v="148.6"/>
        <n v="269.8"/>
        <n v="300.8"/>
        <n v="868.5"/>
        <n v="592.4"/>
        <n v="75.3"/>
        <n v="60.3"/>
        <n v="1398.2"/>
        <n v="1167.0"/>
        <n v="169.8"/>
        <n v="507.8"/>
        <n v="427.8"/>
        <n v="506.1"/>
        <n v="124.6"/>
        <n v="76.4"/>
        <n v="513.2"/>
        <n v="612.9"/>
        <n v="587.5"/>
        <n v="611.1"/>
        <n v="856.9"/>
        <n v="294.8"/>
        <n v="64.3"/>
        <n v="195.8"/>
        <n v="170.4"/>
        <n v="130.8"/>
        <n v="62.6"/>
        <n v="169.9"/>
        <n v="788.4"/>
        <n v="68.9"/>
        <n v="147.7"/>
        <n v="178.7"/>
        <n v="132.8"/>
        <n v="218.0"/>
        <n v="195.4"/>
        <n v="161.1"/>
        <n v="179.9"/>
        <n v="84.6"/>
        <n v="228.3"/>
        <n v="189.8"/>
        <n v="49.2"/>
        <n v="820.1"/>
        <n v="457.9"/>
        <n v="1470.3"/>
        <n v="123.5"/>
        <n v="125.2"/>
        <n v="176.0"/>
        <n v="213.6"/>
        <n v="110.5"/>
        <n v="11.2"/>
        <n v="349.4"/>
        <n v="253.7"/>
        <n v="422.0"/>
        <n v="22.4"/>
        <n v="253.8"/>
        <n v="2082.8"/>
        <n v="188.7"/>
        <n v="253.4"/>
        <n v="235.0"/>
        <n v="95.5"/>
        <n v="1135.4"/>
        <n v="782.2"/>
        <n v="209.8"/>
        <n v="285.2"/>
        <n v="108.6"/>
        <n v="64.5"/>
        <n v="150.3"/>
        <n v="1132.9"/>
        <n v="193.3"/>
        <n v="63.1"/>
        <n v="81.5"/>
        <n v="481.2"/>
        <n v="255.4"/>
        <n v="318.5"/>
        <n v="236.2"/>
        <n v="297.6"/>
        <n v="164.4"/>
        <n v="1102.4"/>
        <n v="1242.8"/>
        <n v="78.1"/>
        <n v="34.8"/>
        <n v="48.9"/>
        <n v="601.1"/>
        <n v="160.5"/>
        <n v="86.1"/>
        <n v="92.0"/>
        <n v="130.4"/>
        <n v="324.6"/>
        <n v="60.6"/>
        <n v="115.8"/>
        <n v="277.4"/>
        <n v="614.6"/>
        <n v="244.3"/>
        <n v="160.7"/>
        <n v="405.2"/>
        <n v="275.8"/>
        <n v="79.7"/>
        <n v="2259.8"/>
        <n v="38.7"/>
        <n v="276.1"/>
        <n v="216.0"/>
        <n v="1140.5"/>
        <n v="2825.8"/>
        <n v="128.8"/>
        <n v="234.8"/>
        <n v="79.2"/>
        <n v="1221.0"/>
        <n v="91.0"/>
        <n v="88.9"/>
        <n v="383.3"/>
        <n v="2341.4"/>
        <n v="245.9"/>
        <n v="1476.9"/>
        <n v="27.6"/>
        <n v="148.9"/>
        <n v="1251.2"/>
        <n v="535.8"/>
        <n v="609.7"/>
        <n v="356.5"/>
        <n v="65.2"/>
        <n v="302.3"/>
        <n v="84.2"/>
        <n v="325.3"/>
        <n v="195.7"/>
        <n v="1210.5"/>
        <n v="61.1"/>
        <n v="125.6"/>
        <n v="388.2"/>
        <n v="204.9"/>
        <n v="798.5"/>
        <n v="87.9"/>
        <n v="126.2"/>
        <n v="126.1"/>
        <n v="54.8"/>
        <n v="795.5"/>
        <n v="59.2"/>
        <n v="75.0"/>
        <n v="2791.7"/>
        <n v="682.9"/>
        <n v="1516.8"/>
        <n v="215.6"/>
        <n v="196.4"/>
        <n v="745.5"/>
        <n v="129.1"/>
        <n v="25.3"/>
        <n v="127.9"/>
        <n v="70.9"/>
        <n v="111.1"/>
        <n v="244.0"/>
        <n v="132.9"/>
        <n v="1099.8"/>
        <n v="894.9"/>
        <n v="199.1"/>
        <n v="1847.4"/>
        <n v="93.7"/>
        <n v="1309.6"/>
        <n v="304.8"/>
        <n v="105.3"/>
        <n v="1880.3"/>
        <n v="30.6"/>
        <n v="135.2"/>
        <n v="1866.2"/>
        <n v="168.4"/>
        <n v="43.0"/>
        <n v="346.7"/>
        <n v="58.5"/>
        <n v="188.3"/>
        <n v="180.6"/>
        <n v="69.1"/>
        <n v="1523.4"/>
        <n v="146.7"/>
        <n v="152.2"/>
        <n v="421.1"/>
        <n v="400.8"/>
        <n v="99.4"/>
        <n v="110.9"/>
        <n v="154.6"/>
        <n v="53.0"/>
        <n v="356.0"/>
        <n v="93.5"/>
        <n v="127.0"/>
        <n v="133.7"/>
        <n v="181.2"/>
        <n v="1315.7"/>
        <n v="16.2"/>
        <n v="54.7"/>
        <n v="302.9"/>
        <n v="125.4"/>
        <n v="116.1"/>
        <n v="94.6"/>
        <n v="281.3"/>
        <n v="409.4"/>
        <n v="88.3"/>
        <n v="405.8"/>
        <n v="1039.9"/>
        <n v="65.1"/>
        <n v="131.5"/>
        <n v="113.4"/>
        <n v="656.4"/>
        <n v="949.9"/>
        <n v="842.7"/>
        <n v="70.5"/>
        <n v="138.6"/>
        <n v="1408.8"/>
        <n v="872.2"/>
        <n v="100.1"/>
        <n v="569.0"/>
        <n v="104.5"/>
        <n v="209.7"/>
        <n v="365.2"/>
        <n v="790.7"/>
        <n v="2458.0"/>
        <n v="132.6"/>
        <n v="279.3"/>
        <n v="323.0"/>
        <n v="122.7"/>
        <n v="182.1"/>
        <n v="152.7"/>
        <n v="91.1"/>
        <n v="399.8"/>
        <n v="76.8"/>
        <n v="145.7"/>
        <n v="132.5"/>
        <n v="210.4"/>
        <n v="266.0"/>
        <n v="75.5"/>
        <n v="58.4"/>
        <n v="381.9"/>
        <n v="78.4"/>
        <n v="802.3"/>
        <n v="650.4"/>
        <n v="453.8"/>
        <n v="551.0"/>
        <n v="938.7"/>
        <n v="233.3"/>
        <n v="67.1"/>
        <n v="254.9"/>
        <n v="373.6"/>
        <n v="383.1"/>
        <n v="98.6"/>
        <n v="258.3"/>
        <n v="72.3"/>
        <n v="352.3"/>
        <n v="69.3"/>
        <n v="102.7"/>
        <n v="161.4"/>
        <n v="772.3"/>
        <n v="175.6"/>
        <n v="1446.1"/>
        <n v="40.6"/>
        <n v="233.9"/>
        <n v="531.4"/>
        <n v="99.3"/>
        <n v="151.4"/>
        <n v="180.5"/>
        <n v="123.3"/>
        <n v="2397.4"/>
        <n v="145.5"/>
        <n v="666.4"/>
        <n v="854.7"/>
        <n v="145.3"/>
        <n v="1014.9"/>
        <n v="853.5"/>
        <n v="25.2"/>
        <n v="104.4"/>
        <n v="687.4"/>
        <n v="2707.3"/>
        <n v="19.7"/>
        <n v="56.3"/>
        <n v="225.5"/>
        <n v="85.6"/>
        <n v="9.8"/>
        <n v="80.4"/>
        <n v="15.3"/>
        <n v="277.0"/>
        <n v="128.5"/>
        <n v="81.0"/>
        <n v="27.1"/>
        <n v="50.5"/>
        <n v="94.4"/>
        <n v="235.9"/>
        <n v="193.6"/>
        <n v="127.4"/>
        <n v="123.4"/>
        <n v="60.8"/>
        <n v="82.5"/>
        <n v="45.6"/>
        <n v="50.9"/>
        <n v="296.0"/>
        <n v="223.0"/>
        <n v="334.3"/>
        <n v="45.0"/>
        <n v="231.1"/>
        <n v="162.6"/>
        <n v="63.4"/>
        <n v="76.7"/>
        <n v="366.3"/>
        <n v="84.1"/>
        <n v="315.6"/>
        <n v="79.8"/>
        <n v="63.7"/>
        <n v="172.7"/>
        <n v="492.5"/>
        <n v="80.0"/>
        <n v="80.6"/>
        <n v="344.9"/>
        <n v="34.9"/>
        <n v="141.7"/>
        <n v="302.1"/>
        <n v="56.7"/>
        <n v="113.7"/>
        <n v="93.3"/>
        <n v="271.8"/>
        <n v="10.7"/>
        <n v="44.5"/>
        <n v="30.4"/>
        <n v="235.1"/>
        <n v="13.0"/>
        <n v="166.3"/>
        <n v="487.7"/>
        <n v="242.6"/>
        <n v="112.6"/>
        <n v="21.7"/>
        <n v="454.6"/>
        <n v="87.1"/>
        <n v="37.5"/>
        <n v="103.0"/>
        <n v="143.9"/>
        <n v="107.8"/>
        <n v="62.4"/>
        <n v="117.9"/>
        <n v="73.5"/>
        <n v="162.9"/>
        <n v="66.0"/>
        <n v="186.6"/>
        <n v="1651.2"/>
        <n v="103.8"/>
        <n v="91.9"/>
        <n v="467.8"/>
        <n v="39.0"/>
        <n v="28.2"/>
        <n v="470.3"/>
        <n v="166.4"/>
        <n v="119.7"/>
        <n v="3.0"/>
        <n v="52.6"/>
        <n v="292.8"/>
        <n v="139.3"/>
        <n v="77.5"/>
        <n v="123.7"/>
        <n v="112.0"/>
        <n v="95.8"/>
        <n v="311.7"/>
        <n v="106.5"/>
        <n v="80.9"/>
        <n v="77.1"/>
        <n v="498.9"/>
        <n v="17.2"/>
        <n v="124.5"/>
        <n v="45.5"/>
        <n v="157.1"/>
        <n v="38.2"/>
        <n v="562.8"/>
        <n v="215.3"/>
        <n v="375.6"/>
        <n v="119.4"/>
        <n v="132.4"/>
        <n v="140.8"/>
        <n v="256.6"/>
        <n v="72.7"/>
        <n v="408.3"/>
        <n v="190.9"/>
        <n v="124.2"/>
        <n v="343.7"/>
        <n v="965.1"/>
        <n v="271.3"/>
        <n v="121.0"/>
        <n v="97.8"/>
        <n v="292.0"/>
        <n v="137.5"/>
        <n v="287.0"/>
        <n v="29.3"/>
        <n v="321.6"/>
        <n v="80.8"/>
        <n v="28.7"/>
        <n v="308.5"/>
        <n v="142.4"/>
        <n v="4.3"/>
        <n v="126.3"/>
      </sharedItems>
    </cacheField>
    <cacheField name="Taille_commune" numFmtId="0">
      <sharedItems>
        <s v="500 a 2 000"/>
        <s v="&lt; 500 hab."/>
        <s v="2 000 a 10 000"/>
        <s v="10 000 a 50 000"/>
        <s v="50 000 hab. et +"/>
      </sharedItems>
    </cacheField>
    <cacheField name="densité" formula="Population / Superficie_km2" databaseFiel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Y999" sheet="Analyse"/>
  </cacheSource>
  <cacheFields>
    <cacheField name="Code_EPCI" numFmtId="49">
      <sharedItems containsBlank="1">
        <s v="248000531"/>
        <s v="200071785"/>
        <s v="245901152"/>
        <s v="200040947"/>
        <s v="200068047"/>
        <s v="200044618"/>
        <s v="200090751"/>
        <s v="240200477"/>
        <s v="200043396"/>
        <s v="245901160"/>
        <s v="246200299"/>
        <s v="200072460"/>
        <s v="200068500"/>
        <s v="246200364"/>
        <s v="200070993"/>
        <s v="200042190"/>
        <s v="200072031"/>
        <s v="200067965"/>
        <s v="200069029"/>
        <s v="200067999"/>
        <s v="246200729"/>
        <s v="200030633"/>
        <s v="200043495"/>
        <s v="200069037"/>
        <s v="200071892"/>
        <s v="200070969"/>
        <s v="200043263"/>
        <s v="245900758"/>
        <s v="200069722"/>
        <s v="200071223"/>
        <s v="200044048"/>
        <s v="200072478"/>
        <s v="200071769"/>
        <s v="200070936"/>
        <s v="200041960"/>
        <s v="200071991"/>
        <s v="200066975"/>
        <s v="200071181"/>
        <s v="200070928"/>
        <s v="200067973"/>
        <s v="200071983"/>
        <s v="200018083"/>
        <s v="246000764"/>
        <s v="200070985"/>
        <s v="200068005"/>
        <s v="240200576"/>
        <s v="200037059"/>
        <s v="246000848"/>
        <s v="246000897"/>
        <s v="246200844"/>
        <s v="246200380"/>
        <s v="240200444"/>
        <s v="200044030"/>
        <s v="200069482"/>
        <s v="246000772"/>
        <s v="200040954"/>
        <s v="246000749"/>
        <s v="246000921"/>
        <s v="240200634"/>
        <s v="246000582"/>
        <s v="240200600"/>
        <s v="247600588"/>
        <s v="240200519"/>
        <s v="240200584"/>
        <s v="240200592"/>
        <s v="246000376"/>
        <s v="200070977"/>
        <s v="200069235"/>
        <s v="246000129"/>
        <s v="246000756"/>
        <s v="245901038"/>
        <s v="246000913"/>
        <s v="246201016"/>
        <s v="200043321"/>
        <s v="246000871"/>
        <s v="240200469"/>
        <s v="246000855"/>
        <s v="248000747"/>
        <s v="240200493"/>
        <s v="246000566"/>
        <s v="200035442"/>
        <s v="200043404"/>
        <s v="200069672"/>
        <s v="200070951"/>
        <s v="248000499"/>
        <s v="240200501"/>
        <s v="200040426"/>
        <s v="246000707"/>
        <s v="200070944"/>
        <s v="200033579"/>
        <s v="245900428"/>
        <s v="200093201"/>
        <m/>
      </sharedItems>
    </cacheField>
    <cacheField name="Nom_EPCI" numFmtId="0">
      <sharedItems containsBlank="1">
        <s v="CA Amiens Métropole"/>
        <s v="CA Chauny Tergnier La Fère"/>
        <s v="CA Coeur d'Ostrevent"/>
        <s v="CA Coeur de Flandre"/>
        <s v="CA Creil Sud Oise"/>
        <s v="CA Douaisis Agglo"/>
        <s v="CA Grand Calais Terres et Mers"/>
        <s v="CA GrandSoissons Agglomération"/>
        <s v="CA Maubeuge Val de Sambre"/>
        <s v="CA Valenciennes Métropole"/>
        <s v="CA d'Hénin-Carvin"/>
        <s v="CA de Béthune-Bruay, Artois-Lys Romane"/>
        <s v="CA de Cambrai"/>
        <s v="CA de Lens - Liévin"/>
        <s v="CA de la Baie de Somme"/>
        <s v="CA de la Porte du Hainaut"/>
        <s v="CA de la Région de Château-Thierry"/>
        <s v="CA de la Région de Compiègne et de la Basse Automne"/>
        <s v="CA des Deux Baies en Montreuillois"/>
        <s v="CA du Beauvaisis"/>
        <s v="CA du Boulonnais"/>
        <s v="CA du Caudrésis et du Catésis"/>
        <s v="CA du Pays de Laon"/>
        <s v="CA du Pays de Saint-Omer"/>
        <s v="CA du Saint-Quentinois"/>
        <s v="CC Avre Luce Noye"/>
        <s v="CC Coeur de l'Avesnois"/>
        <s v="CC Flandre Lys"/>
        <s v="CC Interrégionale Aumale - Blangy-sur-Bresle"/>
        <s v="CC Nièvre et Somme"/>
        <s v="CC Osartis Marquion"/>
        <s v="CC Pays d'Opale"/>
        <s v="CC Picardie des Châteaux"/>
        <s v="CC Ponthieu-Marquenterre"/>
        <s v="CC Pévèle-Carembault"/>
        <s v="CC Retz en Valois"/>
        <s v="CC Senlis Sud Oise"/>
        <s v="CC Somme Sud-Ouest"/>
        <s v="CC Terre de Picardie"/>
        <s v="CC Thelloise"/>
        <s v="CC Thiérache Sambre et Oise"/>
        <s v="CC de Desvres-Samer"/>
        <s v="CC de l'Aire Cantilienne"/>
        <s v="CC de l'Est de la Somme"/>
        <s v="CC de l'Oise Picarde"/>
        <s v="CC de la Champagne Picarde"/>
        <s v="CC de la Haute Somme (Combles - Péronne - Roisel)"/>
        <s v="CC de la Picardie Verte"/>
        <s v="CC de la Plaine d'Estrées"/>
        <s v="CC de la Région d'Audruicq"/>
        <s v="CC de la Terre des Deux Caps"/>
        <s v="CC de la Thiérache du Centre"/>
        <s v="CC des 7 Vallées"/>
        <s v="CC des Campagnes de l'Artois"/>
        <s v="CC des Deux Vallées"/>
        <s v="CC des Hauts de Flandre"/>
        <s v="CC des Lisières de l'Oise"/>
        <s v="CC des Pays d'Oise et d'Halatte"/>
        <s v="CC des Portes de la Thiérache"/>
        <s v="CC des Sablons"/>
        <s v="CC des Trois Rivières"/>
        <s v="CC des Villes Soeurs"/>
        <s v="CC du Canton d'Oulchy-le-Château"/>
        <s v="CC du Canton de Charly-sur-Marne"/>
        <s v="CC du Chemin des Dames"/>
        <s v="CC du Clermontois"/>
        <s v="CC du Grand Roye"/>
        <s v="CC du Haut Pays du Montreuillois"/>
        <s v="CC du Liancourtois"/>
        <s v="CC du Pays Noyonnais"/>
        <s v="CC du Pays Solesmois"/>
        <s v="CC du Pays de Bray"/>
        <s v="CC du Pays de Lumbres"/>
        <s v="CC du Pays de Mormal"/>
        <s v="CC du Pays de Valois"/>
        <s v="CC du Pays de la Serre"/>
        <s v="CC du Pays des Sources"/>
        <s v="CC du Pays du Coquelicot"/>
        <s v="CC du Pays du Vermandois"/>
        <s v="CC du Plateau Picard"/>
        <s v="CC du Sud Artois"/>
        <s v="CC du Sud Avesnois"/>
        <s v="CC du Ternois"/>
        <s v="CC du Territoire Nord Picardie"/>
        <s v="CC du Val de Somme"/>
        <s v="CC du Val de l'Aisne"/>
        <s v="CC du Val de l'Oise"/>
        <s v="CC du Vexin-Thelle"/>
        <s v="CC du Vimeu"/>
        <s v="CU d'Arras"/>
        <s v="CU de Dunkerque"/>
        <s v="Métropole Européenne de Lille"/>
        <m/>
      </sharedItems>
    </cacheField>
    <cacheField name="taux de pauvreté " numFmtId="0">
      <sharedItems containsString="0" containsBlank="1" containsNumber="1">
        <n v="23.5"/>
        <n v="21.6"/>
        <n v="21.1"/>
        <n v="11.1"/>
        <n v="33.5"/>
        <n v="22.4"/>
        <n v="23.0"/>
        <n v="23.9"/>
        <n v="28.6"/>
        <n v="25.0"/>
        <n v="23.3"/>
        <n v="19.4"/>
        <n v="17.6"/>
        <n v="25.3"/>
        <n v="18.5"/>
        <n v="23.6"/>
        <n v="17.0"/>
        <n v="16.3"/>
        <n v="13.7"/>
        <n v="19.2"/>
        <n v="20.6"/>
        <n v="22.3"/>
        <n v="24.0"/>
        <n v="10.3"/>
        <n v="20.9"/>
        <n v="11.6"/>
        <n v="14.0"/>
        <n v="13.0"/>
        <n v="10.6"/>
        <n v="14.7"/>
        <n v="16.0"/>
        <n v="14.2"/>
        <n v="8.0"/>
        <n v="8.8"/>
        <n v="12.5"/>
        <n v="8.1"/>
        <n v="14.1"/>
        <n v="7.1"/>
        <n v="13.4"/>
        <n v="12.7"/>
        <n v="17.2"/>
        <n v="13.6"/>
        <n v="7.0"/>
        <n v="12.0"/>
        <n v="13.8"/>
        <n v="19.3"/>
        <n v="17.9"/>
        <n v="10.1"/>
        <n v="11.8"/>
        <n v="10.0"/>
        <n v="26.0"/>
        <n v="14.9"/>
        <n v="11.0"/>
        <n v="16.9"/>
        <n v="20.1"/>
        <n v="15.0"/>
        <n v="12.8"/>
        <n v="14.3"/>
        <n v="9.0"/>
        <n v="18.2"/>
        <n v="11.5"/>
        <n v="13.5"/>
        <n v="29.7"/>
        <n v="18.9"/>
        <n v="13.9"/>
        <n v="9.6"/>
        <n v="16.5"/>
        <n v="20.3"/>
        <n v="21.4"/>
        <m/>
      </sharedItems>
    </cacheField>
    <cacheField name="nb de territoire" numFmtId="0">
      <sharedItems containsString="0" containsBlank="1" containsNumber="1" containsInteger="1">
        <n v="39.0"/>
        <n v="48.0"/>
        <n v="20.0"/>
        <n v="50.0"/>
        <n v="11.0"/>
        <n v="35.0"/>
        <n v="14.0"/>
        <n v="27.0"/>
        <n v="43.0"/>
        <n v="100.0"/>
        <n v="55.0"/>
        <n v="36.0"/>
        <n v="47.0"/>
        <n v="87.0"/>
        <n v="22.0"/>
        <n v="46.0"/>
        <n v="53.0"/>
        <n v="38.0"/>
        <n v="8.0"/>
        <n v="10.0"/>
        <n v="49.0"/>
        <n v="23.0"/>
        <n v="70.0"/>
        <n v="54.0"/>
        <n v="17.0"/>
        <n v="119.0"/>
        <n v="41.0"/>
        <n v="31.0"/>
        <n v="52.0"/>
        <n v="60.0"/>
        <n v="88.0"/>
        <n v="19.0"/>
        <n v="15.0"/>
        <n v="21.0"/>
        <n v="68.0"/>
        <n v="66.0"/>
        <n v="96.0"/>
        <n v="16.0"/>
        <n v="40.0"/>
        <n v="30.0"/>
        <n v="26.0"/>
        <n v="13.0"/>
        <n v="18.0"/>
        <n v="62.0"/>
        <n v="42.0"/>
        <n v="65.0"/>
        <n v="64.0"/>
        <n v="12.0"/>
        <n v="103.0"/>
        <n v="33.0"/>
        <n v="56.0"/>
        <n v="32.0"/>
        <n v="37.0"/>
        <n v="25.0"/>
        <n v="95.0"/>
        <m/>
      </sharedItems>
    </cacheField>
    <cacheField name="Superficie en km" numFmtId="1">
      <sharedItems containsString="0" containsBlank="1" containsNumber="1">
        <n v="351.46999999999997"/>
        <n v="385.08000000000004"/>
        <n v="138.29999999999998"/>
        <n v="633.92"/>
        <n v="83.60999999999999"/>
        <n v="235.58000000000004"/>
        <n v="188.92"/>
        <n v="180.99999999999997"/>
        <n v="344.37999999999994"/>
        <n v="262.84999999999997"/>
        <n v="111.99"/>
        <n v="646.3"/>
        <n v="411.73999999999995"/>
        <n v="239.57999999999996"/>
        <n v="398.5"/>
        <n v="372.19"/>
        <n v="888.39"/>
        <n v="264.64"/>
        <n v="403.2200000000001"/>
        <n v="540.8600000000001"/>
        <n v="205.28"/>
        <n v="373.19000000000005"/>
        <n v="318.05999999999995"/>
        <n v="544.86"/>
        <n v="294.79999999999995"/>
        <n v="386.9099999999999"/>
        <n v="417.8299999999999"/>
        <n v="127.04"/>
        <n v="86.44999999999999"/>
        <n v="314.11"/>
        <n v="331.61"/>
        <n v="190.63"/>
        <n v="292.57"/>
        <n v="780.0000000000002"/>
        <n v="310.94000000000005"/>
        <n v="537.2000000000003"/>
        <n v="204.37999999999997"/>
        <n v="912.5099999999998"/>
        <n v="297.82000000000005"/>
        <n v="315.14000000000004"/>
        <n v="331.97999999999996"/>
        <n v="247.38"/>
        <n v="149.89999999999998"/>
        <n v="266.21999999999997"/>
        <n v="397.27"/>
        <n v="582.7599999999999"/>
        <n v="464.56"/>
        <n v="632.9800000000002"/>
        <n v="166.72000000000003"/>
        <n v="220.61"/>
        <n v="183.84999999999997"/>
        <n v="726.6600000000003"/>
        <n v="499.5800000000001"/>
        <n v="555.9200000000001"/>
        <n v="114.13999999999999"/>
        <n v="448.54"/>
        <n v="211.15"/>
        <n v="139.94999999999996"/>
        <n v="258.11"/>
        <n v="226.92"/>
        <n v="349.93"/>
        <n v="84.31"/>
        <n v="232.10000000000002"/>
        <n v="236.51999999999995"/>
        <n v="179.31"/>
        <n v="148.48000000000005"/>
        <n v="398.8000000000001"/>
        <n v="422.0899999999999"/>
        <n v="48.830000000000005"/>
        <n v="267.53"/>
        <n v="117.19000000000001"/>
        <n v="246.40999999999997"/>
        <n v="271.09999999999997"/>
        <n v="466.44000000000005"/>
        <n v="617.9599999999999"/>
        <n v="431.46999999999997"/>
        <n v="353.18"/>
        <n v="466.13"/>
        <n v="450.1699999999999"/>
        <n v="440.41"/>
        <n v="426.2"/>
        <n v="179.04000000000002"/>
        <n v="635.4800000000001"/>
        <n v="539.74"/>
        <n v="247.07999999999998"/>
        <n v="396.5599999999999"/>
        <n v="328.37"/>
        <n v="314.68999999999994"/>
        <n v="189.65999999999997"/>
        <n v="306.66"/>
        <n v="300.98"/>
        <n v="672.78"/>
        <m/>
      </sharedItems>
    </cacheField>
    <cacheField name="population 2023" numFmtId="0">
      <sharedItems containsString="0" containsBlank="1" containsNumber="1" containsInteger="1">
        <n v="184392.0"/>
        <n v="54027.0"/>
        <n v="69764.0"/>
        <n v="102743.0"/>
        <n v="90234.0"/>
        <n v="149282.0"/>
        <n v="98895.0"/>
        <n v="51809.0"/>
        <n v="122247.0"/>
        <n v="191738.0"/>
        <n v="125793.0"/>
        <n v="275028.0"/>
        <n v="80120.0"/>
        <n v="242013.0"/>
        <n v="47572.0"/>
        <n v="158419.0"/>
        <n v="54040.0"/>
        <n v="83992.0"/>
        <n v="64943.0"/>
        <n v="103106.0"/>
        <n v="111647.0"/>
        <n v="62870.0"/>
        <n v="41835.0"/>
        <n v="104207.0"/>
        <n v="79010.0"/>
        <n v="21385.0"/>
        <n v="28503.0"/>
        <n v="40306.0"/>
        <n v="21154.0"/>
        <n v="27658.0"/>
        <n v="42999.0"/>
        <n v="25148.0"/>
        <n v="16523.0"/>
        <n v="32495.0"/>
        <n v="99749.0"/>
        <n v="29037.0"/>
        <n v="24968.0"/>
        <n v="37863.0"/>
        <n v="17968.0"/>
        <n v="61824.0"/>
        <n v="16257.0"/>
        <n v="23211.0"/>
        <n v="44610.0"/>
        <n v="19637.0"/>
        <n v="20928.0"/>
        <n v="20865.0"/>
        <n v="26393.0"/>
        <n v="32039.0"/>
        <n v="18131.0"/>
        <n v="28202.0"/>
        <n v="22357.0"/>
        <n v="25590.0"/>
        <n v="29526.0"/>
        <n v="33442.0"/>
        <n v="22523.0"/>
        <n v="53437.0"/>
        <n v="15898.0"/>
        <n v="34469.0"/>
        <n v="6622.0"/>
        <n v="38351.0"/>
        <n v="20346.0"/>
        <n v="35390.0"/>
        <n v="5512.0"/>
        <n v="15224.0"/>
        <n v="5505.0"/>
        <n v="37535.0"/>
        <n v="25273.0"/>
        <n v="15781.0"/>
        <n v="23801.0"/>
        <n v="31901.0"/>
        <n v="14470.0"/>
        <n v="18086.0"/>
        <n v="24109.0"/>
        <n v="48048.0"/>
        <n v="55548.0"/>
        <n v="14337.0"/>
        <n v="22081.0"/>
        <n v="27713.0"/>
        <n v="30577.0"/>
        <n v="29412.0"/>
        <n v="26962.0"/>
        <n v="24208.0"/>
        <n v="36913.0"/>
        <n v="30685.0"/>
        <n v="26314.0"/>
        <n v="20310.0"/>
        <n v="15838.0"/>
        <n v="20462.0"/>
        <n v="22072.0"/>
        <n v="109884.0"/>
        <n v="191478.0"/>
        <n v="1195234.0"/>
        <m/>
      </sharedItems>
    </cacheField>
    <cacheField name="niveau de vie médian" numFmtId="0">
      <sharedItems containsString="0" containsBlank="1" containsNumber="1" containsInteger="1">
        <n v="23640.0"/>
        <n v="22590.0"/>
        <n v="22340.0"/>
        <n v="25990.0"/>
        <n v="19250.0"/>
        <n v="22540.0"/>
        <n v="22150.0"/>
        <n v="22560.0"/>
        <n v="20580.0"/>
        <n v="22000.0"/>
        <n v="21790.0"/>
        <n v="22990.0"/>
        <n v="23780.0"/>
        <n v="21190.0"/>
        <n v="23410.0"/>
        <n v="21900.0"/>
        <n v="24320.0"/>
        <n v="25950.0"/>
        <n v="25280.0"/>
        <n v="24370.0"/>
        <n v="22740.0"/>
        <n v="21850.0"/>
        <n v="23010.0"/>
        <n v="23440.0"/>
        <n v="22260.0"/>
        <n v="26230.0"/>
        <n v="22920.0"/>
        <n v="25980.0"/>
        <n v="23850.0"/>
        <n v="24700.0"/>
        <n v="25860.0"/>
        <n v="24080.0"/>
        <n v="24100.0"/>
        <n v="24290.0"/>
        <n v="29620.0"/>
        <n v="25030.0"/>
        <n v="31670.0"/>
        <n v="25250.0"/>
        <n v="23790.0"/>
        <n v="27960.0"/>
        <n v="21700.0"/>
        <n v="24030.0"/>
        <n v="34810.0"/>
        <n v="23140.0"/>
        <n v="24840.0"/>
        <n v="24780.0"/>
        <n v="23420.0"/>
        <n v="24540.0"/>
        <n v="28230.0"/>
        <n v="25520.0"/>
        <n v="22900.0"/>
        <n v="23150.0"/>
        <n v="26140.0"/>
        <n v="25850.0"/>
        <n v="26130.0"/>
        <n v="26930.0"/>
        <n v="27230.0"/>
        <n v="21250.0"/>
        <n v="26310.0"/>
        <n v="20630.0"/>
        <n v="24010.0"/>
        <n v="25290.0"/>
        <n v="25680.0"/>
        <n v="25190.0"/>
        <n v="26840.0"/>
        <n v="23630.0"/>
        <n v="23240.0"/>
        <n v="25840.0"/>
        <n v="24330.0"/>
        <n v="25560.0"/>
        <n v="25710.0"/>
        <n v="28270.0"/>
        <n v="23550.0"/>
        <n v="27170.0"/>
        <n v="24530.0"/>
        <n v="23320.0"/>
        <n v="25350.0"/>
        <n v="24390.0"/>
        <n v="20100.0"/>
        <n v="23180.0"/>
        <n v="24940.0"/>
        <n v="26250.0"/>
        <n v="25120.0"/>
        <n v="24580.0"/>
        <n v="28390.0"/>
        <n v="23690.0"/>
        <n v="25670.0"/>
        <n v="23270.0"/>
        <n v="24430.0"/>
        <m/>
      </sharedItems>
    </cacheField>
    <cacheField name="l'évolution de la population en %" numFmtId="164">
      <sharedItems containsString="0" containsBlank="1" containsNumber="1">
        <n v="0.01939346609397371"/>
        <n v="-0.02670886778832806"/>
        <n v="-0.017100510291841065"/>
        <n v="0.004584253915108572"/>
        <n v="0.04124830994968637"/>
        <n v="1.607695502471832E-4"/>
        <n v="-0.06445219677435664"/>
        <n v="-0.010017564515817715"/>
        <n v="-0.027845264096460445"/>
        <n v="-0.004464425413845978"/>
        <n v="-3.338818535212611E-4"/>
        <n v="-0.006788399726573294"/>
        <n v="-0.022291562656015975"/>
        <n v="3.264287455632549E-4"/>
        <n v="-0.03403262423274195"/>
        <n v="-0.0021146453392585484"/>
        <n v="-0.005162842339008142"/>
        <n v="0.020370987713115535"/>
        <n v="-0.021418782624763252"/>
        <n v="0.004839679553081295"/>
        <n v="-0.014008437306868972"/>
        <n v="-0.03135040559885478"/>
        <n v="-0.025074698219194454"/>
        <n v="-0.014739892713541317"/>
        <n v="-0.022414884191874446"/>
        <n v="-0.02253916296469488"/>
        <n v="-0.057888643300705186"/>
        <n v="0.02250285317322483"/>
        <n v="-0.02514890800794176"/>
        <n v="-0.02147660712994432"/>
        <n v="0.019721388869508593"/>
        <n v="-0.0015508191506282806"/>
        <n v="-0.05186709435332567"/>
        <n v="-0.019972303431297123"/>
        <n v="0.04466210187570803"/>
        <n v="-0.020869924578985434"/>
        <n v="0.05010413329061198"/>
        <n v="-0.02427171645141695"/>
        <n v="-0.022428762243989313"/>
        <n v="0.017096920289855072"/>
        <n v="-0.04096696807529064"/>
        <n v="0.004480634182068847"/>
        <n v="-0.0049540461779869985"/>
        <n v="-0.03839690380404339"/>
        <n v="-0.011228975535168195"/>
        <n v="-0.002779774742391565"/>
        <n v="-0.03948016519531694"/>
        <n v="-0.02780985673710166"/>
        <n v="0.015553471954111742"/>
        <n v="0.030919792922487768"/>
        <n v="0.0066198506060741605"/>
        <n v="-0.033528722157092614"/>
        <n v="-0.006875296348980559"/>
        <n v="0.0012858082650559178"/>
        <n v="-0.01789282067220175"/>
        <n v="1.871362539064693E-5"/>
        <n v="-0.0241539816329098"/>
        <n v="0.01943775566451014"/>
        <n v="-0.056931440652370886"/>
        <n v="-7.300983025214467E-4"/>
        <n v="-0.045463481765457586"/>
        <n v="-0.061034190449279456"/>
        <n v="-0.029571843251088536"/>
        <n v="-0.03389385181292696"/>
        <n v="0.0038147138964577656"/>
        <n v="0.010656720394298654"/>
        <n v="-0.020970996715862777"/>
        <n v="0.0025346936189088146"/>
        <n v="0.005924120835259023"/>
        <n v="-0.033321839440769885"/>
        <n v="-0.030269523151347615"/>
        <n v="-0.011666482362047993"/>
        <n v="-0.005765481770293251"/>
        <n v="-0.00817932067932068"/>
        <n v="-0.0033304529416000577"/>
        <n v="-0.01590290855827579"/>
        <n v="-0.0010416194918708391"/>
        <n v="-0.025367156208277702"/>
        <n v="-0.020603721751643392"/>
        <n v="-0.028457772337821298"/>
        <n v="-0.01832208293153327"/>
        <n v="-0.04122604097818903"/>
        <n v="-0.03930864465093598"/>
        <n v="-0.024930747922437674"/>
        <n v="-0.011058751995135669"/>
        <n v="0.0012801575578532743"/>
        <n v="-0.01546912488950625"/>
        <n v="0.007037435245821523"/>
        <n v="-0.03320949619427329"/>
        <n v="0.019302173200829966"/>
        <n v="-0.028321791537408998"/>
        <n v="0.02058509045090752"/>
        <m/>
      </sharedItems>
    </cacheField>
    <cacheField name="Nombre de personnes pauvres " numFmtId="1">
      <sharedItems containsString="0" containsBlank="1" containsNumber="1">
        <n v="43332.12"/>
        <n v="11669.832000000002"/>
        <n v="14720.204000000002"/>
        <n v="11404.473"/>
        <n v="30228.39"/>
        <n v="33439.168"/>
        <n v="22745.85"/>
        <n v="12382.350999999999"/>
        <n v="34962.642"/>
        <n v="47934.5"/>
        <n v="29309.769"/>
        <n v="53355.43199999999"/>
        <n v="14101.12"/>
        <n v="61229.289000000004"/>
        <n v="8800.82"/>
        <n v="37386.884000000005"/>
        <n v="9186.8"/>
        <n v="13690.696000000002"/>
        <n v="8897.190999999999"/>
        <n v="19796.352"/>
        <n v="22999.282000000003"/>
        <n v="14020.01"/>
        <n v="9371.039999999999"/>
        <n v="18340.432"/>
        <n v="18962.4"/>
        <n v="2202.655"/>
        <n v="5957.1269999999995"/>
        <n v="4675.496"/>
        <n v="2961.56"/>
        <n v="3595.54"/>
        <n v="4557.893999999999"/>
        <n v="3696.756"/>
        <n v="2643.68"/>
        <n v="4614.29"/>
        <n v="7979.92"/>
        <n v="3774.81"/>
        <n v="2197.184"/>
        <n v="4732.875"/>
        <n v="2874.88"/>
        <n v="5007.744"/>
        <n v="3901.68"/>
        <n v="3272.7509999999997"/>
        <n v="3167.31"/>
        <n v="3338.29"/>
        <n v="2804.3520000000003"/>
        <n v="2649.855"/>
        <n v="4539.596"/>
        <n v="4357.304"/>
        <n v="1269.17"/>
        <n v="3384.24"/>
        <n v="3085.2660000000005"/>
        <n v="4938.87"/>
        <n v="5285.153999999999"/>
        <n v="3377.6420000000003"/>
        <n v="2657.7140000000004"/>
        <n v="5504.011000000001"/>
        <n v="1589.8"/>
        <n v="3826.0589999999997"/>
        <n v="1589.28"/>
        <n v="4870.576999999999"/>
        <n v="5289.96"/>
        <n v="5273.11"/>
        <n v="551.2"/>
        <n v="1826.88"/>
        <n v="715.65"/>
        <n v="4128.85"/>
        <n v="4271.137"/>
        <n v="2682.77"/>
        <n v="3094.13"/>
        <n v="6412.101000000001"/>
        <n v="2170.5"/>
        <n v="2170.32"/>
        <n v="3085.952"/>
        <n v="6870.8640000000005"/>
        <n v="4443.84"/>
        <n v="2150.55"/>
        <n v="1987.29"/>
        <n v="3907.533"/>
        <n v="5565.014"/>
        <n v="3382.38"/>
        <n v="3639.87"/>
        <n v="7189.776"/>
        <n v="6976.557"/>
        <n v="4265.215"/>
        <n v="2526.144"/>
        <n v="2437.2"/>
        <n v="2217.32"/>
        <n v="1432.34"/>
        <n v="3112.152"/>
        <n v="18130.86"/>
        <n v="38870.034"/>
        <n v="255780.07599999997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CD" cacheId="0" dataCaption="" compact="0" compactData="0">
  <location ref="A1:D94" firstHeaderRow="0" firstDataRow="3" firstDataCol="0"/>
  <pivotFields>
    <pivotField name="Code_INSE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t="default"/>
      </items>
    </pivotField>
    <pivotField name="Commu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t="default"/>
      </items>
    </pivotField>
    <pivotField name="Departement" compact="0" outline="0" multipleItemSelectionAllowed="1" showAll="0">
      <items>
        <item x="0"/>
        <item x="1"/>
        <item x="2"/>
        <item x="3"/>
        <item x="4"/>
        <item t="default"/>
      </items>
    </pivotField>
    <pivotField name="EPCI" axis="axisRow" compact="0" outline="0" multipleItemSelectionAllowed="1" showAll="0" sortType="ascending" defaultSubtotal="0">
      <items>
        <item x="88"/>
        <item x="0"/>
        <item x="26"/>
        <item x="30"/>
        <item x="57"/>
        <item x="75"/>
        <item x="69"/>
        <item x="20"/>
        <item x="77"/>
        <item x="21"/>
        <item x="14"/>
        <item x="49"/>
        <item x="58"/>
        <item x="64"/>
        <item x="25"/>
        <item x="43"/>
        <item x="74"/>
        <item x="33"/>
        <item x="15"/>
        <item x="63"/>
        <item x="11"/>
        <item x="76"/>
        <item x="1"/>
        <item x="22"/>
        <item x="28"/>
        <item x="83"/>
        <item x="32"/>
        <item x="68"/>
        <item x="48"/>
        <item x="19"/>
        <item x="39"/>
        <item x="3"/>
        <item x="86"/>
        <item x="37"/>
        <item x="50"/>
        <item x="73"/>
        <item x="70"/>
        <item x="17"/>
        <item x="66"/>
        <item x="62"/>
        <item x="54"/>
        <item x="34"/>
        <item x="51"/>
        <item x="46"/>
        <item x="13"/>
        <item x="44"/>
        <item x="12"/>
        <item x="87"/>
        <item x="9"/>
        <item x="18"/>
        <item x="5"/>
        <item x="41"/>
        <item x="89"/>
        <item x="65"/>
        <item x="53"/>
        <item x="55"/>
        <item x="2"/>
        <item x="61"/>
        <item x="31"/>
        <item x="40"/>
        <item x="45"/>
        <item x="79"/>
        <item x="16"/>
        <item x="47"/>
        <item x="35"/>
        <item x="42"/>
        <item x="59"/>
        <item x="27"/>
        <item x="71"/>
        <item x="81"/>
        <item x="6"/>
        <item x="7"/>
        <item x="90"/>
        <item x="56"/>
        <item x="80"/>
        <item x="36"/>
        <item x="91"/>
        <item x="84"/>
        <item x="72"/>
        <item x="67"/>
        <item x="23"/>
        <item x="10"/>
        <item x="82"/>
        <item x="8"/>
        <item x="52"/>
        <item x="85"/>
        <item x="78"/>
        <item x="38"/>
        <item x="4"/>
        <item x="60"/>
        <item x="29"/>
        <item x="24"/>
      </items>
    </pivotField>
    <pivotField name="Code_EPCI" axis="axisRow" compact="0" outline="0" multipleItemSelectionAllowed="1" showAll="0" sortType="ascending">
      <items>
        <item x="68"/>
        <item x="33"/>
        <item x="60"/>
        <item x="59"/>
        <item x="86"/>
        <item x="7"/>
        <item x="30"/>
        <item x="34"/>
        <item x="23"/>
        <item x="21"/>
        <item x="32"/>
        <item x="31"/>
        <item x="22"/>
        <item x="27"/>
        <item x="15"/>
        <item x="66"/>
        <item x="72"/>
        <item x="25"/>
        <item x="52"/>
        <item x="49"/>
        <item x="38"/>
        <item x="43"/>
        <item x="39"/>
        <item x="57"/>
        <item x="20"/>
        <item x="64"/>
        <item x="63"/>
        <item x="65"/>
        <item x="62"/>
        <item x="71"/>
        <item x="91"/>
        <item x="78"/>
        <item x="82"/>
        <item x="80"/>
        <item x="81"/>
        <item x="83"/>
        <item x="89"/>
        <item x="19"/>
        <item x="77"/>
        <item x="85"/>
        <item x="84"/>
        <item x="10"/>
        <item x="0"/>
        <item x="11"/>
        <item x="4"/>
        <item x="8"/>
        <item x="14"/>
        <item x="69"/>
        <item x="67"/>
        <item x="76"/>
        <item x="24"/>
        <item x="17"/>
        <item x="2"/>
        <item x="1"/>
        <item x="16"/>
        <item x="6"/>
        <item x="9"/>
        <item x="3"/>
        <item x="18"/>
        <item x="5"/>
        <item x="12"/>
        <item x="13"/>
        <item x="29"/>
        <item x="36"/>
        <item x="35"/>
        <item x="26"/>
        <item x="28"/>
        <item x="53"/>
        <item x="41"/>
        <item x="42"/>
        <item x="44"/>
        <item x="56"/>
        <item x="51"/>
        <item sd="0" x="47"/>
        <item x="48"/>
        <item x="54"/>
        <item x="37"/>
        <item x="45"/>
        <item x="40"/>
        <item x="50"/>
        <item x="55"/>
        <item x="46"/>
        <item x="75"/>
        <item x="58"/>
        <item x="70"/>
        <item x="74"/>
        <item x="73"/>
        <item x="61"/>
        <item x="87"/>
        <item x="90"/>
        <item sd="0" x="88"/>
        <item x="79"/>
        <item t="default"/>
      </items>
    </pivotField>
    <pivotField name="Populat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t="default"/>
      </items>
    </pivotField>
    <pivotField name="Superficie_km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t="default"/>
      </items>
    </pivotField>
    <pivotField name="Densite_hab_km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t="default"/>
      </items>
    </pivotField>
    <pivotField name="Taille_commune" compact="0" outline="0" multipleItemSelectionAllowed="1" showAll="0">
      <items>
        <item x="0"/>
        <item x="1"/>
        <item x="2"/>
        <item x="3"/>
        <item x="4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3"/>
    <field x="4"/>
  </rowFields>
  <colFields>
    <field x="-2"/>
  </colFields>
  <dataFields>
    <dataField name="SUM of Population" fld="5" baseField="0"/>
    <dataField name="SUM of densité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38"/>
    <col customWidth="1" min="2" max="2" width="24.5"/>
    <col customWidth="1" min="3" max="3" width="12.25"/>
    <col customWidth="1" min="4" max="4" width="32.38"/>
    <col customWidth="1" min="5" max="5" width="10.5"/>
    <col customWidth="1" min="6" max="6" width="11.38"/>
    <col customWidth="1" min="7" max="7" width="14.88"/>
    <col customWidth="1" min="8" max="8" width="15.75"/>
    <col customWidth="1" min="9" max="9" width="14.88"/>
  </cols>
  <sheetData>
    <row r="1">
      <c r="A1" s="1" t="s">
        <v>0</v>
      </c>
      <c r="B1" s="1" t="s">
        <v>1</v>
      </c>
      <c r="C1" s="1" t="s">
        <v>2</v>
      </c>
      <c r="D1" s="1" t="s">
        <v>5</v>
      </c>
      <c r="E1" s="1" t="s">
        <v>8</v>
      </c>
      <c r="F1" s="1" t="s">
        <v>10</v>
      </c>
      <c r="G1" s="1" t="s">
        <v>13</v>
      </c>
      <c r="H1" s="1" t="s">
        <v>16</v>
      </c>
      <c r="I1" s="1" t="s">
        <v>18</v>
      </c>
    </row>
    <row r="2">
      <c r="A2" s="2" t="s">
        <v>9</v>
      </c>
      <c r="B2" s="2" t="s">
        <v>11</v>
      </c>
      <c r="C2" s="2" t="s">
        <v>12</v>
      </c>
      <c r="D2" s="2" t="s">
        <v>22</v>
      </c>
      <c r="E2" s="2" t="s">
        <v>23</v>
      </c>
      <c r="F2" s="2">
        <v>518.0</v>
      </c>
      <c r="G2" s="2">
        <v>5.98</v>
      </c>
      <c r="H2" s="2">
        <v>86.6</v>
      </c>
      <c r="I2" s="2" t="s">
        <v>27</v>
      </c>
    </row>
    <row r="3">
      <c r="A3" s="2" t="s">
        <v>14</v>
      </c>
      <c r="B3" s="2" t="s">
        <v>15</v>
      </c>
      <c r="C3" s="2" t="s">
        <v>12</v>
      </c>
      <c r="D3" s="2" t="s">
        <v>22</v>
      </c>
      <c r="E3" s="2" t="s">
        <v>23</v>
      </c>
      <c r="F3" s="2">
        <v>584.0</v>
      </c>
      <c r="G3" s="2">
        <v>6.95</v>
      </c>
      <c r="H3" s="2">
        <v>84.0</v>
      </c>
      <c r="I3" s="2" t="s">
        <v>27</v>
      </c>
    </row>
    <row r="4">
      <c r="A4" s="2" t="s">
        <v>17</v>
      </c>
      <c r="B4" s="2" t="s">
        <v>19</v>
      </c>
      <c r="C4" s="2" t="s">
        <v>12</v>
      </c>
      <c r="D4" s="2" t="s">
        <v>35</v>
      </c>
      <c r="E4" s="2" t="s">
        <v>36</v>
      </c>
      <c r="F4" s="2">
        <v>1004.0</v>
      </c>
      <c r="G4" s="2">
        <v>11.55</v>
      </c>
      <c r="H4" s="2">
        <v>86.9</v>
      </c>
      <c r="I4" s="2" t="s">
        <v>27</v>
      </c>
    </row>
    <row r="5">
      <c r="A5" s="2" t="s">
        <v>39</v>
      </c>
      <c r="B5" s="2" t="s">
        <v>41</v>
      </c>
      <c r="C5" s="2" t="s">
        <v>12</v>
      </c>
      <c r="D5" s="2" t="s">
        <v>43</v>
      </c>
      <c r="E5" s="2" t="s">
        <v>44</v>
      </c>
      <c r="F5" s="2">
        <v>189.0</v>
      </c>
      <c r="G5" s="2">
        <v>10.72</v>
      </c>
      <c r="H5" s="2">
        <v>17.6</v>
      </c>
      <c r="I5" s="2" t="s">
        <v>47</v>
      </c>
    </row>
    <row r="6">
      <c r="A6" s="2" t="s">
        <v>48</v>
      </c>
      <c r="B6" s="2" t="s">
        <v>50</v>
      </c>
      <c r="C6" s="2" t="s">
        <v>12</v>
      </c>
      <c r="D6" s="2" t="s">
        <v>52</v>
      </c>
      <c r="E6" s="2" t="s">
        <v>53</v>
      </c>
      <c r="F6" s="2">
        <v>417.0</v>
      </c>
      <c r="G6" s="2">
        <v>10.61</v>
      </c>
      <c r="H6" s="2">
        <v>39.3</v>
      </c>
      <c r="I6" s="2" t="s">
        <v>47</v>
      </c>
    </row>
    <row r="7">
      <c r="A7" s="2" t="s">
        <v>56</v>
      </c>
      <c r="B7" s="2" t="s">
        <v>57</v>
      </c>
      <c r="C7" s="2" t="s">
        <v>12</v>
      </c>
      <c r="D7" s="2" t="s">
        <v>58</v>
      </c>
      <c r="E7" s="2" t="s">
        <v>59</v>
      </c>
      <c r="F7" s="2">
        <v>259.0</v>
      </c>
      <c r="G7" s="2">
        <v>8.71</v>
      </c>
      <c r="H7" s="2">
        <v>29.7</v>
      </c>
      <c r="I7" s="2" t="s">
        <v>47</v>
      </c>
    </row>
    <row r="8">
      <c r="A8" s="2" t="s">
        <v>62</v>
      </c>
      <c r="B8" s="2" t="s">
        <v>64</v>
      </c>
      <c r="C8" s="2" t="s">
        <v>12</v>
      </c>
      <c r="D8" s="2" t="s">
        <v>66</v>
      </c>
      <c r="E8" s="2" t="s">
        <v>67</v>
      </c>
      <c r="F8" s="2">
        <v>118.0</v>
      </c>
      <c r="G8" s="2">
        <v>4.88</v>
      </c>
      <c r="H8" s="2">
        <v>24.2</v>
      </c>
      <c r="I8" s="2" t="s">
        <v>47</v>
      </c>
    </row>
    <row r="9">
      <c r="A9" s="2" t="s">
        <v>70</v>
      </c>
      <c r="B9" s="2" t="s">
        <v>71</v>
      </c>
      <c r="C9" s="2" t="s">
        <v>12</v>
      </c>
      <c r="D9" s="2" t="s">
        <v>73</v>
      </c>
      <c r="E9" s="2" t="s">
        <v>75</v>
      </c>
      <c r="F9" s="2">
        <v>306.0</v>
      </c>
      <c r="G9" s="2">
        <v>14.72</v>
      </c>
      <c r="H9" s="2">
        <v>20.8</v>
      </c>
      <c r="I9" s="2" t="s">
        <v>47</v>
      </c>
    </row>
    <row r="10">
      <c r="A10" s="2" t="s">
        <v>76</v>
      </c>
      <c r="B10" s="2" t="s">
        <v>78</v>
      </c>
      <c r="C10" s="2" t="s">
        <v>12</v>
      </c>
      <c r="D10" s="2" t="s">
        <v>80</v>
      </c>
      <c r="E10" s="2" t="s">
        <v>81</v>
      </c>
      <c r="F10" s="2">
        <v>517.0</v>
      </c>
      <c r="G10" s="2">
        <v>5.99</v>
      </c>
      <c r="H10" s="2">
        <v>86.3</v>
      </c>
      <c r="I10" s="2" t="s">
        <v>27</v>
      </c>
    </row>
    <row r="11">
      <c r="A11" s="2" t="s">
        <v>84</v>
      </c>
      <c r="B11" s="2" t="s">
        <v>85</v>
      </c>
      <c r="C11" s="2" t="s">
        <v>12</v>
      </c>
      <c r="D11" s="2" t="s">
        <v>73</v>
      </c>
      <c r="E11" s="2" t="s">
        <v>75</v>
      </c>
      <c r="F11" s="2">
        <v>163.0</v>
      </c>
      <c r="G11" s="2">
        <v>5.16</v>
      </c>
      <c r="H11" s="2">
        <v>31.6</v>
      </c>
      <c r="I11" s="2" t="s">
        <v>47</v>
      </c>
    </row>
    <row r="12">
      <c r="A12" s="2" t="s">
        <v>20</v>
      </c>
      <c r="B12" s="2" t="s">
        <v>21</v>
      </c>
      <c r="C12" s="2" t="s">
        <v>12</v>
      </c>
      <c r="D12" s="2" t="s">
        <v>90</v>
      </c>
      <c r="E12" s="2" t="s">
        <v>91</v>
      </c>
      <c r="F12" s="2">
        <v>1205.0</v>
      </c>
      <c r="G12" s="2">
        <v>17.24</v>
      </c>
      <c r="H12" s="2">
        <v>69.9</v>
      </c>
      <c r="I12" s="2" t="s">
        <v>27</v>
      </c>
    </row>
    <row r="13">
      <c r="A13" s="2" t="s">
        <v>95</v>
      </c>
      <c r="B13" s="2" t="s">
        <v>97</v>
      </c>
      <c r="C13" s="2" t="s">
        <v>12</v>
      </c>
      <c r="D13" s="2" t="s">
        <v>98</v>
      </c>
      <c r="E13" s="2" t="s">
        <v>100</v>
      </c>
      <c r="F13" s="2">
        <v>79.0</v>
      </c>
      <c r="G13" s="2">
        <v>4.48</v>
      </c>
      <c r="H13" s="2">
        <v>17.6</v>
      </c>
      <c r="I13" s="2" t="s">
        <v>47</v>
      </c>
    </row>
    <row r="14">
      <c r="A14" s="2" t="s">
        <v>103</v>
      </c>
      <c r="B14" s="2" t="s">
        <v>105</v>
      </c>
      <c r="C14" s="2" t="s">
        <v>12</v>
      </c>
      <c r="D14" s="2" t="s">
        <v>52</v>
      </c>
      <c r="E14" s="2" t="s">
        <v>53</v>
      </c>
      <c r="F14" s="2">
        <v>391.0</v>
      </c>
      <c r="G14" s="2">
        <v>28.04</v>
      </c>
      <c r="H14" s="2">
        <v>13.9</v>
      </c>
      <c r="I14" s="2" t="s">
        <v>47</v>
      </c>
    </row>
    <row r="15">
      <c r="A15" s="2" t="s">
        <v>24</v>
      </c>
      <c r="B15" s="2" t="s">
        <v>25</v>
      </c>
      <c r="C15" s="2" t="s">
        <v>12</v>
      </c>
      <c r="D15" s="2" t="s">
        <v>22</v>
      </c>
      <c r="E15" s="2" t="s">
        <v>23</v>
      </c>
      <c r="F15" s="2">
        <v>707.0</v>
      </c>
      <c r="G15" s="2">
        <v>13.12</v>
      </c>
      <c r="H15" s="2">
        <v>53.9</v>
      </c>
      <c r="I15" s="2" t="s">
        <v>27</v>
      </c>
    </row>
    <row r="16">
      <c r="A16" s="2" t="s">
        <v>113</v>
      </c>
      <c r="B16" s="2" t="s">
        <v>115</v>
      </c>
      <c r="C16" s="2" t="s">
        <v>12</v>
      </c>
      <c r="D16" s="2" t="s">
        <v>90</v>
      </c>
      <c r="E16" s="2" t="s">
        <v>91</v>
      </c>
      <c r="F16" s="2">
        <v>78.0</v>
      </c>
      <c r="G16" s="2">
        <v>3.86</v>
      </c>
      <c r="H16" s="2">
        <v>20.2</v>
      </c>
      <c r="I16" s="2" t="s">
        <v>47</v>
      </c>
    </row>
    <row r="17">
      <c r="A17" s="2" t="s">
        <v>118</v>
      </c>
      <c r="B17" s="2" t="s">
        <v>119</v>
      </c>
      <c r="C17" s="2" t="s">
        <v>12</v>
      </c>
      <c r="D17" s="2" t="s">
        <v>22</v>
      </c>
      <c r="E17" s="2" t="s">
        <v>23</v>
      </c>
      <c r="F17" s="2">
        <v>212.0</v>
      </c>
      <c r="G17" s="2">
        <v>2.86</v>
      </c>
      <c r="H17" s="2">
        <v>74.1</v>
      </c>
      <c r="I17" s="2" t="s">
        <v>47</v>
      </c>
    </row>
    <row r="18">
      <c r="A18" s="2" t="s">
        <v>124</v>
      </c>
      <c r="B18" s="2" t="s">
        <v>125</v>
      </c>
      <c r="C18" s="2" t="s">
        <v>12</v>
      </c>
      <c r="D18" s="2" t="s">
        <v>22</v>
      </c>
      <c r="E18" s="2" t="s">
        <v>23</v>
      </c>
      <c r="F18" s="2">
        <v>274.0</v>
      </c>
      <c r="G18" s="2">
        <v>9.18</v>
      </c>
      <c r="H18" s="2">
        <v>29.8</v>
      </c>
      <c r="I18" s="2" t="s">
        <v>47</v>
      </c>
    </row>
    <row r="19">
      <c r="A19" s="2" t="s">
        <v>26</v>
      </c>
      <c r="B19" s="2" t="s">
        <v>28</v>
      </c>
      <c r="C19" s="2" t="s">
        <v>12</v>
      </c>
      <c r="D19" s="2" t="s">
        <v>134</v>
      </c>
      <c r="E19" s="2" t="s">
        <v>135</v>
      </c>
      <c r="F19" s="2">
        <v>2472.0</v>
      </c>
      <c r="G19" s="2">
        <v>20.9</v>
      </c>
      <c r="H19" s="2">
        <v>118.3</v>
      </c>
      <c r="I19" s="2" t="s">
        <v>138</v>
      </c>
    </row>
    <row r="20">
      <c r="A20" s="2" t="s">
        <v>141</v>
      </c>
      <c r="B20" s="2" t="s">
        <v>142</v>
      </c>
      <c r="C20" s="2" t="s">
        <v>12</v>
      </c>
      <c r="D20" s="2" t="s">
        <v>145</v>
      </c>
      <c r="E20" s="2" t="s">
        <v>146</v>
      </c>
      <c r="F20" s="2">
        <v>349.0</v>
      </c>
      <c r="G20" s="2">
        <v>5.96</v>
      </c>
      <c r="H20" s="2">
        <v>58.6</v>
      </c>
      <c r="I20" s="2" t="s">
        <v>47</v>
      </c>
    </row>
    <row r="21" ht="15.75" customHeight="1">
      <c r="A21" s="2" t="s">
        <v>29</v>
      </c>
      <c r="B21" s="2" t="s">
        <v>30</v>
      </c>
      <c r="C21" s="2" t="s">
        <v>12</v>
      </c>
      <c r="D21" s="2" t="s">
        <v>152</v>
      </c>
      <c r="E21" s="2" t="s">
        <v>153</v>
      </c>
      <c r="F21" s="2">
        <v>456.0</v>
      </c>
      <c r="G21" s="2">
        <v>17.78</v>
      </c>
      <c r="H21" s="2">
        <v>25.6</v>
      </c>
      <c r="I21" s="2" t="s">
        <v>47</v>
      </c>
    </row>
    <row r="22" ht="15.75" customHeight="1">
      <c r="A22" s="2" t="s">
        <v>156</v>
      </c>
      <c r="B22" s="2" t="s">
        <v>158</v>
      </c>
      <c r="C22" s="2" t="s">
        <v>12</v>
      </c>
      <c r="D22" s="2" t="s">
        <v>160</v>
      </c>
      <c r="E22" s="2" t="s">
        <v>161</v>
      </c>
      <c r="F22" s="2">
        <v>76.0</v>
      </c>
      <c r="G22" s="2">
        <v>6.41</v>
      </c>
      <c r="H22" s="2">
        <v>11.9</v>
      </c>
      <c r="I22" s="2" t="s">
        <v>47</v>
      </c>
    </row>
    <row r="23" ht="15.75" customHeight="1">
      <c r="A23" s="2" t="s">
        <v>164</v>
      </c>
      <c r="B23" s="2" t="s">
        <v>167</v>
      </c>
      <c r="C23" s="2" t="s">
        <v>12</v>
      </c>
      <c r="D23" s="2" t="s">
        <v>98</v>
      </c>
      <c r="E23" s="2" t="s">
        <v>100</v>
      </c>
      <c r="F23" s="2">
        <v>396.0</v>
      </c>
      <c r="G23" s="2">
        <v>26.37</v>
      </c>
      <c r="H23" s="2">
        <v>15.0</v>
      </c>
      <c r="I23" s="2" t="s">
        <v>47</v>
      </c>
    </row>
    <row r="24" ht="15.75" customHeight="1">
      <c r="A24" s="2" t="s">
        <v>170</v>
      </c>
      <c r="B24" s="2" t="s">
        <v>171</v>
      </c>
      <c r="C24" s="2" t="s">
        <v>12</v>
      </c>
      <c r="D24" s="2" t="s">
        <v>174</v>
      </c>
      <c r="E24" s="2" t="s">
        <v>175</v>
      </c>
      <c r="F24" s="2">
        <v>96.0</v>
      </c>
      <c r="G24" s="2">
        <v>6.83</v>
      </c>
      <c r="H24" s="2">
        <v>14.1</v>
      </c>
      <c r="I24" s="2" t="s">
        <v>47</v>
      </c>
    </row>
    <row r="25" ht="15.75" customHeight="1">
      <c r="A25" s="2" t="s">
        <v>178</v>
      </c>
      <c r="B25" s="2" t="s">
        <v>180</v>
      </c>
      <c r="C25" s="2" t="s">
        <v>12</v>
      </c>
      <c r="D25" s="2" t="s">
        <v>182</v>
      </c>
      <c r="E25" s="2" t="s">
        <v>184</v>
      </c>
      <c r="F25" s="2">
        <v>45.0</v>
      </c>
      <c r="G25" s="2">
        <v>5.58</v>
      </c>
      <c r="H25" s="2">
        <v>8.1</v>
      </c>
      <c r="I25" s="2" t="s">
        <v>47</v>
      </c>
    </row>
    <row r="26" ht="15.75" customHeight="1">
      <c r="A26" s="2" t="s">
        <v>188</v>
      </c>
      <c r="B26" s="2" t="s">
        <v>189</v>
      </c>
      <c r="C26" s="2" t="s">
        <v>12</v>
      </c>
      <c r="D26" s="2" t="s">
        <v>145</v>
      </c>
      <c r="E26" s="2" t="s">
        <v>146</v>
      </c>
      <c r="F26" s="2">
        <v>361.0</v>
      </c>
      <c r="G26" s="2">
        <v>6.32</v>
      </c>
      <c r="H26" s="2">
        <v>57.1</v>
      </c>
      <c r="I26" s="2" t="s">
        <v>47</v>
      </c>
    </row>
    <row r="27" ht="15.75" customHeight="1">
      <c r="A27" s="2" t="s">
        <v>31</v>
      </c>
      <c r="B27" s="2" t="s">
        <v>32</v>
      </c>
      <c r="C27" s="2" t="s">
        <v>12</v>
      </c>
      <c r="D27" s="2" t="s">
        <v>43</v>
      </c>
      <c r="E27" s="2" t="s">
        <v>44</v>
      </c>
      <c r="F27" s="2">
        <v>209.0</v>
      </c>
      <c r="G27" s="2">
        <v>8.05</v>
      </c>
      <c r="H27" s="2">
        <v>26.0</v>
      </c>
      <c r="I27" s="2" t="s">
        <v>47</v>
      </c>
    </row>
    <row r="28" ht="15.75" customHeight="1">
      <c r="A28" s="2" t="s">
        <v>33</v>
      </c>
      <c r="B28" s="2" t="s">
        <v>34</v>
      </c>
      <c r="C28" s="2" t="s">
        <v>12</v>
      </c>
      <c r="D28" s="2" t="s">
        <v>182</v>
      </c>
      <c r="E28" s="2" t="s">
        <v>184</v>
      </c>
      <c r="F28" s="2">
        <v>2578.0</v>
      </c>
      <c r="G28" s="2">
        <v>15.48</v>
      </c>
      <c r="H28" s="2">
        <v>166.5</v>
      </c>
      <c r="I28" s="2" t="s">
        <v>138</v>
      </c>
    </row>
    <row r="29" ht="15.75" customHeight="1">
      <c r="A29" s="2" t="s">
        <v>200</v>
      </c>
      <c r="B29" s="2" t="s">
        <v>202</v>
      </c>
      <c r="C29" s="2" t="s">
        <v>12</v>
      </c>
      <c r="D29" s="2" t="s">
        <v>204</v>
      </c>
      <c r="E29" s="2" t="s">
        <v>205</v>
      </c>
      <c r="F29" s="2">
        <v>337.0</v>
      </c>
      <c r="G29" s="2">
        <v>11.83</v>
      </c>
      <c r="H29" s="2">
        <v>28.5</v>
      </c>
      <c r="I29" s="2" t="s">
        <v>47</v>
      </c>
    </row>
    <row r="30" ht="15.75" customHeight="1">
      <c r="A30" s="2" t="s">
        <v>208</v>
      </c>
      <c r="B30" s="2" t="s">
        <v>210</v>
      </c>
      <c r="C30" s="2" t="s">
        <v>12</v>
      </c>
      <c r="D30" s="2" t="s">
        <v>204</v>
      </c>
      <c r="E30" s="2" t="s">
        <v>205</v>
      </c>
      <c r="F30" s="2">
        <v>238.0</v>
      </c>
      <c r="G30" s="2">
        <v>2.11</v>
      </c>
      <c r="H30" s="2">
        <v>112.8</v>
      </c>
      <c r="I30" s="2" t="s">
        <v>47</v>
      </c>
    </row>
    <row r="31" ht="15.75" customHeight="1">
      <c r="A31" s="2" t="s">
        <v>37</v>
      </c>
      <c r="B31" s="2" t="s">
        <v>38</v>
      </c>
      <c r="C31" s="2" t="s">
        <v>12</v>
      </c>
      <c r="D31" s="2" t="s">
        <v>152</v>
      </c>
      <c r="E31" s="2" t="s">
        <v>153</v>
      </c>
      <c r="F31" s="2">
        <v>658.0</v>
      </c>
      <c r="G31" s="2">
        <v>23.7</v>
      </c>
      <c r="H31" s="2">
        <v>27.8</v>
      </c>
      <c r="I31" s="2" t="s">
        <v>27</v>
      </c>
    </row>
    <row r="32" ht="15.75" customHeight="1">
      <c r="A32" s="2" t="s">
        <v>218</v>
      </c>
      <c r="B32" s="2" t="s">
        <v>219</v>
      </c>
      <c r="C32" s="2" t="s">
        <v>12</v>
      </c>
      <c r="D32" s="2" t="s">
        <v>145</v>
      </c>
      <c r="E32" s="2" t="s">
        <v>146</v>
      </c>
      <c r="F32" s="2">
        <v>231.0</v>
      </c>
      <c r="G32" s="2">
        <v>3.74</v>
      </c>
      <c r="H32" s="2">
        <v>61.8</v>
      </c>
      <c r="I32" s="2" t="s">
        <v>47</v>
      </c>
    </row>
    <row r="33" ht="15.75" customHeight="1">
      <c r="A33" s="2" t="s">
        <v>224</v>
      </c>
      <c r="B33" s="2" t="s">
        <v>225</v>
      </c>
      <c r="C33" s="2" t="s">
        <v>12</v>
      </c>
      <c r="D33" s="2" t="s">
        <v>66</v>
      </c>
      <c r="E33" s="2" t="s">
        <v>67</v>
      </c>
      <c r="F33" s="2">
        <v>102.0</v>
      </c>
      <c r="G33" s="2">
        <v>4.44</v>
      </c>
      <c r="H33" s="2">
        <v>23.0</v>
      </c>
      <c r="I33" s="2" t="s">
        <v>47</v>
      </c>
    </row>
    <row r="34" ht="15.75" customHeight="1">
      <c r="A34" s="2" t="s">
        <v>226</v>
      </c>
      <c r="B34" s="2" t="s">
        <v>227</v>
      </c>
      <c r="C34" s="2" t="s">
        <v>12</v>
      </c>
      <c r="D34" s="2" t="s">
        <v>90</v>
      </c>
      <c r="E34" s="2" t="s">
        <v>91</v>
      </c>
      <c r="F34" s="2">
        <v>104.0</v>
      </c>
      <c r="G34" s="2">
        <v>5.71</v>
      </c>
      <c r="H34" s="2">
        <v>18.2</v>
      </c>
      <c r="I34" s="2" t="s">
        <v>47</v>
      </c>
    </row>
    <row r="35" ht="15.75" customHeight="1">
      <c r="A35" s="2" t="s">
        <v>228</v>
      </c>
      <c r="B35" s="2" t="s">
        <v>229</v>
      </c>
      <c r="C35" s="2" t="s">
        <v>12</v>
      </c>
      <c r="D35" s="2" t="s">
        <v>58</v>
      </c>
      <c r="E35" s="2" t="s">
        <v>59</v>
      </c>
      <c r="F35" s="2">
        <v>273.0</v>
      </c>
      <c r="G35" s="2">
        <v>10.73</v>
      </c>
      <c r="H35" s="2">
        <v>25.4</v>
      </c>
      <c r="I35" s="2" t="s">
        <v>47</v>
      </c>
    </row>
    <row r="36" ht="15.75" customHeight="1">
      <c r="A36" s="2" t="s">
        <v>232</v>
      </c>
      <c r="B36" s="2" t="s">
        <v>233</v>
      </c>
      <c r="C36" s="2" t="s">
        <v>12</v>
      </c>
      <c r="D36" s="2" t="s">
        <v>73</v>
      </c>
      <c r="E36" s="2" t="s">
        <v>75</v>
      </c>
      <c r="F36" s="2">
        <v>72.0</v>
      </c>
      <c r="G36" s="2">
        <v>2.64</v>
      </c>
      <c r="H36" s="2">
        <v>27.3</v>
      </c>
      <c r="I36" s="2" t="s">
        <v>47</v>
      </c>
    </row>
    <row r="37" ht="15.75" customHeight="1">
      <c r="A37" s="2" t="s">
        <v>40</v>
      </c>
      <c r="B37" s="2" t="s">
        <v>42</v>
      </c>
      <c r="C37" s="2" t="s">
        <v>12</v>
      </c>
      <c r="D37" s="2" t="s">
        <v>182</v>
      </c>
      <c r="E37" s="2" t="s">
        <v>184</v>
      </c>
      <c r="F37" s="2">
        <v>1348.0</v>
      </c>
      <c r="G37" s="2">
        <v>9.73</v>
      </c>
      <c r="H37" s="2">
        <v>138.5</v>
      </c>
      <c r="I37" s="2" t="s">
        <v>27</v>
      </c>
    </row>
    <row r="38" ht="15.75" customHeight="1">
      <c r="A38" s="2" t="s">
        <v>242</v>
      </c>
      <c r="B38" s="2" t="s">
        <v>243</v>
      </c>
      <c r="C38" s="2" t="s">
        <v>12</v>
      </c>
      <c r="D38" s="2" t="s">
        <v>43</v>
      </c>
      <c r="E38" s="2" t="s">
        <v>44</v>
      </c>
      <c r="F38" s="2">
        <v>176.0</v>
      </c>
      <c r="G38" s="2">
        <v>9.27</v>
      </c>
      <c r="H38" s="2">
        <v>19.0</v>
      </c>
      <c r="I38" s="2" t="s">
        <v>47</v>
      </c>
    </row>
    <row r="39" ht="15.75" customHeight="1">
      <c r="A39" s="2" t="s">
        <v>246</v>
      </c>
      <c r="B39" s="2" t="s">
        <v>248</v>
      </c>
      <c r="C39" s="2" t="s">
        <v>12</v>
      </c>
      <c r="D39" s="2" t="s">
        <v>250</v>
      </c>
      <c r="E39" s="2" t="s">
        <v>251</v>
      </c>
      <c r="F39" s="2">
        <v>175.0</v>
      </c>
      <c r="G39" s="2">
        <v>6.85</v>
      </c>
      <c r="H39" s="2">
        <v>25.5</v>
      </c>
      <c r="I39" s="2" t="s">
        <v>47</v>
      </c>
    </row>
    <row r="40" ht="15.75" customHeight="1">
      <c r="A40" s="2" t="s">
        <v>45</v>
      </c>
      <c r="B40" s="2" t="s">
        <v>46</v>
      </c>
      <c r="C40" s="2" t="s">
        <v>12</v>
      </c>
      <c r="D40" s="2" t="s">
        <v>22</v>
      </c>
      <c r="E40" s="2" t="s">
        <v>23</v>
      </c>
      <c r="F40" s="2">
        <v>777.0</v>
      </c>
      <c r="G40" s="2">
        <v>3.63</v>
      </c>
      <c r="H40" s="2">
        <v>214.0</v>
      </c>
      <c r="I40" s="2" t="s">
        <v>27</v>
      </c>
    </row>
    <row r="41" ht="15.75" customHeight="1">
      <c r="A41" s="2" t="s">
        <v>258</v>
      </c>
      <c r="B41" s="2" t="s">
        <v>259</v>
      </c>
      <c r="C41" s="2" t="s">
        <v>12</v>
      </c>
      <c r="D41" s="2" t="s">
        <v>174</v>
      </c>
      <c r="E41" s="2" t="s">
        <v>175</v>
      </c>
      <c r="F41" s="2">
        <v>369.0</v>
      </c>
      <c r="G41" s="2">
        <v>2.77</v>
      </c>
      <c r="H41" s="2">
        <v>133.2</v>
      </c>
      <c r="I41" s="2" t="s">
        <v>47</v>
      </c>
    </row>
    <row r="42" ht="15.75" customHeight="1">
      <c r="A42" s="2" t="s">
        <v>262</v>
      </c>
      <c r="B42" s="2" t="s">
        <v>264</v>
      </c>
      <c r="C42" s="2" t="s">
        <v>12</v>
      </c>
      <c r="D42" s="2" t="s">
        <v>35</v>
      </c>
      <c r="E42" s="2" t="s">
        <v>36</v>
      </c>
      <c r="F42" s="2">
        <v>62.0</v>
      </c>
      <c r="G42" s="2">
        <v>2.17</v>
      </c>
      <c r="H42" s="2">
        <v>28.6</v>
      </c>
      <c r="I42" s="2" t="s">
        <v>47</v>
      </c>
    </row>
    <row r="43" ht="15.75" customHeight="1">
      <c r="A43" s="2" t="s">
        <v>272</v>
      </c>
      <c r="B43" s="2" t="s">
        <v>273</v>
      </c>
      <c r="C43" s="2" t="s">
        <v>12</v>
      </c>
      <c r="D43" s="2" t="s">
        <v>250</v>
      </c>
      <c r="E43" s="2" t="s">
        <v>251</v>
      </c>
      <c r="F43" s="2">
        <v>26.0</v>
      </c>
      <c r="G43" s="2">
        <v>3.33</v>
      </c>
      <c r="H43" s="2">
        <v>7.8</v>
      </c>
      <c r="I43" s="2" t="s">
        <v>47</v>
      </c>
    </row>
    <row r="44" ht="15.75" customHeight="1">
      <c r="A44" s="2" t="s">
        <v>49</v>
      </c>
      <c r="B44" s="2" t="s">
        <v>51</v>
      </c>
      <c r="C44" s="2" t="s">
        <v>12</v>
      </c>
      <c r="D44" s="2" t="s">
        <v>43</v>
      </c>
      <c r="E44" s="2" t="s">
        <v>44</v>
      </c>
      <c r="F44" s="2">
        <v>555.0</v>
      </c>
      <c r="G44" s="2">
        <v>11.49</v>
      </c>
      <c r="H44" s="2">
        <v>48.3</v>
      </c>
      <c r="I44" s="2" t="s">
        <v>27</v>
      </c>
    </row>
    <row r="45" ht="15.75" customHeight="1">
      <c r="A45" s="2" t="s">
        <v>282</v>
      </c>
      <c r="B45" s="2" t="s">
        <v>283</v>
      </c>
      <c r="C45" s="2" t="s">
        <v>12</v>
      </c>
      <c r="D45" s="2" t="s">
        <v>43</v>
      </c>
      <c r="E45" s="2" t="s">
        <v>44</v>
      </c>
      <c r="F45" s="2">
        <v>108.0</v>
      </c>
      <c r="G45" s="2">
        <v>6.7</v>
      </c>
      <c r="H45" s="2">
        <v>16.1</v>
      </c>
      <c r="I45" s="2" t="s">
        <v>47</v>
      </c>
    </row>
    <row r="46" ht="15.75" customHeight="1">
      <c r="A46" s="2" t="s">
        <v>288</v>
      </c>
      <c r="B46" s="2" t="s">
        <v>289</v>
      </c>
      <c r="C46" s="2" t="s">
        <v>12</v>
      </c>
      <c r="D46" s="2" t="s">
        <v>43</v>
      </c>
      <c r="E46" s="2" t="s">
        <v>44</v>
      </c>
      <c r="F46" s="2">
        <v>130.0</v>
      </c>
      <c r="G46" s="2">
        <v>7.99</v>
      </c>
      <c r="H46" s="2">
        <v>16.3</v>
      </c>
      <c r="I46" s="2" t="s">
        <v>47</v>
      </c>
    </row>
    <row r="47" ht="15.75" customHeight="1">
      <c r="A47" s="2" t="s">
        <v>293</v>
      </c>
      <c r="B47" s="2" t="s">
        <v>295</v>
      </c>
      <c r="C47" s="2" t="s">
        <v>12</v>
      </c>
      <c r="D47" s="2" t="s">
        <v>134</v>
      </c>
      <c r="E47" s="2" t="s">
        <v>135</v>
      </c>
      <c r="F47" s="2">
        <v>752.0</v>
      </c>
      <c r="G47" s="2">
        <v>14.91</v>
      </c>
      <c r="H47" s="2">
        <v>50.4</v>
      </c>
      <c r="I47" s="2" t="s">
        <v>27</v>
      </c>
    </row>
    <row r="48" ht="15.75" customHeight="1">
      <c r="A48" s="2" t="s">
        <v>298</v>
      </c>
      <c r="B48" s="2" t="s">
        <v>299</v>
      </c>
      <c r="C48" s="2" t="s">
        <v>12</v>
      </c>
      <c r="D48" s="2" t="s">
        <v>250</v>
      </c>
      <c r="E48" s="2" t="s">
        <v>251</v>
      </c>
      <c r="F48" s="2">
        <v>316.0</v>
      </c>
      <c r="G48" s="2">
        <v>7.69</v>
      </c>
      <c r="H48" s="2">
        <v>41.1</v>
      </c>
      <c r="I48" s="2" t="s">
        <v>47</v>
      </c>
    </row>
    <row r="49" ht="15.75" customHeight="1">
      <c r="A49" s="2" t="s">
        <v>304</v>
      </c>
      <c r="B49" s="2" t="s">
        <v>305</v>
      </c>
      <c r="C49" s="2" t="s">
        <v>12</v>
      </c>
      <c r="D49" s="2" t="s">
        <v>174</v>
      </c>
      <c r="E49" s="2" t="s">
        <v>175</v>
      </c>
      <c r="F49" s="2">
        <v>380.0</v>
      </c>
      <c r="G49" s="2">
        <v>7.6</v>
      </c>
      <c r="H49" s="2">
        <v>50.0</v>
      </c>
      <c r="I49" s="2" t="s">
        <v>47</v>
      </c>
    </row>
    <row r="50" ht="15.75" customHeight="1">
      <c r="A50" s="2" t="s">
        <v>308</v>
      </c>
      <c r="B50" s="2" t="s">
        <v>310</v>
      </c>
      <c r="C50" s="2" t="s">
        <v>12</v>
      </c>
      <c r="D50" s="2" t="s">
        <v>134</v>
      </c>
      <c r="E50" s="2" t="s">
        <v>135</v>
      </c>
      <c r="F50" s="2">
        <v>131.0</v>
      </c>
      <c r="G50" s="2">
        <v>7.08</v>
      </c>
      <c r="H50" s="2">
        <v>18.5</v>
      </c>
      <c r="I50" s="2" t="s">
        <v>47</v>
      </c>
    </row>
    <row r="51" ht="15.75" customHeight="1">
      <c r="A51" s="2" t="s">
        <v>54</v>
      </c>
      <c r="B51" s="2" t="s">
        <v>55</v>
      </c>
      <c r="C51" s="2" t="s">
        <v>12</v>
      </c>
      <c r="D51" s="2" t="s">
        <v>73</v>
      </c>
      <c r="E51" s="2" t="s">
        <v>75</v>
      </c>
      <c r="F51" s="2">
        <v>516.0</v>
      </c>
      <c r="G51" s="2">
        <v>13.65</v>
      </c>
      <c r="H51" s="2">
        <v>37.8</v>
      </c>
      <c r="I51" s="2" t="s">
        <v>27</v>
      </c>
    </row>
    <row r="52" ht="15.75" customHeight="1">
      <c r="A52" s="2" t="s">
        <v>317</v>
      </c>
      <c r="B52" s="2" t="s">
        <v>319</v>
      </c>
      <c r="C52" s="2" t="s">
        <v>12</v>
      </c>
      <c r="D52" s="2" t="s">
        <v>22</v>
      </c>
      <c r="E52" s="2" t="s">
        <v>23</v>
      </c>
      <c r="F52" s="2">
        <v>168.0</v>
      </c>
      <c r="G52" s="2">
        <v>5.44</v>
      </c>
      <c r="H52" s="2">
        <v>30.9</v>
      </c>
      <c r="I52" s="2" t="s">
        <v>47</v>
      </c>
    </row>
    <row r="53" ht="15.75" customHeight="1">
      <c r="A53" s="2" t="s">
        <v>322</v>
      </c>
      <c r="B53" s="2" t="s">
        <v>323</v>
      </c>
      <c r="C53" s="2" t="s">
        <v>12</v>
      </c>
      <c r="D53" s="2" t="s">
        <v>152</v>
      </c>
      <c r="E53" s="2" t="s">
        <v>153</v>
      </c>
      <c r="F53" s="2">
        <v>82.0</v>
      </c>
      <c r="G53" s="2">
        <v>9.2</v>
      </c>
      <c r="H53" s="2">
        <v>8.9</v>
      </c>
      <c r="I53" s="2" t="s">
        <v>47</v>
      </c>
    </row>
    <row r="54" ht="15.75" customHeight="1">
      <c r="A54" s="2" t="s">
        <v>60</v>
      </c>
      <c r="B54" s="2" t="s">
        <v>61</v>
      </c>
      <c r="C54" s="2" t="s">
        <v>12</v>
      </c>
      <c r="D54" s="2" t="s">
        <v>204</v>
      </c>
      <c r="E54" s="2" t="s">
        <v>205</v>
      </c>
      <c r="F54" s="2">
        <v>1281.0</v>
      </c>
      <c r="G54" s="2">
        <v>21.75</v>
      </c>
      <c r="H54" s="2">
        <v>58.9</v>
      </c>
      <c r="I54" s="2" t="s">
        <v>27</v>
      </c>
    </row>
    <row r="55" ht="15.75" customHeight="1">
      <c r="A55" s="2" t="s">
        <v>334</v>
      </c>
      <c r="B55" s="2" t="s">
        <v>335</v>
      </c>
      <c r="C55" s="2" t="s">
        <v>12</v>
      </c>
      <c r="D55" s="2" t="s">
        <v>66</v>
      </c>
      <c r="E55" s="2" t="s">
        <v>67</v>
      </c>
      <c r="F55" s="2">
        <v>794.0</v>
      </c>
      <c r="G55" s="2">
        <v>9.68</v>
      </c>
      <c r="H55" s="2">
        <v>82.0</v>
      </c>
      <c r="I55" s="2" t="s">
        <v>27</v>
      </c>
    </row>
    <row r="56" ht="15.75" customHeight="1">
      <c r="A56" s="2" t="s">
        <v>63</v>
      </c>
      <c r="B56" s="2" t="s">
        <v>65</v>
      </c>
      <c r="C56" s="2" t="s">
        <v>12</v>
      </c>
      <c r="D56" s="2" t="s">
        <v>22</v>
      </c>
      <c r="E56" s="2" t="s">
        <v>23</v>
      </c>
      <c r="F56" s="2">
        <v>2579.0</v>
      </c>
      <c r="G56" s="2">
        <v>7.53</v>
      </c>
      <c r="H56" s="2">
        <v>342.5</v>
      </c>
      <c r="I56" s="2" t="s">
        <v>138</v>
      </c>
    </row>
    <row r="57" ht="15.75" customHeight="1">
      <c r="A57" s="2" t="s">
        <v>344</v>
      </c>
      <c r="B57" s="2" t="s">
        <v>345</v>
      </c>
      <c r="C57" s="2" t="s">
        <v>12</v>
      </c>
      <c r="D57" s="2" t="s">
        <v>204</v>
      </c>
      <c r="E57" s="2" t="s">
        <v>205</v>
      </c>
      <c r="F57" s="2">
        <v>263.0</v>
      </c>
      <c r="G57" s="2">
        <v>7.5</v>
      </c>
      <c r="H57" s="2">
        <v>35.1</v>
      </c>
      <c r="I57" s="2" t="s">
        <v>47</v>
      </c>
    </row>
    <row r="58" ht="15.75" customHeight="1">
      <c r="A58" s="2" t="s">
        <v>349</v>
      </c>
      <c r="B58" s="2" t="s">
        <v>351</v>
      </c>
      <c r="C58" s="2" t="s">
        <v>12</v>
      </c>
      <c r="D58" s="2" t="s">
        <v>204</v>
      </c>
      <c r="E58" s="2" t="s">
        <v>205</v>
      </c>
      <c r="F58" s="2">
        <v>268.0</v>
      </c>
      <c r="G58" s="2">
        <v>4.72</v>
      </c>
      <c r="H58" s="2">
        <v>56.8</v>
      </c>
      <c r="I58" s="2" t="s">
        <v>47</v>
      </c>
    </row>
    <row r="59" ht="15.75" customHeight="1">
      <c r="A59" s="2" t="s">
        <v>354</v>
      </c>
      <c r="B59" s="2" t="s">
        <v>356</v>
      </c>
      <c r="C59" s="2" t="s">
        <v>12</v>
      </c>
      <c r="D59" s="2" t="s">
        <v>174</v>
      </c>
      <c r="E59" s="2" t="s">
        <v>175</v>
      </c>
      <c r="F59" s="2">
        <v>131.0</v>
      </c>
      <c r="G59" s="2">
        <v>6.75</v>
      </c>
      <c r="H59" s="2">
        <v>19.4</v>
      </c>
      <c r="I59" s="2" t="s">
        <v>47</v>
      </c>
    </row>
    <row r="60" ht="15.75" customHeight="1">
      <c r="A60" s="2" t="s">
        <v>68</v>
      </c>
      <c r="B60" s="2" t="s">
        <v>69</v>
      </c>
      <c r="C60" s="2" t="s">
        <v>12</v>
      </c>
      <c r="D60" s="2" t="s">
        <v>204</v>
      </c>
      <c r="E60" s="2" t="s">
        <v>205</v>
      </c>
      <c r="F60" s="2">
        <v>378.0</v>
      </c>
      <c r="G60" s="2">
        <v>6.44</v>
      </c>
      <c r="H60" s="2">
        <v>58.7</v>
      </c>
      <c r="I60" s="2" t="s">
        <v>47</v>
      </c>
    </row>
    <row r="61" ht="15.75" customHeight="1">
      <c r="A61" s="2" t="s">
        <v>72</v>
      </c>
      <c r="B61" s="2" t="s">
        <v>74</v>
      </c>
      <c r="C61" s="2" t="s">
        <v>12</v>
      </c>
      <c r="D61" s="2" t="s">
        <v>35</v>
      </c>
      <c r="E61" s="2" t="s">
        <v>36</v>
      </c>
      <c r="F61" s="2">
        <v>3659.0</v>
      </c>
      <c r="G61" s="2">
        <v>4.49</v>
      </c>
      <c r="H61" s="2">
        <v>814.9</v>
      </c>
      <c r="I61" s="2" t="s">
        <v>138</v>
      </c>
    </row>
    <row r="62" ht="15.75" customHeight="1">
      <c r="A62" s="2" t="s">
        <v>77</v>
      </c>
      <c r="B62" s="2" t="s">
        <v>79</v>
      </c>
      <c r="C62" s="2" t="s">
        <v>12</v>
      </c>
      <c r="D62" s="2" t="s">
        <v>204</v>
      </c>
      <c r="E62" s="2" t="s">
        <v>205</v>
      </c>
      <c r="F62" s="2">
        <v>560.0</v>
      </c>
      <c r="G62" s="2">
        <v>9.78</v>
      </c>
      <c r="H62" s="2">
        <v>57.3</v>
      </c>
      <c r="I62" s="2" t="s">
        <v>27</v>
      </c>
    </row>
    <row r="63" ht="15.75" customHeight="1">
      <c r="A63" s="2" t="s">
        <v>370</v>
      </c>
      <c r="B63" s="2" t="s">
        <v>371</v>
      </c>
      <c r="C63" s="2" t="s">
        <v>12</v>
      </c>
      <c r="D63" s="2" t="s">
        <v>80</v>
      </c>
      <c r="E63" s="2" t="s">
        <v>81</v>
      </c>
      <c r="F63" s="2">
        <v>191.0</v>
      </c>
      <c r="G63" s="2">
        <v>6.8</v>
      </c>
      <c r="H63" s="2">
        <v>28.1</v>
      </c>
      <c r="I63" s="2" t="s">
        <v>47</v>
      </c>
    </row>
    <row r="64" ht="15.75" customHeight="1">
      <c r="A64" s="2" t="s">
        <v>82</v>
      </c>
      <c r="B64" s="2" t="s">
        <v>83</v>
      </c>
      <c r="C64" s="2" t="s">
        <v>12</v>
      </c>
      <c r="D64" s="2" t="s">
        <v>250</v>
      </c>
      <c r="E64" s="2" t="s">
        <v>251</v>
      </c>
      <c r="F64" s="2">
        <v>205.0</v>
      </c>
      <c r="G64" s="2">
        <v>4.47</v>
      </c>
      <c r="H64" s="2">
        <v>45.9</v>
      </c>
      <c r="I64" s="2" t="s">
        <v>47</v>
      </c>
    </row>
    <row r="65" ht="15.75" customHeight="1">
      <c r="A65" s="2" t="s">
        <v>376</v>
      </c>
      <c r="B65" s="2" t="s">
        <v>377</v>
      </c>
      <c r="C65" s="2" t="s">
        <v>12</v>
      </c>
      <c r="D65" s="2" t="s">
        <v>250</v>
      </c>
      <c r="E65" s="2" t="s">
        <v>251</v>
      </c>
      <c r="F65" s="2">
        <v>85.0</v>
      </c>
      <c r="G65" s="2">
        <v>5.22</v>
      </c>
      <c r="H65" s="2">
        <v>16.3</v>
      </c>
      <c r="I65" s="2" t="s">
        <v>47</v>
      </c>
    </row>
    <row r="66" ht="15.75" customHeight="1">
      <c r="A66" s="2" t="s">
        <v>384</v>
      </c>
      <c r="B66" s="2" t="s">
        <v>385</v>
      </c>
      <c r="C66" s="2" t="s">
        <v>12</v>
      </c>
      <c r="D66" s="2" t="s">
        <v>160</v>
      </c>
      <c r="E66" s="2" t="s">
        <v>161</v>
      </c>
      <c r="F66" s="2">
        <v>104.0</v>
      </c>
      <c r="G66" s="2">
        <v>6.68</v>
      </c>
      <c r="H66" s="2">
        <v>15.6</v>
      </c>
      <c r="I66" s="2" t="s">
        <v>47</v>
      </c>
    </row>
    <row r="67" ht="15.75" customHeight="1">
      <c r="A67" s="2" t="s">
        <v>386</v>
      </c>
      <c r="B67" s="2" t="s">
        <v>387</v>
      </c>
      <c r="C67" s="2" t="s">
        <v>12</v>
      </c>
      <c r="D67" s="2" t="s">
        <v>58</v>
      </c>
      <c r="E67" s="2" t="s">
        <v>59</v>
      </c>
      <c r="F67" s="2">
        <v>431.0</v>
      </c>
      <c r="G67" s="2">
        <v>16.74</v>
      </c>
      <c r="H67" s="2">
        <v>25.7</v>
      </c>
      <c r="I67" s="2" t="s">
        <v>47</v>
      </c>
    </row>
    <row r="68" ht="15.75" customHeight="1">
      <c r="A68" s="2" t="s">
        <v>86</v>
      </c>
      <c r="B68" s="2" t="s">
        <v>87</v>
      </c>
      <c r="C68" s="2" t="s">
        <v>12</v>
      </c>
      <c r="D68" s="2" t="s">
        <v>35</v>
      </c>
      <c r="E68" s="2" t="s">
        <v>36</v>
      </c>
      <c r="F68" s="2">
        <v>825.0</v>
      </c>
      <c r="G68" s="2">
        <v>16.29</v>
      </c>
      <c r="H68" s="2">
        <v>50.6</v>
      </c>
      <c r="I68" s="2" t="s">
        <v>27</v>
      </c>
    </row>
    <row r="69" ht="15.75" customHeight="1">
      <c r="A69" s="2" t="s">
        <v>388</v>
      </c>
      <c r="B69" s="2" t="s">
        <v>389</v>
      </c>
      <c r="C69" s="2" t="s">
        <v>12</v>
      </c>
      <c r="D69" s="2" t="s">
        <v>90</v>
      </c>
      <c r="E69" s="2" t="s">
        <v>91</v>
      </c>
      <c r="F69" s="2">
        <v>631.0</v>
      </c>
      <c r="G69" s="2">
        <v>7.94</v>
      </c>
      <c r="H69" s="2">
        <v>79.5</v>
      </c>
      <c r="I69" s="2" t="s">
        <v>27</v>
      </c>
    </row>
    <row r="70" ht="15.75" customHeight="1">
      <c r="A70" s="2" t="s">
        <v>390</v>
      </c>
      <c r="B70" s="2" t="s">
        <v>391</v>
      </c>
      <c r="C70" s="2" t="s">
        <v>12</v>
      </c>
      <c r="D70" s="2" t="s">
        <v>66</v>
      </c>
      <c r="E70" s="2" t="s">
        <v>67</v>
      </c>
      <c r="F70" s="2">
        <v>178.0</v>
      </c>
      <c r="G70" s="2">
        <v>4.98</v>
      </c>
      <c r="H70" s="2">
        <v>35.7</v>
      </c>
      <c r="I70" s="2" t="s">
        <v>47</v>
      </c>
    </row>
    <row r="71" ht="15.75" customHeight="1">
      <c r="A71" s="2" t="s">
        <v>392</v>
      </c>
      <c r="B71" s="2" t="s">
        <v>393</v>
      </c>
      <c r="C71" s="2" t="s">
        <v>12</v>
      </c>
      <c r="D71" s="2" t="s">
        <v>52</v>
      </c>
      <c r="E71" s="2" t="s">
        <v>53</v>
      </c>
      <c r="F71" s="2">
        <v>722.0</v>
      </c>
      <c r="G71" s="2">
        <v>8.15</v>
      </c>
      <c r="H71" s="2">
        <v>88.6</v>
      </c>
      <c r="I71" s="2" t="s">
        <v>27</v>
      </c>
    </row>
    <row r="72" ht="15.75" customHeight="1">
      <c r="A72" s="2" t="s">
        <v>88</v>
      </c>
      <c r="B72" s="2" t="s">
        <v>89</v>
      </c>
      <c r="C72" s="2" t="s">
        <v>12</v>
      </c>
      <c r="D72" s="2" t="s">
        <v>22</v>
      </c>
      <c r="E72" s="2" t="s">
        <v>23</v>
      </c>
      <c r="F72" s="2">
        <v>601.0</v>
      </c>
      <c r="G72" s="2">
        <v>7.56</v>
      </c>
      <c r="H72" s="2">
        <v>79.5</v>
      </c>
      <c r="I72" s="2" t="s">
        <v>27</v>
      </c>
    </row>
    <row r="73" ht="15.75" customHeight="1">
      <c r="A73" s="2" t="s">
        <v>394</v>
      </c>
      <c r="B73" s="2" t="s">
        <v>395</v>
      </c>
      <c r="C73" s="2" t="s">
        <v>12</v>
      </c>
      <c r="D73" s="2" t="s">
        <v>80</v>
      </c>
      <c r="E73" s="2" t="s">
        <v>81</v>
      </c>
      <c r="F73" s="2">
        <v>203.0</v>
      </c>
      <c r="G73" s="2">
        <v>3.13</v>
      </c>
      <c r="H73" s="2">
        <v>64.9</v>
      </c>
      <c r="I73" s="2" t="s">
        <v>47</v>
      </c>
    </row>
    <row r="74" ht="15.75" customHeight="1">
      <c r="A74" s="2" t="s">
        <v>396</v>
      </c>
      <c r="B74" s="2" t="s">
        <v>397</v>
      </c>
      <c r="C74" s="2" t="s">
        <v>12</v>
      </c>
      <c r="D74" s="2" t="s">
        <v>52</v>
      </c>
      <c r="E74" s="2" t="s">
        <v>53</v>
      </c>
      <c r="F74" s="2">
        <v>159.0</v>
      </c>
      <c r="G74" s="2">
        <v>4.52</v>
      </c>
      <c r="H74" s="2">
        <v>35.2</v>
      </c>
      <c r="I74" s="2" t="s">
        <v>47</v>
      </c>
    </row>
    <row r="75" ht="15.75" customHeight="1">
      <c r="A75" s="2" t="s">
        <v>402</v>
      </c>
      <c r="B75" s="2" t="s">
        <v>403</v>
      </c>
      <c r="C75" s="2" t="s">
        <v>12</v>
      </c>
      <c r="D75" s="2" t="s">
        <v>152</v>
      </c>
      <c r="E75" s="2" t="s">
        <v>153</v>
      </c>
      <c r="F75" s="2">
        <v>132.0</v>
      </c>
      <c r="G75" s="2">
        <v>15.84</v>
      </c>
      <c r="H75" s="2">
        <v>8.3</v>
      </c>
      <c r="I75" s="2" t="s">
        <v>47</v>
      </c>
    </row>
    <row r="76" ht="15.75" customHeight="1">
      <c r="A76" s="2" t="s">
        <v>398</v>
      </c>
      <c r="B76" s="2" t="s">
        <v>399</v>
      </c>
      <c r="C76" s="2" t="s">
        <v>12</v>
      </c>
      <c r="D76" s="2" t="s">
        <v>134</v>
      </c>
      <c r="E76" s="2" t="s">
        <v>135</v>
      </c>
      <c r="F76" s="2">
        <v>166.0</v>
      </c>
      <c r="G76" s="2">
        <v>2.7</v>
      </c>
      <c r="H76" s="2">
        <v>61.5</v>
      </c>
      <c r="I76" s="2" t="s">
        <v>47</v>
      </c>
    </row>
    <row r="77" ht="15.75" customHeight="1">
      <c r="A77" s="2" t="s">
        <v>405</v>
      </c>
      <c r="B77" s="2" t="s">
        <v>406</v>
      </c>
      <c r="C77" s="2" t="s">
        <v>12</v>
      </c>
      <c r="D77" s="2" t="s">
        <v>182</v>
      </c>
      <c r="E77" s="2" t="s">
        <v>184</v>
      </c>
      <c r="F77" s="2">
        <v>309.0</v>
      </c>
      <c r="G77" s="2">
        <v>9.64</v>
      </c>
      <c r="H77" s="2">
        <v>32.1</v>
      </c>
      <c r="I77" s="2" t="s">
        <v>47</v>
      </c>
    </row>
    <row r="78" ht="15.75" customHeight="1">
      <c r="A78" s="2" t="s">
        <v>412</v>
      </c>
      <c r="B78" s="2" t="s">
        <v>413</v>
      </c>
      <c r="C78" s="2" t="s">
        <v>12</v>
      </c>
      <c r="D78" s="2" t="s">
        <v>98</v>
      </c>
      <c r="E78" s="2" t="s">
        <v>100</v>
      </c>
      <c r="F78" s="2">
        <v>120.0</v>
      </c>
      <c r="G78" s="2">
        <v>7.68</v>
      </c>
      <c r="H78" s="2">
        <v>15.6</v>
      </c>
      <c r="I78" s="2" t="s">
        <v>47</v>
      </c>
    </row>
    <row r="79" ht="15.75" customHeight="1">
      <c r="A79" s="2" t="s">
        <v>92</v>
      </c>
      <c r="B79" s="2" t="s">
        <v>93</v>
      </c>
      <c r="C79" s="2" t="s">
        <v>12</v>
      </c>
      <c r="D79" s="2" t="s">
        <v>174</v>
      </c>
      <c r="E79" s="2" t="s">
        <v>175</v>
      </c>
      <c r="F79" s="2">
        <v>736.0</v>
      </c>
      <c r="G79" s="2">
        <v>15.63</v>
      </c>
      <c r="H79" s="2">
        <v>47.1</v>
      </c>
      <c r="I79" s="2" t="s">
        <v>27</v>
      </c>
    </row>
    <row r="80" ht="15.75" customHeight="1">
      <c r="A80" s="2" t="s">
        <v>94</v>
      </c>
      <c r="B80" s="2" t="s">
        <v>96</v>
      </c>
      <c r="C80" s="2" t="s">
        <v>12</v>
      </c>
      <c r="D80" s="2" t="s">
        <v>22</v>
      </c>
      <c r="E80" s="2" t="s">
        <v>23</v>
      </c>
      <c r="F80" s="2">
        <v>979.0</v>
      </c>
      <c r="G80" s="2">
        <v>7.78</v>
      </c>
      <c r="H80" s="2">
        <v>125.8</v>
      </c>
      <c r="I80" s="2" t="s">
        <v>27</v>
      </c>
    </row>
    <row r="81" ht="15.75" customHeight="1">
      <c r="A81" s="2" t="s">
        <v>422</v>
      </c>
      <c r="B81" s="2" t="s">
        <v>423</v>
      </c>
      <c r="C81" s="2" t="s">
        <v>12</v>
      </c>
      <c r="D81" s="2" t="s">
        <v>90</v>
      </c>
      <c r="E81" s="2" t="s">
        <v>91</v>
      </c>
      <c r="F81" s="2">
        <v>31.0</v>
      </c>
      <c r="G81" s="2">
        <v>4.52</v>
      </c>
      <c r="H81" s="2">
        <v>6.9</v>
      </c>
      <c r="I81" s="2" t="s">
        <v>47</v>
      </c>
    </row>
    <row r="82" ht="15.75" customHeight="1">
      <c r="A82" s="2" t="s">
        <v>99</v>
      </c>
      <c r="B82" s="2" t="s">
        <v>101</v>
      </c>
      <c r="C82" s="2" t="s">
        <v>12</v>
      </c>
      <c r="D82" s="2" t="s">
        <v>35</v>
      </c>
      <c r="E82" s="2" t="s">
        <v>36</v>
      </c>
      <c r="F82" s="2">
        <v>1130.0</v>
      </c>
      <c r="G82" s="2">
        <v>7.54</v>
      </c>
      <c r="H82" s="2">
        <v>149.9</v>
      </c>
      <c r="I82" s="2" t="s">
        <v>27</v>
      </c>
    </row>
    <row r="83" ht="15.75" customHeight="1">
      <c r="A83" s="2" t="s">
        <v>432</v>
      </c>
      <c r="B83" s="2" t="s">
        <v>433</v>
      </c>
      <c r="C83" s="2" t="s">
        <v>12</v>
      </c>
      <c r="D83" s="2" t="s">
        <v>98</v>
      </c>
      <c r="E83" s="2" t="s">
        <v>100</v>
      </c>
      <c r="F83" s="2">
        <v>194.0</v>
      </c>
      <c r="G83" s="2">
        <v>10.18</v>
      </c>
      <c r="H83" s="2">
        <v>19.1</v>
      </c>
      <c r="I83" s="2" t="s">
        <v>47</v>
      </c>
    </row>
    <row r="84" ht="15.75" customHeight="1">
      <c r="A84" s="2" t="s">
        <v>426</v>
      </c>
      <c r="B84" s="2" t="s">
        <v>428</v>
      </c>
      <c r="C84" s="2" t="s">
        <v>12</v>
      </c>
      <c r="D84" s="2" t="s">
        <v>182</v>
      </c>
      <c r="E84" s="2" t="s">
        <v>184</v>
      </c>
      <c r="F84" s="2">
        <v>80.0</v>
      </c>
      <c r="G84" s="2">
        <v>2.68</v>
      </c>
      <c r="H84" s="2">
        <v>29.9</v>
      </c>
      <c r="I84" s="2" t="s">
        <v>47</v>
      </c>
    </row>
    <row r="85" ht="15.75" customHeight="1">
      <c r="A85" s="2" t="s">
        <v>435</v>
      </c>
      <c r="B85" s="2" t="s">
        <v>437</v>
      </c>
      <c r="C85" s="2" t="s">
        <v>12</v>
      </c>
      <c r="D85" s="2" t="s">
        <v>73</v>
      </c>
      <c r="E85" s="2" t="s">
        <v>75</v>
      </c>
      <c r="F85" s="2">
        <v>98.0</v>
      </c>
      <c r="G85" s="2">
        <v>5.27</v>
      </c>
      <c r="H85" s="2">
        <v>18.6</v>
      </c>
      <c r="I85" s="2" t="s">
        <v>47</v>
      </c>
    </row>
    <row r="86" ht="15.75" customHeight="1">
      <c r="A86" s="2" t="s">
        <v>440</v>
      </c>
      <c r="B86" s="2" t="s">
        <v>441</v>
      </c>
      <c r="C86" s="2" t="s">
        <v>12</v>
      </c>
      <c r="D86" s="2" t="s">
        <v>174</v>
      </c>
      <c r="E86" s="2" t="s">
        <v>175</v>
      </c>
      <c r="F86" s="2">
        <v>474.0</v>
      </c>
      <c r="G86" s="2">
        <v>9.83</v>
      </c>
      <c r="H86" s="2">
        <v>48.2</v>
      </c>
      <c r="I86" s="2" t="s">
        <v>47</v>
      </c>
    </row>
    <row r="87" ht="15.75" customHeight="1">
      <c r="A87" s="2" t="s">
        <v>102</v>
      </c>
      <c r="B87" s="2" t="s">
        <v>104</v>
      </c>
      <c r="C87" s="2" t="s">
        <v>12</v>
      </c>
      <c r="D87" s="2" t="s">
        <v>134</v>
      </c>
      <c r="E87" s="2" t="s">
        <v>135</v>
      </c>
      <c r="F87" s="2">
        <v>1162.0</v>
      </c>
      <c r="G87" s="2">
        <v>10.81</v>
      </c>
      <c r="H87" s="2">
        <v>107.5</v>
      </c>
      <c r="I87" s="2" t="s">
        <v>27</v>
      </c>
    </row>
    <row r="88" ht="15.75" customHeight="1">
      <c r="A88" s="2" t="s">
        <v>106</v>
      </c>
      <c r="B88" s="2" t="s">
        <v>107</v>
      </c>
      <c r="C88" s="2" t="s">
        <v>12</v>
      </c>
      <c r="D88" s="2" t="s">
        <v>204</v>
      </c>
      <c r="E88" s="2" t="s">
        <v>205</v>
      </c>
      <c r="F88" s="2">
        <v>5605.0</v>
      </c>
      <c r="G88" s="2">
        <v>31.78</v>
      </c>
      <c r="H88" s="2">
        <v>176.4</v>
      </c>
      <c r="I88" s="2" t="s">
        <v>138</v>
      </c>
    </row>
    <row r="89" ht="15.75" customHeight="1">
      <c r="A89" s="2" t="s">
        <v>442</v>
      </c>
      <c r="B89" s="2" t="s">
        <v>443</v>
      </c>
      <c r="C89" s="2" t="s">
        <v>12</v>
      </c>
      <c r="D89" s="2" t="s">
        <v>43</v>
      </c>
      <c r="E89" s="2" t="s">
        <v>44</v>
      </c>
      <c r="F89" s="2">
        <v>187.0</v>
      </c>
      <c r="G89" s="2">
        <v>10.45</v>
      </c>
      <c r="H89" s="2">
        <v>17.9</v>
      </c>
      <c r="I89" s="2" t="s">
        <v>47</v>
      </c>
    </row>
    <row r="90" ht="15.75" customHeight="1">
      <c r="A90" s="2" t="s">
        <v>444</v>
      </c>
      <c r="B90" s="2" t="s">
        <v>445</v>
      </c>
      <c r="C90" s="2" t="s">
        <v>12</v>
      </c>
      <c r="D90" s="2" t="s">
        <v>52</v>
      </c>
      <c r="E90" s="2" t="s">
        <v>53</v>
      </c>
      <c r="F90" s="2">
        <v>272.0</v>
      </c>
      <c r="G90" s="2">
        <v>13.42</v>
      </c>
      <c r="H90" s="2">
        <v>20.3</v>
      </c>
      <c r="I90" s="2" t="s">
        <v>47</v>
      </c>
    </row>
    <row r="91" ht="15.75" customHeight="1">
      <c r="A91" s="2" t="s">
        <v>108</v>
      </c>
      <c r="B91" s="2" t="s">
        <v>109</v>
      </c>
      <c r="C91" s="2" t="s">
        <v>12</v>
      </c>
      <c r="D91" s="2" t="s">
        <v>174</v>
      </c>
      <c r="E91" s="2" t="s">
        <v>175</v>
      </c>
      <c r="F91" s="2">
        <v>375.0</v>
      </c>
      <c r="G91" s="2">
        <v>2.15</v>
      </c>
      <c r="H91" s="2">
        <v>174.4</v>
      </c>
      <c r="I91" s="2" t="s">
        <v>47</v>
      </c>
    </row>
    <row r="92" ht="15.75" customHeight="1">
      <c r="A92" s="2" t="s">
        <v>448</v>
      </c>
      <c r="B92" s="2" t="s">
        <v>449</v>
      </c>
      <c r="C92" s="2" t="s">
        <v>12</v>
      </c>
      <c r="D92" s="2" t="s">
        <v>174</v>
      </c>
      <c r="E92" s="2" t="s">
        <v>175</v>
      </c>
      <c r="F92" s="2">
        <v>212.0</v>
      </c>
      <c r="G92" s="2">
        <v>6.34</v>
      </c>
      <c r="H92" s="2">
        <v>33.4</v>
      </c>
      <c r="I92" s="2" t="s">
        <v>47</v>
      </c>
    </row>
    <row r="93" ht="15.75" customHeight="1">
      <c r="A93" s="2" t="s">
        <v>452</v>
      </c>
      <c r="B93" s="2" t="s">
        <v>453</v>
      </c>
      <c r="C93" s="2" t="s">
        <v>12</v>
      </c>
      <c r="D93" s="2" t="s">
        <v>204</v>
      </c>
      <c r="E93" s="2" t="s">
        <v>205</v>
      </c>
      <c r="F93" s="2">
        <v>137.0</v>
      </c>
      <c r="G93" s="2">
        <v>8.01</v>
      </c>
      <c r="H93" s="2">
        <v>17.1</v>
      </c>
      <c r="I93" s="2" t="s">
        <v>47</v>
      </c>
    </row>
    <row r="94" ht="15.75" customHeight="1">
      <c r="A94" s="2" t="s">
        <v>456</v>
      </c>
      <c r="B94" s="2" t="s">
        <v>457</v>
      </c>
      <c r="C94" s="2" t="s">
        <v>12</v>
      </c>
      <c r="D94" s="2" t="s">
        <v>43</v>
      </c>
      <c r="E94" s="2" t="s">
        <v>44</v>
      </c>
      <c r="F94" s="2">
        <v>170.0</v>
      </c>
      <c r="G94" s="2">
        <v>9.75</v>
      </c>
      <c r="H94" s="2">
        <v>17.4</v>
      </c>
      <c r="I94" s="2" t="s">
        <v>47</v>
      </c>
    </row>
    <row r="95" ht="15.75" customHeight="1">
      <c r="A95" s="2" t="s">
        <v>460</v>
      </c>
      <c r="B95" s="2" t="s">
        <v>461</v>
      </c>
      <c r="C95" s="2" t="s">
        <v>12</v>
      </c>
      <c r="D95" s="2" t="s">
        <v>66</v>
      </c>
      <c r="E95" s="2" t="s">
        <v>67</v>
      </c>
      <c r="F95" s="2">
        <v>181.0</v>
      </c>
      <c r="G95" s="2">
        <v>13.08</v>
      </c>
      <c r="H95" s="2">
        <v>13.8</v>
      </c>
      <c r="I95" s="2" t="s">
        <v>47</v>
      </c>
    </row>
    <row r="96" ht="15.75" customHeight="1">
      <c r="A96" s="2" t="s">
        <v>464</v>
      </c>
      <c r="B96" s="2" t="s">
        <v>465</v>
      </c>
      <c r="C96" s="2" t="s">
        <v>12</v>
      </c>
      <c r="D96" s="2" t="s">
        <v>52</v>
      </c>
      <c r="E96" s="2" t="s">
        <v>53</v>
      </c>
      <c r="F96" s="2">
        <v>96.0</v>
      </c>
      <c r="G96" s="2">
        <v>4.39</v>
      </c>
      <c r="H96" s="2">
        <v>21.9</v>
      </c>
      <c r="I96" s="2" t="s">
        <v>47</v>
      </c>
    </row>
    <row r="97" ht="15.75" customHeight="1">
      <c r="A97" s="2" t="s">
        <v>468</v>
      </c>
      <c r="B97" s="2" t="s">
        <v>469</v>
      </c>
      <c r="C97" s="2" t="s">
        <v>12</v>
      </c>
      <c r="D97" s="2" t="s">
        <v>174</v>
      </c>
      <c r="E97" s="2" t="s">
        <v>175</v>
      </c>
      <c r="F97" s="2">
        <v>183.0</v>
      </c>
      <c r="G97" s="2">
        <v>7.61</v>
      </c>
      <c r="H97" s="2">
        <v>24.0</v>
      </c>
      <c r="I97" s="2" t="s">
        <v>47</v>
      </c>
    </row>
    <row r="98" ht="15.75" customHeight="1">
      <c r="A98" s="2" t="s">
        <v>110</v>
      </c>
      <c r="B98" s="2" t="s">
        <v>111</v>
      </c>
      <c r="C98" s="2" t="s">
        <v>12</v>
      </c>
      <c r="D98" s="2" t="s">
        <v>66</v>
      </c>
      <c r="E98" s="2" t="s">
        <v>67</v>
      </c>
      <c r="F98" s="2">
        <v>809.0</v>
      </c>
      <c r="G98" s="2">
        <v>5.13</v>
      </c>
      <c r="H98" s="2">
        <v>157.7</v>
      </c>
      <c r="I98" s="2" t="s">
        <v>27</v>
      </c>
    </row>
    <row r="99" ht="15.75" customHeight="1">
      <c r="A99" s="2" t="s">
        <v>473</v>
      </c>
      <c r="B99" s="2" t="s">
        <v>474</v>
      </c>
      <c r="C99" s="2" t="s">
        <v>12</v>
      </c>
      <c r="D99" s="2" t="s">
        <v>134</v>
      </c>
      <c r="E99" s="2" t="s">
        <v>135</v>
      </c>
      <c r="F99" s="2">
        <v>104.0</v>
      </c>
      <c r="G99" s="2">
        <v>2.81</v>
      </c>
      <c r="H99" s="2">
        <v>37.0</v>
      </c>
      <c r="I99" s="2" t="s">
        <v>47</v>
      </c>
    </row>
    <row r="100" ht="15.75" customHeight="1">
      <c r="A100" s="2" t="s">
        <v>476</v>
      </c>
      <c r="B100" s="2" t="s">
        <v>477</v>
      </c>
      <c r="C100" s="2" t="s">
        <v>12</v>
      </c>
      <c r="D100" s="2" t="s">
        <v>134</v>
      </c>
      <c r="E100" s="2" t="s">
        <v>135</v>
      </c>
      <c r="F100" s="2">
        <v>140.0</v>
      </c>
      <c r="G100" s="2">
        <v>1.94</v>
      </c>
      <c r="H100" s="2">
        <v>72.2</v>
      </c>
      <c r="I100" s="2" t="s">
        <v>47</v>
      </c>
    </row>
    <row r="101" ht="15.75" customHeight="1">
      <c r="A101" s="2" t="s">
        <v>112</v>
      </c>
      <c r="B101" s="2" t="s">
        <v>114</v>
      </c>
      <c r="C101" s="2" t="s">
        <v>12</v>
      </c>
      <c r="D101" s="2" t="s">
        <v>250</v>
      </c>
      <c r="E101" s="2" t="s">
        <v>251</v>
      </c>
      <c r="F101" s="2">
        <v>1315.0</v>
      </c>
      <c r="G101" s="2">
        <v>10.69</v>
      </c>
      <c r="H101" s="2">
        <v>123.0</v>
      </c>
      <c r="I101" s="2" t="s">
        <v>27</v>
      </c>
    </row>
    <row r="102" ht="15.75" customHeight="1">
      <c r="A102" s="2" t="s">
        <v>116</v>
      </c>
      <c r="B102" s="2" t="s">
        <v>117</v>
      </c>
      <c r="C102" s="2" t="s">
        <v>12</v>
      </c>
      <c r="D102" s="2" t="s">
        <v>73</v>
      </c>
      <c r="E102" s="2" t="s">
        <v>75</v>
      </c>
      <c r="F102" s="2">
        <v>2248.0</v>
      </c>
      <c r="G102" s="2">
        <v>11.59</v>
      </c>
      <c r="H102" s="2">
        <v>194.0</v>
      </c>
      <c r="I102" s="2" t="s">
        <v>138</v>
      </c>
    </row>
    <row r="103" ht="15.75" customHeight="1">
      <c r="A103" s="2" t="s">
        <v>485</v>
      </c>
      <c r="B103" s="2" t="s">
        <v>487</v>
      </c>
      <c r="C103" s="2" t="s">
        <v>12</v>
      </c>
      <c r="D103" s="2" t="s">
        <v>134</v>
      </c>
      <c r="E103" s="2" t="s">
        <v>135</v>
      </c>
      <c r="F103" s="2">
        <v>702.0</v>
      </c>
      <c r="G103" s="2">
        <v>6.71</v>
      </c>
      <c r="H103" s="2">
        <v>104.6</v>
      </c>
      <c r="I103" s="2" t="s">
        <v>27</v>
      </c>
    </row>
    <row r="104" ht="15.75" customHeight="1">
      <c r="A104" s="2" t="s">
        <v>488</v>
      </c>
      <c r="B104" s="2" t="s">
        <v>490</v>
      </c>
      <c r="C104" s="2" t="s">
        <v>12</v>
      </c>
      <c r="D104" s="2" t="s">
        <v>204</v>
      </c>
      <c r="E104" s="2" t="s">
        <v>205</v>
      </c>
      <c r="F104" s="2">
        <v>554.0</v>
      </c>
      <c r="G104" s="2">
        <v>13.35</v>
      </c>
      <c r="H104" s="2">
        <v>41.5</v>
      </c>
      <c r="I104" s="2" t="s">
        <v>27</v>
      </c>
    </row>
    <row r="105" ht="15.75" customHeight="1">
      <c r="A105" s="2" t="s">
        <v>120</v>
      </c>
      <c r="B105" s="2" t="s">
        <v>121</v>
      </c>
      <c r="C105" s="2" t="s">
        <v>12</v>
      </c>
      <c r="D105" s="2" t="s">
        <v>174</v>
      </c>
      <c r="E105" s="2" t="s">
        <v>175</v>
      </c>
      <c r="F105" s="2">
        <v>1788.0</v>
      </c>
      <c r="G105" s="2">
        <v>7.34</v>
      </c>
      <c r="H105" s="2">
        <v>243.6</v>
      </c>
      <c r="I105" s="2" t="s">
        <v>27</v>
      </c>
    </row>
    <row r="106" ht="15.75" customHeight="1">
      <c r="A106" s="2" t="s">
        <v>502</v>
      </c>
      <c r="B106" s="2" t="s">
        <v>503</v>
      </c>
      <c r="C106" s="2" t="s">
        <v>12</v>
      </c>
      <c r="D106" s="2" t="s">
        <v>145</v>
      </c>
      <c r="E106" s="2" t="s">
        <v>146</v>
      </c>
      <c r="F106" s="2">
        <v>64.0</v>
      </c>
      <c r="G106" s="2">
        <v>2.92</v>
      </c>
      <c r="H106" s="2">
        <v>21.9</v>
      </c>
      <c r="I106" s="2" t="s">
        <v>47</v>
      </c>
    </row>
    <row r="107" ht="15.75" customHeight="1">
      <c r="A107" s="2" t="s">
        <v>504</v>
      </c>
      <c r="B107" s="2" t="s">
        <v>505</v>
      </c>
      <c r="C107" s="2" t="s">
        <v>12</v>
      </c>
      <c r="D107" s="2" t="s">
        <v>73</v>
      </c>
      <c r="E107" s="2" t="s">
        <v>75</v>
      </c>
      <c r="F107" s="2">
        <v>129.0</v>
      </c>
      <c r="G107" s="2">
        <v>1.35</v>
      </c>
      <c r="H107" s="2">
        <v>95.6</v>
      </c>
      <c r="I107" s="2" t="s">
        <v>47</v>
      </c>
    </row>
    <row r="108" ht="15.75" customHeight="1">
      <c r="A108" s="2" t="s">
        <v>494</v>
      </c>
      <c r="B108" s="2" t="s">
        <v>497</v>
      </c>
      <c r="C108" s="2" t="s">
        <v>12</v>
      </c>
      <c r="D108" s="2" t="s">
        <v>66</v>
      </c>
      <c r="E108" s="2" t="s">
        <v>67</v>
      </c>
      <c r="F108" s="2">
        <v>195.0</v>
      </c>
      <c r="G108" s="2">
        <v>8.2</v>
      </c>
      <c r="H108" s="2">
        <v>23.8</v>
      </c>
      <c r="I108" s="2" t="s">
        <v>47</v>
      </c>
    </row>
    <row r="109" ht="15.75" customHeight="1">
      <c r="A109" s="2" t="s">
        <v>498</v>
      </c>
      <c r="B109" s="2" t="s">
        <v>501</v>
      </c>
      <c r="C109" s="2" t="s">
        <v>12</v>
      </c>
      <c r="D109" s="2" t="s">
        <v>250</v>
      </c>
      <c r="E109" s="2" t="s">
        <v>251</v>
      </c>
      <c r="F109" s="2">
        <v>131.0</v>
      </c>
      <c r="G109" s="2">
        <v>9.25</v>
      </c>
      <c r="H109" s="2">
        <v>14.2</v>
      </c>
      <c r="I109" s="2" t="s">
        <v>47</v>
      </c>
    </row>
    <row r="110" ht="15.75" customHeight="1">
      <c r="A110" s="2" t="s">
        <v>512</v>
      </c>
      <c r="B110" s="2" t="s">
        <v>513</v>
      </c>
      <c r="C110" s="2" t="s">
        <v>12</v>
      </c>
      <c r="D110" s="2" t="s">
        <v>73</v>
      </c>
      <c r="E110" s="2" t="s">
        <v>75</v>
      </c>
      <c r="F110" s="2">
        <v>193.0</v>
      </c>
      <c r="G110" s="2">
        <v>4.38</v>
      </c>
      <c r="H110" s="2">
        <v>44.1</v>
      </c>
      <c r="I110" s="2" t="s">
        <v>47</v>
      </c>
    </row>
    <row r="111" ht="15.75" customHeight="1">
      <c r="A111" s="2" t="s">
        <v>516</v>
      </c>
      <c r="B111" s="2" t="s">
        <v>517</v>
      </c>
      <c r="C111" s="2" t="s">
        <v>12</v>
      </c>
      <c r="D111" s="2" t="s">
        <v>98</v>
      </c>
      <c r="E111" s="2" t="s">
        <v>100</v>
      </c>
      <c r="F111" s="2">
        <v>210.0</v>
      </c>
      <c r="G111" s="2">
        <v>4.54</v>
      </c>
      <c r="H111" s="2">
        <v>46.3</v>
      </c>
      <c r="I111" s="2" t="s">
        <v>47</v>
      </c>
    </row>
    <row r="112" ht="15.75" customHeight="1">
      <c r="A112" s="2" t="s">
        <v>520</v>
      </c>
      <c r="B112" s="2" t="s">
        <v>521</v>
      </c>
      <c r="C112" s="2" t="s">
        <v>12</v>
      </c>
      <c r="D112" s="2" t="s">
        <v>22</v>
      </c>
      <c r="E112" s="2" t="s">
        <v>23</v>
      </c>
      <c r="F112" s="2">
        <v>55.0</v>
      </c>
      <c r="G112" s="2">
        <v>2.86</v>
      </c>
      <c r="H112" s="2">
        <v>19.2</v>
      </c>
      <c r="I112" s="2" t="s">
        <v>47</v>
      </c>
    </row>
    <row r="113" ht="15.75" customHeight="1">
      <c r="A113" s="2" t="s">
        <v>522</v>
      </c>
      <c r="B113" s="2" t="s">
        <v>524</v>
      </c>
      <c r="C113" s="2" t="s">
        <v>12</v>
      </c>
      <c r="D113" s="2" t="s">
        <v>80</v>
      </c>
      <c r="E113" s="2" t="s">
        <v>81</v>
      </c>
      <c r="F113" s="2">
        <v>296.0</v>
      </c>
      <c r="G113" s="2">
        <v>8.79</v>
      </c>
      <c r="H113" s="2">
        <v>33.7</v>
      </c>
      <c r="I113" s="2" t="s">
        <v>47</v>
      </c>
    </row>
    <row r="114" ht="15.75" customHeight="1">
      <c r="A114" s="2" t="s">
        <v>122</v>
      </c>
      <c r="B114" s="2" t="s">
        <v>123</v>
      </c>
      <c r="C114" s="2" t="s">
        <v>12</v>
      </c>
      <c r="D114" s="2" t="s">
        <v>80</v>
      </c>
      <c r="E114" s="2" t="s">
        <v>81</v>
      </c>
      <c r="F114" s="2">
        <v>653.0</v>
      </c>
      <c r="G114" s="2">
        <v>12.24</v>
      </c>
      <c r="H114" s="2">
        <v>53.3</v>
      </c>
      <c r="I114" s="2" t="s">
        <v>27</v>
      </c>
    </row>
    <row r="115" ht="15.75" customHeight="1">
      <c r="A115" s="2" t="s">
        <v>528</v>
      </c>
      <c r="B115" s="2" t="s">
        <v>529</v>
      </c>
      <c r="C115" s="2" t="s">
        <v>12</v>
      </c>
      <c r="D115" s="2" t="s">
        <v>174</v>
      </c>
      <c r="E115" s="2" t="s">
        <v>175</v>
      </c>
      <c r="F115" s="2">
        <v>175.0</v>
      </c>
      <c r="G115" s="2">
        <v>7.24</v>
      </c>
      <c r="H115" s="2">
        <v>24.2</v>
      </c>
      <c r="I115" s="2" t="s">
        <v>47</v>
      </c>
    </row>
    <row r="116" ht="15.75" customHeight="1">
      <c r="A116" s="2" t="s">
        <v>126</v>
      </c>
      <c r="B116" s="2" t="s">
        <v>127</v>
      </c>
      <c r="C116" s="2" t="s">
        <v>12</v>
      </c>
      <c r="D116" s="2" t="s">
        <v>160</v>
      </c>
      <c r="E116" s="2" t="s">
        <v>161</v>
      </c>
      <c r="F116" s="2">
        <v>463.0</v>
      </c>
      <c r="G116" s="2">
        <v>8.88</v>
      </c>
      <c r="H116" s="2">
        <v>52.1</v>
      </c>
      <c r="I116" s="2" t="s">
        <v>47</v>
      </c>
    </row>
    <row r="117" ht="15.75" customHeight="1">
      <c r="A117" s="2" t="s">
        <v>539</v>
      </c>
      <c r="B117" s="2" t="s">
        <v>540</v>
      </c>
      <c r="C117" s="2" t="s">
        <v>12</v>
      </c>
      <c r="D117" s="2" t="s">
        <v>73</v>
      </c>
      <c r="E117" s="2" t="s">
        <v>75</v>
      </c>
      <c r="F117" s="2">
        <v>20.0</v>
      </c>
      <c r="G117" s="2">
        <v>5.6</v>
      </c>
      <c r="H117" s="2">
        <v>3.6</v>
      </c>
      <c r="I117" s="2" t="s">
        <v>47</v>
      </c>
    </row>
    <row r="118" ht="15.75" customHeight="1">
      <c r="A118" s="2" t="s">
        <v>128</v>
      </c>
      <c r="B118" s="2" t="s">
        <v>129</v>
      </c>
      <c r="C118" s="2" t="s">
        <v>12</v>
      </c>
      <c r="D118" s="2" t="s">
        <v>182</v>
      </c>
      <c r="E118" s="2" t="s">
        <v>184</v>
      </c>
      <c r="F118" s="2">
        <v>1411.0</v>
      </c>
      <c r="G118" s="2">
        <v>11.58</v>
      </c>
      <c r="H118" s="2">
        <v>121.8</v>
      </c>
      <c r="I118" s="2" t="s">
        <v>27</v>
      </c>
    </row>
    <row r="119" ht="15.75" customHeight="1">
      <c r="A119" s="2" t="s">
        <v>534</v>
      </c>
      <c r="B119" s="2" t="s">
        <v>535</v>
      </c>
      <c r="C119" s="2" t="s">
        <v>12</v>
      </c>
      <c r="D119" s="2" t="s">
        <v>174</v>
      </c>
      <c r="E119" s="2" t="s">
        <v>175</v>
      </c>
      <c r="F119" s="2">
        <v>199.0</v>
      </c>
      <c r="G119" s="2">
        <v>9.01</v>
      </c>
      <c r="H119" s="2">
        <v>22.1</v>
      </c>
      <c r="I119" s="2" t="s">
        <v>47</v>
      </c>
    </row>
    <row r="120" ht="15.75" customHeight="1">
      <c r="A120" s="2" t="s">
        <v>508</v>
      </c>
      <c r="B120" s="2" t="s">
        <v>509</v>
      </c>
      <c r="C120" s="2" t="s">
        <v>12</v>
      </c>
      <c r="D120" s="2" t="s">
        <v>174</v>
      </c>
      <c r="E120" s="2" t="s">
        <v>175</v>
      </c>
      <c r="F120" s="2">
        <v>317.0</v>
      </c>
      <c r="G120" s="2">
        <v>10.45</v>
      </c>
      <c r="H120" s="2">
        <v>30.3</v>
      </c>
      <c r="I120" s="2" t="s">
        <v>47</v>
      </c>
    </row>
    <row r="121" ht="15.75" customHeight="1">
      <c r="A121" s="2" t="s">
        <v>542</v>
      </c>
      <c r="B121" s="2" t="s">
        <v>544</v>
      </c>
      <c r="C121" s="2" t="s">
        <v>12</v>
      </c>
      <c r="D121" s="2" t="s">
        <v>152</v>
      </c>
      <c r="E121" s="2" t="s">
        <v>153</v>
      </c>
      <c r="F121" s="2">
        <v>204.0</v>
      </c>
      <c r="G121" s="2">
        <v>12.9</v>
      </c>
      <c r="H121" s="2">
        <v>15.8</v>
      </c>
      <c r="I121" s="2" t="s">
        <v>47</v>
      </c>
    </row>
    <row r="122" ht="15.75" customHeight="1">
      <c r="A122" s="2" t="s">
        <v>131</v>
      </c>
      <c r="B122" s="2" t="s">
        <v>132</v>
      </c>
      <c r="C122" s="2" t="s">
        <v>12</v>
      </c>
      <c r="D122" s="2" t="s">
        <v>73</v>
      </c>
      <c r="E122" s="2" t="s">
        <v>75</v>
      </c>
      <c r="F122" s="2">
        <v>1947.0</v>
      </c>
      <c r="G122" s="2">
        <v>12.89</v>
      </c>
      <c r="H122" s="2">
        <v>151.0</v>
      </c>
      <c r="I122" s="2" t="s">
        <v>27</v>
      </c>
    </row>
    <row r="123" ht="15.75" customHeight="1">
      <c r="A123" s="2" t="s">
        <v>548</v>
      </c>
      <c r="B123" s="2" t="s">
        <v>549</v>
      </c>
      <c r="C123" s="2" t="s">
        <v>12</v>
      </c>
      <c r="D123" s="2" t="s">
        <v>182</v>
      </c>
      <c r="E123" s="2" t="s">
        <v>184</v>
      </c>
      <c r="F123" s="2">
        <v>188.0</v>
      </c>
      <c r="G123" s="2">
        <v>8.74</v>
      </c>
      <c r="H123" s="2">
        <v>21.5</v>
      </c>
      <c r="I123" s="2" t="s">
        <v>47</v>
      </c>
    </row>
    <row r="124" ht="15.75" customHeight="1">
      <c r="A124" s="2" t="s">
        <v>137</v>
      </c>
      <c r="B124" s="2" t="s">
        <v>139</v>
      </c>
      <c r="C124" s="2" t="s">
        <v>12</v>
      </c>
      <c r="D124" s="2" t="s">
        <v>52</v>
      </c>
      <c r="E124" s="2" t="s">
        <v>53</v>
      </c>
      <c r="F124" s="2">
        <v>410.0</v>
      </c>
      <c r="G124" s="2">
        <v>14.57</v>
      </c>
      <c r="H124" s="2">
        <v>28.1</v>
      </c>
      <c r="I124" s="2" t="s">
        <v>47</v>
      </c>
    </row>
    <row r="125" ht="15.75" customHeight="1">
      <c r="A125" s="2" t="s">
        <v>143</v>
      </c>
      <c r="B125" s="2" t="s">
        <v>144</v>
      </c>
      <c r="C125" s="2" t="s">
        <v>12</v>
      </c>
      <c r="D125" s="2" t="s">
        <v>152</v>
      </c>
      <c r="E125" s="2" t="s">
        <v>153</v>
      </c>
      <c r="F125" s="2">
        <v>795.0</v>
      </c>
      <c r="G125" s="2">
        <v>4.14</v>
      </c>
      <c r="H125" s="2">
        <v>192.0</v>
      </c>
      <c r="I125" s="2" t="s">
        <v>27</v>
      </c>
    </row>
    <row r="126" ht="15.75" customHeight="1">
      <c r="A126" s="2" t="s">
        <v>147</v>
      </c>
      <c r="B126" s="2" t="s">
        <v>148</v>
      </c>
      <c r="C126" s="2" t="s">
        <v>12</v>
      </c>
      <c r="D126" s="2" t="s">
        <v>250</v>
      </c>
      <c r="E126" s="2" t="s">
        <v>251</v>
      </c>
      <c r="F126" s="2">
        <v>1122.0</v>
      </c>
      <c r="G126" s="2">
        <v>17.65</v>
      </c>
      <c r="H126" s="2">
        <v>63.6</v>
      </c>
      <c r="I126" s="2" t="s">
        <v>27</v>
      </c>
    </row>
    <row r="127" ht="15.75" customHeight="1">
      <c r="A127" s="2" t="s">
        <v>558</v>
      </c>
      <c r="B127" s="2" t="s">
        <v>559</v>
      </c>
      <c r="C127" s="2" t="s">
        <v>12</v>
      </c>
      <c r="D127" s="2" t="s">
        <v>250</v>
      </c>
      <c r="E127" s="2" t="s">
        <v>251</v>
      </c>
      <c r="F127" s="2">
        <v>123.0</v>
      </c>
      <c r="G127" s="2">
        <v>13.96</v>
      </c>
      <c r="H127" s="2">
        <v>8.8</v>
      </c>
      <c r="I127" s="2" t="s">
        <v>47</v>
      </c>
    </row>
    <row r="128" ht="15.75" customHeight="1">
      <c r="A128" s="2" t="s">
        <v>563</v>
      </c>
      <c r="B128" s="2" t="s">
        <v>564</v>
      </c>
      <c r="C128" s="2" t="s">
        <v>12</v>
      </c>
      <c r="D128" s="2" t="s">
        <v>174</v>
      </c>
      <c r="E128" s="2" t="s">
        <v>175</v>
      </c>
      <c r="F128" s="2">
        <v>126.0</v>
      </c>
      <c r="G128" s="2">
        <v>7.68</v>
      </c>
      <c r="H128" s="2">
        <v>16.4</v>
      </c>
      <c r="I128" s="2" t="s">
        <v>47</v>
      </c>
    </row>
    <row r="129" ht="15.75" customHeight="1">
      <c r="A129" s="2" t="s">
        <v>566</v>
      </c>
      <c r="B129" s="2" t="s">
        <v>568</v>
      </c>
      <c r="C129" s="2" t="s">
        <v>12</v>
      </c>
      <c r="D129" s="2" t="s">
        <v>98</v>
      </c>
      <c r="E129" s="2" t="s">
        <v>100</v>
      </c>
      <c r="F129" s="2">
        <v>175.0</v>
      </c>
      <c r="G129" s="2">
        <v>4.85</v>
      </c>
      <c r="H129" s="2">
        <v>36.1</v>
      </c>
      <c r="I129" s="2" t="s">
        <v>47</v>
      </c>
    </row>
    <row r="130" ht="15.75" customHeight="1">
      <c r="A130" s="2" t="s">
        <v>408</v>
      </c>
      <c r="B130" s="2" t="s">
        <v>409</v>
      </c>
      <c r="C130" s="2" t="s">
        <v>12</v>
      </c>
      <c r="D130" s="2" t="s">
        <v>22</v>
      </c>
      <c r="E130" s="2" t="s">
        <v>23</v>
      </c>
      <c r="F130" s="2">
        <v>421.0</v>
      </c>
      <c r="G130" s="2">
        <v>4.3</v>
      </c>
      <c r="H130" s="2">
        <v>97.9</v>
      </c>
      <c r="I130" s="2" t="s">
        <v>47</v>
      </c>
    </row>
    <row r="131" ht="15.75" customHeight="1">
      <c r="A131" s="2" t="s">
        <v>149</v>
      </c>
      <c r="B131" s="2" t="s">
        <v>151</v>
      </c>
      <c r="C131" s="2" t="s">
        <v>12</v>
      </c>
      <c r="D131" s="2" t="s">
        <v>174</v>
      </c>
      <c r="E131" s="2" t="s">
        <v>175</v>
      </c>
      <c r="F131" s="2">
        <v>991.0</v>
      </c>
      <c r="G131" s="2">
        <v>11.04</v>
      </c>
      <c r="H131" s="2">
        <v>89.8</v>
      </c>
      <c r="I131" s="2" t="s">
        <v>27</v>
      </c>
    </row>
    <row r="132" ht="15.75" customHeight="1">
      <c r="A132" s="2" t="s">
        <v>416</v>
      </c>
      <c r="B132" s="2" t="s">
        <v>417</v>
      </c>
      <c r="C132" s="2" t="s">
        <v>12</v>
      </c>
      <c r="D132" s="2" t="s">
        <v>686</v>
      </c>
      <c r="E132" s="2" t="s">
        <v>691</v>
      </c>
      <c r="F132" s="2">
        <v>248.0</v>
      </c>
      <c r="G132" s="2">
        <v>11.2</v>
      </c>
      <c r="H132" s="2">
        <v>22.1</v>
      </c>
      <c r="I132" s="2" t="s">
        <v>47</v>
      </c>
    </row>
    <row r="133" ht="15.75" customHeight="1">
      <c r="A133" s="2" t="s">
        <v>570</v>
      </c>
      <c r="B133" s="2" t="s">
        <v>572</v>
      </c>
      <c r="C133" s="2" t="s">
        <v>12</v>
      </c>
      <c r="D133" s="2" t="s">
        <v>22</v>
      </c>
      <c r="E133" s="2" t="s">
        <v>23</v>
      </c>
      <c r="F133" s="2">
        <v>459.0</v>
      </c>
      <c r="G133" s="2">
        <v>6.72</v>
      </c>
      <c r="H133" s="2">
        <v>68.3</v>
      </c>
      <c r="I133" s="2" t="s">
        <v>47</v>
      </c>
    </row>
    <row r="134" ht="15.75" customHeight="1">
      <c r="A134" s="2" t="s">
        <v>154</v>
      </c>
      <c r="B134" s="2" t="s">
        <v>155</v>
      </c>
      <c r="C134" s="2" t="s">
        <v>12</v>
      </c>
      <c r="D134" s="2" t="s">
        <v>134</v>
      </c>
      <c r="E134" s="2" t="s">
        <v>135</v>
      </c>
      <c r="F134" s="2">
        <v>426.0</v>
      </c>
      <c r="G134" s="2">
        <v>9.18</v>
      </c>
      <c r="H134" s="2">
        <v>46.4</v>
      </c>
      <c r="I134" s="2" t="s">
        <v>47</v>
      </c>
    </row>
    <row r="135" ht="15.75" customHeight="1">
      <c r="A135" s="2" t="s">
        <v>578</v>
      </c>
      <c r="B135" s="2" t="s">
        <v>579</v>
      </c>
      <c r="C135" s="2" t="s">
        <v>12</v>
      </c>
      <c r="D135" s="2" t="s">
        <v>145</v>
      </c>
      <c r="E135" s="2" t="s">
        <v>146</v>
      </c>
      <c r="F135" s="2">
        <v>246.0</v>
      </c>
      <c r="G135" s="2">
        <v>5.77</v>
      </c>
      <c r="H135" s="2">
        <v>42.6</v>
      </c>
      <c r="I135" s="2" t="s">
        <v>47</v>
      </c>
    </row>
    <row r="136" ht="15.75" customHeight="1">
      <c r="A136" s="2" t="s">
        <v>586</v>
      </c>
      <c r="B136" s="2" t="s">
        <v>587</v>
      </c>
      <c r="C136" s="2" t="s">
        <v>12</v>
      </c>
      <c r="D136" s="2" t="s">
        <v>204</v>
      </c>
      <c r="E136" s="2" t="s">
        <v>205</v>
      </c>
      <c r="F136" s="2">
        <v>143.0</v>
      </c>
      <c r="G136" s="2">
        <v>5.98</v>
      </c>
      <c r="H136" s="2">
        <v>23.9</v>
      </c>
      <c r="I136" s="2" t="s">
        <v>47</v>
      </c>
    </row>
    <row r="137" ht="15.75" customHeight="1">
      <c r="A137" s="2" t="s">
        <v>592</v>
      </c>
      <c r="B137" s="2" t="s">
        <v>593</v>
      </c>
      <c r="C137" s="2" t="s">
        <v>12</v>
      </c>
      <c r="D137" s="2" t="s">
        <v>22</v>
      </c>
      <c r="E137" s="2" t="s">
        <v>23</v>
      </c>
      <c r="F137" s="2">
        <v>547.0</v>
      </c>
      <c r="G137" s="2">
        <v>5.76</v>
      </c>
      <c r="H137" s="2">
        <v>95.0</v>
      </c>
      <c r="I137" s="2" t="s">
        <v>27</v>
      </c>
    </row>
    <row r="138" ht="15.75" customHeight="1">
      <c r="A138" s="2" t="s">
        <v>596</v>
      </c>
      <c r="B138" s="2" t="s">
        <v>597</v>
      </c>
      <c r="C138" s="2" t="s">
        <v>12</v>
      </c>
      <c r="D138" s="2" t="s">
        <v>174</v>
      </c>
      <c r="E138" s="2" t="s">
        <v>175</v>
      </c>
      <c r="F138" s="2">
        <v>88.0</v>
      </c>
      <c r="G138" s="2">
        <v>3.91</v>
      </c>
      <c r="H138" s="2">
        <v>22.5</v>
      </c>
      <c r="I138" s="2" t="s">
        <v>47</v>
      </c>
    </row>
    <row r="139" ht="15.75" customHeight="1">
      <c r="A139" s="2" t="s">
        <v>600</v>
      </c>
      <c r="B139" s="2" t="s">
        <v>601</v>
      </c>
      <c r="C139" s="2" t="s">
        <v>12</v>
      </c>
      <c r="D139" s="2" t="s">
        <v>73</v>
      </c>
      <c r="E139" s="2" t="s">
        <v>75</v>
      </c>
      <c r="F139" s="2">
        <v>248.0</v>
      </c>
      <c r="G139" s="2">
        <v>6.07</v>
      </c>
      <c r="H139" s="2">
        <v>40.9</v>
      </c>
      <c r="I139" s="2" t="s">
        <v>47</v>
      </c>
    </row>
    <row r="140" ht="15.75" customHeight="1">
      <c r="A140" s="2" t="s">
        <v>605</v>
      </c>
      <c r="B140" s="2" t="s">
        <v>607</v>
      </c>
      <c r="C140" s="2" t="s">
        <v>12</v>
      </c>
      <c r="D140" s="2" t="s">
        <v>80</v>
      </c>
      <c r="E140" s="2" t="s">
        <v>81</v>
      </c>
      <c r="F140" s="2">
        <v>58.0</v>
      </c>
      <c r="G140" s="2">
        <v>4.02</v>
      </c>
      <c r="H140" s="2">
        <v>14.4</v>
      </c>
      <c r="I140" s="2" t="s">
        <v>47</v>
      </c>
    </row>
    <row r="141" ht="15.75" customHeight="1">
      <c r="A141" s="2" t="s">
        <v>609</v>
      </c>
      <c r="B141" s="2" t="s">
        <v>611</v>
      </c>
      <c r="C141" s="2" t="s">
        <v>12</v>
      </c>
      <c r="D141" s="2" t="s">
        <v>182</v>
      </c>
      <c r="E141" s="2" t="s">
        <v>184</v>
      </c>
      <c r="F141" s="2">
        <v>63.0</v>
      </c>
      <c r="G141" s="2">
        <v>7.3</v>
      </c>
      <c r="H141" s="2">
        <v>8.6</v>
      </c>
      <c r="I141" s="2" t="s">
        <v>47</v>
      </c>
    </row>
    <row r="142" ht="15.75" customHeight="1">
      <c r="A142" s="2" t="s">
        <v>612</v>
      </c>
      <c r="B142" s="2" t="s">
        <v>614</v>
      </c>
      <c r="C142" s="2" t="s">
        <v>12</v>
      </c>
      <c r="D142" s="2" t="s">
        <v>182</v>
      </c>
      <c r="E142" s="2" t="s">
        <v>184</v>
      </c>
      <c r="F142" s="2">
        <v>111.0</v>
      </c>
      <c r="G142" s="2">
        <v>3.16</v>
      </c>
      <c r="H142" s="2">
        <v>35.1</v>
      </c>
      <c r="I142" s="2" t="s">
        <v>47</v>
      </c>
    </row>
    <row r="143" ht="15.75" customHeight="1">
      <c r="A143" s="2" t="s">
        <v>616</v>
      </c>
      <c r="B143" s="2" t="s">
        <v>618</v>
      </c>
      <c r="C143" s="2" t="s">
        <v>12</v>
      </c>
      <c r="D143" s="2" t="s">
        <v>73</v>
      </c>
      <c r="E143" s="2" t="s">
        <v>75</v>
      </c>
      <c r="F143" s="2">
        <v>87.0</v>
      </c>
      <c r="G143" s="2">
        <v>4.6</v>
      </c>
      <c r="H143" s="2">
        <v>18.9</v>
      </c>
      <c r="I143" s="2" t="s">
        <v>47</v>
      </c>
    </row>
    <row r="144" ht="15.75" customHeight="1">
      <c r="A144" s="2" t="s">
        <v>157</v>
      </c>
      <c r="B144" s="2" t="s">
        <v>159</v>
      </c>
      <c r="C144" s="2" t="s">
        <v>12</v>
      </c>
      <c r="D144" s="2" t="s">
        <v>182</v>
      </c>
      <c r="E144" s="2" t="s">
        <v>184</v>
      </c>
      <c r="F144" s="2">
        <v>801.0</v>
      </c>
      <c r="G144" s="2">
        <v>19.86</v>
      </c>
      <c r="H144" s="2">
        <v>40.3</v>
      </c>
      <c r="I144" s="2" t="s">
        <v>27</v>
      </c>
    </row>
    <row r="145" ht="15.75" customHeight="1">
      <c r="A145" s="2" t="s">
        <v>622</v>
      </c>
      <c r="B145" s="2" t="s">
        <v>623</v>
      </c>
      <c r="C145" s="2" t="s">
        <v>12</v>
      </c>
      <c r="D145" s="2" t="s">
        <v>98</v>
      </c>
      <c r="E145" s="2" t="s">
        <v>100</v>
      </c>
      <c r="F145" s="2">
        <v>375.0</v>
      </c>
      <c r="G145" s="2">
        <v>12.75</v>
      </c>
      <c r="H145" s="2">
        <v>29.4</v>
      </c>
      <c r="I145" s="2" t="s">
        <v>47</v>
      </c>
    </row>
    <row r="146" ht="15.75" customHeight="1">
      <c r="A146" s="2" t="s">
        <v>626</v>
      </c>
      <c r="B146" s="2" t="s">
        <v>627</v>
      </c>
      <c r="C146" s="2" t="s">
        <v>12</v>
      </c>
      <c r="D146" s="2" t="s">
        <v>134</v>
      </c>
      <c r="E146" s="2" t="s">
        <v>135</v>
      </c>
      <c r="F146" s="2">
        <v>201.0</v>
      </c>
      <c r="G146" s="2">
        <v>2.22</v>
      </c>
      <c r="H146" s="2">
        <v>90.5</v>
      </c>
      <c r="I146" s="2" t="s">
        <v>47</v>
      </c>
    </row>
    <row r="147" ht="15.75" customHeight="1">
      <c r="A147" s="2" t="s">
        <v>162</v>
      </c>
      <c r="B147" s="2" t="s">
        <v>163</v>
      </c>
      <c r="C147" s="2" t="s">
        <v>12</v>
      </c>
      <c r="D147" s="2" t="s">
        <v>43</v>
      </c>
      <c r="E147" s="2" t="s">
        <v>44</v>
      </c>
      <c r="F147" s="2">
        <v>234.0</v>
      </c>
      <c r="G147" s="2">
        <v>7.74</v>
      </c>
      <c r="H147" s="2">
        <v>30.2</v>
      </c>
      <c r="I147" s="2" t="s">
        <v>47</v>
      </c>
    </row>
    <row r="148" ht="15.75" customHeight="1">
      <c r="A148" s="2" t="s">
        <v>632</v>
      </c>
      <c r="B148" s="2" t="s">
        <v>633</v>
      </c>
      <c r="C148" s="2" t="s">
        <v>12</v>
      </c>
      <c r="D148" s="2" t="s">
        <v>182</v>
      </c>
      <c r="E148" s="2" t="s">
        <v>184</v>
      </c>
      <c r="F148" s="2">
        <v>827.0</v>
      </c>
      <c r="G148" s="2">
        <v>8.93</v>
      </c>
      <c r="H148" s="2">
        <v>92.6</v>
      </c>
      <c r="I148" s="2" t="s">
        <v>27</v>
      </c>
    </row>
    <row r="149" ht="15.75" customHeight="1">
      <c r="A149" s="2" t="s">
        <v>635</v>
      </c>
      <c r="B149" s="2" t="s">
        <v>637</v>
      </c>
      <c r="C149" s="2" t="s">
        <v>12</v>
      </c>
      <c r="D149" s="2" t="s">
        <v>182</v>
      </c>
      <c r="E149" s="2" t="s">
        <v>184</v>
      </c>
      <c r="F149" s="2">
        <v>272.0</v>
      </c>
      <c r="G149" s="2">
        <v>3.31</v>
      </c>
      <c r="H149" s="2">
        <v>82.2</v>
      </c>
      <c r="I149" s="2" t="s">
        <v>47</v>
      </c>
    </row>
    <row r="150" ht="15.75" customHeight="1">
      <c r="A150" s="2" t="s">
        <v>638</v>
      </c>
      <c r="B150" s="2" t="s">
        <v>641</v>
      </c>
      <c r="C150" s="2" t="s">
        <v>12</v>
      </c>
      <c r="D150" s="2" t="s">
        <v>134</v>
      </c>
      <c r="E150" s="2" t="s">
        <v>135</v>
      </c>
      <c r="F150" s="2">
        <v>313.0</v>
      </c>
      <c r="G150" s="2">
        <v>9.23</v>
      </c>
      <c r="H150" s="2">
        <v>33.9</v>
      </c>
      <c r="I150" s="2" t="s">
        <v>47</v>
      </c>
    </row>
    <row r="151" ht="15.75" customHeight="1">
      <c r="A151" s="2" t="s">
        <v>165</v>
      </c>
      <c r="B151" s="2" t="s">
        <v>166</v>
      </c>
      <c r="C151" s="2" t="s">
        <v>12</v>
      </c>
      <c r="D151" s="2" t="s">
        <v>160</v>
      </c>
      <c r="E151" s="2" t="s">
        <v>161</v>
      </c>
      <c r="F151" s="2">
        <v>495.0</v>
      </c>
      <c r="G151" s="2">
        <v>18.58</v>
      </c>
      <c r="H151" s="2">
        <v>26.6</v>
      </c>
      <c r="I151" s="2" t="s">
        <v>47</v>
      </c>
    </row>
    <row r="152" ht="15.75" customHeight="1">
      <c r="A152" s="2" t="s">
        <v>168</v>
      </c>
      <c r="B152" s="2" t="s">
        <v>169</v>
      </c>
      <c r="C152" s="2" t="s">
        <v>12</v>
      </c>
      <c r="D152" s="2" t="s">
        <v>686</v>
      </c>
      <c r="E152" s="2" t="s">
        <v>691</v>
      </c>
      <c r="F152" s="2">
        <v>2594.0</v>
      </c>
      <c r="G152" s="2">
        <v>20.64</v>
      </c>
      <c r="H152" s="2">
        <v>125.7</v>
      </c>
      <c r="I152" s="2" t="s">
        <v>138</v>
      </c>
    </row>
    <row r="153" ht="15.75" customHeight="1">
      <c r="A153" s="2" t="s">
        <v>172</v>
      </c>
      <c r="B153" s="2" t="s">
        <v>173</v>
      </c>
      <c r="C153" s="2" t="s">
        <v>12</v>
      </c>
      <c r="D153" s="2" t="s">
        <v>22</v>
      </c>
      <c r="E153" s="2" t="s">
        <v>23</v>
      </c>
      <c r="F153" s="2">
        <v>1568.0</v>
      </c>
      <c r="G153" s="2">
        <v>3.67</v>
      </c>
      <c r="H153" s="2">
        <v>427.2</v>
      </c>
      <c r="I153" s="2" t="s">
        <v>27</v>
      </c>
    </row>
    <row r="154" ht="15.75" customHeight="1">
      <c r="A154" s="2" t="s">
        <v>176</v>
      </c>
      <c r="B154" s="2" t="s">
        <v>177</v>
      </c>
      <c r="C154" s="2" t="s">
        <v>12</v>
      </c>
      <c r="D154" s="2" t="s">
        <v>174</v>
      </c>
      <c r="E154" s="2" t="s">
        <v>175</v>
      </c>
      <c r="F154" s="2">
        <v>361.0</v>
      </c>
      <c r="G154" s="2">
        <v>8.87</v>
      </c>
      <c r="H154" s="2">
        <v>40.7</v>
      </c>
      <c r="I154" s="2" t="s">
        <v>47</v>
      </c>
    </row>
    <row r="155" ht="15.75" customHeight="1">
      <c r="A155" s="2" t="s">
        <v>179</v>
      </c>
      <c r="B155" s="2" t="s">
        <v>181</v>
      </c>
      <c r="C155" s="2" t="s">
        <v>12</v>
      </c>
      <c r="D155" s="2" t="s">
        <v>73</v>
      </c>
      <c r="E155" s="2" t="s">
        <v>75</v>
      </c>
      <c r="F155" s="2">
        <v>895.0</v>
      </c>
      <c r="G155" s="2">
        <v>10.96</v>
      </c>
      <c r="H155" s="2">
        <v>81.7</v>
      </c>
      <c r="I155" s="2" t="s">
        <v>27</v>
      </c>
    </row>
    <row r="156" ht="15.75" customHeight="1">
      <c r="A156" s="2" t="s">
        <v>672</v>
      </c>
      <c r="B156" s="2" t="s">
        <v>673</v>
      </c>
      <c r="C156" s="2" t="s">
        <v>12</v>
      </c>
      <c r="D156" s="2" t="s">
        <v>52</v>
      </c>
      <c r="E156" s="2" t="s">
        <v>53</v>
      </c>
      <c r="F156" s="2">
        <v>91.0</v>
      </c>
      <c r="G156" s="2">
        <v>4.68</v>
      </c>
      <c r="H156" s="2">
        <v>19.4</v>
      </c>
      <c r="I156" s="2" t="s">
        <v>47</v>
      </c>
    </row>
    <row r="157" ht="15.75" customHeight="1">
      <c r="A157" s="2" t="s">
        <v>676</v>
      </c>
      <c r="B157" s="2" t="s">
        <v>677</v>
      </c>
      <c r="C157" s="2" t="s">
        <v>12</v>
      </c>
      <c r="D157" s="2" t="s">
        <v>98</v>
      </c>
      <c r="E157" s="2" t="s">
        <v>100</v>
      </c>
      <c r="F157" s="2">
        <v>238.0</v>
      </c>
      <c r="G157" s="2">
        <v>8.55</v>
      </c>
      <c r="H157" s="2">
        <v>27.8</v>
      </c>
      <c r="I157" s="2" t="s">
        <v>47</v>
      </c>
    </row>
    <row r="158" ht="15.75" customHeight="1">
      <c r="A158" s="2" t="s">
        <v>183</v>
      </c>
      <c r="B158" s="2" t="s">
        <v>185</v>
      </c>
      <c r="C158" s="2" t="s">
        <v>12</v>
      </c>
      <c r="D158" s="2" t="s">
        <v>22</v>
      </c>
      <c r="E158" s="2" t="s">
        <v>23</v>
      </c>
      <c r="F158" s="2">
        <v>11596.0</v>
      </c>
      <c r="G158" s="2">
        <v>13.31</v>
      </c>
      <c r="H158" s="2">
        <v>871.2</v>
      </c>
      <c r="I158" s="2" t="s">
        <v>805</v>
      </c>
    </row>
    <row r="159" ht="15.75" customHeight="1">
      <c r="A159" s="2" t="s">
        <v>186</v>
      </c>
      <c r="B159" s="2" t="s">
        <v>187</v>
      </c>
      <c r="C159" s="2" t="s">
        <v>12</v>
      </c>
      <c r="D159" s="2" t="s">
        <v>73</v>
      </c>
      <c r="E159" s="2" t="s">
        <v>75</v>
      </c>
      <c r="F159" s="2">
        <v>859.0</v>
      </c>
      <c r="G159" s="2">
        <v>11.6</v>
      </c>
      <c r="H159" s="2">
        <v>74.1</v>
      </c>
      <c r="I159" s="2" t="s">
        <v>27</v>
      </c>
    </row>
    <row r="160" ht="15.75" customHeight="1">
      <c r="A160" s="2" t="s">
        <v>682</v>
      </c>
      <c r="B160" s="2" t="s">
        <v>685</v>
      </c>
      <c r="C160" s="2" t="s">
        <v>12</v>
      </c>
      <c r="D160" s="2" t="s">
        <v>35</v>
      </c>
      <c r="E160" s="2" t="s">
        <v>36</v>
      </c>
      <c r="F160" s="2">
        <v>153.0</v>
      </c>
      <c r="G160" s="2">
        <v>5.24</v>
      </c>
      <c r="H160" s="2">
        <v>29.2</v>
      </c>
      <c r="I160" s="2" t="s">
        <v>47</v>
      </c>
    </row>
    <row r="161" ht="15.75" customHeight="1">
      <c r="A161" s="2" t="s">
        <v>687</v>
      </c>
      <c r="B161" s="2" t="s">
        <v>689</v>
      </c>
      <c r="C161" s="2" t="s">
        <v>12</v>
      </c>
      <c r="D161" s="2" t="s">
        <v>73</v>
      </c>
      <c r="E161" s="2" t="s">
        <v>75</v>
      </c>
      <c r="F161" s="2">
        <v>214.0</v>
      </c>
      <c r="G161" s="2">
        <v>3.65</v>
      </c>
      <c r="H161" s="2">
        <v>58.6</v>
      </c>
      <c r="I161" s="2" t="s">
        <v>47</v>
      </c>
    </row>
    <row r="162" ht="15.75" customHeight="1">
      <c r="A162" s="2" t="s">
        <v>696</v>
      </c>
      <c r="B162" s="2" t="s">
        <v>697</v>
      </c>
      <c r="C162" s="2" t="s">
        <v>12</v>
      </c>
      <c r="D162" s="2" t="s">
        <v>66</v>
      </c>
      <c r="E162" s="2" t="s">
        <v>67</v>
      </c>
      <c r="F162" s="2">
        <v>127.0</v>
      </c>
      <c r="G162" s="2">
        <v>10.91</v>
      </c>
      <c r="H162" s="2">
        <v>11.6</v>
      </c>
      <c r="I162" s="2" t="s">
        <v>47</v>
      </c>
    </row>
    <row r="163" ht="15.75" customHeight="1">
      <c r="A163" s="2" t="s">
        <v>708</v>
      </c>
      <c r="B163" s="2" t="s">
        <v>712</v>
      </c>
      <c r="C163" s="2" t="s">
        <v>12</v>
      </c>
      <c r="D163" s="2" t="s">
        <v>250</v>
      </c>
      <c r="E163" s="2" t="s">
        <v>251</v>
      </c>
      <c r="F163" s="2">
        <v>136.0</v>
      </c>
      <c r="G163" s="2">
        <v>5.95</v>
      </c>
      <c r="H163" s="2">
        <v>22.9</v>
      </c>
      <c r="I163" s="2" t="s">
        <v>47</v>
      </c>
    </row>
    <row r="164" ht="15.75" customHeight="1">
      <c r="A164" s="2" t="s">
        <v>714</v>
      </c>
      <c r="B164" s="2" t="s">
        <v>716</v>
      </c>
      <c r="C164" s="2" t="s">
        <v>12</v>
      </c>
      <c r="D164" s="2" t="s">
        <v>66</v>
      </c>
      <c r="E164" s="2" t="s">
        <v>67</v>
      </c>
      <c r="F164" s="2">
        <v>197.0</v>
      </c>
      <c r="G164" s="2">
        <v>8.76</v>
      </c>
      <c r="H164" s="2">
        <v>22.5</v>
      </c>
      <c r="I164" s="2" t="s">
        <v>47</v>
      </c>
    </row>
    <row r="165" ht="15.75" customHeight="1">
      <c r="A165" s="2" t="s">
        <v>718</v>
      </c>
      <c r="B165" s="2" t="s">
        <v>719</v>
      </c>
      <c r="C165" s="2" t="s">
        <v>12</v>
      </c>
      <c r="D165" s="2" t="s">
        <v>80</v>
      </c>
      <c r="E165" s="2" t="s">
        <v>81</v>
      </c>
      <c r="F165" s="2">
        <v>329.0</v>
      </c>
      <c r="G165" s="2">
        <v>17.14</v>
      </c>
      <c r="H165" s="2">
        <v>19.2</v>
      </c>
      <c r="I165" s="2" t="s">
        <v>47</v>
      </c>
    </row>
    <row r="166" ht="15.75" customHeight="1">
      <c r="A166" s="2" t="s">
        <v>190</v>
      </c>
      <c r="B166" s="2" t="s">
        <v>191</v>
      </c>
      <c r="C166" s="2" t="s">
        <v>12</v>
      </c>
      <c r="D166" s="2" t="s">
        <v>174</v>
      </c>
      <c r="E166" s="2" t="s">
        <v>175</v>
      </c>
      <c r="F166" s="2">
        <v>1195.0</v>
      </c>
      <c r="G166" s="2">
        <v>2.85</v>
      </c>
      <c r="H166" s="2">
        <v>419.3</v>
      </c>
      <c r="I166" s="2" t="s">
        <v>27</v>
      </c>
    </row>
    <row r="167" ht="15.75" customHeight="1">
      <c r="A167" s="2" t="s">
        <v>730</v>
      </c>
      <c r="B167" s="2" t="s">
        <v>731</v>
      </c>
      <c r="C167" s="2" t="s">
        <v>12</v>
      </c>
      <c r="D167" s="2" t="s">
        <v>58</v>
      </c>
      <c r="E167" s="2" t="s">
        <v>59</v>
      </c>
      <c r="F167" s="2">
        <v>140.0</v>
      </c>
      <c r="G167" s="2">
        <v>10.59</v>
      </c>
      <c r="H167" s="2">
        <v>13.2</v>
      </c>
      <c r="I167" s="2" t="s">
        <v>47</v>
      </c>
    </row>
    <row r="168" ht="15.75" customHeight="1">
      <c r="A168" s="2" t="s">
        <v>737</v>
      </c>
      <c r="B168" s="2" t="s">
        <v>739</v>
      </c>
      <c r="C168" s="2" t="s">
        <v>12</v>
      </c>
      <c r="D168" s="2" t="s">
        <v>73</v>
      </c>
      <c r="E168" s="2" t="s">
        <v>75</v>
      </c>
      <c r="F168" s="2">
        <v>526.0</v>
      </c>
      <c r="G168" s="2">
        <v>5.58</v>
      </c>
      <c r="H168" s="2">
        <v>94.3</v>
      </c>
      <c r="I168" s="2" t="s">
        <v>27</v>
      </c>
    </row>
    <row r="169" ht="15.75" customHeight="1">
      <c r="A169" s="2" t="s">
        <v>733</v>
      </c>
      <c r="B169" s="2" t="s">
        <v>735</v>
      </c>
      <c r="C169" s="2" t="s">
        <v>12</v>
      </c>
      <c r="D169" s="2" t="s">
        <v>52</v>
      </c>
      <c r="E169" s="2" t="s">
        <v>53</v>
      </c>
      <c r="F169" s="2">
        <v>359.0</v>
      </c>
      <c r="G169" s="2">
        <v>13.73</v>
      </c>
      <c r="H169" s="2">
        <v>26.1</v>
      </c>
      <c r="I169" s="2" t="s">
        <v>47</v>
      </c>
    </row>
    <row r="170" ht="15.75" customHeight="1">
      <c r="A170" s="2" t="s">
        <v>192</v>
      </c>
      <c r="B170" s="2" t="s">
        <v>193</v>
      </c>
      <c r="C170" s="2" t="s">
        <v>12</v>
      </c>
      <c r="D170" s="2" t="s">
        <v>182</v>
      </c>
      <c r="E170" s="2" t="s">
        <v>184</v>
      </c>
      <c r="F170" s="2">
        <v>484.0</v>
      </c>
      <c r="G170" s="2">
        <v>3.53</v>
      </c>
      <c r="H170" s="2">
        <v>137.1</v>
      </c>
      <c r="I170" s="2" t="s">
        <v>47</v>
      </c>
    </row>
    <row r="171" ht="15.75" customHeight="1">
      <c r="A171" s="2" t="s">
        <v>194</v>
      </c>
      <c r="B171" s="2" t="s">
        <v>195</v>
      </c>
      <c r="C171" s="2" t="s">
        <v>12</v>
      </c>
      <c r="D171" s="2" t="s">
        <v>90</v>
      </c>
      <c r="E171" s="2" t="s">
        <v>91</v>
      </c>
      <c r="F171" s="2">
        <v>364.0</v>
      </c>
      <c r="G171" s="2">
        <v>20.41</v>
      </c>
      <c r="H171" s="2">
        <v>17.8</v>
      </c>
      <c r="I171" s="2" t="s">
        <v>47</v>
      </c>
    </row>
    <row r="172" ht="15.75" customHeight="1">
      <c r="A172" s="2" t="s">
        <v>196</v>
      </c>
      <c r="B172" s="2" t="s">
        <v>197</v>
      </c>
      <c r="C172" s="2" t="s">
        <v>12</v>
      </c>
      <c r="D172" s="2" t="s">
        <v>174</v>
      </c>
      <c r="E172" s="2" t="s">
        <v>175</v>
      </c>
      <c r="F172" s="2">
        <v>15097.0</v>
      </c>
      <c r="G172" s="2">
        <v>16.98</v>
      </c>
      <c r="H172" s="2">
        <v>889.1</v>
      </c>
      <c r="I172" s="2" t="s">
        <v>805</v>
      </c>
    </row>
    <row r="173" ht="15.75" customHeight="1">
      <c r="A173" s="2" t="s">
        <v>664</v>
      </c>
      <c r="B173" s="2" t="s">
        <v>665</v>
      </c>
      <c r="C173" s="2" t="s">
        <v>12</v>
      </c>
      <c r="D173" s="2" t="s">
        <v>43</v>
      </c>
      <c r="E173" s="2" t="s">
        <v>44</v>
      </c>
      <c r="F173" s="2">
        <v>83.0</v>
      </c>
      <c r="G173" s="2">
        <v>10.64</v>
      </c>
      <c r="H173" s="2">
        <v>7.8</v>
      </c>
      <c r="I173" s="2" t="s">
        <v>47</v>
      </c>
    </row>
    <row r="174" ht="15.75" customHeight="1">
      <c r="A174" s="2" t="s">
        <v>668</v>
      </c>
      <c r="B174" s="2" t="s">
        <v>669</v>
      </c>
      <c r="C174" s="2" t="s">
        <v>12</v>
      </c>
      <c r="D174" s="2" t="s">
        <v>80</v>
      </c>
      <c r="E174" s="2" t="s">
        <v>81</v>
      </c>
      <c r="F174" s="2">
        <v>125.0</v>
      </c>
      <c r="G174" s="2">
        <v>2.63</v>
      </c>
      <c r="H174" s="2">
        <v>47.5</v>
      </c>
      <c r="I174" s="2" t="s">
        <v>47</v>
      </c>
    </row>
    <row r="175" ht="15.75" customHeight="1">
      <c r="A175" s="2" t="s">
        <v>198</v>
      </c>
      <c r="B175" s="2" t="s">
        <v>199</v>
      </c>
      <c r="C175" s="2" t="s">
        <v>12</v>
      </c>
      <c r="D175" s="2" t="s">
        <v>73</v>
      </c>
      <c r="E175" s="2" t="s">
        <v>75</v>
      </c>
      <c r="F175" s="2">
        <v>378.0</v>
      </c>
      <c r="G175" s="2">
        <v>13.81</v>
      </c>
      <c r="H175" s="2">
        <v>27.4</v>
      </c>
      <c r="I175" s="2" t="s">
        <v>47</v>
      </c>
    </row>
    <row r="176" ht="15.75" customHeight="1">
      <c r="A176" s="2" t="s">
        <v>201</v>
      </c>
      <c r="B176" s="2" t="s">
        <v>203</v>
      </c>
      <c r="C176" s="2" t="s">
        <v>12</v>
      </c>
      <c r="D176" s="2" t="s">
        <v>43</v>
      </c>
      <c r="E176" s="2" t="s">
        <v>44</v>
      </c>
      <c r="F176" s="2">
        <v>742.0</v>
      </c>
      <c r="G176" s="2">
        <v>17.43</v>
      </c>
      <c r="H176" s="2">
        <v>42.6</v>
      </c>
      <c r="I176" s="2" t="s">
        <v>27</v>
      </c>
    </row>
    <row r="177" ht="15.75" customHeight="1">
      <c r="A177" s="2" t="s">
        <v>704</v>
      </c>
      <c r="B177" s="2" t="s">
        <v>705</v>
      </c>
      <c r="C177" s="2" t="s">
        <v>12</v>
      </c>
      <c r="D177" s="2" t="s">
        <v>160</v>
      </c>
      <c r="E177" s="2" t="s">
        <v>161</v>
      </c>
      <c r="F177" s="2">
        <v>98.0</v>
      </c>
      <c r="G177" s="2">
        <v>5.02</v>
      </c>
      <c r="H177" s="2">
        <v>19.5</v>
      </c>
      <c r="I177" s="2" t="s">
        <v>47</v>
      </c>
    </row>
    <row r="178" ht="15.75" customHeight="1">
      <c r="A178" s="2" t="s">
        <v>692</v>
      </c>
      <c r="B178" s="2" t="s">
        <v>693</v>
      </c>
      <c r="C178" s="2" t="s">
        <v>12</v>
      </c>
      <c r="D178" s="2" t="s">
        <v>182</v>
      </c>
      <c r="E178" s="2" t="s">
        <v>184</v>
      </c>
      <c r="F178" s="2">
        <v>147.0</v>
      </c>
      <c r="G178" s="2">
        <v>3.69</v>
      </c>
      <c r="H178" s="2">
        <v>39.8</v>
      </c>
      <c r="I178" s="2" t="s">
        <v>47</v>
      </c>
    </row>
    <row r="179" ht="15.75" customHeight="1">
      <c r="A179" s="2" t="s">
        <v>722</v>
      </c>
      <c r="B179" s="2" t="s">
        <v>723</v>
      </c>
      <c r="C179" s="2" t="s">
        <v>12</v>
      </c>
      <c r="D179" s="2" t="s">
        <v>174</v>
      </c>
      <c r="E179" s="2" t="s">
        <v>175</v>
      </c>
      <c r="F179" s="2">
        <v>389.0</v>
      </c>
      <c r="G179" s="2">
        <v>16.49</v>
      </c>
      <c r="H179" s="2">
        <v>23.6</v>
      </c>
      <c r="I179" s="2" t="s">
        <v>47</v>
      </c>
    </row>
    <row r="180" ht="15.75" customHeight="1">
      <c r="A180" s="2" t="s">
        <v>206</v>
      </c>
      <c r="B180" s="2" t="s">
        <v>207</v>
      </c>
      <c r="C180" s="2" t="s">
        <v>12</v>
      </c>
      <c r="D180" s="2" t="s">
        <v>686</v>
      </c>
      <c r="E180" s="2" t="s">
        <v>691</v>
      </c>
      <c r="F180" s="2">
        <v>1296.0</v>
      </c>
      <c r="G180" s="2">
        <v>22.59</v>
      </c>
      <c r="H180" s="2">
        <v>57.4</v>
      </c>
      <c r="I180" s="2" t="s">
        <v>27</v>
      </c>
    </row>
    <row r="181" ht="15.75" customHeight="1">
      <c r="A181" s="2" t="s">
        <v>744</v>
      </c>
      <c r="B181" s="2" t="s">
        <v>747</v>
      </c>
      <c r="C181" s="2" t="s">
        <v>12</v>
      </c>
      <c r="D181" s="2" t="s">
        <v>174</v>
      </c>
      <c r="E181" s="2" t="s">
        <v>175</v>
      </c>
      <c r="F181" s="2">
        <v>62.0</v>
      </c>
      <c r="G181" s="2">
        <v>8.17</v>
      </c>
      <c r="H181" s="2">
        <v>7.6</v>
      </c>
      <c r="I181" s="2" t="s">
        <v>47</v>
      </c>
    </row>
    <row r="182" ht="15.75" customHeight="1">
      <c r="A182" s="2" t="s">
        <v>748</v>
      </c>
      <c r="B182" s="2" t="s">
        <v>749</v>
      </c>
      <c r="C182" s="2" t="s">
        <v>12</v>
      </c>
      <c r="D182" s="2" t="s">
        <v>43</v>
      </c>
      <c r="E182" s="2" t="s">
        <v>44</v>
      </c>
      <c r="F182" s="2">
        <v>173.0</v>
      </c>
      <c r="G182" s="2">
        <v>9.33</v>
      </c>
      <c r="H182" s="2">
        <v>18.5</v>
      </c>
      <c r="I182" s="2" t="s">
        <v>47</v>
      </c>
    </row>
    <row r="183" ht="15.75" customHeight="1">
      <c r="A183" s="2" t="s">
        <v>752</v>
      </c>
      <c r="B183" s="2" t="s">
        <v>753</v>
      </c>
      <c r="C183" s="2" t="s">
        <v>12</v>
      </c>
      <c r="D183" s="2" t="s">
        <v>73</v>
      </c>
      <c r="E183" s="2" t="s">
        <v>75</v>
      </c>
      <c r="F183" s="2">
        <v>882.0</v>
      </c>
      <c r="G183" s="2">
        <v>8.96</v>
      </c>
      <c r="H183" s="2">
        <v>98.4</v>
      </c>
      <c r="I183" s="2" t="s">
        <v>27</v>
      </c>
    </row>
    <row r="184" ht="15.75" customHeight="1">
      <c r="A184" s="2" t="s">
        <v>758</v>
      </c>
      <c r="B184" s="2" t="s">
        <v>759</v>
      </c>
      <c r="C184" s="2" t="s">
        <v>12</v>
      </c>
      <c r="D184" s="2" t="s">
        <v>182</v>
      </c>
      <c r="E184" s="2" t="s">
        <v>184</v>
      </c>
      <c r="F184" s="2">
        <v>289.0</v>
      </c>
      <c r="G184" s="2">
        <v>4.23</v>
      </c>
      <c r="H184" s="2">
        <v>68.3</v>
      </c>
      <c r="I184" s="2" t="s">
        <v>47</v>
      </c>
    </row>
    <row r="185" ht="15.75" customHeight="1">
      <c r="A185" s="2" t="s">
        <v>209</v>
      </c>
      <c r="B185" s="2" t="s">
        <v>211</v>
      </c>
      <c r="C185" s="2" t="s">
        <v>12</v>
      </c>
      <c r="D185" s="2" t="s">
        <v>250</v>
      </c>
      <c r="E185" s="2" t="s">
        <v>251</v>
      </c>
      <c r="F185" s="2">
        <v>509.0</v>
      </c>
      <c r="G185" s="2">
        <v>14.39</v>
      </c>
      <c r="H185" s="2">
        <v>35.4</v>
      </c>
      <c r="I185" s="2" t="s">
        <v>27</v>
      </c>
    </row>
    <row r="186" ht="15.75" customHeight="1">
      <c r="A186" s="2" t="s">
        <v>212</v>
      </c>
      <c r="B186" s="2" t="s">
        <v>213</v>
      </c>
      <c r="C186" s="2" t="s">
        <v>12</v>
      </c>
      <c r="D186" s="2" t="s">
        <v>73</v>
      </c>
      <c r="E186" s="2" t="s">
        <v>75</v>
      </c>
      <c r="F186" s="2">
        <v>243.0</v>
      </c>
      <c r="G186" s="2">
        <v>3.45</v>
      </c>
      <c r="H186" s="2">
        <v>70.4</v>
      </c>
      <c r="I186" s="2" t="s">
        <v>47</v>
      </c>
    </row>
    <row r="187" ht="15.75" customHeight="1">
      <c r="A187" s="2" t="s">
        <v>214</v>
      </c>
      <c r="B187" s="2" t="s">
        <v>215</v>
      </c>
      <c r="C187" s="2" t="s">
        <v>12</v>
      </c>
      <c r="D187" s="2" t="s">
        <v>145</v>
      </c>
      <c r="E187" s="2" t="s">
        <v>146</v>
      </c>
      <c r="F187" s="2">
        <v>589.0</v>
      </c>
      <c r="G187" s="2">
        <v>8.3</v>
      </c>
      <c r="H187" s="2">
        <v>71.0</v>
      </c>
      <c r="I187" s="2" t="s">
        <v>27</v>
      </c>
    </row>
    <row r="188" ht="15.75" customHeight="1">
      <c r="A188" s="2" t="s">
        <v>768</v>
      </c>
      <c r="B188" s="2" t="s">
        <v>769</v>
      </c>
      <c r="C188" s="2" t="s">
        <v>12</v>
      </c>
      <c r="D188" s="2" t="s">
        <v>160</v>
      </c>
      <c r="E188" s="2" t="s">
        <v>161</v>
      </c>
      <c r="F188" s="2">
        <v>97.0</v>
      </c>
      <c r="G188" s="2">
        <v>9.3</v>
      </c>
      <c r="H188" s="2">
        <v>10.4</v>
      </c>
      <c r="I188" s="2" t="s">
        <v>47</v>
      </c>
    </row>
    <row r="189" ht="15.75" customHeight="1">
      <c r="A189" s="2" t="s">
        <v>216</v>
      </c>
      <c r="B189" s="2" t="s">
        <v>217</v>
      </c>
      <c r="C189" s="2" t="s">
        <v>12</v>
      </c>
      <c r="D189" s="2" t="s">
        <v>174</v>
      </c>
      <c r="E189" s="2" t="s">
        <v>175</v>
      </c>
      <c r="F189" s="2">
        <v>1308.0</v>
      </c>
      <c r="G189" s="2">
        <v>17.24</v>
      </c>
      <c r="H189" s="2">
        <v>75.9</v>
      </c>
      <c r="I189" s="2" t="s">
        <v>27</v>
      </c>
    </row>
    <row r="190" ht="15.75" customHeight="1">
      <c r="A190" s="2" t="s">
        <v>771</v>
      </c>
      <c r="B190" s="2" t="s">
        <v>772</v>
      </c>
      <c r="C190" s="2" t="s">
        <v>12</v>
      </c>
      <c r="D190" s="2" t="s">
        <v>152</v>
      </c>
      <c r="E190" s="2" t="s">
        <v>153</v>
      </c>
      <c r="F190" s="2">
        <v>61.0</v>
      </c>
      <c r="G190" s="2">
        <v>7.39</v>
      </c>
      <c r="H190" s="2">
        <v>8.3</v>
      </c>
      <c r="I190" s="2" t="s">
        <v>47</v>
      </c>
    </row>
    <row r="191" ht="15.75" customHeight="1">
      <c r="A191" s="2" t="s">
        <v>220</v>
      </c>
      <c r="B191" s="2" t="s">
        <v>221</v>
      </c>
      <c r="C191" s="2" t="s">
        <v>12</v>
      </c>
      <c r="D191" s="2" t="s">
        <v>182</v>
      </c>
      <c r="E191" s="2" t="s">
        <v>184</v>
      </c>
      <c r="F191" s="2">
        <v>207.0</v>
      </c>
      <c r="G191" s="2">
        <v>6.75</v>
      </c>
      <c r="H191" s="2">
        <v>30.7</v>
      </c>
      <c r="I191" s="2" t="s">
        <v>47</v>
      </c>
    </row>
    <row r="192" ht="15.75" customHeight="1">
      <c r="A192" s="2" t="s">
        <v>776</v>
      </c>
      <c r="B192" s="2" t="s">
        <v>777</v>
      </c>
      <c r="C192" s="2" t="s">
        <v>12</v>
      </c>
      <c r="D192" s="2" t="s">
        <v>250</v>
      </c>
      <c r="E192" s="2" t="s">
        <v>251</v>
      </c>
      <c r="F192" s="2">
        <v>71.0</v>
      </c>
      <c r="G192" s="2">
        <v>3.38</v>
      </c>
      <c r="H192" s="2">
        <v>21.0</v>
      </c>
      <c r="I192" s="2" t="s">
        <v>47</v>
      </c>
    </row>
    <row r="193" ht="15.75" customHeight="1">
      <c r="A193" s="2" t="s">
        <v>781</v>
      </c>
      <c r="B193" s="2" t="s">
        <v>783</v>
      </c>
      <c r="C193" s="2" t="s">
        <v>12</v>
      </c>
      <c r="D193" s="2" t="s">
        <v>22</v>
      </c>
      <c r="E193" s="2" t="s">
        <v>23</v>
      </c>
      <c r="F193" s="2">
        <v>224.0</v>
      </c>
      <c r="G193" s="2">
        <v>3.36</v>
      </c>
      <c r="H193" s="2">
        <v>66.7</v>
      </c>
      <c r="I193" s="2" t="s">
        <v>47</v>
      </c>
    </row>
    <row r="194" ht="15.75" customHeight="1">
      <c r="A194" s="2" t="s">
        <v>786</v>
      </c>
      <c r="B194" s="2" t="s">
        <v>788</v>
      </c>
      <c r="C194" s="2" t="s">
        <v>12</v>
      </c>
      <c r="D194" s="2" t="s">
        <v>52</v>
      </c>
      <c r="E194" s="2" t="s">
        <v>53</v>
      </c>
      <c r="F194" s="2">
        <v>256.0</v>
      </c>
      <c r="G194" s="2">
        <v>13.23</v>
      </c>
      <c r="H194" s="2">
        <v>19.3</v>
      </c>
      <c r="I194" s="2" t="s">
        <v>47</v>
      </c>
    </row>
    <row r="195" ht="15.75" customHeight="1">
      <c r="A195" s="2" t="s">
        <v>222</v>
      </c>
      <c r="B195" s="2" t="s">
        <v>223</v>
      </c>
      <c r="C195" s="2" t="s">
        <v>12</v>
      </c>
      <c r="D195" s="2" t="s">
        <v>22</v>
      </c>
      <c r="E195" s="2" t="s">
        <v>23</v>
      </c>
      <c r="F195" s="2">
        <v>674.0</v>
      </c>
      <c r="G195" s="2">
        <v>5.61</v>
      </c>
      <c r="H195" s="2">
        <v>120.1</v>
      </c>
      <c r="I195" s="2" t="s">
        <v>27</v>
      </c>
    </row>
    <row r="196" ht="15.75" customHeight="1">
      <c r="A196" s="2" t="s">
        <v>230</v>
      </c>
      <c r="B196" s="2" t="s">
        <v>231</v>
      </c>
      <c r="C196" s="2" t="s">
        <v>12</v>
      </c>
      <c r="D196" s="2" t="s">
        <v>174</v>
      </c>
      <c r="E196" s="2" t="s">
        <v>175</v>
      </c>
      <c r="F196" s="2">
        <v>654.0</v>
      </c>
      <c r="G196" s="2">
        <v>4.45</v>
      </c>
      <c r="H196" s="2">
        <v>147.0</v>
      </c>
      <c r="I196" s="2" t="s">
        <v>27</v>
      </c>
    </row>
    <row r="197" ht="15.75" customHeight="1">
      <c r="A197" s="2" t="s">
        <v>234</v>
      </c>
      <c r="B197" s="2" t="s">
        <v>235</v>
      </c>
      <c r="C197" s="2" t="s">
        <v>12</v>
      </c>
      <c r="D197" s="2" t="s">
        <v>73</v>
      </c>
      <c r="E197" s="2" t="s">
        <v>75</v>
      </c>
      <c r="F197" s="2">
        <v>352.0</v>
      </c>
      <c r="G197" s="2">
        <v>3.75</v>
      </c>
      <c r="H197" s="2">
        <v>93.9</v>
      </c>
      <c r="I197" s="2" t="s">
        <v>47</v>
      </c>
    </row>
    <row r="198" ht="15.75" customHeight="1">
      <c r="A198" s="2" t="s">
        <v>798</v>
      </c>
      <c r="B198" s="2" t="s">
        <v>799</v>
      </c>
      <c r="C198" s="2" t="s">
        <v>12</v>
      </c>
      <c r="D198" s="2" t="s">
        <v>52</v>
      </c>
      <c r="E198" s="2" t="s">
        <v>53</v>
      </c>
      <c r="F198" s="2">
        <v>357.0</v>
      </c>
      <c r="G198" s="2">
        <v>5.9</v>
      </c>
      <c r="H198" s="2">
        <v>60.5</v>
      </c>
      <c r="I198" s="2" t="s">
        <v>47</v>
      </c>
    </row>
    <row r="199" ht="15.75" customHeight="1">
      <c r="A199" s="2" t="s">
        <v>820</v>
      </c>
      <c r="B199" s="2" t="s">
        <v>822</v>
      </c>
      <c r="C199" s="2" t="s">
        <v>12</v>
      </c>
      <c r="D199" s="2" t="s">
        <v>174</v>
      </c>
      <c r="E199" s="2" t="s">
        <v>175</v>
      </c>
      <c r="F199" s="2">
        <v>306.0</v>
      </c>
      <c r="G199" s="2">
        <v>5.5</v>
      </c>
      <c r="H199" s="2">
        <v>55.6</v>
      </c>
      <c r="I199" s="2" t="s">
        <v>47</v>
      </c>
    </row>
    <row r="200" ht="15.75" customHeight="1">
      <c r="A200" s="2" t="s">
        <v>825</v>
      </c>
      <c r="B200" s="2" t="s">
        <v>827</v>
      </c>
      <c r="C200" s="2" t="s">
        <v>12</v>
      </c>
      <c r="D200" s="2" t="s">
        <v>145</v>
      </c>
      <c r="E200" s="2" t="s">
        <v>146</v>
      </c>
      <c r="F200" s="2">
        <v>61.0</v>
      </c>
      <c r="G200" s="2">
        <v>3.46</v>
      </c>
      <c r="H200" s="2">
        <v>17.6</v>
      </c>
      <c r="I200" s="2" t="s">
        <v>47</v>
      </c>
    </row>
    <row r="201" ht="15.75" customHeight="1">
      <c r="A201" s="2" t="s">
        <v>236</v>
      </c>
      <c r="B201" s="2" t="s">
        <v>237</v>
      </c>
      <c r="C201" s="2" t="s">
        <v>12</v>
      </c>
      <c r="D201" s="2" t="s">
        <v>66</v>
      </c>
      <c r="E201" s="2" t="s">
        <v>67</v>
      </c>
      <c r="F201" s="2">
        <v>851.0</v>
      </c>
      <c r="G201" s="2">
        <v>15.27</v>
      </c>
      <c r="H201" s="2">
        <v>55.7</v>
      </c>
      <c r="I201" s="2" t="s">
        <v>27</v>
      </c>
    </row>
    <row r="202" ht="15.75" customHeight="1">
      <c r="A202" s="2" t="s">
        <v>834</v>
      </c>
      <c r="B202" s="2" t="s">
        <v>837</v>
      </c>
      <c r="C202" s="2" t="s">
        <v>12</v>
      </c>
      <c r="D202" s="2" t="s">
        <v>90</v>
      </c>
      <c r="E202" s="2" t="s">
        <v>91</v>
      </c>
      <c r="F202" s="2">
        <v>332.0</v>
      </c>
      <c r="G202" s="2">
        <v>7.32</v>
      </c>
      <c r="H202" s="2">
        <v>45.4</v>
      </c>
      <c r="I202" s="2" t="s">
        <v>47</v>
      </c>
    </row>
    <row r="203" ht="15.75" customHeight="1">
      <c r="A203" s="2" t="s">
        <v>849</v>
      </c>
      <c r="B203" s="2" t="s">
        <v>851</v>
      </c>
      <c r="C203" s="2" t="s">
        <v>12</v>
      </c>
      <c r="D203" s="2" t="s">
        <v>134</v>
      </c>
      <c r="E203" s="2" t="s">
        <v>135</v>
      </c>
      <c r="F203" s="2">
        <v>194.0</v>
      </c>
      <c r="G203" s="2">
        <v>6.12</v>
      </c>
      <c r="H203" s="2">
        <v>31.7</v>
      </c>
      <c r="I203" s="2" t="s">
        <v>47</v>
      </c>
    </row>
    <row r="204" ht="15.75" customHeight="1">
      <c r="A204" s="2" t="s">
        <v>238</v>
      </c>
      <c r="B204" s="2" t="s">
        <v>239</v>
      </c>
      <c r="C204" s="2" t="s">
        <v>12</v>
      </c>
      <c r="D204" s="2" t="s">
        <v>134</v>
      </c>
      <c r="E204" s="2" t="s">
        <v>135</v>
      </c>
      <c r="F204" s="2">
        <v>990.0</v>
      </c>
      <c r="G204" s="2">
        <v>11.38</v>
      </c>
      <c r="H204" s="2">
        <v>87.0</v>
      </c>
      <c r="I204" s="2" t="s">
        <v>27</v>
      </c>
    </row>
    <row r="205" ht="15.75" customHeight="1">
      <c r="A205" s="2" t="s">
        <v>843</v>
      </c>
      <c r="B205" s="2" t="s">
        <v>845</v>
      </c>
      <c r="C205" s="2" t="s">
        <v>12</v>
      </c>
      <c r="D205" s="2" t="s">
        <v>52</v>
      </c>
      <c r="E205" s="2" t="s">
        <v>53</v>
      </c>
      <c r="F205" s="2">
        <v>649.0</v>
      </c>
      <c r="G205" s="2">
        <v>6.08</v>
      </c>
      <c r="H205" s="2">
        <v>106.7</v>
      </c>
      <c r="I205" s="2" t="s">
        <v>27</v>
      </c>
    </row>
    <row r="206" ht="15.75" customHeight="1">
      <c r="A206" s="2" t="s">
        <v>856</v>
      </c>
      <c r="B206" s="2" t="s">
        <v>860</v>
      </c>
      <c r="C206" s="2" t="s">
        <v>12</v>
      </c>
      <c r="D206" s="2" t="s">
        <v>174</v>
      </c>
      <c r="E206" s="2" t="s">
        <v>175</v>
      </c>
      <c r="F206" s="2">
        <v>443.0</v>
      </c>
      <c r="G206" s="2">
        <v>28.72</v>
      </c>
      <c r="H206" s="2">
        <v>15.4</v>
      </c>
      <c r="I206" s="2" t="s">
        <v>47</v>
      </c>
    </row>
    <row r="207" ht="15.75" customHeight="1">
      <c r="A207" s="2" t="s">
        <v>240</v>
      </c>
      <c r="B207" s="2" t="s">
        <v>241</v>
      </c>
      <c r="C207" s="2" t="s">
        <v>12</v>
      </c>
      <c r="D207" s="2" t="s">
        <v>686</v>
      </c>
      <c r="E207" s="2" t="s">
        <v>691</v>
      </c>
      <c r="F207" s="2">
        <v>161.0</v>
      </c>
      <c r="G207" s="2">
        <v>7.82</v>
      </c>
      <c r="H207" s="2">
        <v>20.6</v>
      </c>
      <c r="I207" s="2" t="s">
        <v>47</v>
      </c>
    </row>
    <row r="208" ht="15.75" customHeight="1">
      <c r="A208" s="2" t="s">
        <v>871</v>
      </c>
      <c r="B208" s="2" t="s">
        <v>872</v>
      </c>
      <c r="C208" s="2" t="s">
        <v>12</v>
      </c>
      <c r="D208" s="2" t="s">
        <v>22</v>
      </c>
      <c r="E208" s="2" t="s">
        <v>23</v>
      </c>
      <c r="F208" s="2">
        <v>39.0</v>
      </c>
      <c r="G208" s="2">
        <v>3.17</v>
      </c>
      <c r="H208" s="2">
        <v>12.3</v>
      </c>
      <c r="I208" s="2" t="s">
        <v>47</v>
      </c>
    </row>
    <row r="209" ht="15.75" customHeight="1">
      <c r="A209" s="2" t="s">
        <v>877</v>
      </c>
      <c r="B209" s="2" t="s">
        <v>878</v>
      </c>
      <c r="C209" s="2" t="s">
        <v>12</v>
      </c>
      <c r="D209" s="2" t="s">
        <v>174</v>
      </c>
      <c r="E209" s="2" t="s">
        <v>175</v>
      </c>
      <c r="F209" s="2">
        <v>304.0</v>
      </c>
      <c r="G209" s="2">
        <v>14.05</v>
      </c>
      <c r="H209" s="2">
        <v>21.6</v>
      </c>
      <c r="I209" s="2" t="s">
        <v>47</v>
      </c>
    </row>
    <row r="210" ht="15.75" customHeight="1">
      <c r="A210" s="2" t="s">
        <v>879</v>
      </c>
      <c r="B210" s="2" t="s">
        <v>882</v>
      </c>
      <c r="C210" s="2" t="s">
        <v>12</v>
      </c>
      <c r="D210" s="2" t="s">
        <v>73</v>
      </c>
      <c r="E210" s="2" t="s">
        <v>75</v>
      </c>
      <c r="F210" s="2">
        <v>352.0</v>
      </c>
      <c r="G210" s="2">
        <v>8.98</v>
      </c>
      <c r="H210" s="2">
        <v>39.2</v>
      </c>
      <c r="I210" s="2" t="s">
        <v>47</v>
      </c>
    </row>
    <row r="211" ht="15.75" customHeight="1">
      <c r="A211" s="2" t="s">
        <v>884</v>
      </c>
      <c r="B211" s="2" t="s">
        <v>895</v>
      </c>
      <c r="C211" s="2" t="s">
        <v>12</v>
      </c>
      <c r="D211" s="2" t="s">
        <v>174</v>
      </c>
      <c r="E211" s="2" t="s">
        <v>175</v>
      </c>
      <c r="F211" s="2">
        <v>82.0</v>
      </c>
      <c r="G211" s="2">
        <v>2.76</v>
      </c>
      <c r="H211" s="2">
        <v>29.7</v>
      </c>
      <c r="I211" s="2" t="s">
        <v>47</v>
      </c>
    </row>
    <row r="212" ht="15.75" customHeight="1">
      <c r="A212" s="2" t="s">
        <v>244</v>
      </c>
      <c r="B212" s="2" t="s">
        <v>245</v>
      </c>
      <c r="C212" s="2" t="s">
        <v>12</v>
      </c>
      <c r="D212" s="2" t="s">
        <v>35</v>
      </c>
      <c r="E212" s="2" t="s">
        <v>36</v>
      </c>
      <c r="F212" s="2">
        <v>1808.0</v>
      </c>
      <c r="G212" s="2">
        <v>6.74</v>
      </c>
      <c r="H212" s="2">
        <v>268.2</v>
      </c>
      <c r="I212" s="2" t="s">
        <v>27</v>
      </c>
    </row>
    <row r="213" ht="15.75" customHeight="1">
      <c r="A213" s="2" t="s">
        <v>901</v>
      </c>
      <c r="B213" s="2" t="s">
        <v>902</v>
      </c>
      <c r="C213" s="2" t="s">
        <v>12</v>
      </c>
      <c r="D213" s="2" t="s">
        <v>174</v>
      </c>
      <c r="E213" s="2" t="s">
        <v>175</v>
      </c>
      <c r="F213" s="2">
        <v>126.0</v>
      </c>
      <c r="G213" s="2">
        <v>10.13</v>
      </c>
      <c r="H213" s="2">
        <v>12.4</v>
      </c>
      <c r="I213" s="2" t="s">
        <v>47</v>
      </c>
    </row>
    <row r="214" ht="15.75" customHeight="1">
      <c r="A214" s="2" t="s">
        <v>247</v>
      </c>
      <c r="B214" s="2" t="s">
        <v>249</v>
      </c>
      <c r="C214" s="2" t="s">
        <v>12</v>
      </c>
      <c r="D214" s="2" t="s">
        <v>174</v>
      </c>
      <c r="E214" s="2" t="s">
        <v>175</v>
      </c>
      <c r="F214" s="2">
        <v>361.0</v>
      </c>
      <c r="G214" s="2">
        <v>5.97</v>
      </c>
      <c r="H214" s="2">
        <v>60.5</v>
      </c>
      <c r="I214" s="2" t="s">
        <v>47</v>
      </c>
    </row>
    <row r="215" ht="15.75" customHeight="1">
      <c r="A215" s="2" t="s">
        <v>912</v>
      </c>
      <c r="B215" s="2" t="s">
        <v>916</v>
      </c>
      <c r="C215" s="2" t="s">
        <v>12</v>
      </c>
      <c r="D215" s="2" t="s">
        <v>52</v>
      </c>
      <c r="E215" s="2" t="s">
        <v>53</v>
      </c>
      <c r="F215" s="2">
        <v>78.0</v>
      </c>
      <c r="G215" s="2">
        <v>4.24</v>
      </c>
      <c r="H215" s="2">
        <v>18.4</v>
      </c>
      <c r="I215" s="2" t="s">
        <v>47</v>
      </c>
    </row>
    <row r="216" ht="15.75" customHeight="1">
      <c r="A216" s="2" t="s">
        <v>922</v>
      </c>
      <c r="B216" s="2" t="s">
        <v>923</v>
      </c>
      <c r="C216" s="2" t="s">
        <v>12</v>
      </c>
      <c r="D216" s="2" t="s">
        <v>73</v>
      </c>
      <c r="E216" s="2" t="s">
        <v>75</v>
      </c>
      <c r="F216" s="2">
        <v>174.0</v>
      </c>
      <c r="G216" s="2">
        <v>7.49</v>
      </c>
      <c r="H216" s="2">
        <v>23.2</v>
      </c>
      <c r="I216" s="2" t="s">
        <v>47</v>
      </c>
    </row>
    <row r="217" ht="15.75" customHeight="1">
      <c r="A217" s="2" t="s">
        <v>252</v>
      </c>
      <c r="B217" s="2" t="s">
        <v>253</v>
      </c>
      <c r="C217" s="2" t="s">
        <v>12</v>
      </c>
      <c r="D217" s="2" t="s">
        <v>43</v>
      </c>
      <c r="E217" s="2" t="s">
        <v>44</v>
      </c>
      <c r="F217" s="2">
        <v>926.0</v>
      </c>
      <c r="G217" s="2">
        <v>13.59</v>
      </c>
      <c r="H217" s="2">
        <v>68.1</v>
      </c>
      <c r="I217" s="2" t="s">
        <v>27</v>
      </c>
    </row>
    <row r="218" ht="15.75" customHeight="1">
      <c r="A218" s="2" t="s">
        <v>931</v>
      </c>
      <c r="B218" s="2" t="s">
        <v>932</v>
      </c>
      <c r="C218" s="2" t="s">
        <v>12</v>
      </c>
      <c r="D218" s="2" t="s">
        <v>90</v>
      </c>
      <c r="E218" s="2" t="s">
        <v>91</v>
      </c>
      <c r="F218" s="2">
        <v>366.0</v>
      </c>
      <c r="G218" s="2">
        <v>24.58</v>
      </c>
      <c r="H218" s="2">
        <v>14.9</v>
      </c>
      <c r="I218" s="2" t="s">
        <v>47</v>
      </c>
    </row>
    <row r="219" ht="15.75" customHeight="1">
      <c r="A219" s="2" t="s">
        <v>934</v>
      </c>
      <c r="B219" s="2" t="s">
        <v>938</v>
      </c>
      <c r="C219" s="2" t="s">
        <v>12</v>
      </c>
      <c r="D219" s="2" t="s">
        <v>98</v>
      </c>
      <c r="E219" s="2" t="s">
        <v>100</v>
      </c>
      <c r="F219" s="2">
        <v>127.0</v>
      </c>
      <c r="G219" s="2">
        <v>8.17</v>
      </c>
      <c r="H219" s="2">
        <v>15.5</v>
      </c>
      <c r="I219" s="2" t="s">
        <v>47</v>
      </c>
    </row>
    <row r="220" ht="15.75" customHeight="1">
      <c r="A220" s="2" t="s">
        <v>939</v>
      </c>
      <c r="B220" s="2" t="s">
        <v>940</v>
      </c>
      <c r="C220" s="2" t="s">
        <v>12</v>
      </c>
      <c r="D220" s="2" t="s">
        <v>66</v>
      </c>
      <c r="E220" s="2" t="s">
        <v>67</v>
      </c>
      <c r="F220" s="2">
        <v>84.0</v>
      </c>
      <c r="G220" s="2">
        <v>8.67</v>
      </c>
      <c r="H220" s="2">
        <v>9.7</v>
      </c>
      <c r="I220" s="2" t="s">
        <v>47</v>
      </c>
    </row>
    <row r="221" ht="15.75" customHeight="1">
      <c r="A221" s="2" t="s">
        <v>941</v>
      </c>
      <c r="B221" s="2" t="s">
        <v>942</v>
      </c>
      <c r="C221" s="2" t="s">
        <v>12</v>
      </c>
      <c r="D221" s="2" t="s">
        <v>66</v>
      </c>
      <c r="E221" s="2" t="s">
        <v>67</v>
      </c>
      <c r="F221" s="2">
        <v>119.0</v>
      </c>
      <c r="G221" s="2">
        <v>5.96</v>
      </c>
      <c r="H221" s="2">
        <v>20.0</v>
      </c>
      <c r="I221" s="2" t="s">
        <v>47</v>
      </c>
    </row>
    <row r="222" ht="15.75" customHeight="1">
      <c r="A222" s="2" t="s">
        <v>961</v>
      </c>
      <c r="B222" s="2" t="s">
        <v>963</v>
      </c>
      <c r="C222" s="2" t="s">
        <v>12</v>
      </c>
      <c r="D222" s="2" t="s">
        <v>204</v>
      </c>
      <c r="E222" s="2" t="s">
        <v>205</v>
      </c>
      <c r="F222" s="2">
        <v>183.0</v>
      </c>
      <c r="G222" s="2">
        <v>9.44</v>
      </c>
      <c r="H222" s="2">
        <v>19.4</v>
      </c>
      <c r="I222" s="2" t="s">
        <v>47</v>
      </c>
    </row>
    <row r="223" ht="15.75" customHeight="1">
      <c r="A223" s="2" t="s">
        <v>254</v>
      </c>
      <c r="B223" s="2" t="s">
        <v>255</v>
      </c>
      <c r="C223" s="2" t="s">
        <v>12</v>
      </c>
      <c r="D223" s="2" t="s">
        <v>686</v>
      </c>
      <c r="E223" s="2" t="s">
        <v>691</v>
      </c>
      <c r="F223" s="2">
        <v>591.0</v>
      </c>
      <c r="G223" s="2">
        <v>4.34</v>
      </c>
      <c r="H223" s="2">
        <v>136.2</v>
      </c>
      <c r="I223" s="2" t="s">
        <v>27</v>
      </c>
    </row>
    <row r="224" ht="15.75" customHeight="1">
      <c r="A224" s="2" t="s">
        <v>256</v>
      </c>
      <c r="B224" s="2" t="s">
        <v>257</v>
      </c>
      <c r="C224" s="2" t="s">
        <v>12</v>
      </c>
      <c r="D224" s="2" t="s">
        <v>35</v>
      </c>
      <c r="E224" s="2" t="s">
        <v>36</v>
      </c>
      <c r="F224" s="2">
        <v>3049.0</v>
      </c>
      <c r="G224" s="2">
        <v>10.37</v>
      </c>
      <c r="H224" s="2">
        <v>294.0</v>
      </c>
      <c r="I224" s="2" t="s">
        <v>138</v>
      </c>
    </row>
    <row r="225" ht="15.75" customHeight="1">
      <c r="A225" s="2" t="s">
        <v>984</v>
      </c>
      <c r="B225" s="2" t="s">
        <v>986</v>
      </c>
      <c r="C225" s="2" t="s">
        <v>12</v>
      </c>
      <c r="D225" s="2" t="s">
        <v>58</v>
      </c>
      <c r="E225" s="2" t="s">
        <v>59</v>
      </c>
      <c r="F225" s="2">
        <v>64.0</v>
      </c>
      <c r="G225" s="2">
        <v>3.49</v>
      </c>
      <c r="H225" s="2">
        <v>18.3</v>
      </c>
      <c r="I225" s="2" t="s">
        <v>47</v>
      </c>
    </row>
    <row r="226" ht="15.75" customHeight="1">
      <c r="A226" s="2" t="s">
        <v>944</v>
      </c>
      <c r="B226" s="2" t="s">
        <v>946</v>
      </c>
      <c r="C226" s="2" t="s">
        <v>12</v>
      </c>
      <c r="D226" s="2" t="s">
        <v>134</v>
      </c>
      <c r="E226" s="2" t="s">
        <v>135</v>
      </c>
      <c r="F226" s="2">
        <v>335.0</v>
      </c>
      <c r="G226" s="2">
        <v>11.81</v>
      </c>
      <c r="H226" s="2">
        <v>28.4</v>
      </c>
      <c r="I226" s="2" t="s">
        <v>47</v>
      </c>
    </row>
    <row r="227" ht="15.75" customHeight="1">
      <c r="A227" s="2" t="s">
        <v>260</v>
      </c>
      <c r="B227" s="2" t="s">
        <v>261</v>
      </c>
      <c r="C227" s="2" t="s">
        <v>12</v>
      </c>
      <c r="D227" s="2" t="s">
        <v>43</v>
      </c>
      <c r="E227" s="2" t="s">
        <v>44</v>
      </c>
      <c r="F227" s="2">
        <v>1472.0</v>
      </c>
      <c r="G227" s="2">
        <v>18.08</v>
      </c>
      <c r="H227" s="2">
        <v>81.4</v>
      </c>
      <c r="I227" s="2" t="s">
        <v>27</v>
      </c>
    </row>
    <row r="228" ht="15.75" customHeight="1">
      <c r="A228" s="2" t="s">
        <v>263</v>
      </c>
      <c r="B228" s="2" t="s">
        <v>265</v>
      </c>
      <c r="C228" s="2" t="s">
        <v>12</v>
      </c>
      <c r="D228" s="2" t="s">
        <v>182</v>
      </c>
      <c r="E228" s="2" t="s">
        <v>184</v>
      </c>
      <c r="F228" s="2">
        <v>1812.0</v>
      </c>
      <c r="G228" s="2">
        <v>27.77</v>
      </c>
      <c r="H228" s="2">
        <v>65.3</v>
      </c>
      <c r="I228" s="2" t="s">
        <v>27</v>
      </c>
    </row>
    <row r="229" ht="15.75" customHeight="1">
      <c r="A229" s="2" t="s">
        <v>266</v>
      </c>
      <c r="B229" s="2" t="s">
        <v>267</v>
      </c>
      <c r="C229" s="2" t="s">
        <v>12</v>
      </c>
      <c r="D229" s="2" t="s">
        <v>174</v>
      </c>
      <c r="E229" s="2" t="s">
        <v>175</v>
      </c>
      <c r="F229" s="2">
        <v>1166.0</v>
      </c>
      <c r="G229" s="2">
        <v>7.11</v>
      </c>
      <c r="H229" s="2">
        <v>164.0</v>
      </c>
      <c r="I229" s="2" t="s">
        <v>27</v>
      </c>
    </row>
    <row r="230" ht="15.75" customHeight="1">
      <c r="A230" s="2" t="s">
        <v>268</v>
      </c>
      <c r="B230" s="2" t="s">
        <v>269</v>
      </c>
      <c r="C230" s="2" t="s">
        <v>12</v>
      </c>
      <c r="D230" s="2" t="s">
        <v>35</v>
      </c>
      <c r="E230" s="2" t="s">
        <v>36</v>
      </c>
      <c r="F230" s="2">
        <v>1733.0</v>
      </c>
      <c r="G230" s="2">
        <v>5.02</v>
      </c>
      <c r="H230" s="2">
        <v>345.2</v>
      </c>
      <c r="I230" s="2" t="s">
        <v>27</v>
      </c>
    </row>
    <row r="231" ht="15.75" customHeight="1">
      <c r="A231" s="2" t="s">
        <v>995</v>
      </c>
      <c r="B231" s="2" t="s">
        <v>1013</v>
      </c>
      <c r="C231" s="2" t="s">
        <v>12</v>
      </c>
      <c r="D231" s="2" t="s">
        <v>145</v>
      </c>
      <c r="E231" s="2" t="s">
        <v>146</v>
      </c>
      <c r="F231" s="2">
        <v>607.0</v>
      </c>
      <c r="G231" s="2">
        <v>9.38</v>
      </c>
      <c r="H231" s="2">
        <v>64.7</v>
      </c>
      <c r="I231" s="2" t="s">
        <v>27</v>
      </c>
    </row>
    <row r="232" ht="15.75" customHeight="1">
      <c r="A232" s="2" t="s">
        <v>1023</v>
      </c>
      <c r="B232" s="2" t="s">
        <v>1027</v>
      </c>
      <c r="C232" s="2" t="s">
        <v>12</v>
      </c>
      <c r="D232" s="2" t="s">
        <v>43</v>
      </c>
      <c r="E232" s="2" t="s">
        <v>44</v>
      </c>
      <c r="F232" s="2">
        <v>152.0</v>
      </c>
      <c r="G232" s="2">
        <v>6.6</v>
      </c>
      <c r="H232" s="2">
        <v>23.0</v>
      </c>
      <c r="I232" s="2" t="s">
        <v>47</v>
      </c>
    </row>
    <row r="233" ht="15.75" customHeight="1">
      <c r="A233" s="2" t="s">
        <v>1040</v>
      </c>
      <c r="B233" s="2" t="s">
        <v>1048</v>
      </c>
      <c r="C233" s="2" t="s">
        <v>12</v>
      </c>
      <c r="D233" s="2" t="s">
        <v>98</v>
      </c>
      <c r="E233" s="2" t="s">
        <v>100</v>
      </c>
      <c r="F233" s="2">
        <v>102.0</v>
      </c>
      <c r="G233" s="2">
        <v>8.56</v>
      </c>
      <c r="H233" s="2">
        <v>11.9</v>
      </c>
      <c r="I233" s="2" t="s">
        <v>47</v>
      </c>
    </row>
    <row r="234" ht="15.75" customHeight="1">
      <c r="A234" s="2" t="s">
        <v>1050</v>
      </c>
      <c r="B234" s="2" t="s">
        <v>1052</v>
      </c>
      <c r="C234" s="2" t="s">
        <v>12</v>
      </c>
      <c r="D234" s="2" t="s">
        <v>66</v>
      </c>
      <c r="E234" s="2" t="s">
        <v>67</v>
      </c>
      <c r="F234" s="2">
        <v>84.0</v>
      </c>
      <c r="G234" s="2">
        <v>5.21</v>
      </c>
      <c r="H234" s="2">
        <v>16.1</v>
      </c>
      <c r="I234" s="2" t="s">
        <v>47</v>
      </c>
    </row>
    <row r="235" ht="15.75" customHeight="1">
      <c r="A235" s="2" t="s">
        <v>1056</v>
      </c>
      <c r="B235" s="2" t="s">
        <v>1057</v>
      </c>
      <c r="C235" s="2" t="s">
        <v>12</v>
      </c>
      <c r="D235" s="2" t="s">
        <v>160</v>
      </c>
      <c r="E235" s="2" t="s">
        <v>161</v>
      </c>
      <c r="F235" s="2">
        <v>28.0</v>
      </c>
      <c r="G235" s="2">
        <v>4.85</v>
      </c>
      <c r="H235" s="2">
        <v>5.8</v>
      </c>
      <c r="I235" s="2" t="s">
        <v>47</v>
      </c>
    </row>
    <row r="236" ht="15.75" customHeight="1">
      <c r="A236" s="2" t="s">
        <v>1064</v>
      </c>
      <c r="B236" s="2" t="s">
        <v>1065</v>
      </c>
      <c r="C236" s="2" t="s">
        <v>12</v>
      </c>
      <c r="D236" s="2" t="s">
        <v>66</v>
      </c>
      <c r="E236" s="2" t="s">
        <v>67</v>
      </c>
      <c r="F236" s="2">
        <v>72.0</v>
      </c>
      <c r="G236" s="2">
        <v>4.95</v>
      </c>
      <c r="H236" s="2">
        <v>14.5</v>
      </c>
      <c r="I236" s="2" t="s">
        <v>47</v>
      </c>
    </row>
    <row r="237" ht="15.75" customHeight="1">
      <c r="A237" s="2" t="s">
        <v>1070</v>
      </c>
      <c r="B237" s="2" t="s">
        <v>1073</v>
      </c>
      <c r="C237" s="2" t="s">
        <v>12</v>
      </c>
      <c r="D237" s="2" t="s">
        <v>35</v>
      </c>
      <c r="E237" s="2" t="s">
        <v>36</v>
      </c>
      <c r="F237" s="2">
        <v>361.0</v>
      </c>
      <c r="G237" s="2">
        <v>9.1</v>
      </c>
      <c r="H237" s="2">
        <v>39.7</v>
      </c>
      <c r="I237" s="2" t="s">
        <v>47</v>
      </c>
    </row>
    <row r="238" ht="15.75" customHeight="1">
      <c r="A238" s="2" t="s">
        <v>270</v>
      </c>
      <c r="B238" s="2" t="s">
        <v>271</v>
      </c>
      <c r="C238" s="2" t="s">
        <v>12</v>
      </c>
      <c r="D238" s="2" t="s">
        <v>90</v>
      </c>
      <c r="E238" s="2" t="s">
        <v>91</v>
      </c>
      <c r="F238" s="2">
        <v>126.0</v>
      </c>
      <c r="G238" s="2">
        <v>4.81</v>
      </c>
      <c r="H238" s="2">
        <v>26.2</v>
      </c>
      <c r="I238" s="2" t="s">
        <v>47</v>
      </c>
    </row>
    <row r="239" ht="15.75" customHeight="1">
      <c r="A239" s="2" t="s">
        <v>1080</v>
      </c>
      <c r="B239" s="2" t="s">
        <v>1081</v>
      </c>
      <c r="C239" s="2" t="s">
        <v>12</v>
      </c>
      <c r="D239" s="2" t="s">
        <v>73</v>
      </c>
      <c r="E239" s="2" t="s">
        <v>75</v>
      </c>
      <c r="F239" s="2">
        <v>161.0</v>
      </c>
      <c r="G239" s="2">
        <v>4.39</v>
      </c>
      <c r="H239" s="2">
        <v>36.7</v>
      </c>
      <c r="I239" s="2" t="s">
        <v>47</v>
      </c>
    </row>
    <row r="240" ht="15.75" customHeight="1">
      <c r="A240" s="2" t="s">
        <v>274</v>
      </c>
      <c r="B240" s="2" t="s">
        <v>275</v>
      </c>
      <c r="C240" s="2" t="s">
        <v>12</v>
      </c>
      <c r="D240" s="2" t="s">
        <v>90</v>
      </c>
      <c r="E240" s="2" t="s">
        <v>91</v>
      </c>
      <c r="F240" s="2">
        <v>467.0</v>
      </c>
      <c r="G240" s="2">
        <v>12.34</v>
      </c>
      <c r="H240" s="2">
        <v>37.8</v>
      </c>
      <c r="I240" s="2" t="s">
        <v>47</v>
      </c>
    </row>
    <row r="241" ht="15.75" customHeight="1">
      <c r="A241" s="2" t="s">
        <v>1083</v>
      </c>
      <c r="B241" s="2" t="s">
        <v>1085</v>
      </c>
      <c r="C241" s="2" t="s">
        <v>12</v>
      </c>
      <c r="D241" s="2" t="s">
        <v>160</v>
      </c>
      <c r="E241" s="2" t="s">
        <v>161</v>
      </c>
      <c r="F241" s="2">
        <v>123.0</v>
      </c>
      <c r="G241" s="2">
        <v>10.04</v>
      </c>
      <c r="H241" s="2">
        <v>12.3</v>
      </c>
      <c r="I241" s="2" t="s">
        <v>47</v>
      </c>
    </row>
    <row r="242" ht="15.75" customHeight="1">
      <c r="A242" s="2" t="s">
        <v>1088</v>
      </c>
      <c r="B242" s="2" t="s">
        <v>1090</v>
      </c>
      <c r="C242" s="2" t="s">
        <v>12</v>
      </c>
      <c r="D242" s="2" t="s">
        <v>145</v>
      </c>
      <c r="E242" s="2" t="s">
        <v>146</v>
      </c>
      <c r="F242" s="2">
        <v>424.0</v>
      </c>
      <c r="G242" s="2">
        <v>5.76</v>
      </c>
      <c r="H242" s="2">
        <v>73.6</v>
      </c>
      <c r="I242" s="2" t="s">
        <v>47</v>
      </c>
    </row>
    <row r="243" ht="15.75" customHeight="1">
      <c r="A243" s="2" t="s">
        <v>1094</v>
      </c>
      <c r="B243" s="2" t="s">
        <v>1095</v>
      </c>
      <c r="C243" s="2" t="s">
        <v>12</v>
      </c>
      <c r="D243" s="2" t="s">
        <v>90</v>
      </c>
      <c r="E243" s="2" t="s">
        <v>91</v>
      </c>
      <c r="F243" s="2">
        <v>378.0</v>
      </c>
      <c r="G243" s="2">
        <v>8.1</v>
      </c>
      <c r="H243" s="2">
        <v>46.7</v>
      </c>
      <c r="I243" s="2" t="s">
        <v>47</v>
      </c>
    </row>
    <row r="244" ht="15.75" customHeight="1">
      <c r="A244" s="2" t="s">
        <v>277</v>
      </c>
      <c r="B244" s="2" t="s">
        <v>278</v>
      </c>
      <c r="C244" s="2" t="s">
        <v>12</v>
      </c>
      <c r="D244" s="2" t="s">
        <v>90</v>
      </c>
      <c r="E244" s="2" t="s">
        <v>91</v>
      </c>
      <c r="F244" s="2">
        <v>370.0</v>
      </c>
      <c r="G244" s="2">
        <v>8.15</v>
      </c>
      <c r="H244" s="2">
        <v>45.4</v>
      </c>
      <c r="I244" s="2" t="s">
        <v>47</v>
      </c>
    </row>
    <row r="245" ht="15.75" customHeight="1">
      <c r="A245" s="2" t="s">
        <v>280</v>
      </c>
      <c r="B245" s="2" t="s">
        <v>281</v>
      </c>
      <c r="C245" s="2" t="s">
        <v>12</v>
      </c>
      <c r="D245" s="2" t="s">
        <v>22</v>
      </c>
      <c r="E245" s="2" t="s">
        <v>23</v>
      </c>
      <c r="F245" s="2">
        <v>609.0</v>
      </c>
      <c r="G245" s="2">
        <v>4.54</v>
      </c>
      <c r="H245" s="2">
        <v>134.1</v>
      </c>
      <c r="I245" s="2" t="s">
        <v>27</v>
      </c>
    </row>
    <row r="246" ht="15.75" customHeight="1">
      <c r="A246" s="2" t="s">
        <v>284</v>
      </c>
      <c r="B246" s="2" t="s">
        <v>285</v>
      </c>
      <c r="C246" s="2" t="s">
        <v>12</v>
      </c>
      <c r="D246" s="2" t="s">
        <v>43</v>
      </c>
      <c r="E246" s="2" t="s">
        <v>44</v>
      </c>
      <c r="F246" s="2">
        <v>392.0</v>
      </c>
      <c r="G246" s="2">
        <v>11.45</v>
      </c>
      <c r="H246" s="2">
        <v>34.2</v>
      </c>
      <c r="I246" s="2" t="s">
        <v>47</v>
      </c>
    </row>
    <row r="247" ht="15.75" customHeight="1">
      <c r="A247" s="2" t="s">
        <v>1109</v>
      </c>
      <c r="B247" s="2" t="s">
        <v>1111</v>
      </c>
      <c r="C247" s="2" t="s">
        <v>12</v>
      </c>
      <c r="D247" s="2" t="s">
        <v>22</v>
      </c>
      <c r="E247" s="2" t="s">
        <v>23</v>
      </c>
      <c r="F247" s="2">
        <v>208.0</v>
      </c>
      <c r="G247" s="2">
        <v>3.78</v>
      </c>
      <c r="H247" s="2">
        <v>55.0</v>
      </c>
      <c r="I247" s="2" t="s">
        <v>47</v>
      </c>
    </row>
    <row r="248" ht="15.75" customHeight="1">
      <c r="A248" s="2" t="s">
        <v>1113</v>
      </c>
      <c r="B248" s="2" t="s">
        <v>1115</v>
      </c>
      <c r="C248" s="2" t="s">
        <v>12</v>
      </c>
      <c r="D248" s="2" t="s">
        <v>73</v>
      </c>
      <c r="E248" s="2" t="s">
        <v>75</v>
      </c>
      <c r="F248" s="2">
        <v>114.0</v>
      </c>
      <c r="G248" s="2">
        <v>6.88</v>
      </c>
      <c r="H248" s="2">
        <v>16.6</v>
      </c>
      <c r="I248" s="2" t="s">
        <v>47</v>
      </c>
    </row>
    <row r="249" ht="15.75" customHeight="1">
      <c r="A249" s="2" t="s">
        <v>286</v>
      </c>
      <c r="B249" s="2" t="s">
        <v>287</v>
      </c>
      <c r="C249" s="2" t="s">
        <v>12</v>
      </c>
      <c r="D249" s="2" t="s">
        <v>174</v>
      </c>
      <c r="E249" s="2" t="s">
        <v>175</v>
      </c>
      <c r="F249" s="2">
        <v>821.0</v>
      </c>
      <c r="G249" s="2">
        <v>40.08</v>
      </c>
      <c r="H249" s="2">
        <v>20.5</v>
      </c>
      <c r="I249" s="2" t="s">
        <v>27</v>
      </c>
    </row>
    <row r="250" ht="15.75" customHeight="1">
      <c r="A250" s="2" t="s">
        <v>290</v>
      </c>
      <c r="B250" s="2" t="s">
        <v>291</v>
      </c>
      <c r="C250" s="2" t="s">
        <v>12</v>
      </c>
      <c r="D250" s="2" t="s">
        <v>160</v>
      </c>
      <c r="E250" s="2" t="s">
        <v>161</v>
      </c>
      <c r="F250" s="2">
        <v>717.0</v>
      </c>
      <c r="G250" s="2">
        <v>20.02</v>
      </c>
      <c r="H250" s="2">
        <v>35.8</v>
      </c>
      <c r="I250" s="2" t="s">
        <v>27</v>
      </c>
    </row>
    <row r="251" ht="15.75" customHeight="1">
      <c r="A251" s="2" t="s">
        <v>1119</v>
      </c>
      <c r="B251" s="2" t="s">
        <v>1120</v>
      </c>
      <c r="C251" s="2" t="s">
        <v>12</v>
      </c>
      <c r="D251" s="2" t="s">
        <v>160</v>
      </c>
      <c r="E251" s="2" t="s">
        <v>161</v>
      </c>
      <c r="F251" s="2">
        <v>84.0</v>
      </c>
      <c r="G251" s="2">
        <v>8.2</v>
      </c>
      <c r="H251" s="2">
        <v>10.2</v>
      </c>
      <c r="I251" s="2" t="s">
        <v>47</v>
      </c>
    </row>
    <row r="252" ht="15.75" customHeight="1">
      <c r="A252" s="2" t="s">
        <v>1123</v>
      </c>
      <c r="B252" s="2" t="s">
        <v>1124</v>
      </c>
      <c r="C252" s="2" t="s">
        <v>12</v>
      </c>
      <c r="D252" s="2" t="s">
        <v>160</v>
      </c>
      <c r="E252" s="2" t="s">
        <v>161</v>
      </c>
      <c r="F252" s="2">
        <v>30.0</v>
      </c>
      <c r="G252" s="2">
        <v>3.18</v>
      </c>
      <c r="H252" s="2">
        <v>9.4</v>
      </c>
      <c r="I252" s="2" t="s">
        <v>47</v>
      </c>
    </row>
    <row r="253" ht="15.75" customHeight="1">
      <c r="A253" s="2" t="s">
        <v>1127</v>
      </c>
      <c r="B253" s="2" t="s">
        <v>1128</v>
      </c>
      <c r="C253" s="2" t="s">
        <v>12</v>
      </c>
      <c r="D253" s="2" t="s">
        <v>90</v>
      </c>
      <c r="E253" s="2" t="s">
        <v>91</v>
      </c>
      <c r="F253" s="2">
        <v>287.0</v>
      </c>
      <c r="G253" s="2">
        <v>7.25</v>
      </c>
      <c r="H253" s="2">
        <v>39.6</v>
      </c>
      <c r="I253" s="2" t="s">
        <v>47</v>
      </c>
    </row>
    <row r="254" ht="15.75" customHeight="1">
      <c r="A254" s="2" t="s">
        <v>292</v>
      </c>
      <c r="B254" s="2" t="s">
        <v>294</v>
      </c>
      <c r="C254" s="2" t="s">
        <v>12</v>
      </c>
      <c r="D254" s="2" t="s">
        <v>686</v>
      </c>
      <c r="E254" s="2" t="s">
        <v>691</v>
      </c>
      <c r="F254" s="2">
        <v>654.0</v>
      </c>
      <c r="G254" s="2">
        <v>4.53</v>
      </c>
      <c r="H254" s="2">
        <v>144.4</v>
      </c>
      <c r="I254" s="2" t="s">
        <v>27</v>
      </c>
    </row>
    <row r="255" ht="15.75" customHeight="1">
      <c r="A255" s="2" t="s">
        <v>1132</v>
      </c>
      <c r="B255" s="2" t="s">
        <v>1134</v>
      </c>
      <c r="C255" s="2" t="s">
        <v>12</v>
      </c>
      <c r="D255" s="2" t="s">
        <v>250</v>
      </c>
      <c r="E255" s="2" t="s">
        <v>251</v>
      </c>
      <c r="F255" s="2">
        <v>148.0</v>
      </c>
      <c r="G255" s="2">
        <v>10.48</v>
      </c>
      <c r="H255" s="2">
        <v>14.1</v>
      </c>
      <c r="I255" s="2" t="s">
        <v>47</v>
      </c>
    </row>
    <row r="256" ht="15.75" customHeight="1">
      <c r="A256" s="2" t="s">
        <v>1135</v>
      </c>
      <c r="B256" s="2" t="s">
        <v>1138</v>
      </c>
      <c r="C256" s="2" t="s">
        <v>12</v>
      </c>
      <c r="D256" s="2" t="s">
        <v>204</v>
      </c>
      <c r="E256" s="2" t="s">
        <v>205</v>
      </c>
      <c r="F256" s="2">
        <v>153.0</v>
      </c>
      <c r="G256" s="2">
        <v>5.07</v>
      </c>
      <c r="H256" s="2">
        <v>30.2</v>
      </c>
      <c r="I256" s="2" t="s">
        <v>47</v>
      </c>
    </row>
    <row r="257" ht="15.75" customHeight="1">
      <c r="A257" s="2" t="s">
        <v>1139</v>
      </c>
      <c r="B257" s="2" t="s">
        <v>1141</v>
      </c>
      <c r="C257" s="2" t="s">
        <v>12</v>
      </c>
      <c r="D257" s="2" t="s">
        <v>174</v>
      </c>
      <c r="E257" s="2" t="s">
        <v>175</v>
      </c>
      <c r="F257" s="2">
        <v>134.0</v>
      </c>
      <c r="G257" s="2">
        <v>15.92</v>
      </c>
      <c r="H257" s="2">
        <v>8.4</v>
      </c>
      <c r="I257" s="2" t="s">
        <v>47</v>
      </c>
    </row>
    <row r="258" ht="15.75" customHeight="1">
      <c r="A258" s="2" t="s">
        <v>1143</v>
      </c>
      <c r="B258" s="2" t="s">
        <v>1144</v>
      </c>
      <c r="C258" s="2" t="s">
        <v>12</v>
      </c>
      <c r="D258" s="2" t="s">
        <v>98</v>
      </c>
      <c r="E258" s="2" t="s">
        <v>100</v>
      </c>
      <c r="F258" s="2">
        <v>75.0</v>
      </c>
      <c r="G258" s="2">
        <v>5.39</v>
      </c>
      <c r="H258" s="2">
        <v>13.9</v>
      </c>
      <c r="I258" s="2" t="s">
        <v>47</v>
      </c>
    </row>
    <row r="259" ht="15.75" customHeight="1">
      <c r="A259" s="2" t="s">
        <v>1147</v>
      </c>
      <c r="B259" s="2" t="s">
        <v>1148</v>
      </c>
      <c r="C259" s="2" t="s">
        <v>12</v>
      </c>
      <c r="D259" s="2" t="s">
        <v>145</v>
      </c>
      <c r="E259" s="2" t="s">
        <v>146</v>
      </c>
      <c r="F259" s="2">
        <v>191.0</v>
      </c>
      <c r="G259" s="2">
        <v>7.73</v>
      </c>
      <c r="H259" s="2">
        <v>24.7</v>
      </c>
      <c r="I259" s="2" t="s">
        <v>47</v>
      </c>
    </row>
    <row r="260" ht="15.75" customHeight="1">
      <c r="A260" s="2" t="s">
        <v>1155</v>
      </c>
      <c r="B260" s="2" t="s">
        <v>1156</v>
      </c>
      <c r="C260" s="2" t="s">
        <v>12</v>
      </c>
      <c r="D260" s="2" t="s">
        <v>152</v>
      </c>
      <c r="E260" s="2" t="s">
        <v>153</v>
      </c>
      <c r="F260" s="2">
        <v>307.0</v>
      </c>
      <c r="G260" s="2">
        <v>2.69</v>
      </c>
      <c r="H260" s="2">
        <v>114.1</v>
      </c>
      <c r="I260" s="2" t="s">
        <v>47</v>
      </c>
    </row>
    <row r="261" ht="15.75" customHeight="1">
      <c r="A261" s="2" t="s">
        <v>1159</v>
      </c>
      <c r="B261" s="2" t="s">
        <v>1160</v>
      </c>
      <c r="C261" s="2" t="s">
        <v>12</v>
      </c>
      <c r="D261" s="2" t="s">
        <v>250</v>
      </c>
      <c r="E261" s="2" t="s">
        <v>251</v>
      </c>
      <c r="F261" s="2">
        <v>122.0</v>
      </c>
      <c r="G261" s="2">
        <v>8.02</v>
      </c>
      <c r="H261" s="2">
        <v>15.2</v>
      </c>
      <c r="I261" s="2" t="s">
        <v>47</v>
      </c>
    </row>
    <row r="262" ht="15.75" customHeight="1">
      <c r="A262" s="2" t="s">
        <v>1178</v>
      </c>
      <c r="B262" s="2" t="s">
        <v>1180</v>
      </c>
      <c r="C262" s="2" t="s">
        <v>12</v>
      </c>
      <c r="D262" s="2" t="s">
        <v>182</v>
      </c>
      <c r="E262" s="2" t="s">
        <v>184</v>
      </c>
      <c r="F262" s="2">
        <v>438.0</v>
      </c>
      <c r="G262" s="2">
        <v>7.75</v>
      </c>
      <c r="H262" s="2">
        <v>56.5</v>
      </c>
      <c r="I262" s="2" t="s">
        <v>47</v>
      </c>
    </row>
    <row r="263" ht="15.75" customHeight="1">
      <c r="A263" s="2" t="s">
        <v>1183</v>
      </c>
      <c r="B263" s="2" t="s">
        <v>1184</v>
      </c>
      <c r="C263" s="2" t="s">
        <v>12</v>
      </c>
      <c r="D263" s="2" t="s">
        <v>43</v>
      </c>
      <c r="E263" s="2" t="s">
        <v>44</v>
      </c>
      <c r="F263" s="2">
        <v>278.0</v>
      </c>
      <c r="G263" s="2">
        <v>8.84</v>
      </c>
      <c r="H263" s="2">
        <v>31.4</v>
      </c>
      <c r="I263" s="2" t="s">
        <v>47</v>
      </c>
    </row>
    <row r="264" ht="15.75" customHeight="1">
      <c r="A264" s="2" t="s">
        <v>1187</v>
      </c>
      <c r="B264" s="2" t="s">
        <v>1188</v>
      </c>
      <c r="C264" s="2" t="s">
        <v>12</v>
      </c>
      <c r="D264" s="2" t="s">
        <v>250</v>
      </c>
      <c r="E264" s="2" t="s">
        <v>251</v>
      </c>
      <c r="F264" s="2">
        <v>98.0</v>
      </c>
      <c r="G264" s="2">
        <v>7.46</v>
      </c>
      <c r="H264" s="2">
        <v>13.1</v>
      </c>
      <c r="I264" s="2" t="s">
        <v>47</v>
      </c>
    </row>
    <row r="265" ht="15.75" customHeight="1">
      <c r="A265" s="2" t="s">
        <v>296</v>
      </c>
      <c r="B265" s="2" t="s">
        <v>297</v>
      </c>
      <c r="C265" s="2" t="s">
        <v>12</v>
      </c>
      <c r="D265" s="2" t="s">
        <v>250</v>
      </c>
      <c r="E265" s="2" t="s">
        <v>251</v>
      </c>
      <c r="F265" s="2">
        <v>847.0</v>
      </c>
      <c r="G265" s="2">
        <v>16.18</v>
      </c>
      <c r="H265" s="2">
        <v>52.3</v>
      </c>
      <c r="I265" s="2" t="s">
        <v>27</v>
      </c>
    </row>
    <row r="266" ht="15.75" customHeight="1">
      <c r="A266" s="2" t="s">
        <v>300</v>
      </c>
      <c r="B266" s="2" t="s">
        <v>301</v>
      </c>
      <c r="C266" s="2" t="s">
        <v>12</v>
      </c>
      <c r="D266" s="2" t="s">
        <v>80</v>
      </c>
      <c r="E266" s="2" t="s">
        <v>81</v>
      </c>
      <c r="F266" s="2">
        <v>1072.0</v>
      </c>
      <c r="G266" s="2">
        <v>13.32</v>
      </c>
      <c r="H266" s="2">
        <v>80.5</v>
      </c>
      <c r="I266" s="2" t="s">
        <v>27</v>
      </c>
    </row>
    <row r="267" ht="15.75" customHeight="1">
      <c r="A267" s="2" t="s">
        <v>302</v>
      </c>
      <c r="B267" s="2" t="s">
        <v>303</v>
      </c>
      <c r="C267" s="2" t="s">
        <v>12</v>
      </c>
      <c r="D267" s="2" t="s">
        <v>145</v>
      </c>
      <c r="E267" s="2" t="s">
        <v>146</v>
      </c>
      <c r="F267" s="2">
        <v>345.0</v>
      </c>
      <c r="G267" s="2">
        <v>4.61</v>
      </c>
      <c r="H267" s="2">
        <v>74.8</v>
      </c>
      <c r="I267" s="2" t="s">
        <v>47</v>
      </c>
    </row>
    <row r="268" ht="15.75" customHeight="1">
      <c r="A268" s="2" t="s">
        <v>1197</v>
      </c>
      <c r="B268" s="2" t="s">
        <v>1198</v>
      </c>
      <c r="C268" s="2" t="s">
        <v>12</v>
      </c>
      <c r="D268" s="2" t="s">
        <v>686</v>
      </c>
      <c r="E268" s="2" t="s">
        <v>691</v>
      </c>
      <c r="F268" s="2">
        <v>399.0</v>
      </c>
      <c r="G268" s="2">
        <v>7.54</v>
      </c>
      <c r="H268" s="2">
        <v>52.9</v>
      </c>
      <c r="I268" s="2" t="s">
        <v>47</v>
      </c>
    </row>
    <row r="269" ht="15.75" customHeight="1">
      <c r="A269" s="2" t="s">
        <v>306</v>
      </c>
      <c r="B269" s="2" t="s">
        <v>307</v>
      </c>
      <c r="C269" s="2" t="s">
        <v>12</v>
      </c>
      <c r="D269" s="2" t="s">
        <v>174</v>
      </c>
      <c r="E269" s="2" t="s">
        <v>175</v>
      </c>
      <c r="F269" s="2">
        <v>2691.0</v>
      </c>
      <c r="G269" s="2">
        <v>28.64</v>
      </c>
      <c r="H269" s="2">
        <v>94.0</v>
      </c>
      <c r="I269" s="2" t="s">
        <v>138</v>
      </c>
    </row>
    <row r="270" ht="15.75" customHeight="1">
      <c r="A270" s="2" t="s">
        <v>1203</v>
      </c>
      <c r="B270" s="2" t="s">
        <v>1204</v>
      </c>
      <c r="C270" s="2" t="s">
        <v>12</v>
      </c>
      <c r="D270" s="2" t="s">
        <v>204</v>
      </c>
      <c r="E270" s="2" t="s">
        <v>205</v>
      </c>
      <c r="F270" s="2">
        <v>408.0</v>
      </c>
      <c r="G270" s="2">
        <v>7.04</v>
      </c>
      <c r="H270" s="2">
        <v>58.0</v>
      </c>
      <c r="I270" s="2" t="s">
        <v>47</v>
      </c>
    </row>
    <row r="271" ht="15.75" customHeight="1">
      <c r="A271" s="2" t="s">
        <v>1227</v>
      </c>
      <c r="B271" s="2" t="s">
        <v>1228</v>
      </c>
      <c r="C271" s="2" t="s">
        <v>12</v>
      </c>
      <c r="D271" s="2" t="s">
        <v>90</v>
      </c>
      <c r="E271" s="2" t="s">
        <v>91</v>
      </c>
      <c r="F271" s="2">
        <v>363.0</v>
      </c>
      <c r="G271" s="2">
        <v>13.69</v>
      </c>
      <c r="H271" s="2">
        <v>26.5</v>
      </c>
      <c r="I271" s="2" t="s">
        <v>47</v>
      </c>
    </row>
    <row r="272" ht="15.75" customHeight="1">
      <c r="A272" s="2" t="s">
        <v>309</v>
      </c>
      <c r="B272" s="2" t="s">
        <v>311</v>
      </c>
      <c r="C272" s="2" t="s">
        <v>12</v>
      </c>
      <c r="D272" s="2" t="s">
        <v>145</v>
      </c>
      <c r="E272" s="2" t="s">
        <v>146</v>
      </c>
      <c r="F272" s="2">
        <v>724.0</v>
      </c>
      <c r="G272" s="2">
        <v>5.92</v>
      </c>
      <c r="H272" s="2">
        <v>122.3</v>
      </c>
      <c r="I272" s="2" t="s">
        <v>27</v>
      </c>
    </row>
    <row r="273" ht="15.75" customHeight="1">
      <c r="A273" s="2" t="s">
        <v>312</v>
      </c>
      <c r="B273" s="2" t="s">
        <v>313</v>
      </c>
      <c r="C273" s="2" t="s">
        <v>12</v>
      </c>
      <c r="D273" s="2" t="s">
        <v>250</v>
      </c>
      <c r="E273" s="2" t="s">
        <v>251</v>
      </c>
      <c r="F273" s="2">
        <v>519.0</v>
      </c>
      <c r="G273" s="2">
        <v>16.19</v>
      </c>
      <c r="H273" s="2">
        <v>32.1</v>
      </c>
      <c r="I273" s="2" t="s">
        <v>27</v>
      </c>
    </row>
    <row r="274" ht="15.75" customHeight="1">
      <c r="A274" s="2" t="s">
        <v>314</v>
      </c>
      <c r="B274" s="2" t="s">
        <v>315</v>
      </c>
      <c r="C274" s="2" t="s">
        <v>12</v>
      </c>
      <c r="D274" s="2" t="s">
        <v>182</v>
      </c>
      <c r="E274" s="2" t="s">
        <v>184</v>
      </c>
      <c r="F274" s="2">
        <v>704.0</v>
      </c>
      <c r="G274" s="2">
        <v>6.68</v>
      </c>
      <c r="H274" s="2">
        <v>105.4</v>
      </c>
      <c r="I274" s="2" t="s">
        <v>27</v>
      </c>
    </row>
    <row r="275" ht="15.75" customHeight="1">
      <c r="A275" s="2" t="s">
        <v>1243</v>
      </c>
      <c r="B275" s="2" t="s">
        <v>1244</v>
      </c>
      <c r="C275" s="2" t="s">
        <v>12</v>
      </c>
      <c r="D275" s="2" t="s">
        <v>145</v>
      </c>
      <c r="E275" s="2" t="s">
        <v>146</v>
      </c>
      <c r="F275" s="2">
        <v>249.0</v>
      </c>
      <c r="G275" s="2">
        <v>7.79</v>
      </c>
      <c r="H275" s="2">
        <v>32.0</v>
      </c>
      <c r="I275" s="2" t="s">
        <v>47</v>
      </c>
    </row>
    <row r="276" ht="15.75" customHeight="1">
      <c r="A276" s="2" t="s">
        <v>1253</v>
      </c>
      <c r="B276" s="2" t="s">
        <v>1254</v>
      </c>
      <c r="C276" s="2" t="s">
        <v>12</v>
      </c>
      <c r="D276" s="2" t="s">
        <v>58</v>
      </c>
      <c r="E276" s="2" t="s">
        <v>59</v>
      </c>
      <c r="F276" s="2">
        <v>420.0</v>
      </c>
      <c r="G276" s="2">
        <v>13.76</v>
      </c>
      <c r="H276" s="2">
        <v>30.5</v>
      </c>
      <c r="I276" s="2" t="s">
        <v>47</v>
      </c>
    </row>
    <row r="277" ht="15.75" customHeight="1">
      <c r="A277" s="2" t="s">
        <v>316</v>
      </c>
      <c r="B277" s="2" t="s">
        <v>318</v>
      </c>
      <c r="C277" s="2" t="s">
        <v>12</v>
      </c>
      <c r="D277" s="2" t="s">
        <v>145</v>
      </c>
      <c r="E277" s="2" t="s">
        <v>146</v>
      </c>
      <c r="F277" s="2">
        <v>1701.0</v>
      </c>
      <c r="G277" s="2">
        <v>12.82</v>
      </c>
      <c r="H277" s="2">
        <v>132.7</v>
      </c>
      <c r="I277" s="2" t="s">
        <v>27</v>
      </c>
    </row>
    <row r="278" ht="15.75" customHeight="1">
      <c r="A278" s="2" t="s">
        <v>1258</v>
      </c>
      <c r="B278" s="2" t="s">
        <v>1260</v>
      </c>
      <c r="C278" s="2" t="s">
        <v>12</v>
      </c>
      <c r="D278" s="2" t="s">
        <v>90</v>
      </c>
      <c r="E278" s="2" t="s">
        <v>91</v>
      </c>
      <c r="F278" s="2">
        <v>130.0</v>
      </c>
      <c r="G278" s="2">
        <v>6.62</v>
      </c>
      <c r="H278" s="2">
        <v>19.6</v>
      </c>
      <c r="I278" s="2" t="s">
        <v>47</v>
      </c>
    </row>
    <row r="279" ht="15.75" customHeight="1">
      <c r="A279" s="2" t="s">
        <v>1261</v>
      </c>
      <c r="B279" s="2" t="s">
        <v>1262</v>
      </c>
      <c r="C279" s="2" t="s">
        <v>12</v>
      </c>
      <c r="D279" s="2" t="s">
        <v>204</v>
      </c>
      <c r="E279" s="2" t="s">
        <v>205</v>
      </c>
      <c r="F279" s="2">
        <v>194.0</v>
      </c>
      <c r="G279" s="2">
        <v>5.26</v>
      </c>
      <c r="H279" s="2">
        <v>36.9</v>
      </c>
      <c r="I279" s="2" t="s">
        <v>47</v>
      </c>
    </row>
    <row r="280" ht="15.75" customHeight="1">
      <c r="A280" s="2" t="s">
        <v>320</v>
      </c>
      <c r="B280" s="2" t="s">
        <v>321</v>
      </c>
      <c r="C280" s="2" t="s">
        <v>12</v>
      </c>
      <c r="D280" s="2" t="s">
        <v>134</v>
      </c>
      <c r="E280" s="2" t="s">
        <v>135</v>
      </c>
      <c r="F280" s="2">
        <v>1355.0</v>
      </c>
      <c r="G280" s="2">
        <v>8.93</v>
      </c>
      <c r="H280" s="2">
        <v>151.7</v>
      </c>
      <c r="I280" s="2" t="s">
        <v>27</v>
      </c>
    </row>
    <row r="281" ht="15.75" customHeight="1">
      <c r="A281" s="2" t="s">
        <v>324</v>
      </c>
      <c r="B281" s="2" t="s">
        <v>325</v>
      </c>
      <c r="C281" s="2" t="s">
        <v>12</v>
      </c>
      <c r="D281" s="2" t="s">
        <v>145</v>
      </c>
      <c r="E281" s="2" t="s">
        <v>146</v>
      </c>
      <c r="F281" s="2">
        <v>518.0</v>
      </c>
      <c r="G281" s="2">
        <v>9.62</v>
      </c>
      <c r="H281" s="2">
        <v>53.8</v>
      </c>
      <c r="I281" s="2" t="s">
        <v>27</v>
      </c>
    </row>
    <row r="282" ht="15.75" customHeight="1">
      <c r="A282" s="2" t="s">
        <v>1275</v>
      </c>
      <c r="B282" s="2" t="s">
        <v>1277</v>
      </c>
      <c r="C282" s="2" t="s">
        <v>12</v>
      </c>
      <c r="D282" s="2" t="s">
        <v>145</v>
      </c>
      <c r="E282" s="2" t="s">
        <v>146</v>
      </c>
      <c r="F282" s="2">
        <v>378.0</v>
      </c>
      <c r="G282" s="2">
        <v>11.99</v>
      </c>
      <c r="H282" s="2">
        <v>31.5</v>
      </c>
      <c r="I282" s="2" t="s">
        <v>47</v>
      </c>
    </row>
    <row r="283" ht="15.75" customHeight="1">
      <c r="A283" s="2" t="s">
        <v>1279</v>
      </c>
      <c r="B283" s="2" t="s">
        <v>1282</v>
      </c>
      <c r="C283" s="2" t="s">
        <v>12</v>
      </c>
      <c r="D283" s="2" t="s">
        <v>204</v>
      </c>
      <c r="E283" s="2" t="s">
        <v>205</v>
      </c>
      <c r="F283" s="2">
        <v>140.0</v>
      </c>
      <c r="G283" s="2">
        <v>5.8</v>
      </c>
      <c r="H283" s="2">
        <v>24.1</v>
      </c>
      <c r="I283" s="2" t="s">
        <v>47</v>
      </c>
    </row>
    <row r="284" ht="15.75" customHeight="1">
      <c r="A284" s="2" t="s">
        <v>1269</v>
      </c>
      <c r="B284" s="2" t="s">
        <v>1270</v>
      </c>
      <c r="C284" s="2" t="s">
        <v>12</v>
      </c>
      <c r="D284" s="2" t="s">
        <v>145</v>
      </c>
      <c r="E284" s="2" t="s">
        <v>146</v>
      </c>
      <c r="F284" s="2">
        <v>232.0</v>
      </c>
      <c r="G284" s="2">
        <v>5.33</v>
      </c>
      <c r="H284" s="2">
        <v>43.5</v>
      </c>
      <c r="I284" s="2" t="s">
        <v>47</v>
      </c>
    </row>
    <row r="285" ht="15.75" customHeight="1">
      <c r="A285" s="2" t="s">
        <v>328</v>
      </c>
      <c r="B285" s="2" t="s">
        <v>329</v>
      </c>
      <c r="C285" s="2" t="s">
        <v>12</v>
      </c>
      <c r="D285" s="2" t="s">
        <v>250</v>
      </c>
      <c r="E285" s="2" t="s">
        <v>251</v>
      </c>
      <c r="F285" s="2">
        <v>862.0</v>
      </c>
      <c r="G285" s="2">
        <v>19.86</v>
      </c>
      <c r="H285" s="2">
        <v>43.4</v>
      </c>
      <c r="I285" s="2" t="s">
        <v>27</v>
      </c>
    </row>
    <row r="286" ht="15.75" customHeight="1">
      <c r="A286" s="2" t="s">
        <v>1283</v>
      </c>
      <c r="B286" s="2" t="s">
        <v>1284</v>
      </c>
      <c r="C286" s="2" t="s">
        <v>12</v>
      </c>
      <c r="D286" s="2" t="s">
        <v>250</v>
      </c>
      <c r="E286" s="2" t="s">
        <v>251</v>
      </c>
      <c r="F286" s="2">
        <v>280.0</v>
      </c>
      <c r="G286" s="2">
        <v>10.37</v>
      </c>
      <c r="H286" s="2">
        <v>27.0</v>
      </c>
      <c r="I286" s="2" t="s">
        <v>47</v>
      </c>
    </row>
    <row r="287" ht="15.75" customHeight="1">
      <c r="A287" s="2" t="s">
        <v>330</v>
      </c>
      <c r="B287" s="2" t="s">
        <v>331</v>
      </c>
      <c r="C287" s="2" t="s">
        <v>12</v>
      </c>
      <c r="D287" s="2" t="s">
        <v>90</v>
      </c>
      <c r="E287" s="2" t="s">
        <v>91</v>
      </c>
      <c r="F287" s="2">
        <v>483.0</v>
      </c>
      <c r="G287" s="2">
        <v>8.99</v>
      </c>
      <c r="H287" s="2">
        <v>53.7</v>
      </c>
      <c r="I287" s="2" t="s">
        <v>47</v>
      </c>
    </row>
    <row r="288" ht="15.75" customHeight="1">
      <c r="A288" s="2" t="s">
        <v>332</v>
      </c>
      <c r="B288" s="2" t="s">
        <v>333</v>
      </c>
      <c r="C288" s="2" t="s">
        <v>12</v>
      </c>
      <c r="D288" s="2" t="s">
        <v>204</v>
      </c>
      <c r="E288" s="2" t="s">
        <v>205</v>
      </c>
      <c r="F288" s="2">
        <v>166.0</v>
      </c>
      <c r="G288" s="2">
        <v>4.95</v>
      </c>
      <c r="H288" s="2">
        <v>33.5</v>
      </c>
      <c r="I288" s="2" t="s">
        <v>47</v>
      </c>
    </row>
    <row r="289" ht="15.75" customHeight="1">
      <c r="A289" s="2" t="s">
        <v>1289</v>
      </c>
      <c r="B289" s="2" t="s">
        <v>1290</v>
      </c>
      <c r="C289" s="2" t="s">
        <v>12</v>
      </c>
      <c r="D289" s="2" t="s">
        <v>174</v>
      </c>
      <c r="E289" s="2" t="s">
        <v>175</v>
      </c>
      <c r="F289" s="2">
        <v>535.0</v>
      </c>
      <c r="G289" s="2">
        <v>7.5</v>
      </c>
      <c r="H289" s="2">
        <v>71.3</v>
      </c>
      <c r="I289" s="2" t="s">
        <v>27</v>
      </c>
    </row>
    <row r="290" ht="15.75" customHeight="1">
      <c r="A290" s="2" t="s">
        <v>336</v>
      </c>
      <c r="B290" s="2" t="s">
        <v>337</v>
      </c>
      <c r="C290" s="2" t="s">
        <v>12</v>
      </c>
      <c r="D290" s="2" t="s">
        <v>22</v>
      </c>
      <c r="E290" s="2" t="s">
        <v>23</v>
      </c>
      <c r="F290" s="2">
        <v>404.0</v>
      </c>
      <c r="G290" s="2">
        <v>9.5</v>
      </c>
      <c r="H290" s="2">
        <v>42.5</v>
      </c>
      <c r="I290" s="2" t="s">
        <v>47</v>
      </c>
    </row>
    <row r="291" ht="15.75" customHeight="1">
      <c r="A291" s="2" t="s">
        <v>1295</v>
      </c>
      <c r="B291" s="2" t="s">
        <v>1296</v>
      </c>
      <c r="C291" s="2" t="s">
        <v>12</v>
      </c>
      <c r="D291" s="2" t="s">
        <v>204</v>
      </c>
      <c r="E291" s="2" t="s">
        <v>205</v>
      </c>
      <c r="F291" s="2">
        <v>463.0</v>
      </c>
      <c r="G291" s="2">
        <v>5.46</v>
      </c>
      <c r="H291" s="2">
        <v>84.8</v>
      </c>
      <c r="I291" s="2" t="s">
        <v>47</v>
      </c>
    </row>
    <row r="292" ht="15.75" customHeight="1">
      <c r="A292" s="2" t="s">
        <v>1299</v>
      </c>
      <c r="B292" s="2" t="s">
        <v>1300</v>
      </c>
      <c r="C292" s="2" t="s">
        <v>12</v>
      </c>
      <c r="D292" s="2" t="s">
        <v>250</v>
      </c>
      <c r="E292" s="2" t="s">
        <v>251</v>
      </c>
      <c r="F292" s="2">
        <v>106.0</v>
      </c>
      <c r="G292" s="2">
        <v>2.91</v>
      </c>
      <c r="H292" s="2">
        <v>36.4</v>
      </c>
      <c r="I292" s="2" t="s">
        <v>47</v>
      </c>
    </row>
    <row r="293" ht="15.75" customHeight="1">
      <c r="A293" s="2" t="s">
        <v>338</v>
      </c>
      <c r="B293" s="2" t="s">
        <v>339</v>
      </c>
      <c r="C293" s="2" t="s">
        <v>12</v>
      </c>
      <c r="D293" s="2" t="s">
        <v>174</v>
      </c>
      <c r="E293" s="2" t="s">
        <v>175</v>
      </c>
      <c r="F293" s="2">
        <v>272.0</v>
      </c>
      <c r="G293" s="2">
        <v>9.03</v>
      </c>
      <c r="H293" s="2">
        <v>30.1</v>
      </c>
      <c r="I293" s="2" t="s">
        <v>47</v>
      </c>
    </row>
    <row r="294" ht="15.75" customHeight="1">
      <c r="A294" s="2" t="s">
        <v>1305</v>
      </c>
      <c r="B294" s="2" t="s">
        <v>1306</v>
      </c>
      <c r="C294" s="2" t="s">
        <v>12</v>
      </c>
      <c r="D294" s="2" t="s">
        <v>134</v>
      </c>
      <c r="E294" s="2" t="s">
        <v>135</v>
      </c>
      <c r="F294" s="2">
        <v>160.0</v>
      </c>
      <c r="G294" s="2">
        <v>7.22</v>
      </c>
      <c r="H294" s="2">
        <v>22.2</v>
      </c>
      <c r="I294" s="2" t="s">
        <v>47</v>
      </c>
    </row>
    <row r="295" ht="15.75" customHeight="1">
      <c r="A295" s="2" t="s">
        <v>340</v>
      </c>
      <c r="B295" s="2" t="s">
        <v>341</v>
      </c>
      <c r="C295" s="2" t="s">
        <v>12</v>
      </c>
      <c r="D295" s="2" t="s">
        <v>204</v>
      </c>
      <c r="E295" s="2" t="s">
        <v>205</v>
      </c>
      <c r="F295" s="2">
        <v>2890.0</v>
      </c>
      <c r="G295" s="2">
        <v>15.15</v>
      </c>
      <c r="H295" s="2">
        <v>190.8</v>
      </c>
      <c r="I295" s="2" t="s">
        <v>138</v>
      </c>
    </row>
    <row r="296" ht="15.75" customHeight="1">
      <c r="A296" s="2" t="s">
        <v>1310</v>
      </c>
      <c r="B296" s="2" t="s">
        <v>1312</v>
      </c>
      <c r="C296" s="2" t="s">
        <v>12</v>
      </c>
      <c r="D296" s="2" t="s">
        <v>22</v>
      </c>
      <c r="E296" s="2" t="s">
        <v>23</v>
      </c>
      <c r="F296" s="2">
        <v>166.0</v>
      </c>
      <c r="G296" s="2">
        <v>2.53</v>
      </c>
      <c r="H296" s="2">
        <v>65.6</v>
      </c>
      <c r="I296" s="2" t="s">
        <v>47</v>
      </c>
    </row>
    <row r="297" ht="15.75" customHeight="1">
      <c r="A297" s="2" t="s">
        <v>342</v>
      </c>
      <c r="B297" s="2" t="s">
        <v>343</v>
      </c>
      <c r="C297" s="2" t="s">
        <v>12</v>
      </c>
      <c r="D297" s="2" t="s">
        <v>22</v>
      </c>
      <c r="E297" s="2" t="s">
        <v>23</v>
      </c>
      <c r="F297" s="2">
        <v>971.0</v>
      </c>
      <c r="G297" s="2">
        <v>15.36</v>
      </c>
      <c r="H297" s="2">
        <v>63.2</v>
      </c>
      <c r="I297" s="2" t="s">
        <v>27</v>
      </c>
    </row>
    <row r="298" ht="15.75" customHeight="1">
      <c r="A298" s="2" t="s">
        <v>1315</v>
      </c>
      <c r="B298" s="2" t="s">
        <v>1317</v>
      </c>
      <c r="C298" s="2" t="s">
        <v>12</v>
      </c>
      <c r="D298" s="2" t="s">
        <v>250</v>
      </c>
      <c r="E298" s="2" t="s">
        <v>251</v>
      </c>
      <c r="F298" s="2">
        <v>198.0</v>
      </c>
      <c r="G298" s="2">
        <v>4.91</v>
      </c>
      <c r="H298" s="2">
        <v>40.3</v>
      </c>
      <c r="I298" s="2" t="s">
        <v>47</v>
      </c>
    </row>
    <row r="299" ht="15.75" customHeight="1">
      <c r="A299" s="2" t="s">
        <v>1318</v>
      </c>
      <c r="B299" s="2" t="s">
        <v>1319</v>
      </c>
      <c r="C299" s="2" t="s">
        <v>12</v>
      </c>
      <c r="D299" s="2" t="s">
        <v>43</v>
      </c>
      <c r="E299" s="2" t="s">
        <v>44</v>
      </c>
      <c r="F299" s="2">
        <v>236.0</v>
      </c>
      <c r="G299" s="2">
        <v>8.83</v>
      </c>
      <c r="H299" s="2">
        <v>26.7</v>
      </c>
      <c r="I299" s="2" t="s">
        <v>47</v>
      </c>
    </row>
    <row r="300" ht="15.75" customHeight="1">
      <c r="A300" s="2" t="s">
        <v>346</v>
      </c>
      <c r="B300" s="2" t="s">
        <v>347</v>
      </c>
      <c r="C300" s="2" t="s">
        <v>12</v>
      </c>
      <c r="D300" s="2" t="s">
        <v>174</v>
      </c>
      <c r="E300" s="2" t="s">
        <v>175</v>
      </c>
      <c r="F300" s="2">
        <v>2836.0</v>
      </c>
      <c r="G300" s="2">
        <v>20.85</v>
      </c>
      <c r="H300" s="2">
        <v>136.0</v>
      </c>
      <c r="I300" s="2" t="s">
        <v>138</v>
      </c>
    </row>
    <row r="301" ht="15.75" customHeight="1">
      <c r="A301" s="2" t="s">
        <v>348</v>
      </c>
      <c r="B301" s="2" t="s">
        <v>350</v>
      </c>
      <c r="C301" s="2" t="s">
        <v>12</v>
      </c>
      <c r="D301" s="2" t="s">
        <v>174</v>
      </c>
      <c r="E301" s="2" t="s">
        <v>175</v>
      </c>
      <c r="F301" s="2">
        <v>683.0</v>
      </c>
      <c r="G301" s="2">
        <v>10.09</v>
      </c>
      <c r="H301" s="2">
        <v>67.7</v>
      </c>
      <c r="I301" s="2" t="s">
        <v>27</v>
      </c>
    </row>
    <row r="302" ht="15.75" customHeight="1">
      <c r="A302" s="2" t="s">
        <v>352</v>
      </c>
      <c r="B302" s="2" t="s">
        <v>353</v>
      </c>
      <c r="C302" s="2" t="s">
        <v>12</v>
      </c>
      <c r="D302" s="2" t="s">
        <v>145</v>
      </c>
      <c r="E302" s="2" t="s">
        <v>146</v>
      </c>
      <c r="F302" s="2">
        <v>5183.0</v>
      </c>
      <c r="G302" s="2">
        <v>6.25</v>
      </c>
      <c r="H302" s="2">
        <v>829.3</v>
      </c>
      <c r="I302" s="2" t="s">
        <v>138</v>
      </c>
    </row>
    <row r="303" ht="15.75" customHeight="1">
      <c r="A303" s="2" t="s">
        <v>1325</v>
      </c>
      <c r="B303" s="2" t="s">
        <v>1326</v>
      </c>
      <c r="C303" s="2" t="s">
        <v>12</v>
      </c>
      <c r="D303" s="2" t="s">
        <v>250</v>
      </c>
      <c r="E303" s="2" t="s">
        <v>251</v>
      </c>
      <c r="F303" s="2">
        <v>258.0</v>
      </c>
      <c r="G303" s="2">
        <v>6.38</v>
      </c>
      <c r="H303" s="2">
        <v>40.4</v>
      </c>
      <c r="I303" s="2" t="s">
        <v>47</v>
      </c>
    </row>
    <row r="304" ht="15.75" customHeight="1">
      <c r="A304" s="2" t="s">
        <v>1329</v>
      </c>
      <c r="B304" s="2" t="s">
        <v>1331</v>
      </c>
      <c r="C304" s="2" t="s">
        <v>12</v>
      </c>
      <c r="D304" s="2" t="s">
        <v>250</v>
      </c>
      <c r="E304" s="2" t="s">
        <v>251</v>
      </c>
      <c r="F304" s="2">
        <v>127.0</v>
      </c>
      <c r="G304" s="2">
        <v>5.98</v>
      </c>
      <c r="H304" s="2">
        <v>21.2</v>
      </c>
      <c r="I304" s="2" t="s">
        <v>47</v>
      </c>
    </row>
    <row r="305" ht="15.75" customHeight="1">
      <c r="A305" s="2" t="s">
        <v>1334</v>
      </c>
      <c r="B305" s="2" t="s">
        <v>1336</v>
      </c>
      <c r="C305" s="2" t="s">
        <v>12</v>
      </c>
      <c r="D305" s="2" t="s">
        <v>204</v>
      </c>
      <c r="E305" s="2" t="s">
        <v>205</v>
      </c>
      <c r="F305" s="2">
        <v>84.0</v>
      </c>
      <c r="G305" s="2">
        <v>4.56</v>
      </c>
      <c r="H305" s="2">
        <v>18.4</v>
      </c>
      <c r="I305" s="2" t="s">
        <v>47</v>
      </c>
    </row>
    <row r="306" ht="15.75" customHeight="1">
      <c r="A306" s="2" t="s">
        <v>1338</v>
      </c>
      <c r="B306" s="2" t="s">
        <v>1340</v>
      </c>
      <c r="C306" s="2" t="s">
        <v>12</v>
      </c>
      <c r="D306" s="2" t="s">
        <v>80</v>
      </c>
      <c r="E306" s="2" t="s">
        <v>81</v>
      </c>
      <c r="F306" s="2">
        <v>37.0</v>
      </c>
      <c r="G306" s="2">
        <v>2.68</v>
      </c>
      <c r="H306" s="2">
        <v>13.8</v>
      </c>
      <c r="I306" s="2" t="s">
        <v>47</v>
      </c>
    </row>
    <row r="307" ht="15.75" customHeight="1">
      <c r="A307" s="2" t="s">
        <v>355</v>
      </c>
      <c r="B307" s="2" t="s">
        <v>357</v>
      </c>
      <c r="C307" s="2" t="s">
        <v>12</v>
      </c>
      <c r="D307" s="2" t="s">
        <v>52</v>
      </c>
      <c r="E307" s="2" t="s">
        <v>53</v>
      </c>
      <c r="F307" s="2">
        <v>630.0</v>
      </c>
      <c r="G307" s="2">
        <v>10.35</v>
      </c>
      <c r="H307" s="2">
        <v>60.9</v>
      </c>
      <c r="I307" s="2" t="s">
        <v>27</v>
      </c>
    </row>
    <row r="308" ht="15.75" customHeight="1">
      <c r="A308" s="2" t="s">
        <v>1343</v>
      </c>
      <c r="B308" s="2" t="s">
        <v>1344</v>
      </c>
      <c r="C308" s="2" t="s">
        <v>12</v>
      </c>
      <c r="D308" s="2" t="s">
        <v>174</v>
      </c>
      <c r="E308" s="2" t="s">
        <v>175</v>
      </c>
      <c r="F308" s="2">
        <v>425.0</v>
      </c>
      <c r="G308" s="2">
        <v>5.59</v>
      </c>
      <c r="H308" s="2">
        <v>76.0</v>
      </c>
      <c r="I308" s="2" t="s">
        <v>47</v>
      </c>
    </row>
    <row r="309" ht="15.75" customHeight="1">
      <c r="A309" s="2" t="s">
        <v>1347</v>
      </c>
      <c r="B309" s="2" t="s">
        <v>1348</v>
      </c>
      <c r="C309" s="2" t="s">
        <v>12</v>
      </c>
      <c r="D309" s="2" t="s">
        <v>66</v>
      </c>
      <c r="E309" s="2" t="s">
        <v>67</v>
      </c>
      <c r="F309" s="2">
        <v>65.0</v>
      </c>
      <c r="G309" s="2">
        <v>5.5</v>
      </c>
      <c r="H309" s="2">
        <v>11.8</v>
      </c>
      <c r="I309" s="2" t="s">
        <v>47</v>
      </c>
    </row>
    <row r="310" ht="15.75" customHeight="1">
      <c r="A310" s="2" t="s">
        <v>1351</v>
      </c>
      <c r="B310" s="2" t="s">
        <v>1352</v>
      </c>
      <c r="C310" s="2" t="s">
        <v>12</v>
      </c>
      <c r="D310" s="2" t="s">
        <v>52</v>
      </c>
      <c r="E310" s="2" t="s">
        <v>53</v>
      </c>
      <c r="F310" s="2">
        <v>140.0</v>
      </c>
      <c r="G310" s="2">
        <v>8.75</v>
      </c>
      <c r="H310" s="2">
        <v>16.0</v>
      </c>
      <c r="I310" s="2" t="s">
        <v>47</v>
      </c>
    </row>
    <row r="311" ht="15.75" customHeight="1">
      <c r="A311" s="2" t="s">
        <v>1355</v>
      </c>
      <c r="B311" s="2" t="s">
        <v>1356</v>
      </c>
      <c r="C311" s="2" t="s">
        <v>12</v>
      </c>
      <c r="D311" s="2" t="s">
        <v>174</v>
      </c>
      <c r="E311" s="2" t="s">
        <v>175</v>
      </c>
      <c r="F311" s="2">
        <v>120.0</v>
      </c>
      <c r="G311" s="2">
        <v>8.57</v>
      </c>
      <c r="H311" s="2">
        <v>14.0</v>
      </c>
      <c r="I311" s="2" t="s">
        <v>47</v>
      </c>
    </row>
    <row r="312" ht="15.75" customHeight="1">
      <c r="A312" s="2" t="s">
        <v>358</v>
      </c>
      <c r="B312" s="2" t="s">
        <v>359</v>
      </c>
      <c r="C312" s="2" t="s">
        <v>12</v>
      </c>
      <c r="D312" s="2" t="s">
        <v>204</v>
      </c>
      <c r="E312" s="2" t="s">
        <v>205</v>
      </c>
      <c r="F312" s="2">
        <v>572.0</v>
      </c>
      <c r="G312" s="2">
        <v>17.67</v>
      </c>
      <c r="H312" s="2">
        <v>32.4</v>
      </c>
      <c r="I312" s="2" t="s">
        <v>27</v>
      </c>
    </row>
    <row r="313" ht="15.75" customHeight="1">
      <c r="A313" s="2" t="s">
        <v>1801</v>
      </c>
      <c r="B313" s="2" t="s">
        <v>1804</v>
      </c>
      <c r="C313" s="2" t="s">
        <v>12</v>
      </c>
      <c r="D313" s="2" t="s">
        <v>98</v>
      </c>
      <c r="E313" s="2" t="s">
        <v>100</v>
      </c>
      <c r="F313" s="2">
        <v>299.0</v>
      </c>
      <c r="G313" s="2">
        <v>12.48</v>
      </c>
      <c r="H313" s="2">
        <v>24.0</v>
      </c>
      <c r="I313" s="2" t="s">
        <v>47</v>
      </c>
    </row>
    <row r="314" ht="15.75" customHeight="1">
      <c r="A314" s="2" t="s">
        <v>1811</v>
      </c>
      <c r="B314" s="2" t="s">
        <v>1813</v>
      </c>
      <c r="C314" s="2" t="s">
        <v>12</v>
      </c>
      <c r="D314" s="2" t="s">
        <v>58</v>
      </c>
      <c r="E314" s="2" t="s">
        <v>59</v>
      </c>
      <c r="F314" s="2">
        <v>124.0</v>
      </c>
      <c r="G314" s="2">
        <v>3.8</v>
      </c>
      <c r="H314" s="2">
        <v>32.6</v>
      </c>
      <c r="I314" s="2" t="s">
        <v>47</v>
      </c>
    </row>
    <row r="315" ht="15.75" customHeight="1">
      <c r="A315" s="2" t="s">
        <v>1360</v>
      </c>
      <c r="B315" s="2" t="s">
        <v>1362</v>
      </c>
      <c r="C315" s="2" t="s">
        <v>12</v>
      </c>
      <c r="D315" s="2" t="s">
        <v>43</v>
      </c>
      <c r="E315" s="2" t="s">
        <v>44</v>
      </c>
      <c r="F315" s="2">
        <v>275.0</v>
      </c>
      <c r="G315" s="2">
        <v>20.58</v>
      </c>
      <c r="H315" s="2">
        <v>13.4</v>
      </c>
      <c r="I315" s="2" t="s">
        <v>47</v>
      </c>
    </row>
    <row r="316" ht="15.75" customHeight="1">
      <c r="A316" s="2" t="s">
        <v>1364</v>
      </c>
      <c r="B316" s="2" t="s">
        <v>1366</v>
      </c>
      <c r="C316" s="2" t="s">
        <v>12</v>
      </c>
      <c r="D316" s="2" t="s">
        <v>160</v>
      </c>
      <c r="E316" s="2" t="s">
        <v>161</v>
      </c>
      <c r="F316" s="2">
        <v>80.0</v>
      </c>
      <c r="G316" s="2">
        <v>4.38</v>
      </c>
      <c r="H316" s="2">
        <v>18.3</v>
      </c>
      <c r="I316" s="2" t="s">
        <v>47</v>
      </c>
    </row>
    <row r="317" ht="15.75" customHeight="1">
      <c r="A317" s="2" t="s">
        <v>1367</v>
      </c>
      <c r="B317" s="2" t="s">
        <v>1369</v>
      </c>
      <c r="C317" s="2" t="s">
        <v>12</v>
      </c>
      <c r="D317" s="2" t="s">
        <v>204</v>
      </c>
      <c r="E317" s="2" t="s">
        <v>205</v>
      </c>
      <c r="F317" s="2">
        <v>1011.0</v>
      </c>
      <c r="G317" s="2">
        <v>9.98</v>
      </c>
      <c r="H317" s="2">
        <v>101.3</v>
      </c>
      <c r="I317" s="2" t="s">
        <v>27</v>
      </c>
    </row>
    <row r="318" ht="15.75" customHeight="1">
      <c r="A318" s="2" t="s">
        <v>1371</v>
      </c>
      <c r="B318" s="2" t="s">
        <v>1372</v>
      </c>
      <c r="C318" s="2" t="s">
        <v>12</v>
      </c>
      <c r="D318" s="2" t="s">
        <v>174</v>
      </c>
      <c r="E318" s="2" t="s">
        <v>175</v>
      </c>
      <c r="F318" s="2">
        <v>227.0</v>
      </c>
      <c r="G318" s="2">
        <v>10.86</v>
      </c>
      <c r="H318" s="2">
        <v>20.9</v>
      </c>
      <c r="I318" s="2" t="s">
        <v>47</v>
      </c>
    </row>
    <row r="319" ht="15.75" customHeight="1">
      <c r="A319" s="2" t="s">
        <v>1375</v>
      </c>
      <c r="B319" s="2" t="s">
        <v>1376</v>
      </c>
      <c r="C319" s="2" t="s">
        <v>12</v>
      </c>
      <c r="D319" s="2" t="s">
        <v>250</v>
      </c>
      <c r="E319" s="2" t="s">
        <v>251</v>
      </c>
      <c r="F319" s="2">
        <v>56.0</v>
      </c>
      <c r="G319" s="2">
        <v>7.16</v>
      </c>
      <c r="H319" s="2">
        <v>7.8</v>
      </c>
      <c r="I319" s="2" t="s">
        <v>47</v>
      </c>
    </row>
    <row r="320" ht="15.75" customHeight="1">
      <c r="A320" s="2" t="s">
        <v>1379</v>
      </c>
      <c r="B320" s="2" t="s">
        <v>1380</v>
      </c>
      <c r="C320" s="2" t="s">
        <v>12</v>
      </c>
      <c r="D320" s="2" t="s">
        <v>58</v>
      </c>
      <c r="E320" s="2" t="s">
        <v>59</v>
      </c>
      <c r="F320" s="2">
        <v>304.0</v>
      </c>
      <c r="G320" s="2">
        <v>11.39</v>
      </c>
      <c r="H320" s="2">
        <v>26.7</v>
      </c>
      <c r="I320" s="2" t="s">
        <v>47</v>
      </c>
    </row>
    <row r="321" ht="15.75" customHeight="1">
      <c r="A321" s="2" t="s">
        <v>360</v>
      </c>
      <c r="B321" s="2" t="s">
        <v>361</v>
      </c>
      <c r="C321" s="2" t="s">
        <v>12</v>
      </c>
      <c r="D321" s="2" t="s">
        <v>145</v>
      </c>
      <c r="E321" s="2" t="s">
        <v>146</v>
      </c>
      <c r="F321" s="2">
        <v>1280.0</v>
      </c>
      <c r="G321" s="2">
        <v>5.1</v>
      </c>
      <c r="H321" s="2">
        <v>251.0</v>
      </c>
      <c r="I321" s="2" t="s">
        <v>27</v>
      </c>
    </row>
    <row r="322" ht="15.75" customHeight="1">
      <c r="A322" s="2" t="s">
        <v>362</v>
      </c>
      <c r="B322" s="2" t="s">
        <v>363</v>
      </c>
      <c r="C322" s="2" t="s">
        <v>12</v>
      </c>
      <c r="D322" s="2" t="s">
        <v>58</v>
      </c>
      <c r="E322" s="2" t="s">
        <v>59</v>
      </c>
      <c r="F322" s="2">
        <v>4490.0</v>
      </c>
      <c r="G322" s="2">
        <v>16.22</v>
      </c>
      <c r="H322" s="2">
        <v>276.8</v>
      </c>
      <c r="I322" s="2" t="s">
        <v>138</v>
      </c>
    </row>
    <row r="323" ht="15.75" customHeight="1">
      <c r="A323" s="2" t="s">
        <v>1388</v>
      </c>
      <c r="B323" s="2" t="s">
        <v>1390</v>
      </c>
      <c r="C323" s="2" t="s">
        <v>12</v>
      </c>
      <c r="D323" s="2" t="s">
        <v>22</v>
      </c>
      <c r="E323" s="2" t="s">
        <v>23</v>
      </c>
      <c r="F323" s="2">
        <v>238.0</v>
      </c>
      <c r="G323" s="2">
        <v>7.21</v>
      </c>
      <c r="H323" s="2">
        <v>33.0</v>
      </c>
      <c r="I323" s="2" t="s">
        <v>47</v>
      </c>
    </row>
    <row r="324" ht="15.75" customHeight="1">
      <c r="A324" s="2" t="s">
        <v>1391</v>
      </c>
      <c r="B324" s="2" t="s">
        <v>1393</v>
      </c>
      <c r="C324" s="2" t="s">
        <v>12</v>
      </c>
      <c r="D324" s="2" t="s">
        <v>134</v>
      </c>
      <c r="E324" s="2" t="s">
        <v>135</v>
      </c>
      <c r="F324" s="2">
        <v>357.0</v>
      </c>
      <c r="G324" s="2">
        <v>9.42</v>
      </c>
      <c r="H324" s="2">
        <v>37.9</v>
      </c>
      <c r="I324" s="2" t="s">
        <v>47</v>
      </c>
    </row>
    <row r="325" ht="15.75" customHeight="1">
      <c r="A325" s="2" t="s">
        <v>1395</v>
      </c>
      <c r="B325" s="2" t="s">
        <v>1398</v>
      </c>
      <c r="C325" s="2" t="s">
        <v>12</v>
      </c>
      <c r="D325" s="2" t="s">
        <v>52</v>
      </c>
      <c r="E325" s="2" t="s">
        <v>53</v>
      </c>
      <c r="F325" s="2">
        <v>244.0</v>
      </c>
      <c r="G325" s="2">
        <v>4.23</v>
      </c>
      <c r="H325" s="2">
        <v>57.7</v>
      </c>
      <c r="I325" s="2" t="s">
        <v>47</v>
      </c>
    </row>
    <row r="326" ht="15.75" customHeight="1">
      <c r="A326" s="2" t="s">
        <v>364</v>
      </c>
      <c r="B326" s="2" t="s">
        <v>365</v>
      </c>
      <c r="C326" s="2" t="s">
        <v>12</v>
      </c>
      <c r="D326" s="2" t="s">
        <v>58</v>
      </c>
      <c r="E326" s="2" t="s">
        <v>59</v>
      </c>
      <c r="F326" s="2">
        <v>320.0</v>
      </c>
      <c r="G326" s="2">
        <v>9.27</v>
      </c>
      <c r="H326" s="2">
        <v>34.5</v>
      </c>
      <c r="I326" s="2" t="s">
        <v>47</v>
      </c>
    </row>
    <row r="327" ht="15.75" customHeight="1">
      <c r="A327" s="2" t="s">
        <v>1401</v>
      </c>
      <c r="B327" s="2" t="s">
        <v>1403</v>
      </c>
      <c r="C327" s="2" t="s">
        <v>12</v>
      </c>
      <c r="D327" s="2" t="s">
        <v>145</v>
      </c>
      <c r="E327" s="2" t="s">
        <v>146</v>
      </c>
      <c r="F327" s="2">
        <v>179.0</v>
      </c>
      <c r="G327" s="2">
        <v>5.2</v>
      </c>
      <c r="H327" s="2">
        <v>34.4</v>
      </c>
      <c r="I327" s="2" t="s">
        <v>47</v>
      </c>
    </row>
    <row r="328" ht="15.75" customHeight="1">
      <c r="A328" s="2" t="s">
        <v>1405</v>
      </c>
      <c r="B328" s="2" t="s">
        <v>1406</v>
      </c>
      <c r="C328" s="2" t="s">
        <v>12</v>
      </c>
      <c r="D328" s="2" t="s">
        <v>90</v>
      </c>
      <c r="E328" s="2" t="s">
        <v>91</v>
      </c>
      <c r="F328" s="2">
        <v>556.0</v>
      </c>
      <c r="G328" s="2">
        <v>12.24</v>
      </c>
      <c r="H328" s="2">
        <v>45.4</v>
      </c>
      <c r="I328" s="2" t="s">
        <v>27</v>
      </c>
    </row>
    <row r="329" ht="15.75" customHeight="1">
      <c r="A329" s="2" t="s">
        <v>1409</v>
      </c>
      <c r="B329" s="2" t="s">
        <v>1410</v>
      </c>
      <c r="C329" s="2" t="s">
        <v>12</v>
      </c>
      <c r="D329" s="2" t="s">
        <v>250</v>
      </c>
      <c r="E329" s="2" t="s">
        <v>251</v>
      </c>
      <c r="F329" s="2">
        <v>244.0</v>
      </c>
      <c r="G329" s="2">
        <v>7.56</v>
      </c>
      <c r="H329" s="2">
        <v>32.3</v>
      </c>
      <c r="I329" s="2" t="s">
        <v>47</v>
      </c>
    </row>
    <row r="330" ht="15.75" customHeight="1">
      <c r="A330" s="2" t="s">
        <v>1413</v>
      </c>
      <c r="B330" s="2" t="s">
        <v>1414</v>
      </c>
      <c r="C330" s="2" t="s">
        <v>12</v>
      </c>
      <c r="D330" s="2" t="s">
        <v>204</v>
      </c>
      <c r="E330" s="2" t="s">
        <v>205</v>
      </c>
      <c r="F330" s="2">
        <v>545.0</v>
      </c>
      <c r="G330" s="2">
        <v>8.15</v>
      </c>
      <c r="H330" s="2">
        <v>66.9</v>
      </c>
      <c r="I330" s="2" t="s">
        <v>27</v>
      </c>
    </row>
    <row r="331" ht="15.75" customHeight="1">
      <c r="A331" s="2" t="s">
        <v>366</v>
      </c>
      <c r="B331" s="2" t="s">
        <v>367</v>
      </c>
      <c r="C331" s="2" t="s">
        <v>12</v>
      </c>
      <c r="D331" s="2" t="s">
        <v>145</v>
      </c>
      <c r="E331" s="2" t="s">
        <v>146</v>
      </c>
      <c r="F331" s="2">
        <v>1569.0</v>
      </c>
      <c r="G331" s="2">
        <v>3.7</v>
      </c>
      <c r="H331" s="2">
        <v>424.1</v>
      </c>
      <c r="I331" s="2" t="s">
        <v>27</v>
      </c>
    </row>
    <row r="332" ht="15.75" customHeight="1">
      <c r="A332" s="2" t="s">
        <v>368</v>
      </c>
      <c r="B332" s="2" t="s">
        <v>369</v>
      </c>
      <c r="C332" s="2" t="s">
        <v>12</v>
      </c>
      <c r="D332" s="2" t="s">
        <v>98</v>
      </c>
      <c r="E332" s="2" t="s">
        <v>100</v>
      </c>
      <c r="F332" s="2">
        <v>343.0</v>
      </c>
      <c r="G332" s="2">
        <v>6.21</v>
      </c>
      <c r="H332" s="2">
        <v>55.2</v>
      </c>
      <c r="I332" s="2" t="s">
        <v>47</v>
      </c>
    </row>
    <row r="333" ht="15.75" customHeight="1">
      <c r="A333" s="2" t="s">
        <v>1419</v>
      </c>
      <c r="B333" s="2" t="s">
        <v>1420</v>
      </c>
      <c r="C333" s="2" t="s">
        <v>12</v>
      </c>
      <c r="D333" s="2" t="s">
        <v>250</v>
      </c>
      <c r="E333" s="2" t="s">
        <v>251</v>
      </c>
      <c r="F333" s="2">
        <v>203.0</v>
      </c>
      <c r="G333" s="2">
        <v>11.19</v>
      </c>
      <c r="H333" s="2">
        <v>18.1</v>
      </c>
      <c r="I333" s="2" t="s">
        <v>47</v>
      </c>
    </row>
    <row r="334" ht="15.75" customHeight="1">
      <c r="A334" s="2" t="s">
        <v>1425</v>
      </c>
      <c r="B334" s="2" t="s">
        <v>1427</v>
      </c>
      <c r="C334" s="2" t="s">
        <v>12</v>
      </c>
      <c r="D334" s="2" t="s">
        <v>174</v>
      </c>
      <c r="E334" s="2" t="s">
        <v>175</v>
      </c>
      <c r="F334" s="2">
        <v>165.0</v>
      </c>
      <c r="G334" s="2">
        <v>7.28</v>
      </c>
      <c r="H334" s="2">
        <v>22.7</v>
      </c>
      <c r="I334" s="2" t="s">
        <v>47</v>
      </c>
    </row>
    <row r="335" ht="15.75" customHeight="1">
      <c r="A335" s="2" t="s">
        <v>1429</v>
      </c>
      <c r="B335" s="2" t="s">
        <v>1431</v>
      </c>
      <c r="C335" s="2" t="s">
        <v>12</v>
      </c>
      <c r="D335" s="2" t="s">
        <v>58</v>
      </c>
      <c r="E335" s="2" t="s">
        <v>59</v>
      </c>
      <c r="F335" s="2">
        <v>189.0</v>
      </c>
      <c r="G335" s="2">
        <v>7.06</v>
      </c>
      <c r="H335" s="2">
        <v>26.8</v>
      </c>
      <c r="I335" s="2" t="s">
        <v>47</v>
      </c>
    </row>
    <row r="336" ht="15.75" customHeight="1">
      <c r="A336" s="2" t="s">
        <v>1433</v>
      </c>
      <c r="B336" s="2" t="s">
        <v>1434</v>
      </c>
      <c r="C336" s="2" t="s">
        <v>12</v>
      </c>
      <c r="D336" s="2" t="s">
        <v>250</v>
      </c>
      <c r="E336" s="2" t="s">
        <v>251</v>
      </c>
      <c r="F336" s="2">
        <v>131.0</v>
      </c>
      <c r="G336" s="2">
        <v>9.51</v>
      </c>
      <c r="H336" s="2">
        <v>13.8</v>
      </c>
      <c r="I336" s="2" t="s">
        <v>47</v>
      </c>
    </row>
    <row r="337" ht="15.75" customHeight="1">
      <c r="A337" s="2" t="s">
        <v>1445</v>
      </c>
      <c r="B337" s="2" t="s">
        <v>1448</v>
      </c>
      <c r="C337" s="2" t="s">
        <v>12</v>
      </c>
      <c r="D337" s="2" t="s">
        <v>80</v>
      </c>
      <c r="E337" s="2" t="s">
        <v>81</v>
      </c>
      <c r="F337" s="2">
        <v>28.0</v>
      </c>
      <c r="G337" s="2">
        <v>3.09</v>
      </c>
      <c r="H337" s="2">
        <v>9.1</v>
      </c>
      <c r="I337" s="2" t="s">
        <v>47</v>
      </c>
    </row>
    <row r="338" ht="15.75" customHeight="1">
      <c r="A338" s="2" t="s">
        <v>372</v>
      </c>
      <c r="B338" s="2" t="s">
        <v>373</v>
      </c>
      <c r="C338" s="2" t="s">
        <v>12</v>
      </c>
      <c r="D338" s="2" t="s">
        <v>152</v>
      </c>
      <c r="E338" s="2" t="s">
        <v>153</v>
      </c>
      <c r="F338" s="2">
        <v>8469.0</v>
      </c>
      <c r="G338" s="2">
        <v>33.9</v>
      </c>
      <c r="H338" s="2">
        <v>249.8</v>
      </c>
      <c r="I338" s="2" t="s">
        <v>138</v>
      </c>
    </row>
    <row r="339" ht="15.75" customHeight="1">
      <c r="A339" s="2" t="s">
        <v>374</v>
      </c>
      <c r="B339" s="2" t="s">
        <v>375</v>
      </c>
      <c r="C339" s="2" t="s">
        <v>12</v>
      </c>
      <c r="D339" s="2" t="s">
        <v>204</v>
      </c>
      <c r="E339" s="2" t="s">
        <v>205</v>
      </c>
      <c r="F339" s="2">
        <v>1343.0</v>
      </c>
      <c r="G339" s="2">
        <v>6.39</v>
      </c>
      <c r="H339" s="2">
        <v>210.2</v>
      </c>
      <c r="I339" s="2" t="s">
        <v>27</v>
      </c>
    </row>
    <row r="340" ht="15.75" customHeight="1">
      <c r="A340" s="2" t="s">
        <v>378</v>
      </c>
      <c r="B340" s="2" t="s">
        <v>379</v>
      </c>
      <c r="C340" s="2" t="s">
        <v>12</v>
      </c>
      <c r="D340" s="2" t="s">
        <v>145</v>
      </c>
      <c r="E340" s="2" t="s">
        <v>146</v>
      </c>
      <c r="F340" s="2">
        <v>1412.0</v>
      </c>
      <c r="G340" s="2">
        <v>14.65</v>
      </c>
      <c r="H340" s="2">
        <v>96.4</v>
      </c>
      <c r="I340" s="2" t="s">
        <v>27</v>
      </c>
    </row>
    <row r="341" ht="15.75" customHeight="1">
      <c r="A341" s="2" t="s">
        <v>1455</v>
      </c>
      <c r="B341" s="2" t="s">
        <v>1457</v>
      </c>
      <c r="C341" s="2" t="s">
        <v>12</v>
      </c>
      <c r="D341" s="2" t="s">
        <v>250</v>
      </c>
      <c r="E341" s="2" t="s">
        <v>251</v>
      </c>
      <c r="F341" s="2">
        <v>57.0</v>
      </c>
      <c r="G341" s="2">
        <v>3.49</v>
      </c>
      <c r="H341" s="2">
        <v>16.3</v>
      </c>
      <c r="I341" s="2" t="s">
        <v>47</v>
      </c>
    </row>
    <row r="342" ht="15.75" customHeight="1">
      <c r="A342" s="2" t="s">
        <v>1459</v>
      </c>
      <c r="B342" s="2" t="s">
        <v>1461</v>
      </c>
      <c r="C342" s="2" t="s">
        <v>12</v>
      </c>
      <c r="D342" s="2" t="s">
        <v>250</v>
      </c>
      <c r="E342" s="2" t="s">
        <v>251</v>
      </c>
      <c r="F342" s="2">
        <v>170.0</v>
      </c>
      <c r="G342" s="2">
        <v>13.26</v>
      </c>
      <c r="H342" s="2">
        <v>12.8</v>
      </c>
      <c r="I342" s="2" t="s">
        <v>47</v>
      </c>
    </row>
    <row r="343" ht="15.75" customHeight="1">
      <c r="A343" s="2" t="s">
        <v>1463</v>
      </c>
      <c r="B343" s="2" t="s">
        <v>1465</v>
      </c>
      <c r="C343" s="2" t="s">
        <v>12</v>
      </c>
      <c r="D343" s="2" t="s">
        <v>58</v>
      </c>
      <c r="E343" s="2" t="s">
        <v>59</v>
      </c>
      <c r="F343" s="2">
        <v>224.0</v>
      </c>
      <c r="G343" s="2">
        <v>9.78</v>
      </c>
      <c r="H343" s="2">
        <v>22.9</v>
      </c>
      <c r="I343" s="2" t="s">
        <v>47</v>
      </c>
    </row>
    <row r="344" ht="15.75" customHeight="1">
      <c r="A344" s="2" t="s">
        <v>1467</v>
      </c>
      <c r="B344" s="2" t="s">
        <v>1468</v>
      </c>
      <c r="C344" s="2" t="s">
        <v>12</v>
      </c>
      <c r="D344" s="2" t="s">
        <v>80</v>
      </c>
      <c r="E344" s="2" t="s">
        <v>81</v>
      </c>
      <c r="F344" s="2">
        <v>999.0</v>
      </c>
      <c r="G344" s="2">
        <v>7.11</v>
      </c>
      <c r="H344" s="2">
        <v>140.5</v>
      </c>
      <c r="I344" s="2" t="s">
        <v>27</v>
      </c>
    </row>
    <row r="345" ht="15.75" customHeight="1">
      <c r="A345" s="2" t="s">
        <v>380</v>
      </c>
      <c r="B345" s="2" t="s">
        <v>381</v>
      </c>
      <c r="C345" s="2" t="s">
        <v>12</v>
      </c>
      <c r="D345" s="2" t="s">
        <v>152</v>
      </c>
      <c r="E345" s="2" t="s">
        <v>153</v>
      </c>
      <c r="F345" s="2">
        <v>218.0</v>
      </c>
      <c r="G345" s="2">
        <v>7.53</v>
      </c>
      <c r="H345" s="2">
        <v>29.0</v>
      </c>
      <c r="I345" s="2" t="s">
        <v>47</v>
      </c>
    </row>
    <row r="346" ht="15.75" customHeight="1">
      <c r="A346" s="2" t="s">
        <v>382</v>
      </c>
      <c r="B346" s="2" t="s">
        <v>383</v>
      </c>
      <c r="C346" s="2" t="s">
        <v>12</v>
      </c>
      <c r="D346" s="2" t="s">
        <v>174</v>
      </c>
      <c r="E346" s="2" t="s">
        <v>175</v>
      </c>
      <c r="F346" s="2">
        <v>672.0</v>
      </c>
      <c r="G346" s="2">
        <v>1.74</v>
      </c>
      <c r="H346" s="2">
        <v>386.2</v>
      </c>
      <c r="I346" s="2" t="s">
        <v>27</v>
      </c>
    </row>
    <row r="347" ht="15.75" customHeight="1">
      <c r="A347" s="2" t="s">
        <v>1475</v>
      </c>
      <c r="B347" s="2" t="s">
        <v>1476</v>
      </c>
      <c r="C347" s="2" t="s">
        <v>12</v>
      </c>
      <c r="D347" s="2" t="s">
        <v>204</v>
      </c>
      <c r="E347" s="2" t="s">
        <v>205</v>
      </c>
      <c r="F347" s="2">
        <v>251.0</v>
      </c>
      <c r="G347" s="2">
        <v>5.83</v>
      </c>
      <c r="H347" s="2">
        <v>43.1</v>
      </c>
      <c r="I347" s="2" t="s">
        <v>47</v>
      </c>
    </row>
    <row r="348" ht="15.75" customHeight="1">
      <c r="A348" s="2" t="s">
        <v>1479</v>
      </c>
      <c r="B348" s="2" t="s">
        <v>1480</v>
      </c>
      <c r="C348" s="2" t="s">
        <v>12</v>
      </c>
      <c r="D348" s="2" t="s">
        <v>152</v>
      </c>
      <c r="E348" s="2" t="s">
        <v>153</v>
      </c>
      <c r="F348" s="2">
        <v>229.0</v>
      </c>
      <c r="G348" s="2">
        <v>15.63</v>
      </c>
      <c r="H348" s="2">
        <v>14.7</v>
      </c>
      <c r="I348" s="2" t="s">
        <v>47</v>
      </c>
    </row>
    <row r="349" ht="15.75" customHeight="1">
      <c r="A349" s="2" t="s">
        <v>1482</v>
      </c>
      <c r="B349" s="2" t="s">
        <v>1484</v>
      </c>
      <c r="C349" s="2" t="s">
        <v>12</v>
      </c>
      <c r="D349" s="2" t="s">
        <v>204</v>
      </c>
      <c r="E349" s="2" t="s">
        <v>205</v>
      </c>
      <c r="F349" s="2">
        <v>328.0</v>
      </c>
      <c r="G349" s="2">
        <v>7.34</v>
      </c>
      <c r="H349" s="2">
        <v>44.7</v>
      </c>
      <c r="I349" s="2" t="s">
        <v>47</v>
      </c>
    </row>
    <row r="350" ht="15.75" customHeight="1">
      <c r="A350" s="2" t="s">
        <v>1485</v>
      </c>
      <c r="B350" s="2" t="s">
        <v>1486</v>
      </c>
      <c r="C350" s="2" t="s">
        <v>12</v>
      </c>
      <c r="D350" s="2" t="s">
        <v>73</v>
      </c>
      <c r="E350" s="2" t="s">
        <v>75</v>
      </c>
      <c r="F350" s="2">
        <v>141.0</v>
      </c>
      <c r="G350" s="2">
        <v>7.98</v>
      </c>
      <c r="H350" s="2">
        <v>17.7</v>
      </c>
      <c r="I350" s="2" t="s">
        <v>47</v>
      </c>
    </row>
    <row r="351" ht="15.75" customHeight="1">
      <c r="A351" s="2" t="s">
        <v>1489</v>
      </c>
      <c r="B351" s="2" t="s">
        <v>1490</v>
      </c>
      <c r="C351" s="2" t="s">
        <v>12</v>
      </c>
      <c r="D351" s="2" t="s">
        <v>134</v>
      </c>
      <c r="E351" s="2" t="s">
        <v>135</v>
      </c>
      <c r="F351" s="2">
        <v>120.0</v>
      </c>
      <c r="G351" s="2">
        <v>6.18</v>
      </c>
      <c r="H351" s="2">
        <v>19.4</v>
      </c>
      <c r="I351" s="2" t="s">
        <v>47</v>
      </c>
    </row>
    <row r="352" ht="15.75" customHeight="1">
      <c r="A352" s="2" t="s">
        <v>1492</v>
      </c>
      <c r="B352" s="2" t="s">
        <v>1494</v>
      </c>
      <c r="C352" s="2" t="s">
        <v>12</v>
      </c>
      <c r="D352" s="2" t="s">
        <v>66</v>
      </c>
      <c r="E352" s="2" t="s">
        <v>67</v>
      </c>
      <c r="F352" s="2">
        <v>60.0</v>
      </c>
      <c r="G352" s="2">
        <v>2.5</v>
      </c>
      <c r="H352" s="2">
        <v>24.0</v>
      </c>
      <c r="I352" s="2" t="s">
        <v>47</v>
      </c>
    </row>
    <row r="353" ht="15.75" customHeight="1">
      <c r="A353" s="2" t="s">
        <v>400</v>
      </c>
      <c r="B353" s="2" t="s">
        <v>401</v>
      </c>
      <c r="C353" s="2" t="s">
        <v>12</v>
      </c>
      <c r="D353" s="2" t="s">
        <v>145</v>
      </c>
      <c r="E353" s="2" t="s">
        <v>146</v>
      </c>
      <c r="F353" s="2">
        <v>1153.0</v>
      </c>
      <c r="G353" s="2">
        <v>13.45</v>
      </c>
      <c r="H353" s="2">
        <v>85.7</v>
      </c>
      <c r="I353" s="2" t="s">
        <v>27</v>
      </c>
    </row>
    <row r="354" ht="15.75" customHeight="1">
      <c r="A354" s="2" t="s">
        <v>1498</v>
      </c>
      <c r="B354" s="2" t="s">
        <v>1499</v>
      </c>
      <c r="C354" s="2" t="s">
        <v>12</v>
      </c>
      <c r="D354" s="2" t="s">
        <v>35</v>
      </c>
      <c r="E354" s="2" t="s">
        <v>36</v>
      </c>
      <c r="F354" s="2">
        <v>288.0</v>
      </c>
      <c r="G354" s="2">
        <v>13.91</v>
      </c>
      <c r="H354" s="2">
        <v>20.7</v>
      </c>
      <c r="I354" s="2" t="s">
        <v>47</v>
      </c>
    </row>
    <row r="355" ht="15.75" customHeight="1">
      <c r="A355" s="2" t="s">
        <v>404</v>
      </c>
      <c r="B355" s="2" t="s">
        <v>407</v>
      </c>
      <c r="C355" s="2" t="s">
        <v>12</v>
      </c>
      <c r="D355" s="2" t="s">
        <v>52</v>
      </c>
      <c r="E355" s="2" t="s">
        <v>53</v>
      </c>
      <c r="F355" s="2">
        <v>604.0</v>
      </c>
      <c r="G355" s="2">
        <v>30.09</v>
      </c>
      <c r="H355" s="2">
        <v>20.1</v>
      </c>
      <c r="I355" s="2" t="s">
        <v>27</v>
      </c>
    </row>
    <row r="356" ht="15.75" customHeight="1">
      <c r="A356" s="2" t="s">
        <v>1175</v>
      </c>
      <c r="B356" s="2" t="s">
        <v>1176</v>
      </c>
      <c r="C356" s="2" t="s">
        <v>12</v>
      </c>
      <c r="D356" s="2" t="s">
        <v>686</v>
      </c>
      <c r="E356" s="2" t="s">
        <v>691</v>
      </c>
      <c r="F356" s="2">
        <v>241.0</v>
      </c>
      <c r="G356" s="2">
        <v>12.31</v>
      </c>
      <c r="H356" s="2">
        <v>19.6</v>
      </c>
      <c r="I356" s="2" t="s">
        <v>47</v>
      </c>
    </row>
    <row r="357" ht="15.75" customHeight="1">
      <c r="A357" s="2" t="s">
        <v>480</v>
      </c>
      <c r="B357" s="2" t="s">
        <v>481</v>
      </c>
      <c r="C357" s="2" t="s">
        <v>12</v>
      </c>
      <c r="D357" s="2" t="s">
        <v>250</v>
      </c>
      <c r="E357" s="2" t="s">
        <v>251</v>
      </c>
      <c r="F357" s="2">
        <v>464.0</v>
      </c>
      <c r="G357" s="2">
        <v>19.37</v>
      </c>
      <c r="H357" s="2">
        <v>24.0</v>
      </c>
      <c r="I357" s="2" t="s">
        <v>47</v>
      </c>
    </row>
    <row r="358" ht="15.75" customHeight="1">
      <c r="A358" s="2" t="s">
        <v>410</v>
      </c>
      <c r="B358" s="2" t="s">
        <v>411</v>
      </c>
      <c r="C358" s="2" t="s">
        <v>12</v>
      </c>
      <c r="D358" s="2" t="s">
        <v>250</v>
      </c>
      <c r="E358" s="2" t="s">
        <v>251</v>
      </c>
      <c r="F358" s="2">
        <v>1745.0</v>
      </c>
      <c r="G358" s="2">
        <v>12.27</v>
      </c>
      <c r="H358" s="2">
        <v>142.2</v>
      </c>
      <c r="I358" s="2" t="s">
        <v>27</v>
      </c>
    </row>
    <row r="359" ht="15.75" customHeight="1">
      <c r="A359" s="2" t="s">
        <v>646</v>
      </c>
      <c r="B359" s="2" t="s">
        <v>647</v>
      </c>
      <c r="C359" s="2" t="s">
        <v>12</v>
      </c>
      <c r="D359" s="2" t="s">
        <v>686</v>
      </c>
      <c r="E359" s="2" t="s">
        <v>691</v>
      </c>
      <c r="F359" s="2">
        <v>301.0</v>
      </c>
      <c r="G359" s="2">
        <v>8.09</v>
      </c>
      <c r="H359" s="2">
        <v>37.2</v>
      </c>
      <c r="I359" s="2" t="s">
        <v>47</v>
      </c>
    </row>
    <row r="360" ht="15.75" customHeight="1">
      <c r="A360" s="2" t="s">
        <v>967</v>
      </c>
      <c r="B360" s="2" t="s">
        <v>969</v>
      </c>
      <c r="C360" s="2" t="s">
        <v>12</v>
      </c>
      <c r="D360" s="2" t="s">
        <v>174</v>
      </c>
      <c r="E360" s="2" t="s">
        <v>175</v>
      </c>
      <c r="F360" s="2">
        <v>87.0</v>
      </c>
      <c r="G360" s="2">
        <v>10.57</v>
      </c>
      <c r="H360" s="2">
        <v>8.2</v>
      </c>
      <c r="I360" s="2" t="s">
        <v>47</v>
      </c>
    </row>
    <row r="361" ht="15.75" customHeight="1">
      <c r="A361" s="2" t="s">
        <v>414</v>
      </c>
      <c r="B361" s="2" t="s">
        <v>415</v>
      </c>
      <c r="C361" s="2" t="s">
        <v>12</v>
      </c>
      <c r="D361" s="2" t="s">
        <v>80</v>
      </c>
      <c r="E361" s="2" t="s">
        <v>81</v>
      </c>
      <c r="F361" s="2">
        <v>526.0</v>
      </c>
      <c r="G361" s="2">
        <v>24.12</v>
      </c>
      <c r="H361" s="2">
        <v>21.8</v>
      </c>
      <c r="I361" s="2" t="s">
        <v>27</v>
      </c>
    </row>
    <row r="362" ht="15.75" customHeight="1">
      <c r="A362" s="2" t="s">
        <v>418</v>
      </c>
      <c r="B362" s="2" t="s">
        <v>419</v>
      </c>
      <c r="C362" s="2" t="s">
        <v>12</v>
      </c>
      <c r="D362" s="2" t="s">
        <v>90</v>
      </c>
      <c r="E362" s="2" t="s">
        <v>91</v>
      </c>
      <c r="F362" s="2">
        <v>2027.0</v>
      </c>
      <c r="G362" s="2">
        <v>18.95</v>
      </c>
      <c r="H362" s="2">
        <v>107.0</v>
      </c>
      <c r="I362" s="2" t="s">
        <v>138</v>
      </c>
    </row>
    <row r="363" ht="15.75" customHeight="1">
      <c r="A363" s="2" t="s">
        <v>420</v>
      </c>
      <c r="B363" s="2" t="s">
        <v>421</v>
      </c>
      <c r="C363" s="2" t="s">
        <v>12</v>
      </c>
      <c r="D363" s="2" t="s">
        <v>250</v>
      </c>
      <c r="E363" s="2" t="s">
        <v>251</v>
      </c>
      <c r="F363" s="2">
        <v>1103.0</v>
      </c>
      <c r="G363" s="2">
        <v>26.58</v>
      </c>
      <c r="H363" s="2">
        <v>41.5</v>
      </c>
      <c r="I363" s="2" t="s">
        <v>27</v>
      </c>
    </row>
    <row r="364" ht="15.75" customHeight="1">
      <c r="A364" s="2" t="s">
        <v>424</v>
      </c>
      <c r="B364" s="2" t="s">
        <v>425</v>
      </c>
      <c r="C364" s="2" t="s">
        <v>12</v>
      </c>
      <c r="D364" s="2" t="s">
        <v>22</v>
      </c>
      <c r="E364" s="2" t="s">
        <v>23</v>
      </c>
      <c r="F364" s="2">
        <v>2796.0</v>
      </c>
      <c r="G364" s="2">
        <v>6.81</v>
      </c>
      <c r="H364" s="2">
        <v>410.6</v>
      </c>
      <c r="I364" s="2" t="s">
        <v>138</v>
      </c>
    </row>
    <row r="365" ht="15.75" customHeight="1">
      <c r="A365" s="2" t="s">
        <v>1437</v>
      </c>
      <c r="B365" s="2" t="s">
        <v>1438</v>
      </c>
      <c r="C365" s="2" t="s">
        <v>12</v>
      </c>
      <c r="D365" s="2" t="s">
        <v>152</v>
      </c>
      <c r="E365" s="2" t="s">
        <v>153</v>
      </c>
      <c r="F365" s="2">
        <v>125.0</v>
      </c>
      <c r="G365" s="2">
        <v>4.18</v>
      </c>
      <c r="H365" s="2">
        <v>29.9</v>
      </c>
      <c r="I365" s="2" t="s">
        <v>47</v>
      </c>
    </row>
    <row r="366" ht="15.75" customHeight="1">
      <c r="A366" s="2" t="s">
        <v>1677</v>
      </c>
      <c r="B366" s="2" t="s">
        <v>1678</v>
      </c>
      <c r="C366" s="2" t="s">
        <v>12</v>
      </c>
      <c r="D366" s="2" t="s">
        <v>52</v>
      </c>
      <c r="E366" s="2" t="s">
        <v>53</v>
      </c>
      <c r="F366" s="2">
        <v>403.0</v>
      </c>
      <c r="G366" s="2">
        <v>25.75</v>
      </c>
      <c r="H366" s="2">
        <v>15.7</v>
      </c>
      <c r="I366" s="2" t="s">
        <v>47</v>
      </c>
    </row>
    <row r="367" ht="15.75" customHeight="1">
      <c r="A367" s="2" t="s">
        <v>2044</v>
      </c>
      <c r="B367" s="2" t="s">
        <v>2045</v>
      </c>
      <c r="C367" s="2" t="s">
        <v>12</v>
      </c>
      <c r="D367" s="2" t="s">
        <v>43</v>
      </c>
      <c r="E367" s="2" t="s">
        <v>44</v>
      </c>
      <c r="F367" s="2">
        <v>187.0</v>
      </c>
      <c r="G367" s="2">
        <v>9.94</v>
      </c>
      <c r="H367" s="2">
        <v>18.8</v>
      </c>
      <c r="I367" s="2" t="s">
        <v>47</v>
      </c>
    </row>
    <row r="368" ht="15.75" customHeight="1">
      <c r="A368" s="2" t="s">
        <v>2051</v>
      </c>
      <c r="B368" s="2" t="s">
        <v>2053</v>
      </c>
      <c r="C368" s="2" t="s">
        <v>12</v>
      </c>
      <c r="D368" s="2" t="s">
        <v>250</v>
      </c>
      <c r="E368" s="2" t="s">
        <v>251</v>
      </c>
      <c r="F368" s="2">
        <v>61.0</v>
      </c>
      <c r="G368" s="2">
        <v>5.16</v>
      </c>
      <c r="H368" s="2">
        <v>11.8</v>
      </c>
      <c r="I368" s="2" t="s">
        <v>47</v>
      </c>
    </row>
    <row r="369" ht="15.75" customHeight="1">
      <c r="A369" s="2" t="s">
        <v>2047</v>
      </c>
      <c r="B369" s="2" t="s">
        <v>2049</v>
      </c>
      <c r="C369" s="2" t="s">
        <v>12</v>
      </c>
      <c r="D369" s="2" t="s">
        <v>22</v>
      </c>
      <c r="E369" s="2" t="s">
        <v>23</v>
      </c>
      <c r="F369" s="2">
        <v>197.0</v>
      </c>
      <c r="G369" s="2">
        <v>3.82</v>
      </c>
      <c r="H369" s="2">
        <v>51.6</v>
      </c>
      <c r="I369" s="2" t="s">
        <v>47</v>
      </c>
    </row>
    <row r="370" ht="15.75" customHeight="1">
      <c r="A370" s="2" t="s">
        <v>2056</v>
      </c>
      <c r="B370" s="2" t="s">
        <v>2057</v>
      </c>
      <c r="C370" s="2" t="s">
        <v>12</v>
      </c>
      <c r="D370" s="2" t="s">
        <v>250</v>
      </c>
      <c r="E370" s="2" t="s">
        <v>251</v>
      </c>
      <c r="F370" s="2">
        <v>394.0</v>
      </c>
      <c r="G370" s="2">
        <v>10.92</v>
      </c>
      <c r="H370" s="2">
        <v>36.1</v>
      </c>
      <c r="I370" s="2" t="s">
        <v>47</v>
      </c>
    </row>
    <row r="371" ht="15.75" customHeight="1">
      <c r="A371" s="2" t="s">
        <v>2146</v>
      </c>
      <c r="B371" s="2" t="s">
        <v>2148</v>
      </c>
      <c r="C371" s="2" t="s">
        <v>12</v>
      </c>
      <c r="D371" s="2" t="s">
        <v>52</v>
      </c>
      <c r="E371" s="2" t="s">
        <v>53</v>
      </c>
      <c r="F371" s="2">
        <v>201.0</v>
      </c>
      <c r="G371" s="2">
        <v>4.79</v>
      </c>
      <c r="H371" s="2">
        <v>42.0</v>
      </c>
      <c r="I371" s="2" t="s">
        <v>47</v>
      </c>
    </row>
    <row r="372" ht="15.75" customHeight="1">
      <c r="A372" s="2" t="s">
        <v>2153</v>
      </c>
      <c r="B372" s="2" t="s">
        <v>2154</v>
      </c>
      <c r="C372" s="2" t="s">
        <v>12</v>
      </c>
      <c r="D372" s="2" t="s">
        <v>58</v>
      </c>
      <c r="E372" s="2" t="s">
        <v>59</v>
      </c>
      <c r="F372" s="2">
        <v>152.0</v>
      </c>
      <c r="G372" s="2">
        <v>5.36</v>
      </c>
      <c r="H372" s="2">
        <v>28.4</v>
      </c>
      <c r="I372" s="2" t="s">
        <v>47</v>
      </c>
    </row>
    <row r="373" ht="15.75" customHeight="1">
      <c r="A373" s="2" t="s">
        <v>2160</v>
      </c>
      <c r="B373" s="2" t="s">
        <v>2162</v>
      </c>
      <c r="C373" s="2" t="s">
        <v>12</v>
      </c>
      <c r="D373" s="2" t="s">
        <v>250</v>
      </c>
      <c r="E373" s="2" t="s">
        <v>251</v>
      </c>
      <c r="F373" s="2">
        <v>355.0</v>
      </c>
      <c r="G373" s="2">
        <v>5.22</v>
      </c>
      <c r="H373" s="2">
        <v>68.0</v>
      </c>
      <c r="I373" s="2" t="s">
        <v>47</v>
      </c>
    </row>
    <row r="374" ht="15.75" customHeight="1">
      <c r="A374" s="2" t="s">
        <v>2167</v>
      </c>
      <c r="B374" s="2" t="s">
        <v>2169</v>
      </c>
      <c r="C374" s="2" t="s">
        <v>12</v>
      </c>
      <c r="D374" s="2" t="s">
        <v>160</v>
      </c>
      <c r="E374" s="2" t="s">
        <v>161</v>
      </c>
      <c r="F374" s="2">
        <v>204.0</v>
      </c>
      <c r="G374" s="2">
        <v>10.17</v>
      </c>
      <c r="H374" s="2">
        <v>20.1</v>
      </c>
      <c r="I374" s="2" t="s">
        <v>47</v>
      </c>
    </row>
    <row r="375" ht="15.75" customHeight="1">
      <c r="A375" s="2" t="s">
        <v>2178</v>
      </c>
      <c r="B375" s="2" t="s">
        <v>2180</v>
      </c>
      <c r="C375" s="2" t="s">
        <v>12</v>
      </c>
      <c r="D375" s="2" t="s">
        <v>52</v>
      </c>
      <c r="E375" s="2" t="s">
        <v>53</v>
      </c>
      <c r="F375" s="2">
        <v>150.0</v>
      </c>
      <c r="G375" s="2">
        <v>8.46</v>
      </c>
      <c r="H375" s="2">
        <v>17.7</v>
      </c>
      <c r="I375" s="2" t="s">
        <v>47</v>
      </c>
    </row>
    <row r="376" ht="15.75" customHeight="1">
      <c r="A376" s="2" t="s">
        <v>1505</v>
      </c>
      <c r="B376" s="2" t="s">
        <v>1506</v>
      </c>
      <c r="C376" s="2" t="s">
        <v>12</v>
      </c>
      <c r="D376" s="2" t="s">
        <v>73</v>
      </c>
      <c r="E376" s="2" t="s">
        <v>75</v>
      </c>
      <c r="F376" s="2">
        <v>149.0</v>
      </c>
      <c r="G376" s="2">
        <v>6.82</v>
      </c>
      <c r="H376" s="2">
        <v>21.8</v>
      </c>
      <c r="I376" s="2" t="s">
        <v>47</v>
      </c>
    </row>
    <row r="377" ht="15.75" customHeight="1">
      <c r="A377" s="2" t="s">
        <v>1509</v>
      </c>
      <c r="B377" s="2" t="s">
        <v>1510</v>
      </c>
      <c r="C377" s="2" t="s">
        <v>12</v>
      </c>
      <c r="D377" s="2" t="s">
        <v>250</v>
      </c>
      <c r="E377" s="2" t="s">
        <v>251</v>
      </c>
      <c r="F377" s="2">
        <v>189.0</v>
      </c>
      <c r="G377" s="2">
        <v>10.87</v>
      </c>
      <c r="H377" s="2">
        <v>17.4</v>
      </c>
      <c r="I377" s="2" t="s">
        <v>47</v>
      </c>
    </row>
    <row r="378" ht="15.75" customHeight="1">
      <c r="A378" s="2" t="s">
        <v>1512</v>
      </c>
      <c r="B378" s="2" t="s">
        <v>1514</v>
      </c>
      <c r="C378" s="2" t="s">
        <v>12</v>
      </c>
      <c r="D378" s="2" t="s">
        <v>204</v>
      </c>
      <c r="E378" s="2" t="s">
        <v>205</v>
      </c>
      <c r="F378" s="2">
        <v>38.0</v>
      </c>
      <c r="G378" s="2">
        <v>3.71</v>
      </c>
      <c r="H378" s="2">
        <v>10.2</v>
      </c>
      <c r="I378" s="2" t="s">
        <v>47</v>
      </c>
    </row>
    <row r="379" ht="15.75" customHeight="1">
      <c r="A379" s="2" t="s">
        <v>427</v>
      </c>
      <c r="B379" s="2" t="s">
        <v>429</v>
      </c>
      <c r="C379" s="2" t="s">
        <v>12</v>
      </c>
      <c r="D379" s="2" t="s">
        <v>250</v>
      </c>
      <c r="E379" s="2" t="s">
        <v>251</v>
      </c>
      <c r="F379" s="2">
        <v>241.0</v>
      </c>
      <c r="G379" s="2">
        <v>19.43</v>
      </c>
      <c r="H379" s="2">
        <v>12.4</v>
      </c>
      <c r="I379" s="2" t="s">
        <v>47</v>
      </c>
    </row>
    <row r="380" ht="15.75" customHeight="1">
      <c r="A380" s="2" t="s">
        <v>1519</v>
      </c>
      <c r="B380" s="2" t="s">
        <v>1520</v>
      </c>
      <c r="C380" s="2" t="s">
        <v>12</v>
      </c>
      <c r="D380" s="2" t="s">
        <v>250</v>
      </c>
      <c r="E380" s="2" t="s">
        <v>251</v>
      </c>
      <c r="F380" s="2">
        <v>167.0</v>
      </c>
      <c r="G380" s="2">
        <v>10.13</v>
      </c>
      <c r="H380" s="2">
        <v>16.5</v>
      </c>
      <c r="I380" s="2" t="s">
        <v>47</v>
      </c>
    </row>
    <row r="381" ht="15.75" customHeight="1">
      <c r="A381" s="2" t="s">
        <v>1523</v>
      </c>
      <c r="B381" s="2" t="s">
        <v>1524</v>
      </c>
      <c r="C381" s="2" t="s">
        <v>12</v>
      </c>
      <c r="D381" s="2" t="s">
        <v>152</v>
      </c>
      <c r="E381" s="2" t="s">
        <v>153</v>
      </c>
      <c r="F381" s="2">
        <v>503.0</v>
      </c>
      <c r="G381" s="2">
        <v>15.85</v>
      </c>
      <c r="H381" s="2">
        <v>31.7</v>
      </c>
      <c r="I381" s="2" t="s">
        <v>27</v>
      </c>
    </row>
    <row r="382" ht="15.75" customHeight="1">
      <c r="A382" s="2" t="s">
        <v>1526</v>
      </c>
      <c r="B382" s="2" t="s">
        <v>1527</v>
      </c>
      <c r="C382" s="2" t="s">
        <v>12</v>
      </c>
      <c r="D382" s="2" t="s">
        <v>134</v>
      </c>
      <c r="E382" s="2" t="s">
        <v>135</v>
      </c>
      <c r="F382" s="2">
        <v>126.0</v>
      </c>
      <c r="G382" s="2">
        <v>5.79</v>
      </c>
      <c r="H382" s="2">
        <v>21.8</v>
      </c>
      <c r="I382" s="2" t="s">
        <v>47</v>
      </c>
    </row>
    <row r="383" ht="15.75" customHeight="1">
      <c r="A383" s="2" t="s">
        <v>1528</v>
      </c>
      <c r="B383" s="2" t="s">
        <v>1530</v>
      </c>
      <c r="C383" s="2" t="s">
        <v>12</v>
      </c>
      <c r="D383" s="2" t="s">
        <v>182</v>
      </c>
      <c r="E383" s="2" t="s">
        <v>184</v>
      </c>
      <c r="F383" s="2">
        <v>216.0</v>
      </c>
      <c r="G383" s="2">
        <v>3.0</v>
      </c>
      <c r="H383" s="2">
        <v>72.0</v>
      </c>
      <c r="I383" s="2" t="s">
        <v>47</v>
      </c>
    </row>
    <row r="384" ht="15.75" customHeight="1">
      <c r="A384" s="2" t="s">
        <v>430</v>
      </c>
      <c r="B384" s="2" t="s">
        <v>431</v>
      </c>
      <c r="C384" s="2" t="s">
        <v>12</v>
      </c>
      <c r="D384" s="2" t="s">
        <v>182</v>
      </c>
      <c r="E384" s="2" t="s">
        <v>184</v>
      </c>
      <c r="F384" s="2">
        <v>24220.0</v>
      </c>
      <c r="G384" s="2">
        <v>44.48</v>
      </c>
      <c r="H384" s="2">
        <v>544.5</v>
      </c>
      <c r="I384" s="2" t="s">
        <v>805</v>
      </c>
    </row>
    <row r="385" ht="15.75" customHeight="1">
      <c r="A385" s="2" t="s">
        <v>1534</v>
      </c>
      <c r="B385" s="2" t="s">
        <v>1535</v>
      </c>
      <c r="C385" s="2" t="s">
        <v>12</v>
      </c>
      <c r="D385" s="2" t="s">
        <v>52</v>
      </c>
      <c r="E385" s="2" t="s">
        <v>53</v>
      </c>
      <c r="F385" s="2">
        <v>283.0</v>
      </c>
      <c r="G385" s="2">
        <v>23.63</v>
      </c>
      <c r="H385" s="2">
        <v>12.0</v>
      </c>
      <c r="I385" s="2" t="s">
        <v>47</v>
      </c>
    </row>
    <row r="386" ht="15.75" customHeight="1">
      <c r="A386" s="2" t="s">
        <v>1543</v>
      </c>
      <c r="B386" s="2" t="s">
        <v>1545</v>
      </c>
      <c r="C386" s="2" t="s">
        <v>12</v>
      </c>
      <c r="D386" s="2" t="s">
        <v>90</v>
      </c>
      <c r="E386" s="2" t="s">
        <v>91</v>
      </c>
      <c r="F386" s="2">
        <v>239.0</v>
      </c>
      <c r="G386" s="2">
        <v>9.62</v>
      </c>
      <c r="H386" s="2">
        <v>24.8</v>
      </c>
      <c r="I386" s="2" t="s">
        <v>47</v>
      </c>
    </row>
    <row r="387" ht="15.75" customHeight="1">
      <c r="A387" s="2" t="s">
        <v>1548</v>
      </c>
      <c r="B387" s="2" t="s">
        <v>1549</v>
      </c>
      <c r="C387" s="2" t="s">
        <v>12</v>
      </c>
      <c r="D387" s="2" t="s">
        <v>174</v>
      </c>
      <c r="E387" s="2" t="s">
        <v>175</v>
      </c>
      <c r="F387" s="2">
        <v>198.0</v>
      </c>
      <c r="G387" s="2">
        <v>9.29</v>
      </c>
      <c r="H387" s="2">
        <v>21.3</v>
      </c>
      <c r="I387" s="2" t="s">
        <v>47</v>
      </c>
    </row>
    <row r="388" ht="15.75" customHeight="1">
      <c r="A388" s="2" t="s">
        <v>1552</v>
      </c>
      <c r="B388" s="2" t="s">
        <v>1553</v>
      </c>
      <c r="C388" s="2" t="s">
        <v>12</v>
      </c>
      <c r="D388" s="2" t="s">
        <v>98</v>
      </c>
      <c r="E388" s="2" t="s">
        <v>100</v>
      </c>
      <c r="F388" s="2">
        <v>96.0</v>
      </c>
      <c r="G388" s="2">
        <v>9.17</v>
      </c>
      <c r="H388" s="2">
        <v>10.5</v>
      </c>
      <c r="I388" s="2" t="s">
        <v>47</v>
      </c>
    </row>
    <row r="389" ht="15.75" customHeight="1">
      <c r="A389" s="2" t="s">
        <v>1556</v>
      </c>
      <c r="B389" s="2" t="s">
        <v>1557</v>
      </c>
      <c r="C389" s="2" t="s">
        <v>12</v>
      </c>
      <c r="D389" s="2" t="s">
        <v>182</v>
      </c>
      <c r="E389" s="2" t="s">
        <v>184</v>
      </c>
      <c r="F389" s="2">
        <v>251.0</v>
      </c>
      <c r="G389" s="2">
        <v>4.56</v>
      </c>
      <c r="H389" s="2">
        <v>55.0</v>
      </c>
      <c r="I389" s="2" t="s">
        <v>47</v>
      </c>
    </row>
    <row r="390" ht="15.75" customHeight="1">
      <c r="A390" s="2" t="s">
        <v>1560</v>
      </c>
      <c r="B390" s="2" t="s">
        <v>1561</v>
      </c>
      <c r="C390" s="2" t="s">
        <v>12</v>
      </c>
      <c r="D390" s="2" t="s">
        <v>58</v>
      </c>
      <c r="E390" s="2" t="s">
        <v>59</v>
      </c>
      <c r="F390" s="2">
        <v>203.0</v>
      </c>
      <c r="G390" s="2">
        <v>4.47</v>
      </c>
      <c r="H390" s="2">
        <v>45.4</v>
      </c>
      <c r="I390" s="2" t="s">
        <v>47</v>
      </c>
    </row>
    <row r="391" ht="15.75" customHeight="1">
      <c r="A391" s="2" t="s">
        <v>1564</v>
      </c>
      <c r="B391" s="2" t="s">
        <v>1565</v>
      </c>
      <c r="C391" s="2" t="s">
        <v>12</v>
      </c>
      <c r="D391" s="2" t="s">
        <v>90</v>
      </c>
      <c r="E391" s="2" t="s">
        <v>91</v>
      </c>
      <c r="F391" s="2">
        <v>155.0</v>
      </c>
      <c r="G391" s="2">
        <v>7.2</v>
      </c>
      <c r="H391" s="2">
        <v>21.5</v>
      </c>
      <c r="I391" s="2" t="s">
        <v>47</v>
      </c>
    </row>
    <row r="392" ht="15.75" customHeight="1">
      <c r="A392" s="2" t="s">
        <v>582</v>
      </c>
      <c r="B392" s="2" t="s">
        <v>583</v>
      </c>
      <c r="C392" s="2" t="s">
        <v>12</v>
      </c>
      <c r="D392" s="2" t="s">
        <v>204</v>
      </c>
      <c r="E392" s="2" t="s">
        <v>205</v>
      </c>
      <c r="F392" s="2">
        <v>186.0</v>
      </c>
      <c r="G392" s="2">
        <v>0.41</v>
      </c>
      <c r="H392" s="2">
        <v>453.7</v>
      </c>
      <c r="I392" s="2" t="s">
        <v>47</v>
      </c>
    </row>
    <row r="393" ht="15.75" customHeight="1">
      <c r="A393" s="2" t="s">
        <v>653</v>
      </c>
      <c r="B393" s="2" t="s">
        <v>655</v>
      </c>
      <c r="C393" s="2" t="s">
        <v>12</v>
      </c>
      <c r="D393" s="2" t="s">
        <v>174</v>
      </c>
      <c r="E393" s="2" t="s">
        <v>175</v>
      </c>
      <c r="F393" s="2">
        <v>323.0</v>
      </c>
      <c r="G393" s="2">
        <v>9.77</v>
      </c>
      <c r="H393" s="2">
        <v>33.1</v>
      </c>
      <c r="I393" s="2" t="s">
        <v>47</v>
      </c>
    </row>
    <row r="394" ht="15.75" customHeight="1">
      <c r="A394" s="2" t="s">
        <v>1441</v>
      </c>
      <c r="B394" s="2" t="s">
        <v>1442</v>
      </c>
      <c r="C394" s="2" t="s">
        <v>12</v>
      </c>
      <c r="D394" s="2" t="s">
        <v>250</v>
      </c>
      <c r="E394" s="2" t="s">
        <v>251</v>
      </c>
      <c r="F394" s="2">
        <v>192.0</v>
      </c>
      <c r="G394" s="2">
        <v>9.28</v>
      </c>
      <c r="H394" s="2">
        <v>20.7</v>
      </c>
      <c r="I394" s="2" t="s">
        <v>47</v>
      </c>
    </row>
    <row r="395" ht="15.75" customHeight="1">
      <c r="A395" s="2" t="s">
        <v>434</v>
      </c>
      <c r="B395" s="2" t="s">
        <v>436</v>
      </c>
      <c r="C395" s="2" t="s">
        <v>12</v>
      </c>
      <c r="D395" s="2" t="s">
        <v>250</v>
      </c>
      <c r="E395" s="2" t="s">
        <v>251</v>
      </c>
      <c r="F395" s="2">
        <v>2468.0</v>
      </c>
      <c r="G395" s="2">
        <v>48.57</v>
      </c>
      <c r="H395" s="2">
        <v>50.8</v>
      </c>
      <c r="I395" s="2" t="s">
        <v>138</v>
      </c>
    </row>
    <row r="396" ht="15.75" customHeight="1">
      <c r="A396" s="2" t="s">
        <v>2275</v>
      </c>
      <c r="B396" s="2" t="s">
        <v>2276</v>
      </c>
      <c r="C396" s="2" t="s">
        <v>12</v>
      </c>
      <c r="D396" s="2" t="s">
        <v>98</v>
      </c>
      <c r="E396" s="2" t="s">
        <v>100</v>
      </c>
      <c r="F396" s="2">
        <v>93.0</v>
      </c>
      <c r="G396" s="2">
        <v>5.18</v>
      </c>
      <c r="H396" s="2">
        <v>18.0</v>
      </c>
      <c r="I396" s="2" t="s">
        <v>47</v>
      </c>
    </row>
    <row r="397" ht="15.75" customHeight="1">
      <c r="A397" s="2" t="s">
        <v>2323</v>
      </c>
      <c r="B397" s="2" t="s">
        <v>2324</v>
      </c>
      <c r="C397" s="2" t="s">
        <v>12</v>
      </c>
      <c r="D397" s="2" t="s">
        <v>250</v>
      </c>
      <c r="E397" s="2" t="s">
        <v>251</v>
      </c>
      <c r="F397" s="2">
        <v>155.0</v>
      </c>
      <c r="G397" s="2">
        <v>7.44</v>
      </c>
      <c r="H397" s="2">
        <v>20.8</v>
      </c>
      <c r="I397" s="2" t="s">
        <v>47</v>
      </c>
    </row>
    <row r="398" ht="15.75" customHeight="1">
      <c r="A398" s="2" t="s">
        <v>2329</v>
      </c>
      <c r="B398" s="2" t="s">
        <v>2331</v>
      </c>
      <c r="C398" s="2" t="s">
        <v>12</v>
      </c>
      <c r="D398" s="2" t="s">
        <v>160</v>
      </c>
      <c r="E398" s="2" t="s">
        <v>161</v>
      </c>
      <c r="F398" s="2">
        <v>158.0</v>
      </c>
      <c r="G398" s="2">
        <v>7.12</v>
      </c>
      <c r="H398" s="2">
        <v>22.2</v>
      </c>
      <c r="I398" s="2" t="s">
        <v>47</v>
      </c>
    </row>
    <row r="399" ht="15.75" customHeight="1">
      <c r="A399" s="2" t="s">
        <v>2337</v>
      </c>
      <c r="B399" s="2" t="s">
        <v>2339</v>
      </c>
      <c r="C399" s="2" t="s">
        <v>12</v>
      </c>
      <c r="D399" s="2" t="s">
        <v>204</v>
      </c>
      <c r="E399" s="2" t="s">
        <v>205</v>
      </c>
      <c r="F399" s="2">
        <v>212.0</v>
      </c>
      <c r="G399" s="2">
        <v>4.29</v>
      </c>
      <c r="H399" s="2">
        <v>49.4</v>
      </c>
      <c r="I399" s="2" t="s">
        <v>47</v>
      </c>
    </row>
    <row r="400" ht="15.75" customHeight="1">
      <c r="A400" s="2" t="s">
        <v>438</v>
      </c>
      <c r="B400" s="2" t="s">
        <v>439</v>
      </c>
      <c r="C400" s="2" t="s">
        <v>12</v>
      </c>
      <c r="D400" s="2" t="s">
        <v>204</v>
      </c>
      <c r="E400" s="2" t="s">
        <v>205</v>
      </c>
      <c r="F400" s="2">
        <v>822.0</v>
      </c>
      <c r="G400" s="2">
        <v>9.38</v>
      </c>
      <c r="H400" s="2">
        <v>87.6</v>
      </c>
      <c r="I400" s="2" t="s">
        <v>27</v>
      </c>
    </row>
    <row r="401" ht="15.75" customHeight="1">
      <c r="A401" s="2" t="s">
        <v>1569</v>
      </c>
      <c r="B401" s="2" t="s">
        <v>1571</v>
      </c>
      <c r="C401" s="2" t="s">
        <v>12</v>
      </c>
      <c r="D401" s="2" t="s">
        <v>204</v>
      </c>
      <c r="E401" s="2" t="s">
        <v>205</v>
      </c>
      <c r="F401" s="2">
        <v>125.0</v>
      </c>
      <c r="G401" s="2">
        <v>2.62</v>
      </c>
      <c r="H401" s="2">
        <v>47.7</v>
      </c>
      <c r="I401" s="2" t="s">
        <v>47</v>
      </c>
    </row>
    <row r="402" ht="15.75" customHeight="1">
      <c r="A402" s="2" t="s">
        <v>446</v>
      </c>
      <c r="B402" s="2" t="s">
        <v>447</v>
      </c>
      <c r="C402" s="2" t="s">
        <v>12</v>
      </c>
      <c r="D402" s="2" t="s">
        <v>250</v>
      </c>
      <c r="E402" s="2" t="s">
        <v>251</v>
      </c>
      <c r="F402" s="2">
        <v>409.0</v>
      </c>
      <c r="G402" s="2">
        <v>11.6</v>
      </c>
      <c r="H402" s="2">
        <v>35.3</v>
      </c>
      <c r="I402" s="2" t="s">
        <v>47</v>
      </c>
    </row>
    <row r="403" ht="15.75" customHeight="1">
      <c r="A403" s="2" t="s">
        <v>450</v>
      </c>
      <c r="B403" s="2" t="s">
        <v>451</v>
      </c>
      <c r="C403" s="2" t="s">
        <v>12</v>
      </c>
      <c r="D403" s="2" t="s">
        <v>250</v>
      </c>
      <c r="E403" s="2" t="s">
        <v>251</v>
      </c>
      <c r="F403" s="2">
        <v>223.0</v>
      </c>
      <c r="G403" s="2">
        <v>11.56</v>
      </c>
      <c r="H403" s="2">
        <v>19.3</v>
      </c>
      <c r="I403" s="2" t="s">
        <v>47</v>
      </c>
    </row>
    <row r="404" ht="15.75" customHeight="1">
      <c r="A404" s="2" t="s">
        <v>276</v>
      </c>
      <c r="B404" s="2" t="s">
        <v>279</v>
      </c>
      <c r="C404" s="2" t="s">
        <v>12</v>
      </c>
      <c r="D404" s="2" t="s">
        <v>160</v>
      </c>
      <c r="E404" s="2" t="s">
        <v>161</v>
      </c>
      <c r="F404" s="2">
        <v>62.0</v>
      </c>
      <c r="G404" s="2">
        <v>6.04</v>
      </c>
      <c r="H404" s="2">
        <v>10.3</v>
      </c>
      <c r="I404" s="2" t="s">
        <v>47</v>
      </c>
    </row>
    <row r="405" ht="15.75" customHeight="1">
      <c r="A405" s="2" t="s">
        <v>454</v>
      </c>
      <c r="B405" s="2" t="s">
        <v>455</v>
      </c>
      <c r="C405" s="2" t="s">
        <v>12</v>
      </c>
      <c r="D405" s="2" t="s">
        <v>73</v>
      </c>
      <c r="E405" s="2" t="s">
        <v>75</v>
      </c>
      <c r="F405" s="2">
        <v>1232.0</v>
      </c>
      <c r="G405" s="2">
        <v>38.07</v>
      </c>
      <c r="H405" s="2">
        <v>32.4</v>
      </c>
      <c r="I405" s="2" t="s">
        <v>27</v>
      </c>
    </row>
    <row r="406" ht="15.75" customHeight="1">
      <c r="A406" s="2" t="s">
        <v>1574</v>
      </c>
      <c r="B406" s="2" t="s">
        <v>1575</v>
      </c>
      <c r="C406" s="2" t="s">
        <v>12</v>
      </c>
      <c r="D406" s="2" t="s">
        <v>250</v>
      </c>
      <c r="E406" s="2" t="s">
        <v>251</v>
      </c>
      <c r="F406" s="2">
        <v>269.0</v>
      </c>
      <c r="G406" s="2">
        <v>14.68</v>
      </c>
      <c r="H406" s="2">
        <v>18.3</v>
      </c>
      <c r="I406" s="2" t="s">
        <v>47</v>
      </c>
    </row>
    <row r="407" ht="15.75" customHeight="1">
      <c r="A407" s="2" t="s">
        <v>1576</v>
      </c>
      <c r="B407" s="2" t="s">
        <v>1577</v>
      </c>
      <c r="C407" s="2" t="s">
        <v>12</v>
      </c>
      <c r="D407" s="2" t="s">
        <v>145</v>
      </c>
      <c r="E407" s="2" t="s">
        <v>146</v>
      </c>
      <c r="F407" s="2">
        <v>790.0</v>
      </c>
      <c r="G407" s="2">
        <v>10.89</v>
      </c>
      <c r="H407" s="2">
        <v>72.5</v>
      </c>
      <c r="I407" s="2" t="s">
        <v>27</v>
      </c>
    </row>
    <row r="408" ht="15.75" customHeight="1">
      <c r="A408" s="2" t="s">
        <v>1578</v>
      </c>
      <c r="B408" s="2" t="s">
        <v>1579</v>
      </c>
      <c r="C408" s="2" t="s">
        <v>12</v>
      </c>
      <c r="D408" s="2" t="s">
        <v>73</v>
      </c>
      <c r="E408" s="2" t="s">
        <v>75</v>
      </c>
      <c r="F408" s="2">
        <v>83.0</v>
      </c>
      <c r="G408" s="2">
        <v>6.65</v>
      </c>
      <c r="H408" s="2">
        <v>12.5</v>
      </c>
      <c r="I408" s="2" t="s">
        <v>47</v>
      </c>
    </row>
    <row r="409" ht="15.75" customHeight="1">
      <c r="A409" s="2" t="s">
        <v>458</v>
      </c>
      <c r="B409" s="2" t="s">
        <v>459</v>
      </c>
      <c r="C409" s="2" t="s">
        <v>12</v>
      </c>
      <c r="D409" s="2" t="s">
        <v>58</v>
      </c>
      <c r="E409" s="2" t="s">
        <v>59</v>
      </c>
      <c r="F409" s="2">
        <v>754.0</v>
      </c>
      <c r="G409" s="2">
        <v>16.48</v>
      </c>
      <c r="H409" s="2">
        <v>45.8</v>
      </c>
      <c r="I409" s="2" t="s">
        <v>27</v>
      </c>
    </row>
    <row r="410" ht="15.75" customHeight="1">
      <c r="A410" s="2" t="s">
        <v>462</v>
      </c>
      <c r="B410" s="2" t="s">
        <v>463</v>
      </c>
      <c r="C410" s="2" t="s">
        <v>12</v>
      </c>
      <c r="D410" s="2" t="s">
        <v>134</v>
      </c>
      <c r="E410" s="2" t="s">
        <v>135</v>
      </c>
      <c r="F410" s="2">
        <v>455.0</v>
      </c>
      <c r="G410" s="2">
        <v>12.7</v>
      </c>
      <c r="H410" s="2">
        <v>35.8</v>
      </c>
      <c r="I410" s="2" t="s">
        <v>47</v>
      </c>
    </row>
    <row r="411" ht="15.75" customHeight="1">
      <c r="A411" s="2" t="s">
        <v>1581</v>
      </c>
      <c r="B411" s="2" t="s">
        <v>1582</v>
      </c>
      <c r="C411" s="2" t="s">
        <v>12</v>
      </c>
      <c r="D411" s="2" t="s">
        <v>35</v>
      </c>
      <c r="E411" s="2" t="s">
        <v>36</v>
      </c>
      <c r="F411" s="2">
        <v>101.0</v>
      </c>
      <c r="G411" s="2">
        <v>3.68</v>
      </c>
      <c r="H411" s="2">
        <v>27.4</v>
      </c>
      <c r="I411" s="2" t="s">
        <v>47</v>
      </c>
    </row>
    <row r="412" ht="15.75" customHeight="1">
      <c r="A412" s="2" t="s">
        <v>1585</v>
      </c>
      <c r="B412" s="2" t="s">
        <v>1586</v>
      </c>
      <c r="C412" s="2" t="s">
        <v>12</v>
      </c>
      <c r="D412" s="2" t="s">
        <v>152</v>
      </c>
      <c r="E412" s="2" t="s">
        <v>153</v>
      </c>
      <c r="F412" s="2">
        <v>190.0</v>
      </c>
      <c r="G412" s="2">
        <v>10.19</v>
      </c>
      <c r="H412" s="2">
        <v>18.6</v>
      </c>
      <c r="I412" s="2" t="s">
        <v>47</v>
      </c>
    </row>
    <row r="413" ht="15.75" customHeight="1">
      <c r="A413" s="2" t="s">
        <v>466</v>
      </c>
      <c r="B413" s="2" t="s">
        <v>467</v>
      </c>
      <c r="C413" s="2" t="s">
        <v>12</v>
      </c>
      <c r="D413" s="2" t="s">
        <v>204</v>
      </c>
      <c r="E413" s="2" t="s">
        <v>205</v>
      </c>
      <c r="F413" s="2">
        <v>543.0</v>
      </c>
      <c r="G413" s="2">
        <v>7.78</v>
      </c>
      <c r="H413" s="2">
        <v>69.8</v>
      </c>
      <c r="I413" s="2" t="s">
        <v>27</v>
      </c>
    </row>
    <row r="414" ht="15.75" customHeight="1">
      <c r="A414" s="2" t="s">
        <v>470</v>
      </c>
      <c r="B414" s="2" t="s">
        <v>471</v>
      </c>
      <c r="C414" s="2" t="s">
        <v>12</v>
      </c>
      <c r="D414" s="2" t="s">
        <v>73</v>
      </c>
      <c r="E414" s="2" t="s">
        <v>75</v>
      </c>
      <c r="F414" s="2">
        <v>140.0</v>
      </c>
      <c r="G414" s="2">
        <v>4.92</v>
      </c>
      <c r="H414" s="2">
        <v>28.5</v>
      </c>
      <c r="I414" s="2" t="s">
        <v>47</v>
      </c>
    </row>
    <row r="415" ht="15.75" customHeight="1">
      <c r="A415" s="2" t="s">
        <v>1593</v>
      </c>
      <c r="B415" s="2" t="s">
        <v>1594</v>
      </c>
      <c r="C415" s="2" t="s">
        <v>12</v>
      </c>
      <c r="D415" s="2" t="s">
        <v>174</v>
      </c>
      <c r="E415" s="2" t="s">
        <v>175</v>
      </c>
      <c r="F415" s="2">
        <v>65.0</v>
      </c>
      <c r="G415" s="2">
        <v>4.12</v>
      </c>
      <c r="H415" s="2">
        <v>15.8</v>
      </c>
      <c r="I415" s="2" t="s">
        <v>47</v>
      </c>
    </row>
    <row r="416" ht="15.75" customHeight="1">
      <c r="A416" s="2" t="s">
        <v>1597</v>
      </c>
      <c r="B416" s="2" t="s">
        <v>1599</v>
      </c>
      <c r="C416" s="2" t="s">
        <v>12</v>
      </c>
      <c r="D416" s="2" t="s">
        <v>182</v>
      </c>
      <c r="E416" s="2" t="s">
        <v>184</v>
      </c>
      <c r="F416" s="2">
        <v>117.0</v>
      </c>
      <c r="G416" s="2">
        <v>3.87</v>
      </c>
      <c r="H416" s="2">
        <v>30.2</v>
      </c>
      <c r="I416" s="2" t="s">
        <v>47</v>
      </c>
    </row>
    <row r="417" ht="15.75" customHeight="1">
      <c r="A417" s="2" t="s">
        <v>472</v>
      </c>
      <c r="B417" s="2" t="s">
        <v>475</v>
      </c>
      <c r="C417" s="2" t="s">
        <v>12</v>
      </c>
      <c r="D417" s="2" t="s">
        <v>52</v>
      </c>
      <c r="E417" s="2" t="s">
        <v>53</v>
      </c>
      <c r="F417" s="2">
        <v>1264.0</v>
      </c>
      <c r="G417" s="2">
        <v>10.1</v>
      </c>
      <c r="H417" s="2">
        <v>125.1</v>
      </c>
      <c r="I417" s="2" t="s">
        <v>27</v>
      </c>
    </row>
    <row r="418" ht="15.75" customHeight="1">
      <c r="A418" s="2" t="s">
        <v>478</v>
      </c>
      <c r="B418" s="2" t="s">
        <v>479</v>
      </c>
      <c r="C418" s="2" t="s">
        <v>12</v>
      </c>
      <c r="D418" s="2" t="s">
        <v>22</v>
      </c>
      <c r="E418" s="2" t="s">
        <v>23</v>
      </c>
      <c r="F418" s="2">
        <v>385.0</v>
      </c>
      <c r="G418" s="2">
        <v>5.5</v>
      </c>
      <c r="H418" s="2">
        <v>70.0</v>
      </c>
      <c r="I418" s="2" t="s">
        <v>47</v>
      </c>
    </row>
    <row r="419" ht="15.75" customHeight="1">
      <c r="A419" s="2" t="s">
        <v>1605</v>
      </c>
      <c r="B419" s="2" t="s">
        <v>1606</v>
      </c>
      <c r="C419" s="2" t="s">
        <v>12</v>
      </c>
      <c r="D419" s="2" t="s">
        <v>73</v>
      </c>
      <c r="E419" s="2" t="s">
        <v>75</v>
      </c>
      <c r="F419" s="2">
        <v>192.0</v>
      </c>
      <c r="G419" s="2">
        <v>5.66</v>
      </c>
      <c r="H419" s="2">
        <v>33.9</v>
      </c>
      <c r="I419" s="2" t="s">
        <v>47</v>
      </c>
    </row>
    <row r="420" ht="15.75" customHeight="1">
      <c r="A420" s="2" t="s">
        <v>1609</v>
      </c>
      <c r="B420" s="2" t="s">
        <v>1610</v>
      </c>
      <c r="C420" s="2" t="s">
        <v>12</v>
      </c>
      <c r="D420" s="2" t="s">
        <v>160</v>
      </c>
      <c r="E420" s="2" t="s">
        <v>161</v>
      </c>
      <c r="F420" s="2">
        <v>220.0</v>
      </c>
      <c r="G420" s="2">
        <v>8.28</v>
      </c>
      <c r="H420" s="2">
        <v>26.6</v>
      </c>
      <c r="I420" s="2" t="s">
        <v>47</v>
      </c>
    </row>
    <row r="421" ht="15.75" customHeight="1">
      <c r="A421" s="2" t="s">
        <v>1613</v>
      </c>
      <c r="B421" s="2" t="s">
        <v>1614</v>
      </c>
      <c r="C421" s="2" t="s">
        <v>12</v>
      </c>
      <c r="D421" s="2" t="s">
        <v>152</v>
      </c>
      <c r="E421" s="2" t="s">
        <v>153</v>
      </c>
      <c r="F421" s="2">
        <v>84.0</v>
      </c>
      <c r="G421" s="2">
        <v>8.22</v>
      </c>
      <c r="H421" s="2">
        <v>10.2</v>
      </c>
      <c r="I421" s="2" t="s">
        <v>47</v>
      </c>
    </row>
    <row r="422" ht="15.75" customHeight="1">
      <c r="A422" s="2" t="s">
        <v>1617</v>
      </c>
      <c r="B422" s="2" t="s">
        <v>1619</v>
      </c>
      <c r="C422" s="2" t="s">
        <v>12</v>
      </c>
      <c r="D422" s="2" t="s">
        <v>90</v>
      </c>
      <c r="E422" s="2" t="s">
        <v>91</v>
      </c>
      <c r="F422" s="2">
        <v>249.0</v>
      </c>
      <c r="G422" s="2">
        <v>10.78</v>
      </c>
      <c r="H422" s="2">
        <v>23.1</v>
      </c>
      <c r="I422" s="2" t="s">
        <v>47</v>
      </c>
    </row>
    <row r="423" ht="15.75" customHeight="1">
      <c r="A423" s="2" t="s">
        <v>1623</v>
      </c>
      <c r="B423" s="2" t="s">
        <v>1625</v>
      </c>
      <c r="C423" s="2" t="s">
        <v>12</v>
      </c>
      <c r="D423" s="2" t="s">
        <v>52</v>
      </c>
      <c r="E423" s="2" t="s">
        <v>53</v>
      </c>
      <c r="F423" s="2">
        <v>141.0</v>
      </c>
      <c r="G423" s="2">
        <v>8.92</v>
      </c>
      <c r="H423" s="2">
        <v>15.8</v>
      </c>
      <c r="I423" s="2" t="s">
        <v>47</v>
      </c>
    </row>
    <row r="424" ht="15.75" customHeight="1">
      <c r="A424" s="2" t="s">
        <v>1630</v>
      </c>
      <c r="B424" s="2" t="s">
        <v>1632</v>
      </c>
      <c r="C424" s="2" t="s">
        <v>12</v>
      </c>
      <c r="D424" s="2" t="s">
        <v>174</v>
      </c>
      <c r="E424" s="2" t="s">
        <v>175</v>
      </c>
      <c r="F424" s="2">
        <v>85.0</v>
      </c>
      <c r="G424" s="2">
        <v>7.3</v>
      </c>
      <c r="H424" s="2">
        <v>11.6</v>
      </c>
      <c r="I424" s="2" t="s">
        <v>47</v>
      </c>
    </row>
    <row r="425" ht="15.75" customHeight="1">
      <c r="A425" s="2" t="s">
        <v>1627</v>
      </c>
      <c r="B425" s="2" t="s">
        <v>1628</v>
      </c>
      <c r="C425" s="2" t="s">
        <v>12</v>
      </c>
      <c r="D425" s="2" t="s">
        <v>90</v>
      </c>
      <c r="E425" s="2" t="s">
        <v>91</v>
      </c>
      <c r="F425" s="2">
        <v>203.0</v>
      </c>
      <c r="G425" s="2">
        <v>11.12</v>
      </c>
      <c r="H425" s="2">
        <v>18.3</v>
      </c>
      <c r="I425" s="2" t="s">
        <v>47</v>
      </c>
    </row>
    <row r="426" ht="15.75" customHeight="1">
      <c r="A426" s="2" t="s">
        <v>1633</v>
      </c>
      <c r="B426" s="2" t="s">
        <v>1635</v>
      </c>
      <c r="C426" s="2" t="s">
        <v>12</v>
      </c>
      <c r="D426" s="2" t="s">
        <v>686</v>
      </c>
      <c r="E426" s="2" t="s">
        <v>691</v>
      </c>
      <c r="F426" s="2">
        <v>202.0</v>
      </c>
      <c r="G426" s="2">
        <v>7.68</v>
      </c>
      <c r="H426" s="2">
        <v>26.3</v>
      </c>
      <c r="I426" s="2" t="s">
        <v>47</v>
      </c>
    </row>
    <row r="427" ht="15.75" customHeight="1">
      <c r="A427" s="2" t="s">
        <v>1637</v>
      </c>
      <c r="B427" s="2" t="s">
        <v>1638</v>
      </c>
      <c r="C427" s="2" t="s">
        <v>12</v>
      </c>
      <c r="D427" s="2" t="s">
        <v>250</v>
      </c>
      <c r="E427" s="2" t="s">
        <v>251</v>
      </c>
      <c r="F427" s="2">
        <v>110.0</v>
      </c>
      <c r="G427" s="2">
        <v>4.78</v>
      </c>
      <c r="H427" s="2">
        <v>23.0</v>
      </c>
      <c r="I427" s="2" t="s">
        <v>47</v>
      </c>
    </row>
    <row r="428" ht="15.75" customHeight="1">
      <c r="A428" s="2" t="s">
        <v>1641</v>
      </c>
      <c r="B428" s="2" t="s">
        <v>1642</v>
      </c>
      <c r="C428" s="2" t="s">
        <v>12</v>
      </c>
      <c r="D428" s="2" t="s">
        <v>250</v>
      </c>
      <c r="E428" s="2" t="s">
        <v>251</v>
      </c>
      <c r="F428" s="2">
        <v>266.0</v>
      </c>
      <c r="G428" s="2">
        <v>11.11</v>
      </c>
      <c r="H428" s="2">
        <v>23.9</v>
      </c>
      <c r="I428" s="2" t="s">
        <v>47</v>
      </c>
    </row>
    <row r="429" ht="15.75" customHeight="1">
      <c r="A429" s="2" t="s">
        <v>1645</v>
      </c>
      <c r="B429" s="2" t="s">
        <v>1647</v>
      </c>
      <c r="C429" s="2" t="s">
        <v>12</v>
      </c>
      <c r="D429" s="2" t="s">
        <v>80</v>
      </c>
      <c r="E429" s="2" t="s">
        <v>81</v>
      </c>
      <c r="F429" s="2">
        <v>118.0</v>
      </c>
      <c r="G429" s="2">
        <v>3.52</v>
      </c>
      <c r="H429" s="2">
        <v>33.5</v>
      </c>
      <c r="I429" s="2" t="s">
        <v>47</v>
      </c>
    </row>
    <row r="430" ht="15.75" customHeight="1">
      <c r="A430" s="2" t="s">
        <v>1649</v>
      </c>
      <c r="B430" s="2" t="s">
        <v>1651</v>
      </c>
      <c r="C430" s="2" t="s">
        <v>12</v>
      </c>
      <c r="D430" s="2" t="s">
        <v>98</v>
      </c>
      <c r="E430" s="2" t="s">
        <v>100</v>
      </c>
      <c r="F430" s="2">
        <v>126.0</v>
      </c>
      <c r="G430" s="2">
        <v>11.05</v>
      </c>
      <c r="H430" s="2">
        <v>11.4</v>
      </c>
      <c r="I430" s="2" t="s">
        <v>47</v>
      </c>
    </row>
    <row r="431" ht="15.75" customHeight="1">
      <c r="A431" s="2" t="s">
        <v>1657</v>
      </c>
      <c r="B431" s="2" t="s">
        <v>1659</v>
      </c>
      <c r="C431" s="2" t="s">
        <v>12</v>
      </c>
      <c r="D431" s="2" t="s">
        <v>90</v>
      </c>
      <c r="E431" s="2" t="s">
        <v>91</v>
      </c>
      <c r="F431" s="2">
        <v>64.0</v>
      </c>
      <c r="G431" s="2">
        <v>6.16</v>
      </c>
      <c r="H431" s="2">
        <v>10.4</v>
      </c>
      <c r="I431" s="2" t="s">
        <v>47</v>
      </c>
    </row>
    <row r="432" ht="15.75" customHeight="1">
      <c r="A432" s="2" t="s">
        <v>1661</v>
      </c>
      <c r="B432" s="2" t="s">
        <v>1663</v>
      </c>
      <c r="C432" s="2" t="s">
        <v>12</v>
      </c>
      <c r="D432" s="2" t="s">
        <v>58</v>
      </c>
      <c r="E432" s="2" t="s">
        <v>59</v>
      </c>
      <c r="F432" s="2">
        <v>357.0</v>
      </c>
      <c r="G432" s="2">
        <v>20.28</v>
      </c>
      <c r="H432" s="2">
        <v>17.6</v>
      </c>
      <c r="I432" s="2" t="s">
        <v>47</v>
      </c>
    </row>
    <row r="433" ht="15.75" customHeight="1">
      <c r="A433" s="2" t="s">
        <v>1665</v>
      </c>
      <c r="B433" s="2" t="s">
        <v>1667</v>
      </c>
      <c r="C433" s="2" t="s">
        <v>12</v>
      </c>
      <c r="D433" s="2" t="s">
        <v>204</v>
      </c>
      <c r="E433" s="2" t="s">
        <v>205</v>
      </c>
      <c r="F433" s="2">
        <v>122.0</v>
      </c>
      <c r="G433" s="2">
        <v>3.68</v>
      </c>
      <c r="H433" s="2">
        <v>33.2</v>
      </c>
      <c r="I433" s="2" t="s">
        <v>47</v>
      </c>
    </row>
    <row r="434" ht="15.75" customHeight="1">
      <c r="A434" s="2" t="s">
        <v>1670</v>
      </c>
      <c r="B434" s="2" t="s">
        <v>1672</v>
      </c>
      <c r="C434" s="2" t="s">
        <v>12</v>
      </c>
      <c r="D434" s="2" t="s">
        <v>204</v>
      </c>
      <c r="E434" s="2" t="s">
        <v>205</v>
      </c>
      <c r="F434" s="2">
        <v>232.0</v>
      </c>
      <c r="G434" s="2">
        <v>8.15</v>
      </c>
      <c r="H434" s="2">
        <v>28.5</v>
      </c>
      <c r="I434" s="2" t="s">
        <v>47</v>
      </c>
    </row>
    <row r="435" ht="15.75" customHeight="1">
      <c r="A435" s="2" t="s">
        <v>482</v>
      </c>
      <c r="B435" s="2" t="s">
        <v>483</v>
      </c>
      <c r="C435" s="2" t="s">
        <v>12</v>
      </c>
      <c r="D435" s="2" t="s">
        <v>52</v>
      </c>
      <c r="E435" s="2" t="s">
        <v>53</v>
      </c>
      <c r="F435" s="2">
        <v>392.0</v>
      </c>
      <c r="G435" s="2">
        <v>7.25</v>
      </c>
      <c r="H435" s="2">
        <v>54.1</v>
      </c>
      <c r="I435" s="2" t="s">
        <v>47</v>
      </c>
    </row>
    <row r="436" ht="15.75" customHeight="1">
      <c r="A436" s="2" t="s">
        <v>1681</v>
      </c>
      <c r="B436" s="2" t="s">
        <v>1682</v>
      </c>
      <c r="C436" s="2" t="s">
        <v>12</v>
      </c>
      <c r="D436" s="2" t="s">
        <v>58</v>
      </c>
      <c r="E436" s="2" t="s">
        <v>59</v>
      </c>
      <c r="F436" s="2">
        <v>178.0</v>
      </c>
      <c r="G436" s="2">
        <v>10.46</v>
      </c>
      <c r="H436" s="2">
        <v>17.0</v>
      </c>
      <c r="I436" s="2" t="s">
        <v>47</v>
      </c>
    </row>
    <row r="437" ht="15.75" customHeight="1">
      <c r="A437" s="2" t="s">
        <v>1685</v>
      </c>
      <c r="B437" s="2" t="s">
        <v>1686</v>
      </c>
      <c r="C437" s="2" t="s">
        <v>12</v>
      </c>
      <c r="D437" s="2" t="s">
        <v>22</v>
      </c>
      <c r="E437" s="2" t="s">
        <v>23</v>
      </c>
      <c r="F437" s="2">
        <v>311.0</v>
      </c>
      <c r="G437" s="2">
        <v>10.3</v>
      </c>
      <c r="H437" s="2">
        <v>30.2</v>
      </c>
      <c r="I437" s="2" t="s">
        <v>47</v>
      </c>
    </row>
    <row r="438" ht="15.75" customHeight="1">
      <c r="A438" s="2" t="s">
        <v>1689</v>
      </c>
      <c r="B438" s="2" t="s">
        <v>1690</v>
      </c>
      <c r="C438" s="2" t="s">
        <v>12</v>
      </c>
      <c r="D438" s="2" t="s">
        <v>52</v>
      </c>
      <c r="E438" s="2" t="s">
        <v>53</v>
      </c>
      <c r="F438" s="2">
        <v>389.0</v>
      </c>
      <c r="G438" s="2">
        <v>15.55</v>
      </c>
      <c r="H438" s="2">
        <v>25.0</v>
      </c>
      <c r="I438" s="2" t="s">
        <v>47</v>
      </c>
    </row>
    <row r="439" ht="15.75" customHeight="1">
      <c r="A439" s="2" t="s">
        <v>1695</v>
      </c>
      <c r="B439" s="2" t="s">
        <v>1698</v>
      </c>
      <c r="C439" s="2" t="s">
        <v>12</v>
      </c>
      <c r="D439" s="2" t="s">
        <v>145</v>
      </c>
      <c r="E439" s="2" t="s">
        <v>146</v>
      </c>
      <c r="F439" s="2">
        <v>151.0</v>
      </c>
      <c r="G439" s="2">
        <v>7.43</v>
      </c>
      <c r="H439" s="2">
        <v>20.3</v>
      </c>
      <c r="I439" s="2" t="s">
        <v>47</v>
      </c>
    </row>
    <row r="440" ht="15.75" customHeight="1">
      <c r="A440" s="2" t="s">
        <v>1700</v>
      </c>
      <c r="B440" s="2" t="s">
        <v>1702</v>
      </c>
      <c r="C440" s="2" t="s">
        <v>12</v>
      </c>
      <c r="D440" s="2" t="s">
        <v>43</v>
      </c>
      <c r="E440" s="2" t="s">
        <v>44</v>
      </c>
      <c r="F440" s="2">
        <v>203.0</v>
      </c>
      <c r="G440" s="2">
        <v>4.54</v>
      </c>
      <c r="H440" s="2">
        <v>44.7</v>
      </c>
      <c r="I440" s="2" t="s">
        <v>47</v>
      </c>
    </row>
    <row r="441" ht="15.75" customHeight="1">
      <c r="A441" s="2" t="s">
        <v>1703</v>
      </c>
      <c r="B441" s="2" t="s">
        <v>1706</v>
      </c>
      <c r="C441" s="2" t="s">
        <v>12</v>
      </c>
      <c r="D441" s="2" t="s">
        <v>22</v>
      </c>
      <c r="E441" s="2" t="s">
        <v>23</v>
      </c>
      <c r="F441" s="2">
        <v>341.0</v>
      </c>
      <c r="G441" s="2">
        <v>8.36</v>
      </c>
      <c r="H441" s="2">
        <v>40.8</v>
      </c>
      <c r="I441" s="2" t="s">
        <v>47</v>
      </c>
    </row>
    <row r="442" ht="15.75" customHeight="1">
      <c r="A442" s="2" t="s">
        <v>484</v>
      </c>
      <c r="B442" s="2" t="s">
        <v>486</v>
      </c>
      <c r="C442" s="2" t="s">
        <v>12</v>
      </c>
      <c r="D442" s="2" t="s">
        <v>174</v>
      </c>
      <c r="E442" s="2" t="s">
        <v>175</v>
      </c>
      <c r="F442" s="2">
        <v>221.0</v>
      </c>
      <c r="G442" s="2">
        <v>9.14</v>
      </c>
      <c r="H442" s="2">
        <v>24.2</v>
      </c>
      <c r="I442" s="2" t="s">
        <v>47</v>
      </c>
    </row>
    <row r="443" ht="15.75" customHeight="1">
      <c r="A443" s="2" t="s">
        <v>1711</v>
      </c>
      <c r="B443" s="2" t="s">
        <v>1713</v>
      </c>
      <c r="C443" s="2" t="s">
        <v>12</v>
      </c>
      <c r="D443" s="2" t="s">
        <v>250</v>
      </c>
      <c r="E443" s="2" t="s">
        <v>251</v>
      </c>
      <c r="F443" s="2">
        <v>83.0</v>
      </c>
      <c r="G443" s="2">
        <v>9.22</v>
      </c>
      <c r="H443" s="2">
        <v>9.0</v>
      </c>
      <c r="I443" s="2" t="s">
        <v>47</v>
      </c>
    </row>
    <row r="444" ht="15.75" customHeight="1">
      <c r="A444" s="2" t="s">
        <v>489</v>
      </c>
      <c r="B444" s="2" t="s">
        <v>491</v>
      </c>
      <c r="C444" s="2" t="s">
        <v>12</v>
      </c>
      <c r="D444" s="2" t="s">
        <v>73</v>
      </c>
      <c r="E444" s="2" t="s">
        <v>75</v>
      </c>
      <c r="F444" s="2">
        <v>377.0</v>
      </c>
      <c r="G444" s="2">
        <v>5.48</v>
      </c>
      <c r="H444" s="2">
        <v>68.8</v>
      </c>
      <c r="I444" s="2" t="s">
        <v>47</v>
      </c>
    </row>
    <row r="445" ht="15.75" customHeight="1">
      <c r="A445" s="2" t="s">
        <v>492</v>
      </c>
      <c r="B445" s="2" t="s">
        <v>493</v>
      </c>
      <c r="C445" s="2" t="s">
        <v>12</v>
      </c>
      <c r="D445" s="2" t="s">
        <v>686</v>
      </c>
      <c r="E445" s="2" t="s">
        <v>691</v>
      </c>
      <c r="F445" s="2">
        <v>530.0</v>
      </c>
      <c r="G445" s="2">
        <v>15.54</v>
      </c>
      <c r="H445" s="2">
        <v>34.1</v>
      </c>
      <c r="I445" s="2" t="s">
        <v>27</v>
      </c>
    </row>
    <row r="446" ht="15.75" customHeight="1">
      <c r="A446" s="2" t="s">
        <v>1726</v>
      </c>
      <c r="B446" s="2" t="s">
        <v>1727</v>
      </c>
      <c r="C446" s="2" t="s">
        <v>12</v>
      </c>
      <c r="D446" s="2" t="s">
        <v>90</v>
      </c>
      <c r="E446" s="2" t="s">
        <v>91</v>
      </c>
      <c r="F446" s="2">
        <v>47.0</v>
      </c>
      <c r="G446" s="2">
        <v>4.61</v>
      </c>
      <c r="H446" s="2">
        <v>10.2</v>
      </c>
      <c r="I446" s="2" t="s">
        <v>47</v>
      </c>
    </row>
    <row r="447" ht="15.75" customHeight="1">
      <c r="A447" s="2" t="s">
        <v>1720</v>
      </c>
      <c r="B447" s="2" t="s">
        <v>1723</v>
      </c>
      <c r="C447" s="2" t="s">
        <v>12</v>
      </c>
      <c r="D447" s="2" t="s">
        <v>90</v>
      </c>
      <c r="E447" s="2" t="s">
        <v>91</v>
      </c>
      <c r="F447" s="2">
        <v>125.0</v>
      </c>
      <c r="G447" s="2">
        <v>7.88</v>
      </c>
      <c r="H447" s="2">
        <v>15.9</v>
      </c>
      <c r="I447" s="2" t="s">
        <v>47</v>
      </c>
    </row>
    <row r="448" ht="15.75" customHeight="1">
      <c r="A448" s="2" t="s">
        <v>495</v>
      </c>
      <c r="B448" s="2" t="s">
        <v>496</v>
      </c>
      <c r="C448" s="2" t="s">
        <v>12</v>
      </c>
      <c r="D448" s="2" t="s">
        <v>43</v>
      </c>
      <c r="E448" s="2" t="s">
        <v>44</v>
      </c>
      <c r="F448" s="2">
        <v>2229.0</v>
      </c>
      <c r="G448" s="2">
        <v>13.8</v>
      </c>
      <c r="H448" s="2">
        <v>161.5</v>
      </c>
      <c r="I448" s="2" t="s">
        <v>138</v>
      </c>
    </row>
    <row r="449" ht="15.75" customHeight="1">
      <c r="A449" s="2" t="s">
        <v>1733</v>
      </c>
      <c r="B449" s="2" t="s">
        <v>1734</v>
      </c>
      <c r="C449" s="2" t="s">
        <v>12</v>
      </c>
      <c r="D449" s="2" t="s">
        <v>58</v>
      </c>
      <c r="E449" s="2" t="s">
        <v>59</v>
      </c>
      <c r="F449" s="2">
        <v>483.0</v>
      </c>
      <c r="G449" s="2">
        <v>13.05</v>
      </c>
      <c r="H449" s="2">
        <v>37.0</v>
      </c>
      <c r="I449" s="2" t="s">
        <v>47</v>
      </c>
    </row>
    <row r="450" ht="15.75" customHeight="1">
      <c r="A450" s="2" t="s">
        <v>1737</v>
      </c>
      <c r="B450" s="2" t="s">
        <v>1740</v>
      </c>
      <c r="C450" s="2" t="s">
        <v>12</v>
      </c>
      <c r="D450" s="2" t="s">
        <v>152</v>
      </c>
      <c r="E450" s="2" t="s">
        <v>153</v>
      </c>
      <c r="F450" s="2">
        <v>410.0</v>
      </c>
      <c r="G450" s="2">
        <v>16.92</v>
      </c>
      <c r="H450" s="2">
        <v>24.2</v>
      </c>
      <c r="I450" s="2" t="s">
        <v>47</v>
      </c>
    </row>
    <row r="451" ht="15.75" customHeight="1">
      <c r="A451" s="2" t="s">
        <v>1743</v>
      </c>
      <c r="B451" s="2" t="s">
        <v>1744</v>
      </c>
      <c r="C451" s="2" t="s">
        <v>12</v>
      </c>
      <c r="D451" s="2" t="s">
        <v>182</v>
      </c>
      <c r="E451" s="2" t="s">
        <v>184</v>
      </c>
      <c r="F451" s="2">
        <v>130.0</v>
      </c>
      <c r="G451" s="2">
        <v>4.45</v>
      </c>
      <c r="H451" s="2">
        <v>29.2</v>
      </c>
      <c r="I451" s="2" t="s">
        <v>47</v>
      </c>
    </row>
    <row r="452" ht="15.75" customHeight="1">
      <c r="A452" s="2" t="s">
        <v>499</v>
      </c>
      <c r="B452" s="2" t="s">
        <v>500</v>
      </c>
      <c r="C452" s="2" t="s">
        <v>12</v>
      </c>
      <c r="D452" s="2" t="s">
        <v>52</v>
      </c>
      <c r="E452" s="2" t="s">
        <v>53</v>
      </c>
      <c r="F452" s="2">
        <v>398.0</v>
      </c>
      <c r="G452" s="2">
        <v>10.57</v>
      </c>
      <c r="H452" s="2">
        <v>37.7</v>
      </c>
      <c r="I452" s="2" t="s">
        <v>47</v>
      </c>
    </row>
    <row r="453" ht="15.75" customHeight="1">
      <c r="A453" s="2" t="s">
        <v>1749</v>
      </c>
      <c r="B453" s="2" t="s">
        <v>1750</v>
      </c>
      <c r="C453" s="2" t="s">
        <v>12</v>
      </c>
      <c r="D453" s="2" t="s">
        <v>22</v>
      </c>
      <c r="E453" s="2" t="s">
        <v>23</v>
      </c>
      <c r="F453" s="2">
        <v>207.0</v>
      </c>
      <c r="G453" s="2">
        <v>3.56</v>
      </c>
      <c r="H453" s="2">
        <v>58.1</v>
      </c>
      <c r="I453" s="2" t="s">
        <v>47</v>
      </c>
    </row>
    <row r="454" ht="15.75" customHeight="1">
      <c r="A454" s="2" t="s">
        <v>506</v>
      </c>
      <c r="B454" s="2" t="s">
        <v>507</v>
      </c>
      <c r="C454" s="2" t="s">
        <v>12</v>
      </c>
      <c r="D454" s="2" t="s">
        <v>22</v>
      </c>
      <c r="E454" s="2" t="s">
        <v>23</v>
      </c>
      <c r="F454" s="2">
        <v>419.0</v>
      </c>
      <c r="G454" s="2">
        <v>5.22</v>
      </c>
      <c r="H454" s="2">
        <v>80.3</v>
      </c>
      <c r="I454" s="2" t="s">
        <v>47</v>
      </c>
    </row>
    <row r="455" ht="15.75" customHeight="1">
      <c r="A455" s="2" t="s">
        <v>510</v>
      </c>
      <c r="B455" s="2" t="s">
        <v>511</v>
      </c>
      <c r="C455" s="2" t="s">
        <v>12</v>
      </c>
      <c r="D455" s="2" t="s">
        <v>58</v>
      </c>
      <c r="E455" s="2" t="s">
        <v>59</v>
      </c>
      <c r="F455" s="2">
        <v>637.0</v>
      </c>
      <c r="G455" s="2">
        <v>11.9</v>
      </c>
      <c r="H455" s="2">
        <v>53.5</v>
      </c>
      <c r="I455" s="2" t="s">
        <v>27</v>
      </c>
    </row>
    <row r="456" ht="15.75" customHeight="1">
      <c r="A456" s="2" t="s">
        <v>514</v>
      </c>
      <c r="B456" s="2" t="s">
        <v>515</v>
      </c>
      <c r="C456" s="2" t="s">
        <v>12</v>
      </c>
      <c r="D456" s="2" t="s">
        <v>35</v>
      </c>
      <c r="E456" s="2" t="s">
        <v>36</v>
      </c>
      <c r="F456" s="2">
        <v>935.0</v>
      </c>
      <c r="G456" s="2">
        <v>7.82</v>
      </c>
      <c r="H456" s="2">
        <v>119.6</v>
      </c>
      <c r="I456" s="2" t="s">
        <v>27</v>
      </c>
    </row>
    <row r="457" ht="15.75" customHeight="1">
      <c r="A457" s="2" t="s">
        <v>1773</v>
      </c>
      <c r="B457" s="2" t="s">
        <v>1775</v>
      </c>
      <c r="C457" s="2" t="s">
        <v>12</v>
      </c>
      <c r="D457" s="2" t="s">
        <v>134</v>
      </c>
      <c r="E457" s="2" t="s">
        <v>135</v>
      </c>
      <c r="F457" s="2">
        <v>253.0</v>
      </c>
      <c r="G457" s="2">
        <v>5.84</v>
      </c>
      <c r="H457" s="2">
        <v>43.3</v>
      </c>
      <c r="I457" s="2" t="s">
        <v>47</v>
      </c>
    </row>
    <row r="458" ht="15.75" customHeight="1">
      <c r="A458" s="2" t="s">
        <v>1779</v>
      </c>
      <c r="B458" s="2" t="s">
        <v>1780</v>
      </c>
      <c r="C458" s="2" t="s">
        <v>12</v>
      </c>
      <c r="D458" s="2" t="s">
        <v>43</v>
      </c>
      <c r="E458" s="2" t="s">
        <v>44</v>
      </c>
      <c r="F458" s="2">
        <v>320.0</v>
      </c>
      <c r="G458" s="2">
        <v>9.02</v>
      </c>
      <c r="H458" s="2">
        <v>35.5</v>
      </c>
      <c r="I458" s="2" t="s">
        <v>47</v>
      </c>
    </row>
    <row r="459" ht="15.75" customHeight="1">
      <c r="A459" s="2" t="s">
        <v>1783</v>
      </c>
      <c r="B459" s="2" t="s">
        <v>1784</v>
      </c>
      <c r="C459" s="2" t="s">
        <v>12</v>
      </c>
      <c r="D459" s="2" t="s">
        <v>145</v>
      </c>
      <c r="E459" s="2" t="s">
        <v>146</v>
      </c>
      <c r="F459" s="2">
        <v>435.0</v>
      </c>
      <c r="G459" s="2">
        <v>5.5</v>
      </c>
      <c r="H459" s="2">
        <v>79.1</v>
      </c>
      <c r="I459" s="2" t="s">
        <v>47</v>
      </c>
    </row>
    <row r="460" ht="15.75" customHeight="1">
      <c r="A460" s="2" t="s">
        <v>1787</v>
      </c>
      <c r="B460" s="2" t="s">
        <v>1788</v>
      </c>
      <c r="C460" s="2" t="s">
        <v>12</v>
      </c>
      <c r="D460" s="2" t="s">
        <v>52</v>
      </c>
      <c r="E460" s="2" t="s">
        <v>53</v>
      </c>
      <c r="F460" s="2">
        <v>56.0</v>
      </c>
      <c r="G460" s="2">
        <v>2.94</v>
      </c>
      <c r="H460" s="2">
        <v>19.0</v>
      </c>
      <c r="I460" s="2" t="s">
        <v>47</v>
      </c>
    </row>
    <row r="461" ht="15.75" customHeight="1">
      <c r="A461" s="2" t="s">
        <v>1800</v>
      </c>
      <c r="B461" s="2" t="s">
        <v>1802</v>
      </c>
      <c r="C461" s="2" t="s">
        <v>12</v>
      </c>
      <c r="D461" s="2" t="s">
        <v>35</v>
      </c>
      <c r="E461" s="2" t="s">
        <v>36</v>
      </c>
      <c r="F461" s="2">
        <v>100.0</v>
      </c>
      <c r="G461" s="2">
        <v>3.05</v>
      </c>
      <c r="H461" s="2">
        <v>32.8</v>
      </c>
      <c r="I461" s="2" t="s">
        <v>47</v>
      </c>
    </row>
    <row r="462" ht="15.75" customHeight="1">
      <c r="A462" s="2" t="s">
        <v>1806</v>
      </c>
      <c r="B462" s="2" t="s">
        <v>1808</v>
      </c>
      <c r="C462" s="2" t="s">
        <v>12</v>
      </c>
      <c r="D462" s="2" t="s">
        <v>52</v>
      </c>
      <c r="E462" s="2" t="s">
        <v>53</v>
      </c>
      <c r="F462" s="2">
        <v>107.0</v>
      </c>
      <c r="G462" s="2">
        <v>6.73</v>
      </c>
      <c r="H462" s="2">
        <v>15.9</v>
      </c>
      <c r="I462" s="2" t="s">
        <v>47</v>
      </c>
    </row>
    <row r="463" ht="15.75" customHeight="1">
      <c r="A463" s="2" t="s">
        <v>518</v>
      </c>
      <c r="B463" s="2" t="s">
        <v>519</v>
      </c>
      <c r="C463" s="2" t="s">
        <v>12</v>
      </c>
      <c r="D463" s="2" t="s">
        <v>73</v>
      </c>
      <c r="E463" s="2" t="s">
        <v>75</v>
      </c>
      <c r="F463" s="2">
        <v>625.0</v>
      </c>
      <c r="G463" s="2">
        <v>3.31</v>
      </c>
      <c r="H463" s="2">
        <v>188.8</v>
      </c>
      <c r="I463" s="2" t="s">
        <v>27</v>
      </c>
    </row>
    <row r="464" ht="15.75" customHeight="1">
      <c r="A464" s="2" t="s">
        <v>1816</v>
      </c>
      <c r="B464" s="2" t="s">
        <v>1817</v>
      </c>
      <c r="C464" s="2" t="s">
        <v>12</v>
      </c>
      <c r="D464" s="2" t="s">
        <v>58</v>
      </c>
      <c r="E464" s="2" t="s">
        <v>59</v>
      </c>
      <c r="F464" s="2">
        <v>161.0</v>
      </c>
      <c r="G464" s="2">
        <v>1.81</v>
      </c>
      <c r="H464" s="2">
        <v>89.0</v>
      </c>
      <c r="I464" s="2" t="s">
        <v>47</v>
      </c>
    </row>
    <row r="465" ht="15.75" customHeight="1">
      <c r="A465" s="2" t="s">
        <v>523</v>
      </c>
      <c r="B465" s="2" t="s">
        <v>525</v>
      </c>
      <c r="C465" s="2" t="s">
        <v>12</v>
      </c>
      <c r="D465" s="2" t="s">
        <v>182</v>
      </c>
      <c r="E465" s="2" t="s">
        <v>184</v>
      </c>
      <c r="F465" s="2">
        <v>359.0</v>
      </c>
      <c r="G465" s="2">
        <v>4.45</v>
      </c>
      <c r="H465" s="2">
        <v>80.7</v>
      </c>
      <c r="I465" s="2" t="s">
        <v>47</v>
      </c>
    </row>
    <row r="466" ht="15.75" customHeight="1">
      <c r="A466" s="2" t="s">
        <v>1822</v>
      </c>
      <c r="B466" s="2" t="s">
        <v>1824</v>
      </c>
      <c r="C466" s="2" t="s">
        <v>12</v>
      </c>
      <c r="D466" s="2" t="s">
        <v>73</v>
      </c>
      <c r="E466" s="2" t="s">
        <v>75</v>
      </c>
      <c r="F466" s="2">
        <v>122.0</v>
      </c>
      <c r="G466" s="2">
        <v>6.08</v>
      </c>
      <c r="H466" s="2">
        <v>20.1</v>
      </c>
      <c r="I466" s="2" t="s">
        <v>47</v>
      </c>
    </row>
    <row r="467" ht="15.75" customHeight="1">
      <c r="A467" s="2" t="s">
        <v>1826</v>
      </c>
      <c r="B467" s="2" t="s">
        <v>1827</v>
      </c>
      <c r="C467" s="2" t="s">
        <v>12</v>
      </c>
      <c r="D467" s="2" t="s">
        <v>250</v>
      </c>
      <c r="E467" s="2" t="s">
        <v>251</v>
      </c>
      <c r="F467" s="2">
        <v>320.0</v>
      </c>
      <c r="G467" s="2">
        <v>19.86</v>
      </c>
      <c r="H467" s="2">
        <v>16.1</v>
      </c>
      <c r="I467" s="2" t="s">
        <v>47</v>
      </c>
    </row>
    <row r="468" ht="15.75" customHeight="1">
      <c r="A468" s="2" t="s">
        <v>526</v>
      </c>
      <c r="B468" s="2" t="s">
        <v>527</v>
      </c>
      <c r="C468" s="2" t="s">
        <v>12</v>
      </c>
      <c r="D468" s="2" t="s">
        <v>43</v>
      </c>
      <c r="E468" s="2" t="s">
        <v>44</v>
      </c>
      <c r="F468" s="2">
        <v>211.0</v>
      </c>
      <c r="G468" s="2">
        <v>5.36</v>
      </c>
      <c r="H468" s="2">
        <v>39.4</v>
      </c>
      <c r="I468" s="2" t="s">
        <v>47</v>
      </c>
    </row>
    <row r="469" ht="15.75" customHeight="1">
      <c r="A469" s="2" t="s">
        <v>1830</v>
      </c>
      <c r="B469" s="2" t="s">
        <v>1833</v>
      </c>
      <c r="C469" s="2" t="s">
        <v>12</v>
      </c>
      <c r="D469" s="2" t="s">
        <v>22</v>
      </c>
      <c r="E469" s="2" t="s">
        <v>23</v>
      </c>
      <c r="F469" s="2">
        <v>426.0</v>
      </c>
      <c r="G469" s="2">
        <v>13.39</v>
      </c>
      <c r="H469" s="2">
        <v>31.8</v>
      </c>
      <c r="I469" s="2" t="s">
        <v>47</v>
      </c>
    </row>
    <row r="470" ht="15.75" customHeight="1">
      <c r="A470" s="2" t="s">
        <v>1838</v>
      </c>
      <c r="B470" s="2" t="s">
        <v>1839</v>
      </c>
      <c r="C470" s="2" t="s">
        <v>12</v>
      </c>
      <c r="D470" s="2" t="s">
        <v>58</v>
      </c>
      <c r="E470" s="2" t="s">
        <v>59</v>
      </c>
      <c r="F470" s="2">
        <v>132.0</v>
      </c>
      <c r="G470" s="2">
        <v>5.92</v>
      </c>
      <c r="H470" s="2">
        <v>22.3</v>
      </c>
      <c r="I470" s="2" t="s">
        <v>47</v>
      </c>
    </row>
    <row r="471" ht="15.75" customHeight="1">
      <c r="A471" s="2" t="s">
        <v>530</v>
      </c>
      <c r="B471" s="2" t="s">
        <v>531</v>
      </c>
      <c r="C471" s="2" t="s">
        <v>12</v>
      </c>
      <c r="D471" s="2" t="s">
        <v>152</v>
      </c>
      <c r="E471" s="2" t="s">
        <v>153</v>
      </c>
      <c r="F471" s="2">
        <v>1028.0</v>
      </c>
      <c r="G471" s="2">
        <v>20.3</v>
      </c>
      <c r="H471" s="2">
        <v>50.6</v>
      </c>
      <c r="I471" s="2" t="s">
        <v>27</v>
      </c>
    </row>
    <row r="472" ht="15.75" customHeight="1">
      <c r="A472" s="2" t="s">
        <v>1848</v>
      </c>
      <c r="B472" s="2" t="s">
        <v>1849</v>
      </c>
      <c r="C472" s="2" t="s">
        <v>12</v>
      </c>
      <c r="D472" s="2" t="s">
        <v>90</v>
      </c>
      <c r="E472" s="2" t="s">
        <v>91</v>
      </c>
      <c r="F472" s="2">
        <v>90.0</v>
      </c>
      <c r="G472" s="2">
        <v>4.83</v>
      </c>
      <c r="H472" s="2">
        <v>18.6</v>
      </c>
      <c r="I472" s="2" t="s">
        <v>47</v>
      </c>
    </row>
    <row r="473" ht="15.75" customHeight="1">
      <c r="A473" s="2" t="s">
        <v>532</v>
      </c>
      <c r="B473" s="2" t="s">
        <v>533</v>
      </c>
      <c r="C473" s="2" t="s">
        <v>12</v>
      </c>
      <c r="D473" s="2" t="s">
        <v>182</v>
      </c>
      <c r="E473" s="2" t="s">
        <v>184</v>
      </c>
      <c r="F473" s="2">
        <v>1146.0</v>
      </c>
      <c r="G473" s="2">
        <v>4.2</v>
      </c>
      <c r="H473" s="2">
        <v>272.9</v>
      </c>
      <c r="I473" s="2" t="s">
        <v>27</v>
      </c>
    </row>
    <row r="474" ht="15.75" customHeight="1">
      <c r="A474" s="2" t="s">
        <v>536</v>
      </c>
      <c r="B474" s="2" t="s">
        <v>537</v>
      </c>
      <c r="C474" s="2" t="s">
        <v>12</v>
      </c>
      <c r="D474" s="2" t="s">
        <v>73</v>
      </c>
      <c r="E474" s="2" t="s">
        <v>75</v>
      </c>
      <c r="F474" s="2">
        <v>751.0</v>
      </c>
      <c r="G474" s="2">
        <v>9.96</v>
      </c>
      <c r="H474" s="2">
        <v>75.4</v>
      </c>
      <c r="I474" s="2" t="s">
        <v>27</v>
      </c>
    </row>
    <row r="475" ht="15.75" customHeight="1">
      <c r="A475" s="2" t="s">
        <v>1950</v>
      </c>
      <c r="B475" s="2" t="s">
        <v>1951</v>
      </c>
      <c r="C475" s="2" t="s">
        <v>12</v>
      </c>
      <c r="D475" s="2" t="s">
        <v>152</v>
      </c>
      <c r="E475" s="2" t="s">
        <v>153</v>
      </c>
      <c r="F475" s="2">
        <v>79.0</v>
      </c>
      <c r="G475" s="2">
        <v>4.0</v>
      </c>
      <c r="H475" s="2">
        <v>19.8</v>
      </c>
      <c r="I475" s="2" t="s">
        <v>47</v>
      </c>
    </row>
    <row r="476" ht="15.75" customHeight="1">
      <c r="A476" s="2" t="s">
        <v>1954</v>
      </c>
      <c r="B476" s="2" t="s">
        <v>1955</v>
      </c>
      <c r="C476" s="2" t="s">
        <v>12</v>
      </c>
      <c r="D476" s="2" t="s">
        <v>73</v>
      </c>
      <c r="E476" s="2" t="s">
        <v>75</v>
      </c>
      <c r="F476" s="2">
        <v>70.0</v>
      </c>
      <c r="G476" s="2">
        <v>5.67</v>
      </c>
      <c r="H476" s="2">
        <v>12.3</v>
      </c>
      <c r="I476" s="2" t="s">
        <v>47</v>
      </c>
    </row>
    <row r="477" ht="15.75" customHeight="1">
      <c r="A477" s="2" t="s">
        <v>538</v>
      </c>
      <c r="B477" s="2" t="s">
        <v>541</v>
      </c>
      <c r="C477" s="2" t="s">
        <v>12</v>
      </c>
      <c r="D477" s="2" t="s">
        <v>174</v>
      </c>
      <c r="E477" s="2" t="s">
        <v>175</v>
      </c>
      <c r="F477" s="2">
        <v>684.0</v>
      </c>
      <c r="G477" s="2">
        <v>10.52</v>
      </c>
      <c r="H477" s="2">
        <v>65.0</v>
      </c>
      <c r="I477" s="2" t="s">
        <v>27</v>
      </c>
    </row>
    <row r="478" ht="15.75" customHeight="1">
      <c r="A478" s="2" t="s">
        <v>543</v>
      </c>
      <c r="B478" s="2" t="s">
        <v>545</v>
      </c>
      <c r="C478" s="2" t="s">
        <v>12</v>
      </c>
      <c r="D478" s="2" t="s">
        <v>80</v>
      </c>
      <c r="E478" s="2" t="s">
        <v>81</v>
      </c>
      <c r="F478" s="2">
        <v>839.0</v>
      </c>
      <c r="G478" s="2">
        <v>13.47</v>
      </c>
      <c r="H478" s="2">
        <v>62.3</v>
      </c>
      <c r="I478" s="2" t="s">
        <v>27</v>
      </c>
    </row>
    <row r="479" ht="15.75" customHeight="1">
      <c r="A479" s="2" t="s">
        <v>546</v>
      </c>
      <c r="B479" s="2" t="s">
        <v>547</v>
      </c>
      <c r="C479" s="2" t="s">
        <v>12</v>
      </c>
      <c r="D479" s="2" t="s">
        <v>52</v>
      </c>
      <c r="E479" s="2" t="s">
        <v>53</v>
      </c>
      <c r="F479" s="2">
        <v>766.0</v>
      </c>
      <c r="G479" s="2">
        <v>23.64</v>
      </c>
      <c r="H479" s="2">
        <v>32.4</v>
      </c>
      <c r="I479" s="2" t="s">
        <v>27</v>
      </c>
    </row>
    <row r="480" ht="15.75" customHeight="1">
      <c r="A480" s="2" t="s">
        <v>1858</v>
      </c>
      <c r="B480" s="2" t="s">
        <v>1859</v>
      </c>
      <c r="C480" s="2" t="s">
        <v>12</v>
      </c>
      <c r="D480" s="2" t="s">
        <v>134</v>
      </c>
      <c r="E480" s="2" t="s">
        <v>135</v>
      </c>
      <c r="F480" s="2">
        <v>39.0</v>
      </c>
      <c r="G480" s="2">
        <v>5.48</v>
      </c>
      <c r="H480" s="2">
        <v>7.1</v>
      </c>
      <c r="I480" s="2" t="s">
        <v>47</v>
      </c>
    </row>
    <row r="481" ht="15.75" customHeight="1">
      <c r="A481" s="2" t="s">
        <v>550</v>
      </c>
      <c r="B481" s="2" t="s">
        <v>551</v>
      </c>
      <c r="C481" s="2" t="s">
        <v>12</v>
      </c>
      <c r="D481" s="2" t="s">
        <v>204</v>
      </c>
      <c r="E481" s="2" t="s">
        <v>205</v>
      </c>
      <c r="F481" s="2">
        <v>816.0</v>
      </c>
      <c r="G481" s="2">
        <v>9.92</v>
      </c>
      <c r="H481" s="2">
        <v>82.3</v>
      </c>
      <c r="I481" s="2" t="s">
        <v>27</v>
      </c>
    </row>
    <row r="482" ht="15.75" customHeight="1">
      <c r="A482" s="2" t="s">
        <v>1864</v>
      </c>
      <c r="B482" s="2" t="s">
        <v>1865</v>
      </c>
      <c r="C482" s="2" t="s">
        <v>12</v>
      </c>
      <c r="D482" s="2" t="s">
        <v>182</v>
      </c>
      <c r="E482" s="2" t="s">
        <v>184</v>
      </c>
      <c r="F482" s="2">
        <v>63.0</v>
      </c>
      <c r="G482" s="2">
        <v>6.74</v>
      </c>
      <c r="H482" s="2">
        <v>9.3</v>
      </c>
      <c r="I482" s="2" t="s">
        <v>47</v>
      </c>
    </row>
    <row r="483" ht="15.75" customHeight="1">
      <c r="A483" s="2" t="s">
        <v>552</v>
      </c>
      <c r="B483" s="2" t="s">
        <v>553</v>
      </c>
      <c r="C483" s="2" t="s">
        <v>12</v>
      </c>
      <c r="D483" s="2" t="s">
        <v>160</v>
      </c>
      <c r="E483" s="2" t="s">
        <v>161</v>
      </c>
      <c r="F483" s="2">
        <v>1207.0</v>
      </c>
      <c r="G483" s="2">
        <v>5.8</v>
      </c>
      <c r="H483" s="2">
        <v>208.1</v>
      </c>
      <c r="I483" s="2" t="s">
        <v>27</v>
      </c>
    </row>
    <row r="484" ht="15.75" customHeight="1">
      <c r="A484" s="2" t="s">
        <v>554</v>
      </c>
      <c r="B484" s="2" t="s">
        <v>555</v>
      </c>
      <c r="C484" s="2" t="s">
        <v>12</v>
      </c>
      <c r="D484" s="2" t="s">
        <v>145</v>
      </c>
      <c r="E484" s="2" t="s">
        <v>146</v>
      </c>
      <c r="F484" s="2">
        <v>1606.0</v>
      </c>
      <c r="G484" s="2">
        <v>6.26</v>
      </c>
      <c r="H484" s="2">
        <v>256.5</v>
      </c>
      <c r="I484" s="2" t="s">
        <v>27</v>
      </c>
    </row>
    <row r="485" ht="15.75" customHeight="1">
      <c r="A485" s="2" t="s">
        <v>1874</v>
      </c>
      <c r="B485" s="2" t="s">
        <v>1875</v>
      </c>
      <c r="C485" s="2" t="s">
        <v>12</v>
      </c>
      <c r="D485" s="2" t="s">
        <v>686</v>
      </c>
      <c r="E485" s="2" t="s">
        <v>691</v>
      </c>
      <c r="F485" s="2">
        <v>209.0</v>
      </c>
      <c r="G485" s="2">
        <v>15.37</v>
      </c>
      <c r="H485" s="2">
        <v>13.6</v>
      </c>
      <c r="I485" s="2" t="s">
        <v>47</v>
      </c>
    </row>
    <row r="486" ht="15.75" customHeight="1">
      <c r="A486" s="2" t="s">
        <v>1878</v>
      </c>
      <c r="B486" s="2" t="s">
        <v>1880</v>
      </c>
      <c r="C486" s="2" t="s">
        <v>12</v>
      </c>
      <c r="D486" s="2" t="s">
        <v>90</v>
      </c>
      <c r="E486" s="2" t="s">
        <v>91</v>
      </c>
      <c r="F486" s="2">
        <v>200.0</v>
      </c>
      <c r="G486" s="2">
        <v>11.15</v>
      </c>
      <c r="H486" s="2">
        <v>17.9</v>
      </c>
      <c r="I486" s="2" t="s">
        <v>47</v>
      </c>
    </row>
    <row r="487" ht="15.75" customHeight="1">
      <c r="A487" s="2" t="s">
        <v>1888</v>
      </c>
      <c r="B487" s="2" t="s">
        <v>1889</v>
      </c>
      <c r="C487" s="2" t="s">
        <v>12</v>
      </c>
      <c r="D487" s="2" t="s">
        <v>98</v>
      </c>
      <c r="E487" s="2" t="s">
        <v>100</v>
      </c>
      <c r="F487" s="2">
        <v>30.0</v>
      </c>
      <c r="G487" s="2">
        <v>3.27</v>
      </c>
      <c r="H487" s="2">
        <v>9.2</v>
      </c>
      <c r="I487" s="2" t="s">
        <v>47</v>
      </c>
    </row>
    <row r="488" ht="15.75" customHeight="1">
      <c r="A488" s="2" t="s">
        <v>1894</v>
      </c>
      <c r="B488" s="2" t="s">
        <v>1895</v>
      </c>
      <c r="C488" s="2" t="s">
        <v>12</v>
      </c>
      <c r="D488" s="2" t="s">
        <v>182</v>
      </c>
      <c r="E488" s="2" t="s">
        <v>184</v>
      </c>
      <c r="F488" s="2">
        <v>140.0</v>
      </c>
      <c r="G488" s="2">
        <v>2.95</v>
      </c>
      <c r="H488" s="2">
        <v>47.5</v>
      </c>
      <c r="I488" s="2" t="s">
        <v>47</v>
      </c>
    </row>
    <row r="489" ht="15.75" customHeight="1">
      <c r="A489" s="2" t="s">
        <v>1898</v>
      </c>
      <c r="B489" s="2" t="s">
        <v>1899</v>
      </c>
      <c r="C489" s="2" t="s">
        <v>12</v>
      </c>
      <c r="D489" s="2" t="s">
        <v>174</v>
      </c>
      <c r="E489" s="2" t="s">
        <v>175</v>
      </c>
      <c r="F489" s="2">
        <v>157.0</v>
      </c>
      <c r="G489" s="2">
        <v>7.53</v>
      </c>
      <c r="H489" s="2">
        <v>20.8</v>
      </c>
      <c r="I489" s="2" t="s">
        <v>47</v>
      </c>
    </row>
    <row r="490" ht="15.75" customHeight="1">
      <c r="A490" s="2" t="s">
        <v>1902</v>
      </c>
      <c r="B490" s="2" t="s">
        <v>1903</v>
      </c>
      <c r="C490" s="2" t="s">
        <v>12</v>
      </c>
      <c r="D490" s="2" t="s">
        <v>174</v>
      </c>
      <c r="E490" s="2" t="s">
        <v>175</v>
      </c>
      <c r="F490" s="2">
        <v>135.0</v>
      </c>
      <c r="G490" s="2">
        <v>4.01</v>
      </c>
      <c r="H490" s="2">
        <v>33.7</v>
      </c>
      <c r="I490" s="2" t="s">
        <v>47</v>
      </c>
    </row>
    <row r="491" ht="15.75" customHeight="1">
      <c r="A491" s="2" t="s">
        <v>1922</v>
      </c>
      <c r="B491" s="2" t="s">
        <v>1923</v>
      </c>
      <c r="C491" s="2" t="s">
        <v>12</v>
      </c>
      <c r="D491" s="2" t="s">
        <v>90</v>
      </c>
      <c r="E491" s="2" t="s">
        <v>91</v>
      </c>
      <c r="F491" s="2">
        <v>674.0</v>
      </c>
      <c r="G491" s="2">
        <v>11.47</v>
      </c>
      <c r="H491" s="2">
        <v>58.8</v>
      </c>
      <c r="I491" s="2" t="s">
        <v>27</v>
      </c>
    </row>
    <row r="492" ht="15.75" customHeight="1">
      <c r="A492" s="2" t="s">
        <v>1906</v>
      </c>
      <c r="B492" s="2" t="s">
        <v>1908</v>
      </c>
      <c r="C492" s="2" t="s">
        <v>12</v>
      </c>
      <c r="D492" s="2" t="s">
        <v>204</v>
      </c>
      <c r="E492" s="2" t="s">
        <v>205</v>
      </c>
      <c r="F492" s="2">
        <v>317.0</v>
      </c>
      <c r="G492" s="2">
        <v>9.85</v>
      </c>
      <c r="H492" s="2">
        <v>32.2</v>
      </c>
      <c r="I492" s="2" t="s">
        <v>47</v>
      </c>
    </row>
    <row r="493" ht="15.75" customHeight="1">
      <c r="A493" s="2" t="s">
        <v>1912</v>
      </c>
      <c r="B493" s="2" t="s">
        <v>1913</v>
      </c>
      <c r="C493" s="2" t="s">
        <v>12</v>
      </c>
      <c r="D493" s="2" t="s">
        <v>174</v>
      </c>
      <c r="E493" s="2" t="s">
        <v>175</v>
      </c>
      <c r="F493" s="2">
        <v>273.0</v>
      </c>
      <c r="G493" s="2">
        <v>10.34</v>
      </c>
      <c r="H493" s="2">
        <v>26.4</v>
      </c>
      <c r="I493" s="2" t="s">
        <v>47</v>
      </c>
    </row>
    <row r="494" ht="15.75" customHeight="1">
      <c r="A494" s="2" t="s">
        <v>1916</v>
      </c>
      <c r="B494" s="2" t="s">
        <v>1917</v>
      </c>
      <c r="C494" s="2" t="s">
        <v>12</v>
      </c>
      <c r="D494" s="2" t="s">
        <v>43</v>
      </c>
      <c r="E494" s="2" t="s">
        <v>44</v>
      </c>
      <c r="F494" s="2">
        <v>141.0</v>
      </c>
      <c r="G494" s="2">
        <v>9.84</v>
      </c>
      <c r="H494" s="2">
        <v>14.3</v>
      </c>
      <c r="I494" s="2" t="s">
        <v>47</v>
      </c>
    </row>
    <row r="495" ht="15.75" customHeight="1">
      <c r="A495" s="2" t="s">
        <v>1926</v>
      </c>
      <c r="B495" s="2" t="s">
        <v>1927</v>
      </c>
      <c r="C495" s="2" t="s">
        <v>12</v>
      </c>
      <c r="D495" s="2" t="s">
        <v>174</v>
      </c>
      <c r="E495" s="2" t="s">
        <v>175</v>
      </c>
      <c r="F495" s="2">
        <v>51.0</v>
      </c>
      <c r="G495" s="2">
        <v>4.82</v>
      </c>
      <c r="H495" s="2">
        <v>10.6</v>
      </c>
      <c r="I495" s="2" t="s">
        <v>47</v>
      </c>
    </row>
    <row r="496" ht="15.75" customHeight="1">
      <c r="A496" s="2" t="s">
        <v>1930</v>
      </c>
      <c r="B496" s="2" t="s">
        <v>1931</v>
      </c>
      <c r="C496" s="2" t="s">
        <v>12</v>
      </c>
      <c r="D496" s="2" t="s">
        <v>43</v>
      </c>
      <c r="E496" s="2" t="s">
        <v>44</v>
      </c>
      <c r="F496" s="2">
        <v>71.0</v>
      </c>
      <c r="G496" s="2">
        <v>7.37</v>
      </c>
      <c r="H496" s="2">
        <v>9.6</v>
      </c>
      <c r="I496" s="2" t="s">
        <v>47</v>
      </c>
    </row>
    <row r="497" ht="15.75" customHeight="1">
      <c r="A497" s="2" t="s">
        <v>556</v>
      </c>
      <c r="B497" s="2" t="s">
        <v>557</v>
      </c>
      <c r="C497" s="2" t="s">
        <v>12</v>
      </c>
      <c r="D497" s="2" t="s">
        <v>43</v>
      </c>
      <c r="E497" s="2" t="s">
        <v>44</v>
      </c>
      <c r="F497" s="2">
        <v>306.0</v>
      </c>
      <c r="G497" s="2">
        <v>8.49</v>
      </c>
      <c r="H497" s="2">
        <v>36.0</v>
      </c>
      <c r="I497" s="2" t="s">
        <v>47</v>
      </c>
    </row>
    <row r="498" ht="15.75" customHeight="1">
      <c r="A498" s="2" t="s">
        <v>1938</v>
      </c>
      <c r="B498" s="2" t="s">
        <v>1939</v>
      </c>
      <c r="C498" s="2" t="s">
        <v>12</v>
      </c>
      <c r="D498" s="2" t="s">
        <v>174</v>
      </c>
      <c r="E498" s="2" t="s">
        <v>175</v>
      </c>
      <c r="F498" s="2">
        <v>279.0</v>
      </c>
      <c r="G498" s="2">
        <v>22.77</v>
      </c>
      <c r="H498" s="2">
        <v>12.3</v>
      </c>
      <c r="I498" s="2" t="s">
        <v>47</v>
      </c>
    </row>
    <row r="499" ht="15.75" customHeight="1">
      <c r="A499" s="2" t="s">
        <v>1942</v>
      </c>
      <c r="B499" s="2" t="s">
        <v>1943</v>
      </c>
      <c r="C499" s="2" t="s">
        <v>12</v>
      </c>
      <c r="D499" s="2" t="s">
        <v>160</v>
      </c>
      <c r="E499" s="2" t="s">
        <v>161</v>
      </c>
      <c r="F499" s="2">
        <v>193.0</v>
      </c>
      <c r="G499" s="2">
        <v>15.63</v>
      </c>
      <c r="H499" s="2">
        <v>12.3</v>
      </c>
      <c r="I499" s="2" t="s">
        <v>47</v>
      </c>
    </row>
    <row r="500" ht="15.75" customHeight="1">
      <c r="A500" s="2" t="s">
        <v>560</v>
      </c>
      <c r="B500" s="2" t="s">
        <v>561</v>
      </c>
      <c r="C500" s="2" t="s">
        <v>12</v>
      </c>
      <c r="D500" s="2" t="s">
        <v>686</v>
      </c>
      <c r="E500" s="2" t="s">
        <v>691</v>
      </c>
      <c r="F500" s="2">
        <v>1305.0</v>
      </c>
      <c r="G500" s="2">
        <v>13.01</v>
      </c>
      <c r="H500" s="2">
        <v>100.3</v>
      </c>
      <c r="I500" s="2" t="s">
        <v>27</v>
      </c>
    </row>
    <row r="501" ht="15.75" customHeight="1">
      <c r="A501" s="2" t="s">
        <v>1960</v>
      </c>
      <c r="B501" s="2" t="s">
        <v>1961</v>
      </c>
      <c r="C501" s="2" t="s">
        <v>12</v>
      </c>
      <c r="D501" s="2" t="s">
        <v>145</v>
      </c>
      <c r="E501" s="2" t="s">
        <v>146</v>
      </c>
      <c r="F501" s="2">
        <v>544.0</v>
      </c>
      <c r="G501" s="2">
        <v>6.01</v>
      </c>
      <c r="H501" s="2">
        <v>90.5</v>
      </c>
      <c r="I501" s="2" t="s">
        <v>27</v>
      </c>
    </row>
    <row r="502" ht="15.75" customHeight="1">
      <c r="A502" s="2" t="s">
        <v>1964</v>
      </c>
      <c r="B502" s="2" t="s">
        <v>1966</v>
      </c>
      <c r="C502" s="2" t="s">
        <v>12</v>
      </c>
      <c r="D502" s="2" t="s">
        <v>160</v>
      </c>
      <c r="E502" s="2" t="s">
        <v>161</v>
      </c>
      <c r="F502" s="2">
        <v>98.0</v>
      </c>
      <c r="G502" s="2">
        <v>7.03</v>
      </c>
      <c r="H502" s="2">
        <v>13.9</v>
      </c>
      <c r="I502" s="2" t="s">
        <v>47</v>
      </c>
    </row>
    <row r="503" ht="15.75" customHeight="1">
      <c r="A503" s="2" t="s">
        <v>1974</v>
      </c>
      <c r="B503" s="2" t="s">
        <v>1975</v>
      </c>
      <c r="C503" s="2" t="s">
        <v>12</v>
      </c>
      <c r="D503" s="2" t="s">
        <v>90</v>
      </c>
      <c r="E503" s="2" t="s">
        <v>91</v>
      </c>
      <c r="F503" s="2">
        <v>469.0</v>
      </c>
      <c r="G503" s="2">
        <v>14.37</v>
      </c>
      <c r="H503" s="2">
        <v>32.6</v>
      </c>
      <c r="I503" s="2" t="s">
        <v>47</v>
      </c>
    </row>
    <row r="504" ht="15.75" customHeight="1">
      <c r="A504" s="2" t="s">
        <v>1978</v>
      </c>
      <c r="B504" s="2" t="s">
        <v>1979</v>
      </c>
      <c r="C504" s="2" t="s">
        <v>12</v>
      </c>
      <c r="D504" s="2" t="s">
        <v>90</v>
      </c>
      <c r="E504" s="2" t="s">
        <v>91</v>
      </c>
      <c r="F504" s="2">
        <v>208.0</v>
      </c>
      <c r="G504" s="2">
        <v>11.86</v>
      </c>
      <c r="H504" s="2">
        <v>17.5</v>
      </c>
      <c r="I504" s="2" t="s">
        <v>47</v>
      </c>
    </row>
    <row r="505" ht="15.75" customHeight="1">
      <c r="A505" s="2" t="s">
        <v>1983</v>
      </c>
      <c r="B505" s="2" t="s">
        <v>1984</v>
      </c>
      <c r="C505" s="2" t="s">
        <v>12</v>
      </c>
      <c r="D505" s="2" t="s">
        <v>43</v>
      </c>
      <c r="E505" s="2" t="s">
        <v>44</v>
      </c>
      <c r="F505" s="2">
        <v>185.0</v>
      </c>
      <c r="G505" s="2">
        <v>6.47</v>
      </c>
      <c r="H505" s="2">
        <v>28.6</v>
      </c>
      <c r="I505" s="2" t="s">
        <v>47</v>
      </c>
    </row>
    <row r="506" ht="15.75" customHeight="1">
      <c r="A506" s="2" t="s">
        <v>1986</v>
      </c>
      <c r="B506" s="2" t="s">
        <v>1988</v>
      </c>
      <c r="C506" s="2" t="s">
        <v>12</v>
      </c>
      <c r="D506" s="2" t="s">
        <v>66</v>
      </c>
      <c r="E506" s="2" t="s">
        <v>67</v>
      </c>
      <c r="F506" s="2">
        <v>74.0</v>
      </c>
      <c r="G506" s="2">
        <v>1.61</v>
      </c>
      <c r="H506" s="2">
        <v>46.0</v>
      </c>
      <c r="I506" s="2" t="s">
        <v>47</v>
      </c>
    </row>
    <row r="507" ht="15.75" customHeight="1">
      <c r="A507" s="2" t="s">
        <v>1991</v>
      </c>
      <c r="B507" s="2" t="s">
        <v>1992</v>
      </c>
      <c r="C507" s="2" t="s">
        <v>12</v>
      </c>
      <c r="D507" s="2" t="s">
        <v>66</v>
      </c>
      <c r="E507" s="2" t="s">
        <v>67</v>
      </c>
      <c r="F507" s="2">
        <v>141.0</v>
      </c>
      <c r="G507" s="2">
        <v>6.44</v>
      </c>
      <c r="H507" s="2">
        <v>21.9</v>
      </c>
      <c r="I507" s="2" t="s">
        <v>47</v>
      </c>
    </row>
    <row r="508" ht="15.75" customHeight="1">
      <c r="A508" s="2" t="s">
        <v>562</v>
      </c>
      <c r="B508" s="2" t="s">
        <v>565</v>
      </c>
      <c r="C508" s="2" t="s">
        <v>12</v>
      </c>
      <c r="D508" s="2" t="s">
        <v>80</v>
      </c>
      <c r="E508" s="2" t="s">
        <v>81</v>
      </c>
      <c r="F508" s="2">
        <v>994.0</v>
      </c>
      <c r="G508" s="2">
        <v>6.22</v>
      </c>
      <c r="H508" s="2">
        <v>159.8</v>
      </c>
      <c r="I508" s="2" t="s">
        <v>27</v>
      </c>
    </row>
    <row r="509" ht="15.75" customHeight="1">
      <c r="A509" s="2" t="s">
        <v>1996</v>
      </c>
      <c r="B509" s="2" t="s">
        <v>1999</v>
      </c>
      <c r="C509" s="2" t="s">
        <v>12</v>
      </c>
      <c r="D509" s="2" t="s">
        <v>98</v>
      </c>
      <c r="E509" s="2" t="s">
        <v>100</v>
      </c>
      <c r="F509" s="2">
        <v>117.0</v>
      </c>
      <c r="G509" s="2">
        <v>5.2</v>
      </c>
      <c r="H509" s="2">
        <v>22.5</v>
      </c>
      <c r="I509" s="2" t="s">
        <v>47</v>
      </c>
    </row>
    <row r="510" ht="15.75" customHeight="1">
      <c r="A510" s="2" t="s">
        <v>2000</v>
      </c>
      <c r="B510" s="2" t="s">
        <v>2002</v>
      </c>
      <c r="C510" s="2" t="s">
        <v>12</v>
      </c>
      <c r="D510" s="2" t="s">
        <v>52</v>
      </c>
      <c r="E510" s="2" t="s">
        <v>53</v>
      </c>
      <c r="F510" s="2">
        <v>44.0</v>
      </c>
      <c r="G510" s="2">
        <v>2.07</v>
      </c>
      <c r="H510" s="2">
        <v>21.3</v>
      </c>
      <c r="I510" s="2" t="s">
        <v>47</v>
      </c>
    </row>
    <row r="511" ht="15.75" customHeight="1">
      <c r="A511" s="2" t="s">
        <v>1653</v>
      </c>
      <c r="B511" s="2" t="s">
        <v>1656</v>
      </c>
      <c r="C511" s="2" t="s">
        <v>12</v>
      </c>
      <c r="D511" s="2" t="s">
        <v>52</v>
      </c>
      <c r="E511" s="2" t="s">
        <v>53</v>
      </c>
      <c r="F511" s="2">
        <v>108.0</v>
      </c>
      <c r="G511" s="2">
        <v>10.16</v>
      </c>
      <c r="H511" s="2">
        <v>10.6</v>
      </c>
      <c r="I511" s="2" t="s">
        <v>47</v>
      </c>
    </row>
    <row r="512" ht="15.75" customHeight="1">
      <c r="A512" s="2" t="s">
        <v>567</v>
      </c>
      <c r="B512" s="2" t="s">
        <v>569</v>
      </c>
      <c r="C512" s="2" t="s">
        <v>12</v>
      </c>
      <c r="D512" s="2" t="s">
        <v>80</v>
      </c>
      <c r="E512" s="2" t="s">
        <v>81</v>
      </c>
      <c r="F512" s="2">
        <v>507.0</v>
      </c>
      <c r="G512" s="2">
        <v>9.65</v>
      </c>
      <c r="H512" s="2">
        <v>52.5</v>
      </c>
      <c r="I512" s="2" t="s">
        <v>27</v>
      </c>
    </row>
    <row r="513" ht="15.75" customHeight="1">
      <c r="A513" s="2" t="s">
        <v>571</v>
      </c>
      <c r="B513" s="2" t="s">
        <v>573</v>
      </c>
      <c r="C513" s="2" t="s">
        <v>12</v>
      </c>
      <c r="D513" s="2" t="s">
        <v>174</v>
      </c>
      <c r="E513" s="2" t="s">
        <v>175</v>
      </c>
      <c r="F513" s="2">
        <v>558.0</v>
      </c>
      <c r="G513" s="2">
        <v>4.53</v>
      </c>
      <c r="H513" s="2">
        <v>123.2</v>
      </c>
      <c r="I513" s="2" t="s">
        <v>27</v>
      </c>
    </row>
    <row r="514" ht="15.75" customHeight="1">
      <c r="A514" s="2" t="s">
        <v>2004</v>
      </c>
      <c r="B514" s="2" t="s">
        <v>2006</v>
      </c>
      <c r="C514" s="2" t="s">
        <v>12</v>
      </c>
      <c r="D514" s="2" t="s">
        <v>250</v>
      </c>
      <c r="E514" s="2" t="s">
        <v>251</v>
      </c>
      <c r="F514" s="2">
        <v>115.0</v>
      </c>
      <c r="G514" s="2">
        <v>10.97</v>
      </c>
      <c r="H514" s="2">
        <v>10.5</v>
      </c>
      <c r="I514" s="2" t="s">
        <v>47</v>
      </c>
    </row>
    <row r="515" ht="15.75" customHeight="1">
      <c r="A515" s="2" t="s">
        <v>2010</v>
      </c>
      <c r="B515" s="2" t="s">
        <v>2012</v>
      </c>
      <c r="C515" s="2" t="s">
        <v>12</v>
      </c>
      <c r="D515" s="2" t="s">
        <v>98</v>
      </c>
      <c r="E515" s="2" t="s">
        <v>100</v>
      </c>
      <c r="F515" s="2">
        <v>88.0</v>
      </c>
      <c r="G515" s="2">
        <v>3.36</v>
      </c>
      <c r="H515" s="2">
        <v>26.2</v>
      </c>
      <c r="I515" s="2" t="s">
        <v>47</v>
      </c>
    </row>
    <row r="516" ht="15.75" customHeight="1">
      <c r="A516" s="2" t="s">
        <v>2020</v>
      </c>
      <c r="B516" s="2" t="s">
        <v>2021</v>
      </c>
      <c r="C516" s="2" t="s">
        <v>12</v>
      </c>
      <c r="D516" s="2" t="s">
        <v>174</v>
      </c>
      <c r="E516" s="2" t="s">
        <v>175</v>
      </c>
      <c r="F516" s="2">
        <v>86.0</v>
      </c>
      <c r="G516" s="2">
        <v>3.73</v>
      </c>
      <c r="H516" s="2">
        <v>23.1</v>
      </c>
      <c r="I516" s="2" t="s">
        <v>47</v>
      </c>
    </row>
    <row r="517" ht="15.75" customHeight="1">
      <c r="A517" s="2" t="s">
        <v>2015</v>
      </c>
      <c r="B517" s="2" t="s">
        <v>2017</v>
      </c>
      <c r="C517" s="2" t="s">
        <v>12</v>
      </c>
      <c r="D517" s="2" t="s">
        <v>73</v>
      </c>
      <c r="E517" s="2" t="s">
        <v>75</v>
      </c>
      <c r="F517" s="2">
        <v>186.0</v>
      </c>
      <c r="G517" s="2">
        <v>7.43</v>
      </c>
      <c r="H517" s="2">
        <v>25.0</v>
      </c>
      <c r="I517" s="2" t="s">
        <v>47</v>
      </c>
    </row>
    <row r="518" ht="15.75" customHeight="1">
      <c r="A518" s="2" t="s">
        <v>574</v>
      </c>
      <c r="B518" s="2" t="s">
        <v>575</v>
      </c>
      <c r="C518" s="2" t="s">
        <v>12</v>
      </c>
      <c r="D518" s="2" t="s">
        <v>204</v>
      </c>
      <c r="E518" s="2" t="s">
        <v>205</v>
      </c>
      <c r="F518" s="2">
        <v>659.0</v>
      </c>
      <c r="G518" s="2">
        <v>6.28</v>
      </c>
      <c r="H518" s="2">
        <v>104.9</v>
      </c>
      <c r="I518" s="2" t="s">
        <v>27</v>
      </c>
    </row>
    <row r="519" ht="15.75" customHeight="1">
      <c r="A519" s="2" t="s">
        <v>576</v>
      </c>
      <c r="B519" s="2" t="s">
        <v>577</v>
      </c>
      <c r="C519" s="2" t="s">
        <v>12</v>
      </c>
      <c r="D519" s="2" t="s">
        <v>174</v>
      </c>
      <c r="E519" s="2" t="s">
        <v>175</v>
      </c>
      <c r="F519" s="2">
        <v>1189.0</v>
      </c>
      <c r="G519" s="2">
        <v>17.3</v>
      </c>
      <c r="H519" s="2">
        <v>68.7</v>
      </c>
      <c r="I519" s="2" t="s">
        <v>27</v>
      </c>
    </row>
    <row r="520" ht="15.75" customHeight="1">
      <c r="A520" s="2" t="s">
        <v>580</v>
      </c>
      <c r="B520" s="2" t="s">
        <v>581</v>
      </c>
      <c r="C520" s="2" t="s">
        <v>12</v>
      </c>
      <c r="D520" s="2" t="s">
        <v>52</v>
      </c>
      <c r="E520" s="2" t="s">
        <v>53</v>
      </c>
      <c r="F520" s="2">
        <v>424.0</v>
      </c>
      <c r="G520" s="2">
        <v>2.9</v>
      </c>
      <c r="H520" s="2">
        <v>146.2</v>
      </c>
      <c r="I520" s="2" t="s">
        <v>47</v>
      </c>
    </row>
    <row r="521" ht="15.75" customHeight="1">
      <c r="A521" s="2" t="s">
        <v>2034</v>
      </c>
      <c r="B521" s="2" t="s">
        <v>2035</v>
      </c>
      <c r="C521" s="2" t="s">
        <v>12</v>
      </c>
      <c r="D521" s="2" t="s">
        <v>22</v>
      </c>
      <c r="E521" s="2" t="s">
        <v>23</v>
      </c>
      <c r="F521" s="2">
        <v>80.0</v>
      </c>
      <c r="G521" s="2">
        <v>1.92</v>
      </c>
      <c r="H521" s="2">
        <v>41.7</v>
      </c>
      <c r="I521" s="2" t="s">
        <v>47</v>
      </c>
    </row>
    <row r="522" ht="15.75" customHeight="1">
      <c r="A522" s="2" t="s">
        <v>584</v>
      </c>
      <c r="B522" s="2" t="s">
        <v>585</v>
      </c>
      <c r="C522" s="2" t="s">
        <v>12</v>
      </c>
      <c r="D522" s="2" t="s">
        <v>174</v>
      </c>
      <c r="E522" s="2" t="s">
        <v>175</v>
      </c>
      <c r="F522" s="2">
        <v>1943.0</v>
      </c>
      <c r="G522" s="2">
        <v>17.98</v>
      </c>
      <c r="H522" s="2">
        <v>108.1</v>
      </c>
      <c r="I522" s="2" t="s">
        <v>27</v>
      </c>
    </row>
    <row r="523" ht="15.75" customHeight="1">
      <c r="A523" s="2" t="s">
        <v>588</v>
      </c>
      <c r="B523" s="2" t="s">
        <v>589</v>
      </c>
      <c r="C523" s="2" t="s">
        <v>12</v>
      </c>
      <c r="D523" s="2" t="s">
        <v>152</v>
      </c>
      <c r="E523" s="2" t="s">
        <v>153</v>
      </c>
      <c r="F523" s="2">
        <v>602.0</v>
      </c>
      <c r="G523" s="2">
        <v>8.45</v>
      </c>
      <c r="H523" s="2">
        <v>71.2</v>
      </c>
      <c r="I523" s="2" t="s">
        <v>27</v>
      </c>
    </row>
    <row r="524" ht="15.75" customHeight="1">
      <c r="A524" s="2" t="s">
        <v>590</v>
      </c>
      <c r="B524" s="2" t="s">
        <v>591</v>
      </c>
      <c r="C524" s="2" t="s">
        <v>12</v>
      </c>
      <c r="D524" s="2" t="s">
        <v>145</v>
      </c>
      <c r="E524" s="2" t="s">
        <v>146</v>
      </c>
      <c r="F524" s="2">
        <v>848.0</v>
      </c>
      <c r="G524" s="2">
        <v>8.07</v>
      </c>
      <c r="H524" s="2">
        <v>105.1</v>
      </c>
      <c r="I524" s="2" t="s">
        <v>27</v>
      </c>
    </row>
    <row r="525" ht="15.75" customHeight="1">
      <c r="A525" s="2" t="s">
        <v>2061</v>
      </c>
      <c r="B525" s="2" t="s">
        <v>2062</v>
      </c>
      <c r="C525" s="2" t="s">
        <v>12</v>
      </c>
      <c r="D525" s="2" t="s">
        <v>66</v>
      </c>
      <c r="E525" s="2" t="s">
        <v>67</v>
      </c>
      <c r="F525" s="2">
        <v>121.0</v>
      </c>
      <c r="G525" s="2">
        <v>4.5</v>
      </c>
      <c r="H525" s="2">
        <v>26.9</v>
      </c>
      <c r="I525" s="2" t="s">
        <v>47</v>
      </c>
    </row>
    <row r="526" ht="15.75" customHeight="1">
      <c r="A526" s="2" t="s">
        <v>2064</v>
      </c>
      <c r="B526" s="2" t="s">
        <v>2066</v>
      </c>
      <c r="C526" s="2" t="s">
        <v>12</v>
      </c>
      <c r="D526" s="2" t="s">
        <v>73</v>
      </c>
      <c r="E526" s="2" t="s">
        <v>75</v>
      </c>
      <c r="F526" s="2">
        <v>116.0</v>
      </c>
      <c r="G526" s="2">
        <v>3.67</v>
      </c>
      <c r="H526" s="2">
        <v>31.6</v>
      </c>
      <c r="I526" s="2" t="s">
        <v>47</v>
      </c>
    </row>
    <row r="527" ht="15.75" customHeight="1">
      <c r="A527" s="2" t="s">
        <v>2068</v>
      </c>
      <c r="B527" s="2" t="s">
        <v>2069</v>
      </c>
      <c r="C527" s="2" t="s">
        <v>12</v>
      </c>
      <c r="D527" s="2" t="s">
        <v>80</v>
      </c>
      <c r="E527" s="2" t="s">
        <v>81</v>
      </c>
      <c r="F527" s="2">
        <v>170.0</v>
      </c>
      <c r="G527" s="2">
        <v>6.47</v>
      </c>
      <c r="H527" s="2">
        <v>26.3</v>
      </c>
      <c r="I527" s="2" t="s">
        <v>47</v>
      </c>
    </row>
    <row r="528" ht="15.75" customHeight="1">
      <c r="A528" s="2" t="s">
        <v>2072</v>
      </c>
      <c r="B528" s="2" t="s">
        <v>2073</v>
      </c>
      <c r="C528" s="2" t="s">
        <v>12</v>
      </c>
      <c r="D528" s="2" t="s">
        <v>52</v>
      </c>
      <c r="E528" s="2" t="s">
        <v>53</v>
      </c>
      <c r="F528" s="2">
        <v>225.0</v>
      </c>
      <c r="G528" s="2">
        <v>31.6</v>
      </c>
      <c r="H528" s="2">
        <v>7.1</v>
      </c>
      <c r="I528" s="2" t="s">
        <v>47</v>
      </c>
    </row>
    <row r="529" ht="15.75" customHeight="1">
      <c r="A529" s="2" t="s">
        <v>594</v>
      </c>
      <c r="B529" s="2" t="s">
        <v>595</v>
      </c>
      <c r="C529" s="2" t="s">
        <v>12</v>
      </c>
      <c r="D529" s="2" t="s">
        <v>686</v>
      </c>
      <c r="E529" s="2" t="s">
        <v>691</v>
      </c>
      <c r="F529" s="2">
        <v>2134.0</v>
      </c>
      <c r="G529" s="2">
        <v>24.1</v>
      </c>
      <c r="H529" s="2">
        <v>88.5</v>
      </c>
      <c r="I529" s="2" t="s">
        <v>138</v>
      </c>
    </row>
    <row r="530" ht="15.75" customHeight="1">
      <c r="A530" s="2" t="s">
        <v>598</v>
      </c>
      <c r="B530" s="2" t="s">
        <v>599</v>
      </c>
      <c r="C530" s="2" t="s">
        <v>12</v>
      </c>
      <c r="D530" s="2" t="s">
        <v>174</v>
      </c>
      <c r="E530" s="2" t="s">
        <v>175</v>
      </c>
      <c r="F530" s="2">
        <v>1106.0</v>
      </c>
      <c r="G530" s="2">
        <v>6.91</v>
      </c>
      <c r="H530" s="2">
        <v>160.1</v>
      </c>
      <c r="I530" s="2" t="s">
        <v>27</v>
      </c>
    </row>
    <row r="531" ht="15.75" customHeight="1">
      <c r="A531" s="2" t="s">
        <v>2082</v>
      </c>
      <c r="B531" s="2" t="s">
        <v>2083</v>
      </c>
      <c r="C531" s="2" t="s">
        <v>12</v>
      </c>
      <c r="D531" s="2" t="s">
        <v>160</v>
      </c>
      <c r="E531" s="2" t="s">
        <v>161</v>
      </c>
      <c r="F531" s="2">
        <v>68.0</v>
      </c>
      <c r="G531" s="2">
        <v>5.48</v>
      </c>
      <c r="H531" s="2">
        <v>12.4</v>
      </c>
      <c r="I531" s="2" t="s">
        <v>47</v>
      </c>
    </row>
    <row r="532" ht="15.75" customHeight="1">
      <c r="A532" s="2" t="s">
        <v>2086</v>
      </c>
      <c r="B532" s="2" t="s">
        <v>2088</v>
      </c>
      <c r="C532" s="2" t="s">
        <v>12</v>
      </c>
      <c r="D532" s="2" t="s">
        <v>90</v>
      </c>
      <c r="E532" s="2" t="s">
        <v>91</v>
      </c>
      <c r="F532" s="2">
        <v>124.0</v>
      </c>
      <c r="G532" s="2">
        <v>5.19</v>
      </c>
      <c r="H532" s="2">
        <v>23.9</v>
      </c>
      <c r="I532" s="2" t="s">
        <v>47</v>
      </c>
    </row>
    <row r="533" ht="15.75" customHeight="1">
      <c r="A533" s="2" t="s">
        <v>602</v>
      </c>
      <c r="B533" s="2" t="s">
        <v>603</v>
      </c>
      <c r="C533" s="2" t="s">
        <v>12</v>
      </c>
      <c r="D533" s="2" t="s">
        <v>43</v>
      </c>
      <c r="E533" s="2" t="s">
        <v>44</v>
      </c>
      <c r="F533" s="2">
        <v>527.0</v>
      </c>
      <c r="G533" s="2">
        <v>16.69</v>
      </c>
      <c r="H533" s="2">
        <v>31.6</v>
      </c>
      <c r="I533" s="2" t="s">
        <v>27</v>
      </c>
    </row>
    <row r="534" ht="15.75" customHeight="1">
      <c r="A534" s="2" t="s">
        <v>604</v>
      </c>
      <c r="B534" s="2" t="s">
        <v>606</v>
      </c>
      <c r="C534" s="2" t="s">
        <v>12</v>
      </c>
      <c r="D534" s="2" t="s">
        <v>43</v>
      </c>
      <c r="E534" s="2" t="s">
        <v>44</v>
      </c>
      <c r="F534" s="2">
        <v>239.0</v>
      </c>
      <c r="G534" s="2">
        <v>8.05</v>
      </c>
      <c r="H534" s="2">
        <v>29.7</v>
      </c>
      <c r="I534" s="2" t="s">
        <v>47</v>
      </c>
    </row>
    <row r="535" ht="15.75" customHeight="1">
      <c r="A535" s="2" t="s">
        <v>2100</v>
      </c>
      <c r="B535" s="2" t="s">
        <v>2101</v>
      </c>
      <c r="C535" s="2" t="s">
        <v>12</v>
      </c>
      <c r="D535" s="2" t="s">
        <v>182</v>
      </c>
      <c r="E535" s="2" t="s">
        <v>184</v>
      </c>
      <c r="F535" s="2">
        <v>143.0</v>
      </c>
      <c r="G535" s="2">
        <v>3.49</v>
      </c>
      <c r="H535" s="2">
        <v>41.0</v>
      </c>
      <c r="I535" s="2" t="s">
        <v>47</v>
      </c>
    </row>
    <row r="536" ht="15.75" customHeight="1">
      <c r="A536" s="2" t="s">
        <v>2103</v>
      </c>
      <c r="B536" s="2" t="s">
        <v>2105</v>
      </c>
      <c r="C536" s="2" t="s">
        <v>12</v>
      </c>
      <c r="D536" s="2" t="s">
        <v>90</v>
      </c>
      <c r="E536" s="2" t="s">
        <v>91</v>
      </c>
      <c r="F536" s="2">
        <v>202.0</v>
      </c>
      <c r="G536" s="2">
        <v>9.25</v>
      </c>
      <c r="H536" s="2">
        <v>21.8</v>
      </c>
      <c r="I536" s="2" t="s">
        <v>47</v>
      </c>
    </row>
    <row r="537" ht="15.75" customHeight="1">
      <c r="A537" s="2" t="s">
        <v>2107</v>
      </c>
      <c r="B537" s="2" t="s">
        <v>2109</v>
      </c>
      <c r="C537" s="2" t="s">
        <v>12</v>
      </c>
      <c r="D537" s="2" t="s">
        <v>58</v>
      </c>
      <c r="E537" s="2" t="s">
        <v>59</v>
      </c>
      <c r="F537" s="2">
        <v>132.0</v>
      </c>
      <c r="G537" s="2">
        <v>7.23</v>
      </c>
      <c r="H537" s="2">
        <v>18.3</v>
      </c>
      <c r="I537" s="2" t="s">
        <v>47</v>
      </c>
    </row>
    <row r="538" ht="15.75" customHeight="1">
      <c r="A538" s="2" t="s">
        <v>608</v>
      </c>
      <c r="B538" s="2" t="s">
        <v>610</v>
      </c>
      <c r="C538" s="2" t="s">
        <v>12</v>
      </c>
      <c r="D538" s="2" t="s">
        <v>22</v>
      </c>
      <c r="E538" s="2" t="s">
        <v>23</v>
      </c>
      <c r="F538" s="2">
        <v>1109.0</v>
      </c>
      <c r="G538" s="2">
        <v>6.18</v>
      </c>
      <c r="H538" s="2">
        <v>179.4</v>
      </c>
      <c r="I538" s="2" t="s">
        <v>27</v>
      </c>
    </row>
    <row r="539" ht="15.75" customHeight="1">
      <c r="A539" s="2" t="s">
        <v>2119</v>
      </c>
      <c r="B539" s="2" t="s">
        <v>2120</v>
      </c>
      <c r="C539" s="2" t="s">
        <v>12</v>
      </c>
      <c r="D539" s="2" t="s">
        <v>152</v>
      </c>
      <c r="E539" s="2" t="s">
        <v>153</v>
      </c>
      <c r="F539" s="2">
        <v>269.0</v>
      </c>
      <c r="G539" s="2">
        <v>6.55</v>
      </c>
      <c r="H539" s="2">
        <v>41.1</v>
      </c>
      <c r="I539" s="2" t="s">
        <v>47</v>
      </c>
    </row>
    <row r="540" ht="15.75" customHeight="1">
      <c r="A540" s="2" t="s">
        <v>2123</v>
      </c>
      <c r="B540" s="2" t="s">
        <v>2124</v>
      </c>
      <c r="C540" s="2" t="s">
        <v>12</v>
      </c>
      <c r="D540" s="2" t="s">
        <v>90</v>
      </c>
      <c r="E540" s="2" t="s">
        <v>91</v>
      </c>
      <c r="F540" s="2">
        <v>176.0</v>
      </c>
      <c r="G540" s="2">
        <v>11.99</v>
      </c>
      <c r="H540" s="2">
        <v>14.7</v>
      </c>
      <c r="I540" s="2" t="s">
        <v>47</v>
      </c>
    </row>
    <row r="541" ht="15.75" customHeight="1">
      <c r="A541" s="2" t="s">
        <v>613</v>
      </c>
      <c r="B541" s="2" t="s">
        <v>615</v>
      </c>
      <c r="C541" s="2" t="s">
        <v>12</v>
      </c>
      <c r="D541" s="2" t="s">
        <v>58</v>
      </c>
      <c r="E541" s="2" t="s">
        <v>59</v>
      </c>
      <c r="F541" s="2">
        <v>438.0</v>
      </c>
      <c r="G541" s="2">
        <v>10.85</v>
      </c>
      <c r="H541" s="2">
        <v>40.4</v>
      </c>
      <c r="I541" s="2" t="s">
        <v>47</v>
      </c>
    </row>
    <row r="542" ht="15.75" customHeight="1">
      <c r="A542" s="2" t="s">
        <v>2130</v>
      </c>
      <c r="B542" s="2" t="s">
        <v>2132</v>
      </c>
      <c r="C542" s="2" t="s">
        <v>12</v>
      </c>
      <c r="D542" s="2" t="s">
        <v>145</v>
      </c>
      <c r="E542" s="2" t="s">
        <v>146</v>
      </c>
      <c r="F542" s="2">
        <v>169.0</v>
      </c>
      <c r="G542" s="2">
        <v>5.35</v>
      </c>
      <c r="H542" s="2">
        <v>31.6</v>
      </c>
      <c r="I542" s="2" t="s">
        <v>47</v>
      </c>
    </row>
    <row r="543" ht="15.75" customHeight="1">
      <c r="A543" s="2" t="s">
        <v>2135</v>
      </c>
      <c r="B543" s="2" t="s">
        <v>2136</v>
      </c>
      <c r="C543" s="2" t="s">
        <v>12</v>
      </c>
      <c r="D543" s="2" t="s">
        <v>145</v>
      </c>
      <c r="E543" s="2" t="s">
        <v>146</v>
      </c>
      <c r="F543" s="2">
        <v>660.0</v>
      </c>
      <c r="G543" s="2">
        <v>7.23</v>
      </c>
      <c r="H543" s="2">
        <v>91.3</v>
      </c>
      <c r="I543" s="2" t="s">
        <v>27</v>
      </c>
    </row>
    <row r="544" ht="15.75" customHeight="1">
      <c r="A544" s="2" t="s">
        <v>2139</v>
      </c>
      <c r="B544" s="2" t="s">
        <v>2140</v>
      </c>
      <c r="C544" s="2" t="s">
        <v>12</v>
      </c>
      <c r="D544" s="2" t="s">
        <v>52</v>
      </c>
      <c r="E544" s="2" t="s">
        <v>53</v>
      </c>
      <c r="F544" s="2">
        <v>490.0</v>
      </c>
      <c r="G544" s="2">
        <v>8.73</v>
      </c>
      <c r="H544" s="2">
        <v>56.1</v>
      </c>
      <c r="I544" s="2" t="s">
        <v>47</v>
      </c>
    </row>
    <row r="545" ht="15.75" customHeight="1">
      <c r="A545" s="2" t="s">
        <v>2143</v>
      </c>
      <c r="B545" s="2" t="s">
        <v>2144</v>
      </c>
      <c r="C545" s="2" t="s">
        <v>12</v>
      </c>
      <c r="D545" s="2" t="s">
        <v>182</v>
      </c>
      <c r="E545" s="2" t="s">
        <v>184</v>
      </c>
      <c r="F545" s="2">
        <v>53.0</v>
      </c>
      <c r="G545" s="2">
        <v>2.41</v>
      </c>
      <c r="H545" s="2">
        <v>22.0</v>
      </c>
      <c r="I545" s="2" t="s">
        <v>47</v>
      </c>
    </row>
    <row r="546" ht="15.75" customHeight="1">
      <c r="A546" s="2" t="s">
        <v>617</v>
      </c>
      <c r="B546" s="2" t="s">
        <v>619</v>
      </c>
      <c r="C546" s="2" t="s">
        <v>12</v>
      </c>
      <c r="D546" s="2" t="s">
        <v>80</v>
      </c>
      <c r="E546" s="2" t="s">
        <v>81</v>
      </c>
      <c r="F546" s="2">
        <v>1587.0</v>
      </c>
      <c r="G546" s="2">
        <v>23.26</v>
      </c>
      <c r="H546" s="2">
        <v>68.2</v>
      </c>
      <c r="I546" s="2" t="s">
        <v>27</v>
      </c>
    </row>
    <row r="547" ht="15.75" customHeight="1">
      <c r="A547" s="2" t="s">
        <v>620</v>
      </c>
      <c r="B547" s="2" t="s">
        <v>621</v>
      </c>
      <c r="C547" s="2" t="s">
        <v>12</v>
      </c>
      <c r="D547" s="2" t="s">
        <v>152</v>
      </c>
      <c r="E547" s="2" t="s">
        <v>153</v>
      </c>
      <c r="F547" s="2">
        <v>1354.0</v>
      </c>
      <c r="G547" s="2">
        <v>16.35</v>
      </c>
      <c r="H547" s="2">
        <v>82.8</v>
      </c>
      <c r="I547" s="2" t="s">
        <v>27</v>
      </c>
    </row>
    <row r="548" ht="15.75" customHeight="1">
      <c r="A548" s="2" t="s">
        <v>2159</v>
      </c>
      <c r="B548" s="2" t="s">
        <v>2161</v>
      </c>
      <c r="C548" s="2" t="s">
        <v>12</v>
      </c>
      <c r="D548" s="2" t="s">
        <v>35</v>
      </c>
      <c r="E548" s="2" t="s">
        <v>36</v>
      </c>
      <c r="F548" s="2">
        <v>325.0</v>
      </c>
      <c r="G548" s="2">
        <v>5.24</v>
      </c>
      <c r="H548" s="2">
        <v>62.0</v>
      </c>
      <c r="I548" s="2" t="s">
        <v>47</v>
      </c>
    </row>
    <row r="549" ht="15.75" customHeight="1">
      <c r="A549" s="2" t="s">
        <v>2163</v>
      </c>
      <c r="B549" s="2" t="s">
        <v>2165</v>
      </c>
      <c r="C549" s="2" t="s">
        <v>12</v>
      </c>
      <c r="D549" s="2" t="s">
        <v>73</v>
      </c>
      <c r="E549" s="2" t="s">
        <v>75</v>
      </c>
      <c r="F549" s="2">
        <v>92.0</v>
      </c>
      <c r="G549" s="2">
        <v>9.15</v>
      </c>
      <c r="H549" s="2">
        <v>10.1</v>
      </c>
      <c r="I549" s="2" t="s">
        <v>47</v>
      </c>
    </row>
    <row r="550" ht="15.75" customHeight="1">
      <c r="A550" s="2" t="s">
        <v>2170</v>
      </c>
      <c r="B550" s="2" t="s">
        <v>2172</v>
      </c>
      <c r="C550" s="2" t="s">
        <v>12</v>
      </c>
      <c r="D550" s="2" t="s">
        <v>66</v>
      </c>
      <c r="E550" s="2" t="s">
        <v>67</v>
      </c>
      <c r="F550" s="2">
        <v>80.0</v>
      </c>
      <c r="G550" s="2">
        <v>4.35</v>
      </c>
      <c r="H550" s="2">
        <v>18.4</v>
      </c>
      <c r="I550" s="2" t="s">
        <v>47</v>
      </c>
    </row>
    <row r="551" ht="15.75" customHeight="1">
      <c r="A551" s="2" t="s">
        <v>2175</v>
      </c>
      <c r="B551" s="2" t="s">
        <v>2176</v>
      </c>
      <c r="C551" s="2" t="s">
        <v>12</v>
      </c>
      <c r="D551" s="2" t="s">
        <v>98</v>
      </c>
      <c r="E551" s="2" t="s">
        <v>100</v>
      </c>
      <c r="F551" s="2">
        <v>131.0</v>
      </c>
      <c r="G551" s="2">
        <v>7.24</v>
      </c>
      <c r="H551" s="2">
        <v>18.1</v>
      </c>
      <c r="I551" s="2" t="s">
        <v>47</v>
      </c>
    </row>
    <row r="552" ht="15.75" customHeight="1">
      <c r="A552" s="2" t="s">
        <v>624</v>
      </c>
      <c r="B552" s="2" t="s">
        <v>625</v>
      </c>
      <c r="C552" s="2" t="s">
        <v>12</v>
      </c>
      <c r="D552" s="2" t="s">
        <v>98</v>
      </c>
      <c r="E552" s="2" t="s">
        <v>100</v>
      </c>
      <c r="F552" s="2">
        <v>785.0</v>
      </c>
      <c r="G552" s="2">
        <v>15.09</v>
      </c>
      <c r="H552" s="2">
        <v>52.0</v>
      </c>
      <c r="I552" s="2" t="s">
        <v>27</v>
      </c>
    </row>
    <row r="553" ht="15.75" customHeight="1">
      <c r="A553" s="2" t="s">
        <v>2185</v>
      </c>
      <c r="B553" s="2" t="s">
        <v>2186</v>
      </c>
      <c r="C553" s="2" t="s">
        <v>12</v>
      </c>
      <c r="D553" s="2" t="s">
        <v>73</v>
      </c>
      <c r="E553" s="2" t="s">
        <v>75</v>
      </c>
      <c r="F553" s="2">
        <v>309.0</v>
      </c>
      <c r="G553" s="2">
        <v>5.15</v>
      </c>
      <c r="H553" s="2">
        <v>60.0</v>
      </c>
      <c r="I553" s="2" t="s">
        <v>47</v>
      </c>
    </row>
    <row r="554" ht="15.75" customHeight="1">
      <c r="A554" s="2" t="s">
        <v>2189</v>
      </c>
      <c r="B554" s="2" t="s">
        <v>2190</v>
      </c>
      <c r="C554" s="2" t="s">
        <v>12</v>
      </c>
      <c r="D554" s="2" t="s">
        <v>66</v>
      </c>
      <c r="E554" s="2" t="s">
        <v>67</v>
      </c>
      <c r="F554" s="2">
        <v>80.0</v>
      </c>
      <c r="G554" s="2">
        <v>7.1</v>
      </c>
      <c r="H554" s="2">
        <v>11.3</v>
      </c>
      <c r="I554" s="2" t="s">
        <v>47</v>
      </c>
    </row>
    <row r="555" ht="15.75" customHeight="1">
      <c r="A555" s="2" t="s">
        <v>2193</v>
      </c>
      <c r="B555" s="2" t="s">
        <v>2195</v>
      </c>
      <c r="C555" s="2" t="s">
        <v>12</v>
      </c>
      <c r="D555" s="2" t="s">
        <v>66</v>
      </c>
      <c r="E555" s="2" t="s">
        <v>67</v>
      </c>
      <c r="F555" s="2">
        <v>60.0</v>
      </c>
      <c r="G555" s="2">
        <v>6.22</v>
      </c>
      <c r="H555" s="2">
        <v>9.6</v>
      </c>
      <c r="I555" s="2" t="s">
        <v>47</v>
      </c>
    </row>
    <row r="556" ht="15.75" customHeight="1">
      <c r="A556" s="2" t="s">
        <v>2198</v>
      </c>
      <c r="B556" s="2" t="s">
        <v>2200</v>
      </c>
      <c r="C556" s="2" t="s">
        <v>12</v>
      </c>
      <c r="D556" s="2" t="s">
        <v>250</v>
      </c>
      <c r="E556" s="2" t="s">
        <v>251</v>
      </c>
      <c r="F556" s="2">
        <v>114.0</v>
      </c>
      <c r="G556" s="2">
        <v>1.96</v>
      </c>
      <c r="H556" s="2">
        <v>58.2</v>
      </c>
      <c r="I556" s="2" t="s">
        <v>47</v>
      </c>
    </row>
    <row r="557" ht="15.75" customHeight="1">
      <c r="A557" s="2" t="s">
        <v>2203</v>
      </c>
      <c r="B557" s="2" t="s">
        <v>2204</v>
      </c>
      <c r="C557" s="2" t="s">
        <v>12</v>
      </c>
      <c r="D557" s="2" t="s">
        <v>98</v>
      </c>
      <c r="E557" s="2" t="s">
        <v>100</v>
      </c>
      <c r="F557" s="2">
        <v>245.0</v>
      </c>
      <c r="G557" s="2">
        <v>10.63</v>
      </c>
      <c r="H557" s="2">
        <v>23.0</v>
      </c>
      <c r="I557" s="2" t="s">
        <v>47</v>
      </c>
    </row>
    <row r="558" ht="15.75" customHeight="1">
      <c r="A558" s="2" t="s">
        <v>2207</v>
      </c>
      <c r="B558" s="2" t="s">
        <v>2208</v>
      </c>
      <c r="C558" s="2" t="s">
        <v>12</v>
      </c>
      <c r="D558" s="2" t="s">
        <v>160</v>
      </c>
      <c r="E558" s="2" t="s">
        <v>161</v>
      </c>
      <c r="F558" s="2">
        <v>143.0</v>
      </c>
      <c r="G558" s="2">
        <v>10.27</v>
      </c>
      <c r="H558" s="2">
        <v>13.9</v>
      </c>
      <c r="I558" s="2" t="s">
        <v>47</v>
      </c>
    </row>
    <row r="559" ht="15.75" customHeight="1">
      <c r="A559" s="2" t="s">
        <v>2211</v>
      </c>
      <c r="B559" s="2" t="s">
        <v>2212</v>
      </c>
      <c r="C559" s="2" t="s">
        <v>12</v>
      </c>
      <c r="D559" s="2" t="s">
        <v>182</v>
      </c>
      <c r="E559" s="2" t="s">
        <v>184</v>
      </c>
      <c r="F559" s="2">
        <v>353.0</v>
      </c>
      <c r="G559" s="2">
        <v>9.07</v>
      </c>
      <c r="H559" s="2">
        <v>38.9</v>
      </c>
      <c r="I559" s="2" t="s">
        <v>47</v>
      </c>
    </row>
    <row r="560" ht="15.75" customHeight="1">
      <c r="A560" s="2" t="s">
        <v>2215</v>
      </c>
      <c r="B560" s="2" t="s">
        <v>2216</v>
      </c>
      <c r="C560" s="2" t="s">
        <v>12</v>
      </c>
      <c r="D560" s="2" t="s">
        <v>66</v>
      </c>
      <c r="E560" s="2" t="s">
        <v>67</v>
      </c>
      <c r="F560" s="2">
        <v>66.0</v>
      </c>
      <c r="G560" s="2">
        <v>2.4</v>
      </c>
      <c r="H560" s="2">
        <v>27.5</v>
      </c>
      <c r="I560" s="2" t="s">
        <v>47</v>
      </c>
    </row>
    <row r="561" ht="15.75" customHeight="1">
      <c r="A561" s="2" t="s">
        <v>2219</v>
      </c>
      <c r="B561" s="2" t="s">
        <v>2221</v>
      </c>
      <c r="C561" s="2" t="s">
        <v>12</v>
      </c>
      <c r="D561" s="2" t="s">
        <v>73</v>
      </c>
      <c r="E561" s="2" t="s">
        <v>75</v>
      </c>
      <c r="F561" s="2">
        <v>367.0</v>
      </c>
      <c r="G561" s="2">
        <v>9.69</v>
      </c>
      <c r="H561" s="2">
        <v>37.9</v>
      </c>
      <c r="I561" s="2" t="s">
        <v>47</v>
      </c>
    </row>
    <row r="562" ht="15.75" customHeight="1">
      <c r="A562" s="2" t="s">
        <v>2224</v>
      </c>
      <c r="B562" s="2" t="s">
        <v>2226</v>
      </c>
      <c r="C562" s="2" t="s">
        <v>12</v>
      </c>
      <c r="D562" s="2" t="s">
        <v>174</v>
      </c>
      <c r="E562" s="2" t="s">
        <v>175</v>
      </c>
      <c r="F562" s="2">
        <v>174.0</v>
      </c>
      <c r="G562" s="2">
        <v>13.05</v>
      </c>
      <c r="H562" s="2">
        <v>13.3</v>
      </c>
      <c r="I562" s="2" t="s">
        <v>47</v>
      </c>
    </row>
    <row r="563" ht="15.75" customHeight="1">
      <c r="A563" s="2" t="s">
        <v>2229</v>
      </c>
      <c r="B563" s="2" t="s">
        <v>2230</v>
      </c>
      <c r="C563" s="2" t="s">
        <v>12</v>
      </c>
      <c r="D563" s="2" t="s">
        <v>43</v>
      </c>
      <c r="E563" s="2" t="s">
        <v>44</v>
      </c>
      <c r="F563" s="2">
        <v>142.0</v>
      </c>
      <c r="G563" s="2">
        <v>6.93</v>
      </c>
      <c r="H563" s="2">
        <v>20.5</v>
      </c>
      <c r="I563" s="2" t="s">
        <v>47</v>
      </c>
    </row>
    <row r="564" ht="15.75" customHeight="1">
      <c r="A564" s="2" t="s">
        <v>2233</v>
      </c>
      <c r="B564" s="2" t="s">
        <v>2234</v>
      </c>
      <c r="C564" s="2" t="s">
        <v>12</v>
      </c>
      <c r="D564" s="2" t="s">
        <v>80</v>
      </c>
      <c r="E564" s="2" t="s">
        <v>81</v>
      </c>
      <c r="F564" s="2">
        <v>191.0</v>
      </c>
      <c r="G564" s="2">
        <v>15.84</v>
      </c>
      <c r="H564" s="2">
        <v>12.1</v>
      </c>
      <c r="I564" s="2" t="s">
        <v>47</v>
      </c>
    </row>
    <row r="565" ht="15.75" customHeight="1">
      <c r="A565" s="2" t="s">
        <v>628</v>
      </c>
      <c r="B565" s="2" t="s">
        <v>629</v>
      </c>
      <c r="C565" s="2" t="s">
        <v>12</v>
      </c>
      <c r="D565" s="2" t="s">
        <v>35</v>
      </c>
      <c r="E565" s="2" t="s">
        <v>36</v>
      </c>
      <c r="F565" s="2">
        <v>1100.0</v>
      </c>
      <c r="G565" s="2">
        <v>3.01</v>
      </c>
      <c r="H565" s="2">
        <v>365.4</v>
      </c>
      <c r="I565" s="2" t="s">
        <v>27</v>
      </c>
    </row>
    <row r="566" ht="15.75" customHeight="1">
      <c r="A566" s="2" t="s">
        <v>2239</v>
      </c>
      <c r="B566" s="2" t="s">
        <v>2240</v>
      </c>
      <c r="C566" s="2" t="s">
        <v>12</v>
      </c>
      <c r="D566" s="2" t="s">
        <v>90</v>
      </c>
      <c r="E566" s="2" t="s">
        <v>91</v>
      </c>
      <c r="F566" s="2">
        <v>131.0</v>
      </c>
      <c r="G566" s="2">
        <v>3.55</v>
      </c>
      <c r="H566" s="2">
        <v>36.9</v>
      </c>
      <c r="I566" s="2" t="s">
        <v>47</v>
      </c>
    </row>
    <row r="567" ht="15.75" customHeight="1">
      <c r="A567" s="2" t="s">
        <v>2243</v>
      </c>
      <c r="B567" s="2" t="s">
        <v>2245</v>
      </c>
      <c r="C567" s="2" t="s">
        <v>12</v>
      </c>
      <c r="D567" s="2" t="s">
        <v>174</v>
      </c>
      <c r="E567" s="2" t="s">
        <v>175</v>
      </c>
      <c r="F567" s="2">
        <v>139.0</v>
      </c>
      <c r="G567" s="2">
        <v>3.79</v>
      </c>
      <c r="H567" s="2">
        <v>36.7</v>
      </c>
      <c r="I567" s="2" t="s">
        <v>47</v>
      </c>
    </row>
    <row r="568" ht="15.75" customHeight="1">
      <c r="A568" s="2" t="s">
        <v>630</v>
      </c>
      <c r="B568" s="2" t="s">
        <v>631</v>
      </c>
      <c r="C568" s="2" t="s">
        <v>12</v>
      </c>
      <c r="D568" s="2" t="s">
        <v>686</v>
      </c>
      <c r="E568" s="2" t="s">
        <v>691</v>
      </c>
      <c r="F568" s="2">
        <v>745.0</v>
      </c>
      <c r="G568" s="2">
        <v>5.39</v>
      </c>
      <c r="H568" s="2">
        <v>138.2</v>
      </c>
      <c r="I568" s="2" t="s">
        <v>27</v>
      </c>
    </row>
    <row r="569" ht="15.75" customHeight="1">
      <c r="A569" s="2" t="s">
        <v>634</v>
      </c>
      <c r="B569" s="2" t="s">
        <v>636</v>
      </c>
      <c r="C569" s="2" t="s">
        <v>12</v>
      </c>
      <c r="D569" s="2" t="s">
        <v>90</v>
      </c>
      <c r="E569" s="2" t="s">
        <v>91</v>
      </c>
      <c r="F569" s="2">
        <v>682.0</v>
      </c>
      <c r="G569" s="2">
        <v>9.8</v>
      </c>
      <c r="H569" s="2">
        <v>69.6</v>
      </c>
      <c r="I569" s="2" t="s">
        <v>27</v>
      </c>
    </row>
    <row r="570" ht="15.75" customHeight="1">
      <c r="A570" s="2" t="s">
        <v>2900</v>
      </c>
      <c r="B570" s="2" t="s">
        <v>2902</v>
      </c>
      <c r="C570" s="2" t="s">
        <v>12</v>
      </c>
      <c r="D570" s="2" t="s">
        <v>58</v>
      </c>
      <c r="E570" s="2" t="s">
        <v>59</v>
      </c>
      <c r="F570" s="2">
        <v>155.0</v>
      </c>
      <c r="G570" s="2">
        <v>5.2</v>
      </c>
      <c r="H570" s="2">
        <v>29.8</v>
      </c>
      <c r="I570" s="2" t="s">
        <v>47</v>
      </c>
    </row>
    <row r="571" ht="15.75" customHeight="1">
      <c r="A571" s="2" t="s">
        <v>2253</v>
      </c>
      <c r="B571" s="2" t="s">
        <v>2254</v>
      </c>
      <c r="C571" s="2" t="s">
        <v>12</v>
      </c>
      <c r="D571" s="2" t="s">
        <v>22</v>
      </c>
      <c r="E571" s="2" t="s">
        <v>23</v>
      </c>
      <c r="F571" s="2">
        <v>250.0</v>
      </c>
      <c r="G571" s="2">
        <v>7.59</v>
      </c>
      <c r="H571" s="2">
        <v>32.9</v>
      </c>
      <c r="I571" s="2" t="s">
        <v>47</v>
      </c>
    </row>
    <row r="572" ht="15.75" customHeight="1">
      <c r="A572" s="2" t="s">
        <v>2257</v>
      </c>
      <c r="B572" s="2" t="s">
        <v>2259</v>
      </c>
      <c r="C572" s="2" t="s">
        <v>12</v>
      </c>
      <c r="D572" s="2" t="s">
        <v>43</v>
      </c>
      <c r="E572" s="2" t="s">
        <v>44</v>
      </c>
      <c r="F572" s="2">
        <v>341.0</v>
      </c>
      <c r="G572" s="2">
        <v>10.65</v>
      </c>
      <c r="H572" s="2">
        <v>32.0</v>
      </c>
      <c r="I572" s="2" t="s">
        <v>47</v>
      </c>
    </row>
    <row r="573" ht="15.75" customHeight="1">
      <c r="A573" s="2" t="s">
        <v>2261</v>
      </c>
      <c r="B573" s="2" t="s">
        <v>2262</v>
      </c>
      <c r="C573" s="2" t="s">
        <v>12</v>
      </c>
      <c r="D573" s="2" t="s">
        <v>52</v>
      </c>
      <c r="E573" s="2" t="s">
        <v>53</v>
      </c>
      <c r="F573" s="2">
        <v>173.0</v>
      </c>
      <c r="G573" s="2">
        <v>7.44</v>
      </c>
      <c r="H573" s="2">
        <v>23.3</v>
      </c>
      <c r="I573" s="2" t="s">
        <v>47</v>
      </c>
    </row>
    <row r="574" ht="15.75" customHeight="1">
      <c r="A574" s="2" t="s">
        <v>639</v>
      </c>
      <c r="B574" s="2" t="s">
        <v>640</v>
      </c>
      <c r="C574" s="2" t="s">
        <v>12</v>
      </c>
      <c r="D574" s="2" t="s">
        <v>134</v>
      </c>
      <c r="E574" s="2" t="s">
        <v>135</v>
      </c>
      <c r="F574" s="2">
        <v>1637.0</v>
      </c>
      <c r="G574" s="2">
        <v>9.69</v>
      </c>
      <c r="H574" s="2">
        <v>168.9</v>
      </c>
      <c r="I574" s="2" t="s">
        <v>27</v>
      </c>
    </row>
    <row r="575" ht="15.75" customHeight="1">
      <c r="A575" s="2" t="s">
        <v>2267</v>
      </c>
      <c r="B575" s="2" t="s">
        <v>2268</v>
      </c>
      <c r="C575" s="2" t="s">
        <v>12</v>
      </c>
      <c r="D575" s="2" t="s">
        <v>869</v>
      </c>
      <c r="E575" s="2" t="s">
        <v>870</v>
      </c>
      <c r="F575" s="2">
        <v>78.0</v>
      </c>
      <c r="G575" s="2">
        <v>2.44</v>
      </c>
      <c r="H575" s="2">
        <v>32.0</v>
      </c>
      <c r="I575" s="2" t="s">
        <v>47</v>
      </c>
    </row>
    <row r="576" ht="15.75" customHeight="1">
      <c r="A576" s="2" t="s">
        <v>2271</v>
      </c>
      <c r="B576" s="2" t="s">
        <v>2272</v>
      </c>
      <c r="C576" s="2" t="s">
        <v>12</v>
      </c>
      <c r="D576" s="2" t="s">
        <v>80</v>
      </c>
      <c r="E576" s="2" t="s">
        <v>81</v>
      </c>
      <c r="F576" s="2">
        <v>186.0</v>
      </c>
      <c r="G576" s="2">
        <v>6.1</v>
      </c>
      <c r="H576" s="2">
        <v>30.5</v>
      </c>
      <c r="I576" s="2" t="s">
        <v>47</v>
      </c>
    </row>
    <row r="577" ht="15.75" customHeight="1">
      <c r="A577" s="2" t="s">
        <v>2279</v>
      </c>
      <c r="B577" s="2" t="s">
        <v>2281</v>
      </c>
      <c r="C577" s="2" t="s">
        <v>12</v>
      </c>
      <c r="D577" s="2" t="s">
        <v>35</v>
      </c>
      <c r="E577" s="2" t="s">
        <v>36</v>
      </c>
      <c r="F577" s="2">
        <v>100.0</v>
      </c>
      <c r="G577" s="2">
        <v>2.88</v>
      </c>
      <c r="H577" s="2">
        <v>34.7</v>
      </c>
      <c r="I577" s="2" t="s">
        <v>47</v>
      </c>
    </row>
    <row r="578" ht="15.75" customHeight="1">
      <c r="A578" s="2" t="s">
        <v>642</v>
      </c>
      <c r="B578" s="2" t="s">
        <v>643</v>
      </c>
      <c r="C578" s="2" t="s">
        <v>12</v>
      </c>
      <c r="D578" s="2" t="s">
        <v>250</v>
      </c>
      <c r="E578" s="2" t="s">
        <v>251</v>
      </c>
      <c r="F578" s="2">
        <v>432.0</v>
      </c>
      <c r="G578" s="2">
        <v>16.44</v>
      </c>
      <c r="H578" s="2">
        <v>26.3</v>
      </c>
      <c r="I578" s="2" t="s">
        <v>47</v>
      </c>
    </row>
    <row r="579" ht="15.75" customHeight="1">
      <c r="A579" s="2" t="s">
        <v>2286</v>
      </c>
      <c r="B579" s="2" t="s">
        <v>2288</v>
      </c>
      <c r="C579" s="2" t="s">
        <v>12</v>
      </c>
      <c r="D579" s="2" t="s">
        <v>66</v>
      </c>
      <c r="E579" s="2" t="s">
        <v>67</v>
      </c>
      <c r="F579" s="2">
        <v>24.0</v>
      </c>
      <c r="G579" s="2">
        <v>4.93</v>
      </c>
      <c r="H579" s="2">
        <v>4.9</v>
      </c>
      <c r="I579" s="2" t="s">
        <v>47</v>
      </c>
    </row>
    <row r="580" ht="15.75" customHeight="1">
      <c r="A580" s="2" t="s">
        <v>2291</v>
      </c>
      <c r="B580" s="2" t="s">
        <v>2292</v>
      </c>
      <c r="C580" s="2" t="s">
        <v>12</v>
      </c>
      <c r="D580" s="2" t="s">
        <v>35</v>
      </c>
      <c r="E580" s="2" t="s">
        <v>36</v>
      </c>
      <c r="F580" s="2">
        <v>726.0</v>
      </c>
      <c r="G580" s="2">
        <v>6.72</v>
      </c>
      <c r="H580" s="2">
        <v>108.0</v>
      </c>
      <c r="I580" s="2" t="s">
        <v>27</v>
      </c>
    </row>
    <row r="581" ht="15.75" customHeight="1">
      <c r="A581" s="2" t="s">
        <v>2296</v>
      </c>
      <c r="B581" s="2" t="s">
        <v>2298</v>
      </c>
      <c r="C581" s="2" t="s">
        <v>12</v>
      </c>
      <c r="D581" s="2" t="s">
        <v>73</v>
      </c>
      <c r="E581" s="2" t="s">
        <v>75</v>
      </c>
      <c r="F581" s="2">
        <v>115.0</v>
      </c>
      <c r="G581" s="2">
        <v>3.23</v>
      </c>
      <c r="H581" s="2">
        <v>35.6</v>
      </c>
      <c r="I581" s="2" t="s">
        <v>47</v>
      </c>
    </row>
    <row r="582" ht="15.75" customHeight="1">
      <c r="A582" s="2" t="s">
        <v>2311</v>
      </c>
      <c r="B582" s="2" t="s">
        <v>2313</v>
      </c>
      <c r="C582" s="2" t="s">
        <v>12</v>
      </c>
      <c r="D582" s="2" t="s">
        <v>134</v>
      </c>
      <c r="E582" s="2" t="s">
        <v>135</v>
      </c>
      <c r="F582" s="2">
        <v>176.0</v>
      </c>
      <c r="G582" s="2">
        <v>6.83</v>
      </c>
      <c r="H582" s="2">
        <v>25.8</v>
      </c>
      <c r="I582" s="2" t="s">
        <v>47</v>
      </c>
    </row>
    <row r="583" ht="15.75" customHeight="1">
      <c r="A583" s="2" t="s">
        <v>644</v>
      </c>
      <c r="B583" s="2" t="s">
        <v>645</v>
      </c>
      <c r="C583" s="2" t="s">
        <v>12</v>
      </c>
      <c r="D583" s="2" t="s">
        <v>52</v>
      </c>
      <c r="E583" s="2" t="s">
        <v>53</v>
      </c>
      <c r="F583" s="2">
        <v>605.0</v>
      </c>
      <c r="G583" s="2">
        <v>13.63</v>
      </c>
      <c r="H583" s="2">
        <v>44.4</v>
      </c>
      <c r="I583" s="2" t="s">
        <v>27</v>
      </c>
    </row>
    <row r="584" ht="15.75" customHeight="1">
      <c r="A584" s="2" t="s">
        <v>2303</v>
      </c>
      <c r="B584" s="2" t="s">
        <v>2304</v>
      </c>
      <c r="C584" s="2" t="s">
        <v>12</v>
      </c>
      <c r="D584" s="2" t="s">
        <v>204</v>
      </c>
      <c r="E584" s="2" t="s">
        <v>205</v>
      </c>
      <c r="F584" s="2">
        <v>290.0</v>
      </c>
      <c r="G584" s="2">
        <v>15.06</v>
      </c>
      <c r="H584" s="2">
        <v>19.3</v>
      </c>
      <c r="I584" s="2" t="s">
        <v>47</v>
      </c>
    </row>
    <row r="585" ht="15.75" customHeight="1">
      <c r="A585" s="2" t="s">
        <v>2307</v>
      </c>
      <c r="B585" s="2" t="s">
        <v>2308</v>
      </c>
      <c r="C585" s="2" t="s">
        <v>12</v>
      </c>
      <c r="D585" s="2" t="s">
        <v>204</v>
      </c>
      <c r="E585" s="2" t="s">
        <v>205</v>
      </c>
      <c r="F585" s="2">
        <v>353.0</v>
      </c>
      <c r="G585" s="2">
        <v>6.78</v>
      </c>
      <c r="H585" s="2">
        <v>52.1</v>
      </c>
      <c r="I585" s="2" t="s">
        <v>47</v>
      </c>
    </row>
    <row r="586" ht="15.75" customHeight="1">
      <c r="A586" s="2" t="s">
        <v>2315</v>
      </c>
      <c r="B586" s="2" t="s">
        <v>2317</v>
      </c>
      <c r="C586" s="2" t="s">
        <v>12</v>
      </c>
      <c r="D586" s="2" t="s">
        <v>43</v>
      </c>
      <c r="E586" s="2" t="s">
        <v>44</v>
      </c>
      <c r="F586" s="2">
        <v>490.0</v>
      </c>
      <c r="G586" s="2">
        <v>9.79</v>
      </c>
      <c r="H586" s="2">
        <v>50.1</v>
      </c>
      <c r="I586" s="2" t="s">
        <v>47</v>
      </c>
    </row>
    <row r="587" ht="15.75" customHeight="1">
      <c r="A587" s="2" t="s">
        <v>648</v>
      </c>
      <c r="B587" s="2" t="s">
        <v>649</v>
      </c>
      <c r="C587" s="2" t="s">
        <v>12</v>
      </c>
      <c r="D587" s="2" t="s">
        <v>73</v>
      </c>
      <c r="E587" s="2" t="s">
        <v>75</v>
      </c>
      <c r="F587" s="2">
        <v>320.0</v>
      </c>
      <c r="G587" s="2">
        <v>9.62</v>
      </c>
      <c r="H587" s="2">
        <v>33.3</v>
      </c>
      <c r="I587" s="2" t="s">
        <v>47</v>
      </c>
    </row>
    <row r="588" ht="15.75" customHeight="1">
      <c r="A588" s="2" t="s">
        <v>650</v>
      </c>
      <c r="B588" s="2" t="s">
        <v>651</v>
      </c>
      <c r="C588" s="2" t="s">
        <v>12</v>
      </c>
      <c r="D588" s="2" t="s">
        <v>182</v>
      </c>
      <c r="E588" s="2" t="s">
        <v>184</v>
      </c>
      <c r="F588" s="2">
        <v>401.0</v>
      </c>
      <c r="G588" s="2">
        <v>8.34</v>
      </c>
      <c r="H588" s="2">
        <v>48.1</v>
      </c>
      <c r="I588" s="2" t="s">
        <v>47</v>
      </c>
    </row>
    <row r="589" ht="15.75" customHeight="1">
      <c r="A589" s="2" t="s">
        <v>2334</v>
      </c>
      <c r="B589" s="2" t="s">
        <v>2336</v>
      </c>
      <c r="C589" s="2" t="s">
        <v>12</v>
      </c>
      <c r="D589" s="2" t="s">
        <v>174</v>
      </c>
      <c r="E589" s="2" t="s">
        <v>175</v>
      </c>
      <c r="F589" s="2">
        <v>56.0</v>
      </c>
      <c r="G589" s="2">
        <v>5.06</v>
      </c>
      <c r="H589" s="2">
        <v>11.1</v>
      </c>
      <c r="I589" s="2" t="s">
        <v>47</v>
      </c>
    </row>
    <row r="590" ht="15.75" customHeight="1">
      <c r="A590" s="2" t="s">
        <v>2341</v>
      </c>
      <c r="B590" s="2" t="s">
        <v>2342</v>
      </c>
      <c r="C590" s="2" t="s">
        <v>12</v>
      </c>
      <c r="D590" s="2" t="s">
        <v>250</v>
      </c>
      <c r="E590" s="2" t="s">
        <v>251</v>
      </c>
      <c r="F590" s="2">
        <v>94.0</v>
      </c>
      <c r="G590" s="2">
        <v>6.59</v>
      </c>
      <c r="H590" s="2">
        <v>14.3</v>
      </c>
      <c r="I590" s="2" t="s">
        <v>47</v>
      </c>
    </row>
    <row r="591" ht="15.75" customHeight="1">
      <c r="A591" s="2" t="s">
        <v>2345</v>
      </c>
      <c r="B591" s="2" t="s">
        <v>2346</v>
      </c>
      <c r="C591" s="2" t="s">
        <v>12</v>
      </c>
      <c r="D591" s="2" t="s">
        <v>58</v>
      </c>
      <c r="E591" s="2" t="s">
        <v>59</v>
      </c>
      <c r="F591" s="2">
        <v>276.0</v>
      </c>
      <c r="G591" s="2">
        <v>5.33</v>
      </c>
      <c r="H591" s="2">
        <v>51.8</v>
      </c>
      <c r="I591" s="2" t="s">
        <v>47</v>
      </c>
    </row>
    <row r="592" ht="15.75" customHeight="1">
      <c r="A592" s="2" t="s">
        <v>2349</v>
      </c>
      <c r="B592" s="2" t="s">
        <v>2350</v>
      </c>
      <c r="C592" s="2" t="s">
        <v>12</v>
      </c>
      <c r="D592" s="2" t="s">
        <v>58</v>
      </c>
      <c r="E592" s="2" t="s">
        <v>59</v>
      </c>
      <c r="F592" s="2">
        <v>146.0</v>
      </c>
      <c r="G592" s="2">
        <v>3.49</v>
      </c>
      <c r="H592" s="2">
        <v>41.8</v>
      </c>
      <c r="I592" s="2" t="s">
        <v>47</v>
      </c>
    </row>
    <row r="593" ht="15.75" customHeight="1">
      <c r="A593" s="2" t="s">
        <v>2353</v>
      </c>
      <c r="B593" s="2" t="s">
        <v>2355</v>
      </c>
      <c r="C593" s="2" t="s">
        <v>12</v>
      </c>
      <c r="D593" s="2" t="s">
        <v>52</v>
      </c>
      <c r="E593" s="2" t="s">
        <v>53</v>
      </c>
      <c r="F593" s="2">
        <v>346.0</v>
      </c>
      <c r="G593" s="2">
        <v>18.17</v>
      </c>
      <c r="H593" s="2">
        <v>19.0</v>
      </c>
      <c r="I593" s="2" t="s">
        <v>47</v>
      </c>
    </row>
    <row r="594" ht="15.75" customHeight="1">
      <c r="A594" s="2" t="s">
        <v>2357</v>
      </c>
      <c r="B594" s="2" t="s">
        <v>2359</v>
      </c>
      <c r="C594" s="2" t="s">
        <v>12</v>
      </c>
      <c r="D594" s="2" t="s">
        <v>52</v>
      </c>
      <c r="E594" s="2" t="s">
        <v>53</v>
      </c>
      <c r="F594" s="2">
        <v>136.0</v>
      </c>
      <c r="G594" s="2">
        <v>11.33</v>
      </c>
      <c r="H594" s="2">
        <v>12.0</v>
      </c>
      <c r="I594" s="2" t="s">
        <v>47</v>
      </c>
    </row>
    <row r="595" ht="15.75" customHeight="1">
      <c r="A595" s="2" t="s">
        <v>652</v>
      </c>
      <c r="B595" s="2" t="s">
        <v>654</v>
      </c>
      <c r="C595" s="2" t="s">
        <v>12</v>
      </c>
      <c r="D595" s="2" t="s">
        <v>204</v>
      </c>
      <c r="E595" s="2" t="s">
        <v>205</v>
      </c>
      <c r="F595" s="2">
        <v>683.0</v>
      </c>
      <c r="G595" s="2">
        <v>12.23</v>
      </c>
      <c r="H595" s="2">
        <v>55.8</v>
      </c>
      <c r="I595" s="2" t="s">
        <v>27</v>
      </c>
    </row>
    <row r="596" ht="15.75" customHeight="1">
      <c r="A596" s="2" t="s">
        <v>656</v>
      </c>
      <c r="B596" s="2" t="s">
        <v>657</v>
      </c>
      <c r="C596" s="2" t="s">
        <v>12</v>
      </c>
      <c r="D596" s="2" t="s">
        <v>134</v>
      </c>
      <c r="E596" s="2" t="s">
        <v>135</v>
      </c>
      <c r="F596" s="2">
        <v>594.0</v>
      </c>
      <c r="G596" s="2">
        <v>8.3</v>
      </c>
      <c r="H596" s="2">
        <v>71.6</v>
      </c>
      <c r="I596" s="2" t="s">
        <v>27</v>
      </c>
    </row>
    <row r="597" ht="15.75" customHeight="1">
      <c r="A597" s="2" t="s">
        <v>2361</v>
      </c>
      <c r="B597" s="2" t="s">
        <v>2364</v>
      </c>
      <c r="C597" s="2" t="s">
        <v>12</v>
      </c>
      <c r="D597" s="2" t="s">
        <v>90</v>
      </c>
      <c r="E597" s="2" t="s">
        <v>91</v>
      </c>
      <c r="F597" s="2">
        <v>219.0</v>
      </c>
      <c r="G597" s="2">
        <v>9.85</v>
      </c>
      <c r="H597" s="2">
        <v>22.2</v>
      </c>
      <c r="I597" s="2" t="s">
        <v>47</v>
      </c>
    </row>
    <row r="598" ht="15.75" customHeight="1">
      <c r="A598" s="2" t="s">
        <v>2367</v>
      </c>
      <c r="B598" s="2" t="s">
        <v>2368</v>
      </c>
      <c r="C598" s="2" t="s">
        <v>12</v>
      </c>
      <c r="D598" s="2" t="s">
        <v>250</v>
      </c>
      <c r="E598" s="2" t="s">
        <v>251</v>
      </c>
      <c r="F598" s="2">
        <v>331.0</v>
      </c>
      <c r="G598" s="2">
        <v>17.5</v>
      </c>
      <c r="H598" s="2">
        <v>18.9</v>
      </c>
      <c r="I598" s="2" t="s">
        <v>47</v>
      </c>
    </row>
    <row r="599" ht="15.75" customHeight="1">
      <c r="A599" s="2" t="s">
        <v>658</v>
      </c>
      <c r="B599" s="2" t="s">
        <v>659</v>
      </c>
      <c r="C599" s="2" t="s">
        <v>12</v>
      </c>
      <c r="D599" s="2" t="s">
        <v>22</v>
      </c>
      <c r="E599" s="2" t="s">
        <v>23</v>
      </c>
      <c r="F599" s="2">
        <v>428.0</v>
      </c>
      <c r="G599" s="2">
        <v>8.26</v>
      </c>
      <c r="H599" s="2">
        <v>51.8</v>
      </c>
      <c r="I599" s="2" t="s">
        <v>47</v>
      </c>
    </row>
    <row r="600" ht="15.75" customHeight="1">
      <c r="A600" s="2" t="s">
        <v>2373</v>
      </c>
      <c r="B600" s="2" t="s">
        <v>2374</v>
      </c>
      <c r="C600" s="2" t="s">
        <v>12</v>
      </c>
      <c r="D600" s="2" t="s">
        <v>134</v>
      </c>
      <c r="E600" s="2" t="s">
        <v>135</v>
      </c>
      <c r="F600" s="2">
        <v>53.0</v>
      </c>
      <c r="G600" s="2">
        <v>3.94</v>
      </c>
      <c r="H600" s="2">
        <v>13.5</v>
      </c>
      <c r="I600" s="2" t="s">
        <v>47</v>
      </c>
    </row>
    <row r="601" ht="15.75" customHeight="1">
      <c r="A601" s="2" t="s">
        <v>2377</v>
      </c>
      <c r="B601" s="2" t="s">
        <v>2378</v>
      </c>
      <c r="C601" s="2" t="s">
        <v>12</v>
      </c>
      <c r="D601" s="2" t="s">
        <v>73</v>
      </c>
      <c r="E601" s="2" t="s">
        <v>75</v>
      </c>
      <c r="F601" s="2">
        <v>62.0</v>
      </c>
      <c r="G601" s="2">
        <v>4.99</v>
      </c>
      <c r="H601" s="2">
        <v>12.4</v>
      </c>
      <c r="I601" s="2" t="s">
        <v>47</v>
      </c>
    </row>
    <row r="602" ht="15.75" customHeight="1">
      <c r="A602" s="2" t="s">
        <v>2381</v>
      </c>
      <c r="B602" s="2" t="s">
        <v>2382</v>
      </c>
      <c r="C602" s="2" t="s">
        <v>12</v>
      </c>
      <c r="D602" s="2" t="s">
        <v>160</v>
      </c>
      <c r="E602" s="2" t="s">
        <v>161</v>
      </c>
      <c r="F602" s="2">
        <v>89.0</v>
      </c>
      <c r="G602" s="2">
        <v>4.93</v>
      </c>
      <c r="H602" s="2">
        <v>18.1</v>
      </c>
      <c r="I602" s="2" t="s">
        <v>47</v>
      </c>
    </row>
    <row r="603" ht="15.75" customHeight="1">
      <c r="A603" s="2" t="s">
        <v>2385</v>
      </c>
      <c r="B603" s="2" t="s">
        <v>2386</v>
      </c>
      <c r="C603" s="2" t="s">
        <v>12</v>
      </c>
      <c r="D603" s="2" t="s">
        <v>204</v>
      </c>
      <c r="E603" s="2" t="s">
        <v>205</v>
      </c>
      <c r="F603" s="2">
        <v>146.0</v>
      </c>
      <c r="G603" s="2">
        <v>3.8</v>
      </c>
      <c r="H603" s="2">
        <v>38.4</v>
      </c>
      <c r="I603" s="2" t="s">
        <v>47</v>
      </c>
    </row>
    <row r="604" ht="15.75" customHeight="1">
      <c r="A604" s="2" t="s">
        <v>2389</v>
      </c>
      <c r="B604" s="2" t="s">
        <v>2390</v>
      </c>
      <c r="C604" s="2" t="s">
        <v>12</v>
      </c>
      <c r="D604" s="2" t="s">
        <v>80</v>
      </c>
      <c r="E604" s="2" t="s">
        <v>81</v>
      </c>
      <c r="F604" s="2">
        <v>187.0</v>
      </c>
      <c r="G604" s="2">
        <v>12.01</v>
      </c>
      <c r="H604" s="2">
        <v>15.6</v>
      </c>
      <c r="I604" s="2" t="s">
        <v>47</v>
      </c>
    </row>
    <row r="605" ht="15.75" customHeight="1">
      <c r="A605" s="2" t="s">
        <v>660</v>
      </c>
      <c r="B605" s="2" t="s">
        <v>661</v>
      </c>
      <c r="C605" s="2" t="s">
        <v>12</v>
      </c>
      <c r="D605" s="2" t="s">
        <v>145</v>
      </c>
      <c r="E605" s="2" t="s">
        <v>146</v>
      </c>
      <c r="F605" s="2">
        <v>265.0</v>
      </c>
      <c r="G605" s="2">
        <v>6.4</v>
      </c>
      <c r="H605" s="2">
        <v>41.4</v>
      </c>
      <c r="I605" s="2" t="s">
        <v>47</v>
      </c>
    </row>
    <row r="606" ht="15.75" customHeight="1">
      <c r="A606" s="2" t="s">
        <v>662</v>
      </c>
      <c r="B606" s="2" t="s">
        <v>663</v>
      </c>
      <c r="C606" s="2" t="s">
        <v>12</v>
      </c>
      <c r="D606" s="2" t="s">
        <v>43</v>
      </c>
      <c r="E606" s="2" t="s">
        <v>44</v>
      </c>
      <c r="F606" s="2">
        <v>241.0</v>
      </c>
      <c r="G606" s="2">
        <v>9.02</v>
      </c>
      <c r="H606" s="2">
        <v>26.7</v>
      </c>
      <c r="I606" s="2" t="s">
        <v>47</v>
      </c>
    </row>
    <row r="607" ht="15.75" customHeight="1">
      <c r="A607" s="2" t="s">
        <v>2397</v>
      </c>
      <c r="B607" s="2" t="s">
        <v>2398</v>
      </c>
      <c r="C607" s="2" t="s">
        <v>12</v>
      </c>
      <c r="D607" s="2" t="s">
        <v>80</v>
      </c>
      <c r="E607" s="2" t="s">
        <v>81</v>
      </c>
      <c r="F607" s="2">
        <v>339.0</v>
      </c>
      <c r="G607" s="2">
        <v>10.05</v>
      </c>
      <c r="H607" s="2">
        <v>33.7</v>
      </c>
      <c r="I607" s="2" t="s">
        <v>47</v>
      </c>
    </row>
    <row r="608" ht="15.75" customHeight="1">
      <c r="A608" s="2" t="s">
        <v>2401</v>
      </c>
      <c r="B608" s="2" t="s">
        <v>2402</v>
      </c>
      <c r="C608" s="2" t="s">
        <v>12</v>
      </c>
      <c r="D608" s="2" t="s">
        <v>80</v>
      </c>
      <c r="E608" s="2" t="s">
        <v>81</v>
      </c>
      <c r="F608" s="2">
        <v>144.0</v>
      </c>
      <c r="G608" s="2">
        <v>8.78</v>
      </c>
      <c r="H608" s="2">
        <v>16.4</v>
      </c>
      <c r="I608" s="2" t="s">
        <v>47</v>
      </c>
    </row>
    <row r="609" ht="15.75" customHeight="1">
      <c r="A609" s="2" t="s">
        <v>2405</v>
      </c>
      <c r="B609" s="2" t="s">
        <v>2406</v>
      </c>
      <c r="C609" s="2" t="s">
        <v>12</v>
      </c>
      <c r="D609" s="2" t="s">
        <v>160</v>
      </c>
      <c r="E609" s="2" t="s">
        <v>161</v>
      </c>
      <c r="F609" s="2">
        <v>135.0</v>
      </c>
      <c r="G609" s="2">
        <v>6.75</v>
      </c>
      <c r="H609" s="2">
        <v>20.0</v>
      </c>
      <c r="I609" s="2" t="s">
        <v>47</v>
      </c>
    </row>
    <row r="610" ht="15.75" customHeight="1">
      <c r="A610" s="2" t="s">
        <v>666</v>
      </c>
      <c r="B610" s="2" t="s">
        <v>667</v>
      </c>
      <c r="C610" s="2" t="s">
        <v>12</v>
      </c>
      <c r="D610" s="2" t="s">
        <v>90</v>
      </c>
      <c r="E610" s="2" t="s">
        <v>91</v>
      </c>
      <c r="F610" s="2">
        <v>790.0</v>
      </c>
      <c r="G610" s="2">
        <v>10.65</v>
      </c>
      <c r="H610" s="2">
        <v>74.2</v>
      </c>
      <c r="I610" s="2" t="s">
        <v>27</v>
      </c>
    </row>
    <row r="611" ht="15.75" customHeight="1">
      <c r="A611" s="2" t="s">
        <v>2415</v>
      </c>
      <c r="B611" s="2" t="s">
        <v>2418</v>
      </c>
      <c r="C611" s="2" t="s">
        <v>12</v>
      </c>
      <c r="D611" s="2" t="s">
        <v>90</v>
      </c>
      <c r="E611" s="2" t="s">
        <v>91</v>
      </c>
      <c r="F611" s="2">
        <v>360.0</v>
      </c>
      <c r="G611" s="2">
        <v>14.97</v>
      </c>
      <c r="H611" s="2">
        <v>24.0</v>
      </c>
      <c r="I611" s="2" t="s">
        <v>47</v>
      </c>
    </row>
    <row r="612" ht="15.75" customHeight="1">
      <c r="A612" s="2" t="s">
        <v>2420</v>
      </c>
      <c r="B612" s="2" t="s">
        <v>2422</v>
      </c>
      <c r="C612" s="2" t="s">
        <v>12</v>
      </c>
      <c r="D612" s="2" t="s">
        <v>174</v>
      </c>
      <c r="E612" s="2" t="s">
        <v>175</v>
      </c>
      <c r="F612" s="2">
        <v>225.0</v>
      </c>
      <c r="G612" s="2">
        <v>6.67</v>
      </c>
      <c r="H612" s="2">
        <v>33.7</v>
      </c>
      <c r="I612" s="2" t="s">
        <v>47</v>
      </c>
    </row>
    <row r="613" ht="15.75" customHeight="1">
      <c r="A613" s="2" t="s">
        <v>2425</v>
      </c>
      <c r="B613" s="2" t="s">
        <v>2426</v>
      </c>
      <c r="C613" s="2" t="s">
        <v>12</v>
      </c>
      <c r="D613" s="2" t="s">
        <v>58</v>
      </c>
      <c r="E613" s="2" t="s">
        <v>59</v>
      </c>
      <c r="F613" s="2">
        <v>86.0</v>
      </c>
      <c r="G613" s="2">
        <v>3.62</v>
      </c>
      <c r="H613" s="2">
        <v>23.8</v>
      </c>
      <c r="I613" s="2" t="s">
        <v>47</v>
      </c>
    </row>
    <row r="614" ht="15.75" customHeight="1">
      <c r="A614" s="2" t="s">
        <v>670</v>
      </c>
      <c r="B614" s="2" t="s">
        <v>671</v>
      </c>
      <c r="C614" s="2" t="s">
        <v>12</v>
      </c>
      <c r="D614" s="2" t="s">
        <v>80</v>
      </c>
      <c r="E614" s="2" t="s">
        <v>81</v>
      </c>
      <c r="F614" s="2">
        <v>1931.0</v>
      </c>
      <c r="G614" s="2">
        <v>27.04</v>
      </c>
      <c r="H614" s="2">
        <v>71.4</v>
      </c>
      <c r="I614" s="2" t="s">
        <v>27</v>
      </c>
    </row>
    <row r="615" ht="15.75" customHeight="1">
      <c r="A615" s="2" t="s">
        <v>2429</v>
      </c>
      <c r="B615" s="2" t="s">
        <v>2430</v>
      </c>
      <c r="C615" s="2" t="s">
        <v>12</v>
      </c>
      <c r="D615" s="2" t="s">
        <v>174</v>
      </c>
      <c r="E615" s="2" t="s">
        <v>175</v>
      </c>
      <c r="F615" s="2">
        <v>299.0</v>
      </c>
      <c r="G615" s="2">
        <v>5.69</v>
      </c>
      <c r="H615" s="2">
        <v>52.5</v>
      </c>
      <c r="I615" s="2" t="s">
        <v>47</v>
      </c>
    </row>
    <row r="616" ht="15.75" customHeight="1">
      <c r="A616" s="2" t="s">
        <v>2433</v>
      </c>
      <c r="B616" s="2" t="s">
        <v>2434</v>
      </c>
      <c r="C616" s="2" t="s">
        <v>12</v>
      </c>
      <c r="D616" s="2" t="s">
        <v>250</v>
      </c>
      <c r="E616" s="2" t="s">
        <v>251</v>
      </c>
      <c r="F616" s="2">
        <v>359.0</v>
      </c>
      <c r="G616" s="2">
        <v>11.08</v>
      </c>
      <c r="H616" s="2">
        <v>32.4</v>
      </c>
      <c r="I616" s="2" t="s">
        <v>47</v>
      </c>
    </row>
    <row r="617" ht="15.75" customHeight="1">
      <c r="A617" s="2" t="s">
        <v>2441</v>
      </c>
      <c r="B617" s="2" t="s">
        <v>2443</v>
      </c>
      <c r="C617" s="2" t="s">
        <v>12</v>
      </c>
      <c r="D617" s="2" t="s">
        <v>250</v>
      </c>
      <c r="E617" s="2" t="s">
        <v>251</v>
      </c>
      <c r="F617" s="2">
        <v>95.0</v>
      </c>
      <c r="G617" s="2">
        <v>5.65</v>
      </c>
      <c r="H617" s="2">
        <v>16.8</v>
      </c>
      <c r="I617" s="2" t="s">
        <v>47</v>
      </c>
    </row>
    <row r="618" ht="15.75" customHeight="1">
      <c r="A618" s="2" t="s">
        <v>2437</v>
      </c>
      <c r="B618" s="2" t="s">
        <v>2438</v>
      </c>
      <c r="C618" s="2" t="s">
        <v>12</v>
      </c>
      <c r="D618" s="2" t="s">
        <v>22</v>
      </c>
      <c r="E618" s="2" t="s">
        <v>23</v>
      </c>
      <c r="F618" s="2">
        <v>88.0</v>
      </c>
      <c r="G618" s="2">
        <v>5.51</v>
      </c>
      <c r="H618" s="2">
        <v>16.0</v>
      </c>
      <c r="I618" s="2" t="s">
        <v>47</v>
      </c>
    </row>
    <row r="619" ht="15.75" customHeight="1">
      <c r="A619" s="2" t="s">
        <v>2447</v>
      </c>
      <c r="B619" s="2" t="s">
        <v>2449</v>
      </c>
      <c r="C619" s="2" t="s">
        <v>12</v>
      </c>
      <c r="D619" s="2" t="s">
        <v>686</v>
      </c>
      <c r="E619" s="2" t="s">
        <v>691</v>
      </c>
      <c r="F619" s="2">
        <v>450.0</v>
      </c>
      <c r="G619" s="2">
        <v>4.29</v>
      </c>
      <c r="H619" s="2">
        <v>104.9</v>
      </c>
      <c r="I619" s="2" t="s">
        <v>47</v>
      </c>
    </row>
    <row r="620" ht="15.75" customHeight="1">
      <c r="A620" s="2" t="s">
        <v>2451</v>
      </c>
      <c r="B620" s="2" t="s">
        <v>2454</v>
      </c>
      <c r="C620" s="2" t="s">
        <v>12</v>
      </c>
      <c r="D620" s="2" t="s">
        <v>58</v>
      </c>
      <c r="E620" s="2" t="s">
        <v>59</v>
      </c>
      <c r="F620" s="2">
        <v>83.0</v>
      </c>
      <c r="G620" s="2">
        <v>4.0</v>
      </c>
      <c r="H620" s="2">
        <v>20.8</v>
      </c>
      <c r="I620" s="2" t="s">
        <v>47</v>
      </c>
    </row>
    <row r="621" ht="15.75" customHeight="1">
      <c r="A621" s="2" t="s">
        <v>2455</v>
      </c>
      <c r="B621" s="2" t="s">
        <v>2457</v>
      </c>
      <c r="C621" s="2" t="s">
        <v>12</v>
      </c>
      <c r="D621" s="2" t="s">
        <v>174</v>
      </c>
      <c r="E621" s="2" t="s">
        <v>175</v>
      </c>
      <c r="F621" s="2">
        <v>155.0</v>
      </c>
      <c r="G621" s="2">
        <v>6.08</v>
      </c>
      <c r="H621" s="2">
        <v>25.5</v>
      </c>
      <c r="I621" s="2" t="s">
        <v>47</v>
      </c>
    </row>
    <row r="622" ht="15.75" customHeight="1">
      <c r="A622" s="2" t="s">
        <v>674</v>
      </c>
      <c r="B622" s="2" t="s">
        <v>675</v>
      </c>
      <c r="C622" s="2" t="s">
        <v>12</v>
      </c>
      <c r="D622" s="2" t="s">
        <v>52</v>
      </c>
      <c r="E622" s="2" t="s">
        <v>53</v>
      </c>
      <c r="F622" s="2">
        <v>365.0</v>
      </c>
      <c r="G622" s="2">
        <v>7.06</v>
      </c>
      <c r="H622" s="2">
        <v>51.7</v>
      </c>
      <c r="I622" s="2" t="s">
        <v>47</v>
      </c>
    </row>
    <row r="623" ht="15.75" customHeight="1">
      <c r="A623" s="2" t="s">
        <v>2463</v>
      </c>
      <c r="B623" s="2" t="s">
        <v>2464</v>
      </c>
      <c r="C623" s="2" t="s">
        <v>12</v>
      </c>
      <c r="D623" s="2" t="s">
        <v>250</v>
      </c>
      <c r="E623" s="2" t="s">
        <v>251</v>
      </c>
      <c r="F623" s="2">
        <v>200.0</v>
      </c>
      <c r="G623" s="2">
        <v>4.25</v>
      </c>
      <c r="H623" s="2">
        <v>47.1</v>
      </c>
      <c r="I623" s="2" t="s">
        <v>47</v>
      </c>
    </row>
    <row r="624" ht="15.75" customHeight="1">
      <c r="A624" s="2" t="s">
        <v>2467</v>
      </c>
      <c r="B624" s="2" t="s">
        <v>2468</v>
      </c>
      <c r="C624" s="2" t="s">
        <v>12</v>
      </c>
      <c r="D624" s="2" t="s">
        <v>204</v>
      </c>
      <c r="E624" s="2" t="s">
        <v>205</v>
      </c>
      <c r="F624" s="2">
        <v>237.0</v>
      </c>
      <c r="G624" s="2">
        <v>5.9</v>
      </c>
      <c r="H624" s="2">
        <v>40.2</v>
      </c>
      <c r="I624" s="2" t="s">
        <v>47</v>
      </c>
    </row>
    <row r="625" ht="15.75" customHeight="1">
      <c r="A625" s="2" t="s">
        <v>678</v>
      </c>
      <c r="B625" s="2" t="s">
        <v>679</v>
      </c>
      <c r="C625" s="2" t="s">
        <v>12</v>
      </c>
      <c r="D625" s="2" t="s">
        <v>145</v>
      </c>
      <c r="E625" s="2" t="s">
        <v>146</v>
      </c>
      <c r="F625" s="2">
        <v>506.0</v>
      </c>
      <c r="G625" s="2">
        <v>5.15</v>
      </c>
      <c r="H625" s="2">
        <v>98.3</v>
      </c>
      <c r="I625" s="2" t="s">
        <v>27</v>
      </c>
    </row>
    <row r="626" ht="15.75" customHeight="1">
      <c r="A626" s="2" t="s">
        <v>2473</v>
      </c>
      <c r="B626" s="2" t="s">
        <v>2475</v>
      </c>
      <c r="C626" s="2" t="s">
        <v>12</v>
      </c>
      <c r="D626" s="2" t="s">
        <v>160</v>
      </c>
      <c r="E626" s="2" t="s">
        <v>161</v>
      </c>
      <c r="F626" s="2">
        <v>45.0</v>
      </c>
      <c r="G626" s="2">
        <v>3.9</v>
      </c>
      <c r="H626" s="2">
        <v>11.5</v>
      </c>
      <c r="I626" s="2" t="s">
        <v>47</v>
      </c>
    </row>
    <row r="627" ht="15.75" customHeight="1">
      <c r="A627" s="2" t="s">
        <v>2477</v>
      </c>
      <c r="B627" s="2" t="s">
        <v>2478</v>
      </c>
      <c r="C627" s="2" t="s">
        <v>12</v>
      </c>
      <c r="D627" s="2" t="s">
        <v>134</v>
      </c>
      <c r="E627" s="2" t="s">
        <v>135</v>
      </c>
      <c r="F627" s="2">
        <v>226.0</v>
      </c>
      <c r="G627" s="2">
        <v>3.01</v>
      </c>
      <c r="H627" s="2">
        <v>75.1</v>
      </c>
      <c r="I627" s="2" t="s">
        <v>47</v>
      </c>
    </row>
    <row r="628" ht="15.75" customHeight="1">
      <c r="A628" s="2" t="s">
        <v>680</v>
      </c>
      <c r="B628" s="2" t="s">
        <v>681</v>
      </c>
      <c r="C628" s="2" t="s">
        <v>12</v>
      </c>
      <c r="D628" s="2" t="s">
        <v>174</v>
      </c>
      <c r="E628" s="2" t="s">
        <v>175</v>
      </c>
      <c r="F628" s="2">
        <v>335.0</v>
      </c>
      <c r="G628" s="2">
        <v>8.04</v>
      </c>
      <c r="H628" s="2">
        <v>41.7</v>
      </c>
      <c r="I628" s="2" t="s">
        <v>47</v>
      </c>
    </row>
    <row r="629" ht="15.75" customHeight="1">
      <c r="A629" s="2" t="s">
        <v>2485</v>
      </c>
      <c r="B629" s="2" t="s">
        <v>2486</v>
      </c>
      <c r="C629" s="2" t="s">
        <v>12</v>
      </c>
      <c r="D629" s="2" t="s">
        <v>98</v>
      </c>
      <c r="E629" s="2" t="s">
        <v>100</v>
      </c>
      <c r="F629" s="2">
        <v>239.0</v>
      </c>
      <c r="G629" s="2">
        <v>7.32</v>
      </c>
      <c r="H629" s="2">
        <v>32.7</v>
      </c>
      <c r="I629" s="2" t="s">
        <v>47</v>
      </c>
    </row>
    <row r="630" ht="15.75" customHeight="1">
      <c r="A630" s="2" t="s">
        <v>2489</v>
      </c>
      <c r="B630" s="2" t="s">
        <v>2490</v>
      </c>
      <c r="C630" s="2" t="s">
        <v>12</v>
      </c>
      <c r="D630" s="2" t="s">
        <v>174</v>
      </c>
      <c r="E630" s="2" t="s">
        <v>175</v>
      </c>
      <c r="F630" s="2">
        <v>122.0</v>
      </c>
      <c r="G630" s="2">
        <v>6.77</v>
      </c>
      <c r="H630" s="2">
        <v>18.0</v>
      </c>
      <c r="I630" s="2" t="s">
        <v>47</v>
      </c>
    </row>
    <row r="631" ht="15.75" customHeight="1">
      <c r="A631" s="2" t="s">
        <v>683</v>
      </c>
      <c r="B631" s="2" t="s">
        <v>684</v>
      </c>
      <c r="C631" s="2" t="s">
        <v>12</v>
      </c>
      <c r="D631" s="2" t="s">
        <v>160</v>
      </c>
      <c r="E631" s="2" t="s">
        <v>161</v>
      </c>
      <c r="F631" s="2">
        <v>917.0</v>
      </c>
      <c r="G631" s="2">
        <v>16.68</v>
      </c>
      <c r="H631" s="2">
        <v>55.0</v>
      </c>
      <c r="I631" s="2" t="s">
        <v>27</v>
      </c>
    </row>
    <row r="632" ht="15.75" customHeight="1">
      <c r="A632" s="2" t="s">
        <v>688</v>
      </c>
      <c r="B632" s="2" t="s">
        <v>690</v>
      </c>
      <c r="C632" s="2" t="s">
        <v>12</v>
      </c>
      <c r="D632" s="2" t="s">
        <v>160</v>
      </c>
      <c r="E632" s="2" t="s">
        <v>161</v>
      </c>
      <c r="F632" s="2">
        <v>157.0</v>
      </c>
      <c r="G632" s="2">
        <v>7.94</v>
      </c>
      <c r="H632" s="2">
        <v>19.8</v>
      </c>
      <c r="I632" s="2" t="s">
        <v>47</v>
      </c>
    </row>
    <row r="633" ht="15.75" customHeight="1">
      <c r="A633" s="2" t="s">
        <v>2497</v>
      </c>
      <c r="B633" s="2" t="s">
        <v>2498</v>
      </c>
      <c r="C633" s="2" t="s">
        <v>12</v>
      </c>
      <c r="D633" s="2" t="s">
        <v>90</v>
      </c>
      <c r="E633" s="2" t="s">
        <v>91</v>
      </c>
      <c r="F633" s="2">
        <v>202.0</v>
      </c>
      <c r="G633" s="2">
        <v>8.67</v>
      </c>
      <c r="H633" s="2">
        <v>23.3</v>
      </c>
      <c r="I633" s="2" t="s">
        <v>47</v>
      </c>
    </row>
    <row r="634" ht="15.75" customHeight="1">
      <c r="A634" s="2" t="s">
        <v>694</v>
      </c>
      <c r="B634" s="2" t="s">
        <v>695</v>
      </c>
      <c r="C634" s="2" t="s">
        <v>12</v>
      </c>
      <c r="D634" s="2" t="s">
        <v>250</v>
      </c>
      <c r="E634" s="2" t="s">
        <v>251</v>
      </c>
      <c r="F634" s="2">
        <v>923.0</v>
      </c>
      <c r="G634" s="2">
        <v>12.53</v>
      </c>
      <c r="H634" s="2">
        <v>73.7</v>
      </c>
      <c r="I634" s="2" t="s">
        <v>27</v>
      </c>
    </row>
    <row r="635" ht="15.75" customHeight="1">
      <c r="A635" s="2" t="s">
        <v>2503</v>
      </c>
      <c r="B635" s="2" t="s">
        <v>2504</v>
      </c>
      <c r="C635" s="2" t="s">
        <v>12</v>
      </c>
      <c r="D635" s="2" t="s">
        <v>250</v>
      </c>
      <c r="E635" s="2" t="s">
        <v>251</v>
      </c>
      <c r="F635" s="2">
        <v>148.0</v>
      </c>
      <c r="G635" s="2">
        <v>6.92</v>
      </c>
      <c r="H635" s="2">
        <v>21.4</v>
      </c>
      <c r="I635" s="2" t="s">
        <v>47</v>
      </c>
    </row>
    <row r="636" ht="15.75" customHeight="1">
      <c r="A636" s="2" t="s">
        <v>2507</v>
      </c>
      <c r="B636" s="2" t="s">
        <v>2508</v>
      </c>
      <c r="C636" s="2" t="s">
        <v>12</v>
      </c>
      <c r="D636" s="2" t="s">
        <v>134</v>
      </c>
      <c r="E636" s="2" t="s">
        <v>135</v>
      </c>
      <c r="F636" s="2">
        <v>276.0</v>
      </c>
      <c r="G636" s="2">
        <v>8.42</v>
      </c>
      <c r="H636" s="2">
        <v>32.8</v>
      </c>
      <c r="I636" s="2" t="s">
        <v>47</v>
      </c>
    </row>
    <row r="637" ht="15.75" customHeight="1">
      <c r="A637" s="2" t="s">
        <v>2511</v>
      </c>
      <c r="B637" s="2" t="s">
        <v>2512</v>
      </c>
      <c r="C637" s="2" t="s">
        <v>12</v>
      </c>
      <c r="D637" s="2" t="s">
        <v>90</v>
      </c>
      <c r="E637" s="2" t="s">
        <v>91</v>
      </c>
      <c r="F637" s="2">
        <v>234.0</v>
      </c>
      <c r="G637" s="2">
        <v>6.17</v>
      </c>
      <c r="H637" s="2">
        <v>37.9</v>
      </c>
      <c r="I637" s="2" t="s">
        <v>47</v>
      </c>
    </row>
    <row r="638" ht="15.75" customHeight="1">
      <c r="A638" s="2" t="s">
        <v>698</v>
      </c>
      <c r="B638" s="2" t="s">
        <v>699</v>
      </c>
      <c r="C638" s="2" t="s">
        <v>12</v>
      </c>
      <c r="D638" s="2" t="s">
        <v>90</v>
      </c>
      <c r="E638" s="2" t="s">
        <v>91</v>
      </c>
      <c r="F638" s="2">
        <v>441.0</v>
      </c>
      <c r="G638" s="2">
        <v>7.89</v>
      </c>
      <c r="H638" s="2">
        <v>55.9</v>
      </c>
      <c r="I638" s="2" t="s">
        <v>47</v>
      </c>
    </row>
    <row r="639" ht="15.75" customHeight="1">
      <c r="A639" s="2" t="s">
        <v>2517</v>
      </c>
      <c r="B639" s="2" t="s">
        <v>2518</v>
      </c>
      <c r="C639" s="2" t="s">
        <v>12</v>
      </c>
      <c r="D639" s="2" t="s">
        <v>152</v>
      </c>
      <c r="E639" s="2" t="s">
        <v>153</v>
      </c>
      <c r="F639" s="2">
        <v>44.0</v>
      </c>
      <c r="G639" s="2">
        <v>5.07</v>
      </c>
      <c r="H639" s="2">
        <v>8.7</v>
      </c>
      <c r="I639" s="2" t="s">
        <v>47</v>
      </c>
    </row>
    <row r="640" ht="15.75" customHeight="1">
      <c r="A640" s="2" t="s">
        <v>700</v>
      </c>
      <c r="B640" s="2" t="s">
        <v>701</v>
      </c>
      <c r="C640" s="2" t="s">
        <v>12</v>
      </c>
      <c r="D640" s="2" t="s">
        <v>52</v>
      </c>
      <c r="E640" s="2" t="s">
        <v>53</v>
      </c>
      <c r="F640" s="2">
        <v>1697.0</v>
      </c>
      <c r="G640" s="2">
        <v>20.34</v>
      </c>
      <c r="H640" s="2">
        <v>83.4</v>
      </c>
      <c r="I640" s="2" t="s">
        <v>27</v>
      </c>
    </row>
    <row r="641" ht="15.75" customHeight="1">
      <c r="A641" s="2" t="s">
        <v>2529</v>
      </c>
      <c r="B641" s="2" t="s">
        <v>2530</v>
      </c>
      <c r="C641" s="2" t="s">
        <v>12</v>
      </c>
      <c r="D641" s="2" t="s">
        <v>174</v>
      </c>
      <c r="E641" s="2" t="s">
        <v>175</v>
      </c>
      <c r="F641" s="2">
        <v>232.0</v>
      </c>
      <c r="G641" s="2">
        <v>6.97</v>
      </c>
      <c r="H641" s="2">
        <v>33.3</v>
      </c>
      <c r="I641" s="2" t="s">
        <v>47</v>
      </c>
    </row>
    <row r="642" ht="15.75" customHeight="1">
      <c r="A642" s="2" t="s">
        <v>2537</v>
      </c>
      <c r="B642" s="2" t="s">
        <v>2538</v>
      </c>
      <c r="C642" s="2" t="s">
        <v>12</v>
      </c>
      <c r="D642" s="2" t="s">
        <v>174</v>
      </c>
      <c r="E642" s="2" t="s">
        <v>175</v>
      </c>
      <c r="F642" s="2">
        <v>152.0</v>
      </c>
      <c r="G642" s="2">
        <v>7.58</v>
      </c>
      <c r="H642" s="2">
        <v>20.1</v>
      </c>
      <c r="I642" s="2" t="s">
        <v>47</v>
      </c>
    </row>
    <row r="643" ht="15.75" customHeight="1">
      <c r="A643" s="2" t="s">
        <v>702</v>
      </c>
      <c r="B643" s="2" t="s">
        <v>703</v>
      </c>
      <c r="C643" s="2" t="s">
        <v>12</v>
      </c>
      <c r="D643" s="2" t="s">
        <v>22</v>
      </c>
      <c r="E643" s="2" t="s">
        <v>23</v>
      </c>
      <c r="F643" s="2">
        <v>2288.0</v>
      </c>
      <c r="G643" s="2">
        <v>29.76</v>
      </c>
      <c r="H643" s="2">
        <v>76.9</v>
      </c>
      <c r="I643" s="2" t="s">
        <v>138</v>
      </c>
    </row>
    <row r="644" ht="15.75" customHeight="1">
      <c r="A644" s="2" t="s">
        <v>2543</v>
      </c>
      <c r="B644" s="2" t="s">
        <v>2545</v>
      </c>
      <c r="C644" s="2" t="s">
        <v>12</v>
      </c>
      <c r="D644" s="2" t="s">
        <v>250</v>
      </c>
      <c r="E644" s="2" t="s">
        <v>251</v>
      </c>
      <c r="F644" s="2">
        <v>281.0</v>
      </c>
      <c r="G644" s="2">
        <v>7.83</v>
      </c>
      <c r="H644" s="2">
        <v>35.9</v>
      </c>
      <c r="I644" s="2" t="s">
        <v>47</v>
      </c>
    </row>
    <row r="645" ht="15.75" customHeight="1">
      <c r="A645" s="2" t="s">
        <v>2547</v>
      </c>
      <c r="B645" s="2" t="s">
        <v>2549</v>
      </c>
      <c r="C645" s="2" t="s">
        <v>12</v>
      </c>
      <c r="D645" s="2" t="s">
        <v>73</v>
      </c>
      <c r="E645" s="2" t="s">
        <v>75</v>
      </c>
      <c r="F645" s="2">
        <v>116.0</v>
      </c>
      <c r="G645" s="2">
        <v>4.68</v>
      </c>
      <c r="H645" s="2">
        <v>24.8</v>
      </c>
      <c r="I645" s="2" t="s">
        <v>47</v>
      </c>
    </row>
    <row r="646" ht="15.75" customHeight="1">
      <c r="A646" s="2" t="s">
        <v>2551</v>
      </c>
      <c r="B646" s="2" t="s">
        <v>2554</v>
      </c>
      <c r="C646" s="2" t="s">
        <v>12</v>
      </c>
      <c r="D646" s="2" t="s">
        <v>58</v>
      </c>
      <c r="E646" s="2" t="s">
        <v>59</v>
      </c>
      <c r="F646" s="2">
        <v>118.0</v>
      </c>
      <c r="G646" s="2">
        <v>5.52</v>
      </c>
      <c r="H646" s="2">
        <v>21.4</v>
      </c>
      <c r="I646" s="2" t="s">
        <v>47</v>
      </c>
    </row>
    <row r="647" ht="15.75" customHeight="1">
      <c r="A647" s="2" t="s">
        <v>706</v>
      </c>
      <c r="B647" s="2" t="s">
        <v>707</v>
      </c>
      <c r="C647" s="2" t="s">
        <v>12</v>
      </c>
      <c r="D647" s="2" t="s">
        <v>152</v>
      </c>
      <c r="E647" s="2" t="s">
        <v>153</v>
      </c>
      <c r="F647" s="2">
        <v>3199.0</v>
      </c>
      <c r="G647" s="2">
        <v>42.22</v>
      </c>
      <c r="H647" s="2">
        <v>75.8</v>
      </c>
      <c r="I647" s="2" t="s">
        <v>138</v>
      </c>
    </row>
    <row r="648" ht="15.75" customHeight="1">
      <c r="A648" s="2" t="s">
        <v>2557</v>
      </c>
      <c r="B648" s="2" t="s">
        <v>2558</v>
      </c>
      <c r="C648" s="2" t="s">
        <v>12</v>
      </c>
      <c r="D648" s="2" t="s">
        <v>22</v>
      </c>
      <c r="E648" s="2" t="s">
        <v>23</v>
      </c>
      <c r="F648" s="2">
        <v>110.0</v>
      </c>
      <c r="G648" s="2">
        <v>6.6</v>
      </c>
      <c r="H648" s="2">
        <v>16.7</v>
      </c>
      <c r="I648" s="2" t="s">
        <v>47</v>
      </c>
    </row>
    <row r="649" ht="15.75" customHeight="1">
      <c r="A649" s="2" t="s">
        <v>2561</v>
      </c>
      <c r="B649" s="2" t="s">
        <v>2562</v>
      </c>
      <c r="C649" s="2" t="s">
        <v>12</v>
      </c>
      <c r="D649" s="2" t="s">
        <v>134</v>
      </c>
      <c r="E649" s="2" t="s">
        <v>135</v>
      </c>
      <c r="F649" s="2">
        <v>370.0</v>
      </c>
      <c r="G649" s="2">
        <v>11.08</v>
      </c>
      <c r="H649" s="2">
        <v>33.4</v>
      </c>
      <c r="I649" s="2" t="s">
        <v>47</v>
      </c>
    </row>
    <row r="650" ht="15.75" customHeight="1">
      <c r="A650" s="2" t="s">
        <v>2565</v>
      </c>
      <c r="B650" s="2" t="s">
        <v>2566</v>
      </c>
      <c r="C650" s="2" t="s">
        <v>12</v>
      </c>
      <c r="D650" s="2" t="s">
        <v>90</v>
      </c>
      <c r="E650" s="2" t="s">
        <v>91</v>
      </c>
      <c r="F650" s="2">
        <v>328.0</v>
      </c>
      <c r="G650" s="2">
        <v>12.06</v>
      </c>
      <c r="H650" s="2">
        <v>27.2</v>
      </c>
      <c r="I650" s="2" t="s">
        <v>47</v>
      </c>
    </row>
    <row r="651" ht="15.75" customHeight="1">
      <c r="A651" s="2" t="s">
        <v>2569</v>
      </c>
      <c r="B651" s="2" t="s">
        <v>2571</v>
      </c>
      <c r="C651" s="2" t="s">
        <v>12</v>
      </c>
      <c r="D651" s="2" t="s">
        <v>250</v>
      </c>
      <c r="E651" s="2" t="s">
        <v>251</v>
      </c>
      <c r="F651" s="2">
        <v>39.0</v>
      </c>
      <c r="G651" s="2">
        <v>7.16</v>
      </c>
      <c r="H651" s="2">
        <v>5.4</v>
      </c>
      <c r="I651" s="2" t="s">
        <v>47</v>
      </c>
    </row>
    <row r="652" ht="15.75" customHeight="1">
      <c r="A652" s="2" t="s">
        <v>2573</v>
      </c>
      <c r="B652" s="2" t="s">
        <v>2575</v>
      </c>
      <c r="C652" s="2" t="s">
        <v>12</v>
      </c>
      <c r="D652" s="2" t="s">
        <v>43</v>
      </c>
      <c r="E652" s="2" t="s">
        <v>44</v>
      </c>
      <c r="F652" s="2">
        <v>41.0</v>
      </c>
      <c r="G652" s="2">
        <v>7.03</v>
      </c>
      <c r="H652" s="2">
        <v>5.8</v>
      </c>
      <c r="I652" s="2" t="s">
        <v>47</v>
      </c>
    </row>
    <row r="653" ht="15.75" customHeight="1">
      <c r="A653" s="2" t="s">
        <v>709</v>
      </c>
      <c r="B653" s="2" t="s">
        <v>710</v>
      </c>
      <c r="C653" s="2" t="s">
        <v>12</v>
      </c>
      <c r="D653" s="2" t="s">
        <v>145</v>
      </c>
      <c r="E653" s="2" t="s">
        <v>146</v>
      </c>
      <c r="F653" s="2">
        <v>52813.0</v>
      </c>
      <c r="G653" s="2">
        <v>22.8</v>
      </c>
      <c r="H653" s="2">
        <v>2316.4</v>
      </c>
      <c r="I653" s="2" t="s">
        <v>3730</v>
      </c>
    </row>
    <row r="654" ht="15.75" customHeight="1">
      <c r="A654" s="2" t="s">
        <v>2583</v>
      </c>
      <c r="B654" s="2" t="s">
        <v>2584</v>
      </c>
      <c r="C654" s="2" t="s">
        <v>12</v>
      </c>
      <c r="D654" s="2" t="s">
        <v>98</v>
      </c>
      <c r="E654" s="2" t="s">
        <v>100</v>
      </c>
      <c r="F654" s="2">
        <v>226.0</v>
      </c>
      <c r="G654" s="2">
        <v>14.02</v>
      </c>
      <c r="H654" s="2">
        <v>16.1</v>
      </c>
      <c r="I654" s="2" t="s">
        <v>47</v>
      </c>
    </row>
    <row r="655" ht="15.75" customHeight="1">
      <c r="A655" s="2" t="s">
        <v>711</v>
      </c>
      <c r="B655" s="2" t="s">
        <v>713</v>
      </c>
      <c r="C655" s="2" t="s">
        <v>12</v>
      </c>
      <c r="D655" s="2" t="s">
        <v>145</v>
      </c>
      <c r="E655" s="2" t="s">
        <v>146</v>
      </c>
      <c r="F655" s="2">
        <v>593.0</v>
      </c>
      <c r="G655" s="2">
        <v>6.36</v>
      </c>
      <c r="H655" s="2">
        <v>93.2</v>
      </c>
      <c r="I655" s="2" t="s">
        <v>27</v>
      </c>
    </row>
    <row r="656" ht="15.75" customHeight="1">
      <c r="A656" s="2" t="s">
        <v>2589</v>
      </c>
      <c r="B656" s="2" t="s">
        <v>2590</v>
      </c>
      <c r="C656" s="2" t="s">
        <v>12</v>
      </c>
      <c r="D656" s="2" t="s">
        <v>66</v>
      </c>
      <c r="E656" s="2" t="s">
        <v>67</v>
      </c>
      <c r="F656" s="2">
        <v>71.0</v>
      </c>
      <c r="G656" s="2">
        <v>2.48</v>
      </c>
      <c r="H656" s="2">
        <v>28.6</v>
      </c>
      <c r="I656" s="2" t="s">
        <v>47</v>
      </c>
    </row>
    <row r="657" ht="15.75" customHeight="1">
      <c r="A657" s="2" t="s">
        <v>2522</v>
      </c>
      <c r="B657" s="2" t="s">
        <v>2524</v>
      </c>
      <c r="C657" s="2" t="s">
        <v>12</v>
      </c>
      <c r="D657" s="2" t="s">
        <v>66</v>
      </c>
      <c r="E657" s="2" t="s">
        <v>67</v>
      </c>
      <c r="F657" s="2">
        <v>127.0</v>
      </c>
      <c r="G657" s="2">
        <v>3.37</v>
      </c>
      <c r="H657" s="2">
        <v>37.7</v>
      </c>
      <c r="I657" s="2" t="s">
        <v>47</v>
      </c>
    </row>
    <row r="658" ht="15.75" customHeight="1">
      <c r="A658" s="2" t="s">
        <v>2533</v>
      </c>
      <c r="B658" s="2" t="s">
        <v>2534</v>
      </c>
      <c r="C658" s="2" t="s">
        <v>12</v>
      </c>
      <c r="D658" s="2" t="s">
        <v>160</v>
      </c>
      <c r="E658" s="2" t="s">
        <v>161</v>
      </c>
      <c r="F658" s="2">
        <v>73.0</v>
      </c>
      <c r="G658" s="2">
        <v>4.56</v>
      </c>
      <c r="H658" s="2">
        <v>16.0</v>
      </c>
      <c r="I658" s="2" t="s">
        <v>47</v>
      </c>
    </row>
    <row r="659" ht="15.75" customHeight="1">
      <c r="A659" s="2" t="s">
        <v>2577</v>
      </c>
      <c r="B659" s="2" t="s">
        <v>2579</v>
      </c>
      <c r="C659" s="2" t="s">
        <v>12</v>
      </c>
      <c r="D659" s="2" t="s">
        <v>52</v>
      </c>
      <c r="E659" s="2" t="s">
        <v>53</v>
      </c>
      <c r="F659" s="2">
        <v>67.0</v>
      </c>
      <c r="G659" s="2">
        <v>9.62</v>
      </c>
      <c r="H659" s="2">
        <v>7.0</v>
      </c>
      <c r="I659" s="2" t="s">
        <v>47</v>
      </c>
    </row>
    <row r="660" ht="15.75" customHeight="1">
      <c r="A660" s="2" t="s">
        <v>2593</v>
      </c>
      <c r="B660" s="2" t="s">
        <v>2594</v>
      </c>
      <c r="C660" s="2" t="s">
        <v>12</v>
      </c>
      <c r="D660" s="2" t="s">
        <v>182</v>
      </c>
      <c r="E660" s="2" t="s">
        <v>184</v>
      </c>
      <c r="F660" s="2">
        <v>384.0</v>
      </c>
      <c r="G660" s="2">
        <v>25.35</v>
      </c>
      <c r="H660" s="2">
        <v>15.1</v>
      </c>
      <c r="I660" s="2" t="s">
        <v>47</v>
      </c>
    </row>
    <row r="661" ht="15.75" customHeight="1">
      <c r="A661" s="2" t="s">
        <v>2595</v>
      </c>
      <c r="B661" s="2" t="s">
        <v>2596</v>
      </c>
      <c r="C661" s="2" t="s">
        <v>12</v>
      </c>
      <c r="D661" s="2" t="s">
        <v>73</v>
      </c>
      <c r="E661" s="2" t="s">
        <v>75</v>
      </c>
      <c r="F661" s="2">
        <v>101.0</v>
      </c>
      <c r="G661" s="2">
        <v>4.49</v>
      </c>
      <c r="H661" s="2">
        <v>22.5</v>
      </c>
      <c r="I661" s="2" t="s">
        <v>47</v>
      </c>
    </row>
    <row r="662" ht="15.75" customHeight="1">
      <c r="A662" s="2" t="s">
        <v>2599</v>
      </c>
      <c r="B662" s="2" t="s">
        <v>2602</v>
      </c>
      <c r="C662" s="2" t="s">
        <v>12</v>
      </c>
      <c r="D662" s="2" t="s">
        <v>174</v>
      </c>
      <c r="E662" s="2" t="s">
        <v>175</v>
      </c>
      <c r="F662" s="2">
        <v>266.0</v>
      </c>
      <c r="G662" s="2">
        <v>10.06</v>
      </c>
      <c r="H662" s="2">
        <v>26.4</v>
      </c>
      <c r="I662" s="2" t="s">
        <v>47</v>
      </c>
    </row>
    <row r="663" ht="15.75" customHeight="1">
      <c r="A663" s="2" t="s">
        <v>715</v>
      </c>
      <c r="B663" s="2" t="s">
        <v>717</v>
      </c>
      <c r="C663" s="2" t="s">
        <v>12</v>
      </c>
      <c r="D663" s="2" t="s">
        <v>686</v>
      </c>
      <c r="E663" s="2" t="s">
        <v>691</v>
      </c>
      <c r="F663" s="2">
        <v>687.0</v>
      </c>
      <c r="G663" s="2">
        <v>2.67</v>
      </c>
      <c r="H663" s="2">
        <v>257.3</v>
      </c>
      <c r="I663" s="2" t="s">
        <v>27</v>
      </c>
    </row>
    <row r="664" ht="15.75" customHeight="1">
      <c r="A664" s="2" t="s">
        <v>2607</v>
      </c>
      <c r="B664" s="2" t="s">
        <v>2608</v>
      </c>
      <c r="C664" s="2" t="s">
        <v>12</v>
      </c>
      <c r="D664" s="2" t="s">
        <v>204</v>
      </c>
      <c r="E664" s="2" t="s">
        <v>205</v>
      </c>
      <c r="F664" s="2">
        <v>618.0</v>
      </c>
      <c r="G664" s="2">
        <v>7.5</v>
      </c>
      <c r="H664" s="2">
        <v>82.4</v>
      </c>
      <c r="I664" s="2" t="s">
        <v>27</v>
      </c>
    </row>
    <row r="665" ht="15.75" customHeight="1">
      <c r="A665" s="2" t="s">
        <v>720</v>
      </c>
      <c r="B665" s="2" t="s">
        <v>721</v>
      </c>
      <c r="C665" s="2" t="s">
        <v>12</v>
      </c>
      <c r="D665" s="2" t="s">
        <v>204</v>
      </c>
      <c r="E665" s="2" t="s">
        <v>205</v>
      </c>
      <c r="F665" s="2">
        <v>1087.0</v>
      </c>
      <c r="G665" s="2">
        <v>11.84</v>
      </c>
      <c r="H665" s="2">
        <v>91.8</v>
      </c>
      <c r="I665" s="2" t="s">
        <v>27</v>
      </c>
    </row>
    <row r="666" ht="15.75" customHeight="1">
      <c r="A666" s="2" t="s">
        <v>2613</v>
      </c>
      <c r="B666" s="2" t="s">
        <v>2615</v>
      </c>
      <c r="C666" s="2" t="s">
        <v>12</v>
      </c>
      <c r="D666" s="2" t="s">
        <v>134</v>
      </c>
      <c r="E666" s="2" t="s">
        <v>135</v>
      </c>
      <c r="F666" s="2">
        <v>202.0</v>
      </c>
      <c r="G666" s="2">
        <v>7.68</v>
      </c>
      <c r="H666" s="2">
        <v>26.3</v>
      </c>
      <c r="I666" s="2" t="s">
        <v>47</v>
      </c>
    </row>
    <row r="667" ht="15.75" customHeight="1">
      <c r="A667" s="2" t="s">
        <v>724</v>
      </c>
      <c r="B667" s="2" t="s">
        <v>725</v>
      </c>
      <c r="C667" s="2" t="s">
        <v>12</v>
      </c>
      <c r="D667" s="2" t="s">
        <v>35</v>
      </c>
      <c r="E667" s="2" t="s">
        <v>36</v>
      </c>
      <c r="F667" s="2">
        <v>576.0</v>
      </c>
      <c r="G667" s="2">
        <v>4.81</v>
      </c>
      <c r="H667" s="2">
        <v>119.8</v>
      </c>
      <c r="I667" s="2" t="s">
        <v>27</v>
      </c>
    </row>
    <row r="668" ht="15.75" customHeight="1">
      <c r="A668" s="2" t="s">
        <v>2623</v>
      </c>
      <c r="B668" s="2" t="s">
        <v>2624</v>
      </c>
      <c r="C668" s="2" t="s">
        <v>12</v>
      </c>
      <c r="D668" s="2" t="s">
        <v>134</v>
      </c>
      <c r="E668" s="2" t="s">
        <v>135</v>
      </c>
      <c r="F668" s="2">
        <v>179.0</v>
      </c>
      <c r="G668" s="2">
        <v>8.46</v>
      </c>
      <c r="H668" s="2">
        <v>21.2</v>
      </c>
      <c r="I668" s="2" t="s">
        <v>47</v>
      </c>
    </row>
    <row r="669" ht="15.75" customHeight="1">
      <c r="A669" s="2" t="s">
        <v>2627</v>
      </c>
      <c r="B669" s="2" t="s">
        <v>2628</v>
      </c>
      <c r="C669" s="2" t="s">
        <v>12</v>
      </c>
      <c r="D669" s="2" t="s">
        <v>204</v>
      </c>
      <c r="E669" s="2" t="s">
        <v>205</v>
      </c>
      <c r="F669" s="2">
        <v>219.0</v>
      </c>
      <c r="G669" s="2">
        <v>6.43</v>
      </c>
      <c r="H669" s="2">
        <v>34.1</v>
      </c>
      <c r="I669" s="2" t="s">
        <v>47</v>
      </c>
    </row>
    <row r="670" ht="15.75" customHeight="1">
      <c r="A670" s="2" t="s">
        <v>2631</v>
      </c>
      <c r="B670" s="2" t="s">
        <v>2633</v>
      </c>
      <c r="C670" s="2" t="s">
        <v>12</v>
      </c>
      <c r="D670" s="2" t="s">
        <v>204</v>
      </c>
      <c r="E670" s="2" t="s">
        <v>205</v>
      </c>
      <c r="F670" s="2">
        <v>380.0</v>
      </c>
      <c r="G670" s="2">
        <v>6.71</v>
      </c>
      <c r="H670" s="2">
        <v>56.6</v>
      </c>
      <c r="I670" s="2" t="s">
        <v>47</v>
      </c>
    </row>
    <row r="671" ht="15.75" customHeight="1">
      <c r="A671" s="2" t="s">
        <v>2635</v>
      </c>
      <c r="B671" s="2" t="s">
        <v>2638</v>
      </c>
      <c r="C671" s="2" t="s">
        <v>12</v>
      </c>
      <c r="D671" s="2" t="s">
        <v>145</v>
      </c>
      <c r="E671" s="2" t="s">
        <v>146</v>
      </c>
      <c r="F671" s="2">
        <v>706.0</v>
      </c>
      <c r="G671" s="2">
        <v>10.45</v>
      </c>
      <c r="H671" s="2">
        <v>67.6</v>
      </c>
      <c r="I671" s="2" t="s">
        <v>27</v>
      </c>
    </row>
    <row r="672" ht="15.75" customHeight="1">
      <c r="A672" s="2" t="s">
        <v>2639</v>
      </c>
      <c r="B672" s="2" t="s">
        <v>2641</v>
      </c>
      <c r="C672" s="2" t="s">
        <v>12</v>
      </c>
      <c r="D672" s="2" t="s">
        <v>35</v>
      </c>
      <c r="E672" s="2" t="s">
        <v>36</v>
      </c>
      <c r="F672" s="2">
        <v>273.0</v>
      </c>
      <c r="G672" s="2">
        <v>9.12</v>
      </c>
      <c r="H672" s="2">
        <v>29.9</v>
      </c>
      <c r="I672" s="2" t="s">
        <v>47</v>
      </c>
    </row>
    <row r="673" ht="15.75" customHeight="1">
      <c r="A673" s="2" t="s">
        <v>2643</v>
      </c>
      <c r="B673" s="2" t="s">
        <v>2645</v>
      </c>
      <c r="C673" s="2" t="s">
        <v>12</v>
      </c>
      <c r="D673" s="2" t="s">
        <v>174</v>
      </c>
      <c r="E673" s="2" t="s">
        <v>175</v>
      </c>
      <c r="F673" s="2">
        <v>139.0</v>
      </c>
      <c r="G673" s="2">
        <v>13.59</v>
      </c>
      <c r="H673" s="2">
        <v>10.2</v>
      </c>
      <c r="I673" s="2" t="s">
        <v>47</v>
      </c>
    </row>
    <row r="674" ht="15.75" customHeight="1">
      <c r="A674" s="2" t="s">
        <v>2649</v>
      </c>
      <c r="B674" s="2" t="s">
        <v>2650</v>
      </c>
      <c r="C674" s="2" t="s">
        <v>12</v>
      </c>
      <c r="D674" s="2" t="s">
        <v>174</v>
      </c>
      <c r="E674" s="2" t="s">
        <v>175</v>
      </c>
      <c r="F674" s="2">
        <v>273.0</v>
      </c>
      <c r="G674" s="2">
        <v>13.67</v>
      </c>
      <c r="H674" s="2">
        <v>20.0</v>
      </c>
      <c r="I674" s="2" t="s">
        <v>47</v>
      </c>
    </row>
    <row r="675" ht="15.75" customHeight="1">
      <c r="A675" s="2" t="s">
        <v>2653</v>
      </c>
      <c r="B675" s="2" t="s">
        <v>2656</v>
      </c>
      <c r="C675" s="2" t="s">
        <v>12</v>
      </c>
      <c r="D675" s="2" t="s">
        <v>35</v>
      </c>
      <c r="E675" s="2" t="s">
        <v>36</v>
      </c>
      <c r="F675" s="2">
        <v>340.0</v>
      </c>
      <c r="G675" s="2">
        <v>5.53</v>
      </c>
      <c r="H675" s="2">
        <v>61.5</v>
      </c>
      <c r="I675" s="2" t="s">
        <v>47</v>
      </c>
    </row>
    <row r="676" ht="15.75" customHeight="1">
      <c r="A676" s="2" t="s">
        <v>2662</v>
      </c>
      <c r="B676" s="2" t="s">
        <v>2664</v>
      </c>
      <c r="C676" s="2" t="s">
        <v>12</v>
      </c>
      <c r="D676" s="2" t="s">
        <v>22</v>
      </c>
      <c r="E676" s="2" t="s">
        <v>23</v>
      </c>
      <c r="F676" s="2">
        <v>287.0</v>
      </c>
      <c r="G676" s="2">
        <v>5.6</v>
      </c>
      <c r="H676" s="2">
        <v>51.2</v>
      </c>
      <c r="I676" s="2" t="s">
        <v>47</v>
      </c>
    </row>
    <row r="677" ht="15.75" customHeight="1">
      <c r="A677" s="2" t="s">
        <v>2658</v>
      </c>
      <c r="B677" s="2" t="s">
        <v>2660</v>
      </c>
      <c r="C677" s="2" t="s">
        <v>12</v>
      </c>
      <c r="D677" s="2" t="s">
        <v>73</v>
      </c>
      <c r="E677" s="2" t="s">
        <v>75</v>
      </c>
      <c r="F677" s="2">
        <v>42.0</v>
      </c>
      <c r="G677" s="2">
        <v>2.2</v>
      </c>
      <c r="H677" s="2">
        <v>19.1</v>
      </c>
      <c r="I677" s="2" t="s">
        <v>47</v>
      </c>
    </row>
    <row r="678" ht="15.75" customHeight="1">
      <c r="A678" s="2" t="s">
        <v>2669</v>
      </c>
      <c r="B678" s="2" t="s">
        <v>2670</v>
      </c>
      <c r="C678" s="2" t="s">
        <v>12</v>
      </c>
      <c r="D678" s="2" t="s">
        <v>90</v>
      </c>
      <c r="E678" s="2" t="s">
        <v>91</v>
      </c>
      <c r="F678" s="2">
        <v>112.0</v>
      </c>
      <c r="G678" s="2">
        <v>2.37</v>
      </c>
      <c r="H678" s="2">
        <v>47.3</v>
      </c>
      <c r="I678" s="2" t="s">
        <v>47</v>
      </c>
    </row>
    <row r="679" ht="15.75" customHeight="1">
      <c r="A679" s="2" t="s">
        <v>726</v>
      </c>
      <c r="B679" s="2" t="s">
        <v>727</v>
      </c>
      <c r="C679" s="2" t="s">
        <v>12</v>
      </c>
      <c r="D679" s="2" t="s">
        <v>22</v>
      </c>
      <c r="E679" s="2" t="s">
        <v>23</v>
      </c>
      <c r="F679" s="2">
        <v>2005.0</v>
      </c>
      <c r="G679" s="2">
        <v>13.16</v>
      </c>
      <c r="H679" s="2">
        <v>152.4</v>
      </c>
      <c r="I679" s="2" t="s">
        <v>138</v>
      </c>
    </row>
    <row r="680" ht="15.75" customHeight="1">
      <c r="A680" s="2" t="s">
        <v>728</v>
      </c>
      <c r="B680" s="2" t="s">
        <v>729</v>
      </c>
      <c r="C680" s="2" t="s">
        <v>12</v>
      </c>
      <c r="D680" s="2" t="s">
        <v>52</v>
      </c>
      <c r="E680" s="2" t="s">
        <v>53</v>
      </c>
      <c r="F680" s="2">
        <v>2065.0</v>
      </c>
      <c r="G680" s="2">
        <v>53.5</v>
      </c>
      <c r="H680" s="2">
        <v>38.6</v>
      </c>
      <c r="I680" s="2" t="s">
        <v>138</v>
      </c>
    </row>
    <row r="681" ht="15.75" customHeight="1">
      <c r="A681" s="2" t="s">
        <v>732</v>
      </c>
      <c r="B681" s="2" t="s">
        <v>734</v>
      </c>
      <c r="C681" s="2" t="s">
        <v>12</v>
      </c>
      <c r="D681" s="2" t="s">
        <v>80</v>
      </c>
      <c r="E681" s="2" t="s">
        <v>81</v>
      </c>
      <c r="F681" s="2">
        <v>505.0</v>
      </c>
      <c r="G681" s="2">
        <v>10.84</v>
      </c>
      <c r="H681" s="2">
        <v>46.6</v>
      </c>
      <c r="I681" s="2" t="s">
        <v>27</v>
      </c>
    </row>
    <row r="682" ht="15.75" customHeight="1">
      <c r="A682" s="2" t="s">
        <v>736</v>
      </c>
      <c r="B682" s="2" t="s">
        <v>738</v>
      </c>
      <c r="C682" s="2" t="s">
        <v>12</v>
      </c>
      <c r="D682" s="2" t="s">
        <v>35</v>
      </c>
      <c r="E682" s="2" t="s">
        <v>36</v>
      </c>
      <c r="F682" s="2">
        <v>28046.0</v>
      </c>
      <c r="G682" s="2">
        <v>12.32</v>
      </c>
      <c r="H682" s="2">
        <v>2276.5</v>
      </c>
      <c r="I682" s="2" t="s">
        <v>805</v>
      </c>
    </row>
    <row r="683" ht="15.75" customHeight="1">
      <c r="A683" s="2" t="s">
        <v>2683</v>
      </c>
      <c r="B683" s="2" t="s">
        <v>2685</v>
      </c>
      <c r="C683" s="2" t="s">
        <v>12</v>
      </c>
      <c r="D683" s="2" t="s">
        <v>160</v>
      </c>
      <c r="E683" s="2" t="s">
        <v>161</v>
      </c>
      <c r="F683" s="2">
        <v>95.0</v>
      </c>
      <c r="G683" s="2">
        <v>6.0</v>
      </c>
      <c r="H683" s="2">
        <v>15.8</v>
      </c>
      <c r="I683" s="2" t="s">
        <v>47</v>
      </c>
    </row>
    <row r="684" ht="15.75" customHeight="1">
      <c r="A684" s="2" t="s">
        <v>2688</v>
      </c>
      <c r="B684" s="2" t="s">
        <v>2690</v>
      </c>
      <c r="C684" s="2" t="s">
        <v>12</v>
      </c>
      <c r="D684" s="2" t="s">
        <v>174</v>
      </c>
      <c r="E684" s="2" t="s">
        <v>175</v>
      </c>
      <c r="F684" s="2">
        <v>56.0</v>
      </c>
      <c r="G684" s="2">
        <v>4.23</v>
      </c>
      <c r="H684" s="2">
        <v>13.2</v>
      </c>
      <c r="I684" s="2" t="s">
        <v>47</v>
      </c>
    </row>
    <row r="685" ht="15.75" customHeight="1">
      <c r="A685" s="2" t="s">
        <v>2693</v>
      </c>
      <c r="B685" s="2" t="s">
        <v>2695</v>
      </c>
      <c r="C685" s="2" t="s">
        <v>12</v>
      </c>
      <c r="D685" s="2" t="s">
        <v>250</v>
      </c>
      <c r="E685" s="2" t="s">
        <v>251</v>
      </c>
      <c r="F685" s="2">
        <v>134.0</v>
      </c>
      <c r="G685" s="2">
        <v>4.62</v>
      </c>
      <c r="H685" s="2">
        <v>29.0</v>
      </c>
      <c r="I685" s="2" t="s">
        <v>47</v>
      </c>
    </row>
    <row r="686" ht="15.75" customHeight="1">
      <c r="A686" s="2" t="s">
        <v>2698</v>
      </c>
      <c r="B686" s="2" t="s">
        <v>2700</v>
      </c>
      <c r="C686" s="2" t="s">
        <v>12</v>
      </c>
      <c r="D686" s="2" t="s">
        <v>145</v>
      </c>
      <c r="E686" s="2" t="s">
        <v>146</v>
      </c>
      <c r="F686" s="2">
        <v>178.0</v>
      </c>
      <c r="G686" s="2">
        <v>6.28</v>
      </c>
      <c r="H686" s="2">
        <v>28.3</v>
      </c>
      <c r="I686" s="2" t="s">
        <v>47</v>
      </c>
    </row>
    <row r="687" ht="15.75" customHeight="1">
      <c r="A687" s="2" t="s">
        <v>2704</v>
      </c>
      <c r="B687" s="2" t="s">
        <v>2705</v>
      </c>
      <c r="C687" s="2" t="s">
        <v>12</v>
      </c>
      <c r="D687" s="2" t="s">
        <v>43</v>
      </c>
      <c r="E687" s="2" t="s">
        <v>44</v>
      </c>
      <c r="F687" s="2">
        <v>205.0</v>
      </c>
      <c r="G687" s="2">
        <v>9.26</v>
      </c>
      <c r="H687" s="2">
        <v>22.1</v>
      </c>
      <c r="I687" s="2" t="s">
        <v>47</v>
      </c>
    </row>
    <row r="688" ht="15.75" customHeight="1">
      <c r="A688" s="2" t="s">
        <v>2710</v>
      </c>
      <c r="B688" s="2" t="s">
        <v>2711</v>
      </c>
      <c r="C688" s="2" t="s">
        <v>12</v>
      </c>
      <c r="D688" s="2" t="s">
        <v>250</v>
      </c>
      <c r="E688" s="2" t="s">
        <v>251</v>
      </c>
      <c r="F688" s="2">
        <v>266.0</v>
      </c>
      <c r="G688" s="2">
        <v>13.94</v>
      </c>
      <c r="H688" s="2">
        <v>19.1</v>
      </c>
      <c r="I688" s="2" t="s">
        <v>47</v>
      </c>
    </row>
    <row r="689" ht="15.75" customHeight="1">
      <c r="A689" s="2" t="s">
        <v>2713</v>
      </c>
      <c r="B689" s="2" t="s">
        <v>2714</v>
      </c>
      <c r="C689" s="2" t="s">
        <v>12</v>
      </c>
      <c r="D689" s="2" t="s">
        <v>90</v>
      </c>
      <c r="E689" s="2" t="s">
        <v>91</v>
      </c>
      <c r="F689" s="2">
        <v>74.0</v>
      </c>
      <c r="G689" s="2">
        <v>5.22</v>
      </c>
      <c r="H689" s="2">
        <v>14.2</v>
      </c>
      <c r="I689" s="2" t="s">
        <v>47</v>
      </c>
    </row>
    <row r="690" ht="15.75" customHeight="1">
      <c r="A690" s="2" t="s">
        <v>2716</v>
      </c>
      <c r="B690" s="2" t="s">
        <v>2719</v>
      </c>
      <c r="C690" s="2" t="s">
        <v>12</v>
      </c>
      <c r="D690" s="2" t="s">
        <v>73</v>
      </c>
      <c r="E690" s="2" t="s">
        <v>75</v>
      </c>
      <c r="F690" s="2">
        <v>272.0</v>
      </c>
      <c r="G690" s="2">
        <v>10.27</v>
      </c>
      <c r="H690" s="2">
        <v>26.5</v>
      </c>
      <c r="I690" s="2" t="s">
        <v>47</v>
      </c>
    </row>
    <row r="691" ht="15.75" customHeight="1">
      <c r="A691" s="2" t="s">
        <v>2724</v>
      </c>
      <c r="B691" s="2" t="s">
        <v>2725</v>
      </c>
      <c r="C691" s="2" t="s">
        <v>12</v>
      </c>
      <c r="D691" s="2" t="s">
        <v>80</v>
      </c>
      <c r="E691" s="2" t="s">
        <v>81</v>
      </c>
      <c r="F691" s="2">
        <v>92.0</v>
      </c>
      <c r="G691" s="2">
        <v>6.38</v>
      </c>
      <c r="H691" s="2">
        <v>14.4</v>
      </c>
      <c r="I691" s="2" t="s">
        <v>47</v>
      </c>
    </row>
    <row r="692" ht="15.75" customHeight="1">
      <c r="A692" s="2" t="s">
        <v>740</v>
      </c>
      <c r="B692" s="2" t="s">
        <v>741</v>
      </c>
      <c r="C692" s="2" t="s">
        <v>12</v>
      </c>
      <c r="D692" s="2" t="s">
        <v>80</v>
      </c>
      <c r="E692" s="2" t="s">
        <v>81</v>
      </c>
      <c r="F692" s="2">
        <v>601.0</v>
      </c>
      <c r="G692" s="2">
        <v>11.7</v>
      </c>
      <c r="H692" s="2">
        <v>51.4</v>
      </c>
      <c r="I692" s="2" t="s">
        <v>27</v>
      </c>
    </row>
    <row r="693" ht="15.75" customHeight="1">
      <c r="A693" s="2" t="s">
        <v>2728</v>
      </c>
      <c r="B693" s="2" t="s">
        <v>2730</v>
      </c>
      <c r="C693" s="2" t="s">
        <v>12</v>
      </c>
      <c r="D693" s="2" t="s">
        <v>90</v>
      </c>
      <c r="E693" s="2" t="s">
        <v>91</v>
      </c>
      <c r="F693" s="2">
        <v>257.0</v>
      </c>
      <c r="G693" s="2">
        <v>10.58</v>
      </c>
      <c r="H693" s="2">
        <v>24.3</v>
      </c>
      <c r="I693" s="2" t="s">
        <v>47</v>
      </c>
    </row>
    <row r="694" ht="15.75" customHeight="1">
      <c r="A694" s="2" t="s">
        <v>2733</v>
      </c>
      <c r="B694" s="2" t="s">
        <v>2735</v>
      </c>
      <c r="C694" s="2" t="s">
        <v>12</v>
      </c>
      <c r="D694" s="2" t="s">
        <v>73</v>
      </c>
      <c r="E694" s="2" t="s">
        <v>75</v>
      </c>
      <c r="F694" s="2">
        <v>16.0</v>
      </c>
      <c r="G694" s="2">
        <v>2.54</v>
      </c>
      <c r="H694" s="2">
        <v>6.3</v>
      </c>
      <c r="I694" s="2" t="s">
        <v>47</v>
      </c>
    </row>
    <row r="695" ht="15.75" customHeight="1">
      <c r="A695" s="2" t="s">
        <v>2737</v>
      </c>
      <c r="B695" s="2" t="s">
        <v>2739</v>
      </c>
      <c r="C695" s="2" t="s">
        <v>12</v>
      </c>
      <c r="D695" s="2" t="s">
        <v>90</v>
      </c>
      <c r="E695" s="2" t="s">
        <v>91</v>
      </c>
      <c r="F695" s="2">
        <v>162.0</v>
      </c>
      <c r="G695" s="2">
        <v>8.84</v>
      </c>
      <c r="H695" s="2">
        <v>18.3</v>
      </c>
      <c r="I695" s="2" t="s">
        <v>47</v>
      </c>
    </row>
    <row r="696" ht="15.75" customHeight="1">
      <c r="A696" s="2" t="s">
        <v>742</v>
      </c>
      <c r="B696" s="2" t="s">
        <v>743</v>
      </c>
      <c r="C696" s="2" t="s">
        <v>12</v>
      </c>
      <c r="D696" s="2" t="s">
        <v>43</v>
      </c>
      <c r="E696" s="2" t="s">
        <v>44</v>
      </c>
      <c r="F696" s="2">
        <v>543.0</v>
      </c>
      <c r="G696" s="2">
        <v>25.58</v>
      </c>
      <c r="H696" s="2">
        <v>21.2</v>
      </c>
      <c r="I696" s="2" t="s">
        <v>27</v>
      </c>
    </row>
    <row r="697" ht="15.75" customHeight="1">
      <c r="A697" s="2" t="s">
        <v>745</v>
      </c>
      <c r="B697" s="2" t="s">
        <v>746</v>
      </c>
      <c r="C697" s="2" t="s">
        <v>12</v>
      </c>
      <c r="D697" s="2" t="s">
        <v>22</v>
      </c>
      <c r="E697" s="2" t="s">
        <v>23</v>
      </c>
      <c r="F697" s="2">
        <v>13045.0</v>
      </c>
      <c r="G697" s="2">
        <v>18.3</v>
      </c>
      <c r="H697" s="2">
        <v>712.8</v>
      </c>
      <c r="I697" s="2" t="s">
        <v>805</v>
      </c>
    </row>
    <row r="698" ht="15.75" customHeight="1">
      <c r="A698" s="2" t="s">
        <v>2746</v>
      </c>
      <c r="B698" s="2" t="s">
        <v>2747</v>
      </c>
      <c r="C698" s="2" t="s">
        <v>12</v>
      </c>
      <c r="D698" s="2" t="s">
        <v>73</v>
      </c>
      <c r="E698" s="2" t="s">
        <v>75</v>
      </c>
      <c r="F698" s="2">
        <v>317.0</v>
      </c>
      <c r="G698" s="2">
        <v>7.06</v>
      </c>
      <c r="H698" s="2">
        <v>44.9</v>
      </c>
      <c r="I698" s="2" t="s">
        <v>47</v>
      </c>
    </row>
    <row r="699" ht="15.75" customHeight="1">
      <c r="A699" s="2" t="s">
        <v>2750</v>
      </c>
      <c r="B699" s="2" t="s">
        <v>2751</v>
      </c>
      <c r="C699" s="2" t="s">
        <v>12</v>
      </c>
      <c r="D699" s="2" t="s">
        <v>250</v>
      </c>
      <c r="E699" s="2" t="s">
        <v>251</v>
      </c>
      <c r="F699" s="2">
        <v>220.0</v>
      </c>
      <c r="G699" s="2">
        <v>16.75</v>
      </c>
      <c r="H699" s="2">
        <v>13.1</v>
      </c>
      <c r="I699" s="2" t="s">
        <v>47</v>
      </c>
    </row>
    <row r="700" ht="15.75" customHeight="1">
      <c r="A700" s="2" t="s">
        <v>750</v>
      </c>
      <c r="B700" s="2" t="s">
        <v>751</v>
      </c>
      <c r="C700" s="2" t="s">
        <v>12</v>
      </c>
      <c r="D700" s="2" t="s">
        <v>80</v>
      </c>
      <c r="E700" s="2" t="s">
        <v>81</v>
      </c>
      <c r="F700" s="2">
        <v>541.0</v>
      </c>
      <c r="G700" s="2">
        <v>6.99</v>
      </c>
      <c r="H700" s="2">
        <v>77.4</v>
      </c>
      <c r="I700" s="2" t="s">
        <v>27</v>
      </c>
    </row>
    <row r="701" ht="15.75" customHeight="1">
      <c r="A701" s="2" t="s">
        <v>2756</v>
      </c>
      <c r="B701" s="2" t="s">
        <v>2758</v>
      </c>
      <c r="C701" s="2" t="s">
        <v>12</v>
      </c>
      <c r="D701" s="2" t="s">
        <v>43</v>
      </c>
      <c r="E701" s="2" t="s">
        <v>44</v>
      </c>
      <c r="F701" s="2">
        <v>122.0</v>
      </c>
      <c r="G701" s="2">
        <v>6.23</v>
      </c>
      <c r="H701" s="2">
        <v>19.6</v>
      </c>
      <c r="I701" s="2" t="s">
        <v>47</v>
      </c>
    </row>
    <row r="702" ht="15.75" customHeight="1">
      <c r="A702" s="2" t="s">
        <v>2763</v>
      </c>
      <c r="B702" s="2" t="s">
        <v>2765</v>
      </c>
      <c r="C702" s="2" t="s">
        <v>12</v>
      </c>
      <c r="D702" s="2" t="s">
        <v>174</v>
      </c>
      <c r="E702" s="2" t="s">
        <v>175</v>
      </c>
      <c r="F702" s="2">
        <v>81.0</v>
      </c>
      <c r="G702" s="2">
        <v>3.59</v>
      </c>
      <c r="H702" s="2">
        <v>22.6</v>
      </c>
      <c r="I702" s="2" t="s">
        <v>47</v>
      </c>
    </row>
    <row r="703" ht="15.75" customHeight="1">
      <c r="A703" s="2" t="s">
        <v>2768</v>
      </c>
      <c r="B703" s="2" t="s">
        <v>2769</v>
      </c>
      <c r="C703" s="2" t="s">
        <v>12</v>
      </c>
      <c r="D703" s="2" t="s">
        <v>43</v>
      </c>
      <c r="E703" s="2" t="s">
        <v>44</v>
      </c>
      <c r="F703" s="2">
        <v>110.0</v>
      </c>
      <c r="G703" s="2">
        <v>7.8</v>
      </c>
      <c r="H703" s="2">
        <v>14.1</v>
      </c>
      <c r="I703" s="2" t="s">
        <v>47</v>
      </c>
    </row>
    <row r="704" ht="15.75" customHeight="1">
      <c r="A704" s="2" t="s">
        <v>754</v>
      </c>
      <c r="B704" s="2" t="s">
        <v>755</v>
      </c>
      <c r="C704" s="2" t="s">
        <v>12</v>
      </c>
      <c r="D704" s="2" t="s">
        <v>22</v>
      </c>
      <c r="E704" s="2" t="s">
        <v>23</v>
      </c>
      <c r="F704" s="2">
        <v>685.0</v>
      </c>
      <c r="G704" s="2">
        <v>14.5</v>
      </c>
      <c r="H704" s="2">
        <v>47.2</v>
      </c>
      <c r="I704" s="2" t="s">
        <v>27</v>
      </c>
    </row>
    <row r="705" ht="15.75" customHeight="1">
      <c r="A705" s="2" t="s">
        <v>2774</v>
      </c>
      <c r="B705" s="2" t="s">
        <v>2776</v>
      </c>
      <c r="C705" s="2" t="s">
        <v>12</v>
      </c>
      <c r="D705" s="2" t="s">
        <v>204</v>
      </c>
      <c r="E705" s="2" t="s">
        <v>205</v>
      </c>
      <c r="F705" s="2">
        <v>80.0</v>
      </c>
      <c r="G705" s="2">
        <v>4.05</v>
      </c>
      <c r="H705" s="2">
        <v>19.8</v>
      </c>
      <c r="I705" s="2" t="s">
        <v>47</v>
      </c>
    </row>
    <row r="706" ht="15.75" customHeight="1">
      <c r="A706" s="2" t="s">
        <v>756</v>
      </c>
      <c r="B706" s="2" t="s">
        <v>757</v>
      </c>
      <c r="C706" s="2" t="s">
        <v>12</v>
      </c>
      <c r="D706" s="2" t="s">
        <v>134</v>
      </c>
      <c r="E706" s="2" t="s">
        <v>135</v>
      </c>
      <c r="F706" s="2">
        <v>541.0</v>
      </c>
      <c r="G706" s="2">
        <v>15.24</v>
      </c>
      <c r="H706" s="2">
        <v>35.5</v>
      </c>
      <c r="I706" s="2" t="s">
        <v>27</v>
      </c>
    </row>
    <row r="707" ht="15.75" customHeight="1">
      <c r="A707" s="2" t="s">
        <v>2781</v>
      </c>
      <c r="B707" s="2" t="s">
        <v>2783</v>
      </c>
      <c r="C707" s="2" t="s">
        <v>12</v>
      </c>
      <c r="D707" s="2" t="s">
        <v>90</v>
      </c>
      <c r="E707" s="2" t="s">
        <v>91</v>
      </c>
      <c r="F707" s="2">
        <v>207.0</v>
      </c>
      <c r="G707" s="2">
        <v>2.8</v>
      </c>
      <c r="H707" s="2">
        <v>73.9</v>
      </c>
      <c r="I707" s="2" t="s">
        <v>47</v>
      </c>
    </row>
    <row r="708" ht="15.75" customHeight="1">
      <c r="A708" s="2" t="s">
        <v>2788</v>
      </c>
      <c r="B708" s="2" t="s">
        <v>2789</v>
      </c>
      <c r="C708" s="2" t="s">
        <v>12</v>
      </c>
      <c r="D708" s="2" t="s">
        <v>66</v>
      </c>
      <c r="E708" s="2" t="s">
        <v>67</v>
      </c>
      <c r="F708" s="2">
        <v>139.0</v>
      </c>
      <c r="G708" s="2">
        <v>3.02</v>
      </c>
      <c r="H708" s="2">
        <v>46.0</v>
      </c>
      <c r="I708" s="2" t="s">
        <v>47</v>
      </c>
    </row>
    <row r="709" ht="15.75" customHeight="1">
      <c r="A709" s="2" t="s">
        <v>760</v>
      </c>
      <c r="B709" s="2" t="s">
        <v>761</v>
      </c>
      <c r="C709" s="2" t="s">
        <v>12</v>
      </c>
      <c r="D709" s="2" t="s">
        <v>174</v>
      </c>
      <c r="E709" s="2" t="s">
        <v>175</v>
      </c>
      <c r="F709" s="2">
        <v>952.0</v>
      </c>
      <c r="G709" s="2">
        <v>20.4</v>
      </c>
      <c r="H709" s="2">
        <v>46.7</v>
      </c>
      <c r="I709" s="2" t="s">
        <v>27</v>
      </c>
    </row>
    <row r="710" ht="15.75" customHeight="1">
      <c r="A710" s="2" t="s">
        <v>762</v>
      </c>
      <c r="B710" s="2" t="s">
        <v>763</v>
      </c>
      <c r="C710" s="2" t="s">
        <v>12</v>
      </c>
      <c r="D710" s="2" t="s">
        <v>145</v>
      </c>
      <c r="E710" s="2" t="s">
        <v>146</v>
      </c>
      <c r="F710" s="2">
        <v>282.0</v>
      </c>
      <c r="G710" s="2">
        <v>5.92</v>
      </c>
      <c r="H710" s="2">
        <v>47.6</v>
      </c>
      <c r="I710" s="2" t="s">
        <v>47</v>
      </c>
    </row>
    <row r="711" ht="15.75" customHeight="1">
      <c r="A711" s="2" t="s">
        <v>2796</v>
      </c>
      <c r="B711" s="2" t="s">
        <v>2797</v>
      </c>
      <c r="C711" s="2" t="s">
        <v>12</v>
      </c>
      <c r="D711" s="2" t="s">
        <v>58</v>
      </c>
      <c r="E711" s="2" t="s">
        <v>59</v>
      </c>
      <c r="F711" s="2">
        <v>341.0</v>
      </c>
      <c r="G711" s="2">
        <v>12.98</v>
      </c>
      <c r="H711" s="2">
        <v>26.3</v>
      </c>
      <c r="I711" s="2" t="s">
        <v>47</v>
      </c>
    </row>
    <row r="712" ht="15.75" customHeight="1">
      <c r="A712" s="2" t="s">
        <v>2800</v>
      </c>
      <c r="B712" s="2" t="s">
        <v>2801</v>
      </c>
      <c r="C712" s="2" t="s">
        <v>12</v>
      </c>
      <c r="D712" s="2" t="s">
        <v>22</v>
      </c>
      <c r="E712" s="2" t="s">
        <v>23</v>
      </c>
      <c r="F712" s="2">
        <v>187.0</v>
      </c>
      <c r="G712" s="2">
        <v>6.0</v>
      </c>
      <c r="H712" s="2">
        <v>31.2</v>
      </c>
      <c r="I712" s="2" t="s">
        <v>47</v>
      </c>
    </row>
    <row r="713" ht="15.75" customHeight="1">
      <c r="A713" s="2" t="s">
        <v>2804</v>
      </c>
      <c r="B713" s="2" t="s">
        <v>2805</v>
      </c>
      <c r="C713" s="2" t="s">
        <v>12</v>
      </c>
      <c r="D713" s="2" t="s">
        <v>134</v>
      </c>
      <c r="E713" s="2" t="s">
        <v>135</v>
      </c>
      <c r="F713" s="2">
        <v>534.0</v>
      </c>
      <c r="G713" s="2">
        <v>7.31</v>
      </c>
      <c r="H713" s="2">
        <v>73.1</v>
      </c>
      <c r="I713" s="2" t="s">
        <v>27</v>
      </c>
    </row>
    <row r="714" ht="15.75" customHeight="1">
      <c r="A714" s="2" t="s">
        <v>2807</v>
      </c>
      <c r="B714" s="2" t="s">
        <v>2809</v>
      </c>
      <c r="C714" s="2" t="s">
        <v>12</v>
      </c>
      <c r="D714" s="2" t="s">
        <v>80</v>
      </c>
      <c r="E714" s="2" t="s">
        <v>81</v>
      </c>
      <c r="F714" s="2">
        <v>687.0</v>
      </c>
      <c r="G714" s="2">
        <v>13.8</v>
      </c>
      <c r="H714" s="2">
        <v>49.8</v>
      </c>
      <c r="I714" s="2" t="s">
        <v>27</v>
      </c>
    </row>
    <row r="715" ht="15.75" customHeight="1">
      <c r="A715" s="2" t="s">
        <v>764</v>
      </c>
      <c r="B715" s="2" t="s">
        <v>765</v>
      </c>
      <c r="C715" s="2" t="s">
        <v>12</v>
      </c>
      <c r="D715" s="2" t="s">
        <v>58</v>
      </c>
      <c r="E715" s="2" t="s">
        <v>59</v>
      </c>
      <c r="F715" s="2">
        <v>505.0</v>
      </c>
      <c r="G715" s="2">
        <v>12.4</v>
      </c>
      <c r="H715" s="2">
        <v>40.7</v>
      </c>
      <c r="I715" s="2" t="s">
        <v>27</v>
      </c>
    </row>
    <row r="716" ht="15.75" customHeight="1">
      <c r="A716" s="2" t="s">
        <v>766</v>
      </c>
      <c r="B716" s="2" t="s">
        <v>767</v>
      </c>
      <c r="C716" s="2" t="s">
        <v>12</v>
      </c>
      <c r="D716" s="2" t="s">
        <v>73</v>
      </c>
      <c r="E716" s="2" t="s">
        <v>75</v>
      </c>
      <c r="F716" s="2">
        <v>2050.0</v>
      </c>
      <c r="G716" s="2">
        <v>9.97</v>
      </c>
      <c r="H716" s="2">
        <v>205.6</v>
      </c>
      <c r="I716" s="2" t="s">
        <v>138</v>
      </c>
    </row>
    <row r="717" ht="15.75" customHeight="1">
      <c r="A717" s="2" t="s">
        <v>326</v>
      </c>
      <c r="B717" s="2" t="s">
        <v>327</v>
      </c>
      <c r="C717" s="2" t="s">
        <v>12</v>
      </c>
      <c r="D717" s="2" t="s">
        <v>174</v>
      </c>
      <c r="E717" s="2" t="s">
        <v>175</v>
      </c>
      <c r="F717" s="2">
        <v>599.0</v>
      </c>
      <c r="G717" s="2">
        <v>41.57</v>
      </c>
      <c r="H717" s="2">
        <v>14.4</v>
      </c>
      <c r="I717" s="2" t="s">
        <v>27</v>
      </c>
    </row>
    <row r="718" ht="15.75" customHeight="1">
      <c r="A718" s="2" t="s">
        <v>2823</v>
      </c>
      <c r="B718" s="2" t="s">
        <v>2825</v>
      </c>
      <c r="C718" s="2" t="s">
        <v>12</v>
      </c>
      <c r="D718" s="2" t="s">
        <v>52</v>
      </c>
      <c r="E718" s="2" t="s">
        <v>53</v>
      </c>
      <c r="F718" s="2">
        <v>217.0</v>
      </c>
      <c r="G718" s="2">
        <v>5.52</v>
      </c>
      <c r="H718" s="2">
        <v>39.3</v>
      </c>
      <c r="I718" s="2" t="s">
        <v>47</v>
      </c>
    </row>
    <row r="719" ht="15.75" customHeight="1">
      <c r="A719" s="2" t="s">
        <v>2827</v>
      </c>
      <c r="B719" s="2" t="s">
        <v>2829</v>
      </c>
      <c r="C719" s="2" t="s">
        <v>12</v>
      </c>
      <c r="D719" s="2" t="s">
        <v>90</v>
      </c>
      <c r="E719" s="2" t="s">
        <v>91</v>
      </c>
      <c r="F719" s="2">
        <v>172.0</v>
      </c>
      <c r="G719" s="2">
        <v>9.84</v>
      </c>
      <c r="H719" s="2">
        <v>17.5</v>
      </c>
      <c r="I719" s="2" t="s">
        <v>47</v>
      </c>
    </row>
    <row r="720" ht="15.75" customHeight="1">
      <c r="A720" s="2" t="s">
        <v>2832</v>
      </c>
      <c r="B720" s="2" t="s">
        <v>2833</v>
      </c>
      <c r="C720" s="2" t="s">
        <v>12</v>
      </c>
      <c r="D720" s="2" t="s">
        <v>73</v>
      </c>
      <c r="E720" s="2" t="s">
        <v>75</v>
      </c>
      <c r="F720" s="2">
        <v>197.0</v>
      </c>
      <c r="G720" s="2">
        <v>3.22</v>
      </c>
      <c r="H720" s="2">
        <v>61.2</v>
      </c>
      <c r="I720" s="2" t="s">
        <v>47</v>
      </c>
    </row>
    <row r="721" ht="15.75" customHeight="1">
      <c r="A721" s="2" t="s">
        <v>2836</v>
      </c>
      <c r="B721" s="2" t="s">
        <v>2837</v>
      </c>
      <c r="C721" s="2" t="s">
        <v>12</v>
      </c>
      <c r="D721" s="2" t="s">
        <v>66</v>
      </c>
      <c r="E721" s="2" t="s">
        <v>67</v>
      </c>
      <c r="F721" s="2">
        <v>92.0</v>
      </c>
      <c r="G721" s="2">
        <v>2.94</v>
      </c>
      <c r="H721" s="2">
        <v>31.3</v>
      </c>
      <c r="I721" s="2" t="s">
        <v>47</v>
      </c>
    </row>
    <row r="722" ht="15.75" customHeight="1">
      <c r="A722" s="2" t="s">
        <v>2840</v>
      </c>
      <c r="B722" s="2" t="s">
        <v>2842</v>
      </c>
      <c r="C722" s="2" t="s">
        <v>12</v>
      </c>
      <c r="D722" s="2" t="s">
        <v>182</v>
      </c>
      <c r="E722" s="2" t="s">
        <v>184</v>
      </c>
      <c r="F722" s="2">
        <v>230.0</v>
      </c>
      <c r="G722" s="2">
        <v>4.02</v>
      </c>
      <c r="H722" s="2">
        <v>57.2</v>
      </c>
      <c r="I722" s="2" t="s">
        <v>47</v>
      </c>
    </row>
    <row r="723" ht="15.75" customHeight="1">
      <c r="A723" s="2" t="s">
        <v>2844</v>
      </c>
      <c r="B723" s="2" t="s">
        <v>2846</v>
      </c>
      <c r="C723" s="2" t="s">
        <v>12</v>
      </c>
      <c r="D723" s="2" t="s">
        <v>73</v>
      </c>
      <c r="E723" s="2" t="s">
        <v>75</v>
      </c>
      <c r="F723" s="2">
        <v>237.0</v>
      </c>
      <c r="G723" s="2">
        <v>8.53</v>
      </c>
      <c r="H723" s="2">
        <v>27.8</v>
      </c>
      <c r="I723" s="2" t="s">
        <v>47</v>
      </c>
    </row>
    <row r="724" ht="15.75" customHeight="1">
      <c r="A724" s="2" t="s">
        <v>784</v>
      </c>
      <c r="B724" s="2" t="s">
        <v>791</v>
      </c>
      <c r="C724" s="2" t="s">
        <v>12</v>
      </c>
      <c r="D724" s="2" t="s">
        <v>58</v>
      </c>
      <c r="E724" s="2" t="s">
        <v>59</v>
      </c>
      <c r="F724" s="2">
        <v>924.0</v>
      </c>
      <c r="G724" s="2">
        <v>15.88</v>
      </c>
      <c r="H724" s="2">
        <v>58.2</v>
      </c>
      <c r="I724" s="2" t="s">
        <v>27</v>
      </c>
    </row>
    <row r="725" ht="15.75" customHeight="1">
      <c r="A725" s="2" t="s">
        <v>2858</v>
      </c>
      <c r="B725" s="2" t="s">
        <v>2859</v>
      </c>
      <c r="C725" s="2" t="s">
        <v>12</v>
      </c>
      <c r="D725" s="2" t="s">
        <v>204</v>
      </c>
      <c r="E725" s="2" t="s">
        <v>205</v>
      </c>
      <c r="F725" s="2">
        <v>142.0</v>
      </c>
      <c r="G725" s="2">
        <v>3.89</v>
      </c>
      <c r="H725" s="2">
        <v>36.5</v>
      </c>
      <c r="I725" s="2" t="s">
        <v>47</v>
      </c>
    </row>
    <row r="726" ht="15.75" customHeight="1">
      <c r="A726" s="2" t="s">
        <v>802</v>
      </c>
      <c r="B726" s="2" t="s">
        <v>803</v>
      </c>
      <c r="C726" s="2" t="s">
        <v>12</v>
      </c>
      <c r="D726" s="2" t="s">
        <v>134</v>
      </c>
      <c r="E726" s="2" t="s">
        <v>135</v>
      </c>
      <c r="F726" s="2">
        <v>498.0</v>
      </c>
      <c r="G726" s="2">
        <v>14.1</v>
      </c>
      <c r="H726" s="2">
        <v>35.3</v>
      </c>
      <c r="I726" s="2" t="s">
        <v>47</v>
      </c>
    </row>
    <row r="727" ht="15.75" customHeight="1">
      <c r="A727" s="2" t="s">
        <v>2855</v>
      </c>
      <c r="B727" s="2" t="s">
        <v>2857</v>
      </c>
      <c r="C727" s="2" t="s">
        <v>12</v>
      </c>
      <c r="D727" s="2" t="s">
        <v>35</v>
      </c>
      <c r="E727" s="2" t="s">
        <v>36</v>
      </c>
      <c r="F727" s="2">
        <v>763.0</v>
      </c>
      <c r="G727" s="2">
        <v>5.01</v>
      </c>
      <c r="H727" s="2">
        <v>152.3</v>
      </c>
      <c r="I727" s="2" t="s">
        <v>27</v>
      </c>
    </row>
    <row r="728" ht="15.75" customHeight="1">
      <c r="A728" s="2" t="s">
        <v>2848</v>
      </c>
      <c r="B728" s="2" t="s">
        <v>2849</v>
      </c>
      <c r="C728" s="2" t="s">
        <v>12</v>
      </c>
      <c r="D728" s="2" t="s">
        <v>35</v>
      </c>
      <c r="E728" s="2" t="s">
        <v>36</v>
      </c>
      <c r="F728" s="2">
        <v>323.0</v>
      </c>
      <c r="G728" s="2">
        <v>6.55</v>
      </c>
      <c r="H728" s="2">
        <v>49.3</v>
      </c>
      <c r="I728" s="2" t="s">
        <v>47</v>
      </c>
    </row>
    <row r="729" ht="15.75" customHeight="1">
      <c r="A729" s="2" t="s">
        <v>2862</v>
      </c>
      <c r="B729" s="2" t="s">
        <v>2863</v>
      </c>
      <c r="C729" s="2" t="s">
        <v>12</v>
      </c>
      <c r="D729" s="2" t="s">
        <v>73</v>
      </c>
      <c r="E729" s="2" t="s">
        <v>75</v>
      </c>
      <c r="F729" s="2">
        <v>43.0</v>
      </c>
      <c r="G729" s="2">
        <v>2.28</v>
      </c>
      <c r="H729" s="2">
        <v>18.9</v>
      </c>
      <c r="I729" s="2" t="s">
        <v>47</v>
      </c>
    </row>
    <row r="730" ht="15.75" customHeight="1">
      <c r="A730" s="2" t="s">
        <v>2866</v>
      </c>
      <c r="B730" s="2" t="s">
        <v>2867</v>
      </c>
      <c r="C730" s="2" t="s">
        <v>12</v>
      </c>
      <c r="D730" s="2" t="s">
        <v>204</v>
      </c>
      <c r="E730" s="2" t="s">
        <v>205</v>
      </c>
      <c r="F730" s="2">
        <v>123.0</v>
      </c>
      <c r="G730" s="2">
        <v>5.25</v>
      </c>
      <c r="H730" s="2">
        <v>23.4</v>
      </c>
      <c r="I730" s="2" t="s">
        <v>47</v>
      </c>
    </row>
    <row r="731" ht="15.75" customHeight="1">
      <c r="A731" s="2" t="s">
        <v>810</v>
      </c>
      <c r="B731" s="2" t="s">
        <v>812</v>
      </c>
      <c r="C731" s="2" t="s">
        <v>12</v>
      </c>
      <c r="D731" s="2" t="s">
        <v>80</v>
      </c>
      <c r="E731" s="2" t="s">
        <v>81</v>
      </c>
      <c r="F731" s="2">
        <v>923.0</v>
      </c>
      <c r="G731" s="2">
        <v>14.58</v>
      </c>
      <c r="H731" s="2">
        <v>63.3</v>
      </c>
      <c r="I731" s="2" t="s">
        <v>27</v>
      </c>
    </row>
    <row r="732" ht="15.75" customHeight="1">
      <c r="A732" s="2" t="s">
        <v>2872</v>
      </c>
      <c r="B732" s="2" t="s">
        <v>2873</v>
      </c>
      <c r="C732" s="2" t="s">
        <v>12</v>
      </c>
      <c r="D732" s="2" t="s">
        <v>204</v>
      </c>
      <c r="E732" s="2" t="s">
        <v>205</v>
      </c>
      <c r="F732" s="2">
        <v>585.0</v>
      </c>
      <c r="G732" s="2">
        <v>10.96</v>
      </c>
      <c r="H732" s="2">
        <v>53.4</v>
      </c>
      <c r="I732" s="2" t="s">
        <v>27</v>
      </c>
    </row>
    <row r="733" ht="15.75" customHeight="1">
      <c r="A733" s="2" t="s">
        <v>2876</v>
      </c>
      <c r="B733" s="2" t="s">
        <v>2877</v>
      </c>
      <c r="C733" s="2" t="s">
        <v>12</v>
      </c>
      <c r="D733" s="2" t="s">
        <v>686</v>
      </c>
      <c r="E733" s="2" t="s">
        <v>691</v>
      </c>
      <c r="F733" s="2">
        <v>133.0</v>
      </c>
      <c r="G733" s="2">
        <v>12.78</v>
      </c>
      <c r="H733" s="2">
        <v>10.4</v>
      </c>
      <c r="I733" s="2" t="s">
        <v>47</v>
      </c>
    </row>
    <row r="734" ht="15.75" customHeight="1">
      <c r="A734" s="2" t="s">
        <v>2880</v>
      </c>
      <c r="B734" s="2" t="s">
        <v>2882</v>
      </c>
      <c r="C734" s="2" t="s">
        <v>12</v>
      </c>
      <c r="D734" s="2" t="s">
        <v>66</v>
      </c>
      <c r="E734" s="2" t="s">
        <v>67</v>
      </c>
      <c r="F734" s="2">
        <v>101.0</v>
      </c>
      <c r="G734" s="2">
        <v>8.97</v>
      </c>
      <c r="H734" s="2">
        <v>11.3</v>
      </c>
      <c r="I734" s="2" t="s">
        <v>47</v>
      </c>
    </row>
    <row r="735" ht="15.75" customHeight="1">
      <c r="A735" s="2" t="s">
        <v>815</v>
      </c>
      <c r="B735" s="2" t="s">
        <v>816</v>
      </c>
      <c r="C735" s="2" t="s">
        <v>12</v>
      </c>
      <c r="D735" s="2" t="s">
        <v>35</v>
      </c>
      <c r="E735" s="2" t="s">
        <v>36</v>
      </c>
      <c r="F735" s="2">
        <v>1324.0</v>
      </c>
      <c r="G735" s="2">
        <v>3.73</v>
      </c>
      <c r="H735" s="2">
        <v>355.0</v>
      </c>
      <c r="I735" s="2" t="s">
        <v>27</v>
      </c>
    </row>
    <row r="736" ht="15.75" customHeight="1">
      <c r="A736" s="2" t="s">
        <v>819</v>
      </c>
      <c r="B736" s="2" t="s">
        <v>821</v>
      </c>
      <c r="C736" s="2" t="s">
        <v>12</v>
      </c>
      <c r="D736" s="2" t="s">
        <v>174</v>
      </c>
      <c r="E736" s="2" t="s">
        <v>175</v>
      </c>
      <c r="F736" s="2">
        <v>443.0</v>
      </c>
      <c r="G736" s="2">
        <v>5.23</v>
      </c>
      <c r="H736" s="2">
        <v>84.7</v>
      </c>
      <c r="I736" s="2" t="s">
        <v>47</v>
      </c>
    </row>
    <row r="737" ht="15.75" customHeight="1">
      <c r="A737" s="2" t="s">
        <v>828</v>
      </c>
      <c r="B737" s="2" t="s">
        <v>830</v>
      </c>
      <c r="C737" s="2" t="s">
        <v>12</v>
      </c>
      <c r="D737" s="2" t="s">
        <v>204</v>
      </c>
      <c r="E737" s="2" t="s">
        <v>205</v>
      </c>
      <c r="F737" s="2">
        <v>1104.0</v>
      </c>
      <c r="G737" s="2">
        <v>16.01</v>
      </c>
      <c r="H737" s="2">
        <v>69.0</v>
      </c>
      <c r="I737" s="2" t="s">
        <v>27</v>
      </c>
    </row>
    <row r="738" ht="15.75" customHeight="1">
      <c r="A738" s="2" t="s">
        <v>2908</v>
      </c>
      <c r="B738" s="2" t="s">
        <v>2909</v>
      </c>
      <c r="C738" s="2" t="s">
        <v>12</v>
      </c>
      <c r="D738" s="2" t="s">
        <v>134</v>
      </c>
      <c r="E738" s="2" t="s">
        <v>135</v>
      </c>
      <c r="F738" s="2">
        <v>139.0</v>
      </c>
      <c r="G738" s="2">
        <v>4.64</v>
      </c>
      <c r="H738" s="2">
        <v>30.0</v>
      </c>
      <c r="I738" s="2" t="s">
        <v>47</v>
      </c>
    </row>
    <row r="739" ht="15.75" customHeight="1">
      <c r="A739" s="2" t="s">
        <v>831</v>
      </c>
      <c r="B739" s="2" t="s">
        <v>832</v>
      </c>
      <c r="C739" s="2" t="s">
        <v>12</v>
      </c>
      <c r="D739" s="2" t="s">
        <v>43</v>
      </c>
      <c r="E739" s="2" t="s">
        <v>44</v>
      </c>
      <c r="F739" s="2">
        <v>249.0</v>
      </c>
      <c r="G739" s="2">
        <v>7.94</v>
      </c>
      <c r="H739" s="2">
        <v>31.4</v>
      </c>
      <c r="I739" s="2" t="s">
        <v>47</v>
      </c>
    </row>
    <row r="740" ht="15.75" customHeight="1">
      <c r="A740" s="2" t="s">
        <v>836</v>
      </c>
      <c r="B740" s="2" t="s">
        <v>838</v>
      </c>
      <c r="C740" s="2" t="s">
        <v>12</v>
      </c>
      <c r="D740" s="2" t="s">
        <v>22</v>
      </c>
      <c r="E740" s="2" t="s">
        <v>23</v>
      </c>
      <c r="F740" s="2">
        <v>470.0</v>
      </c>
      <c r="G740" s="2">
        <v>12.9</v>
      </c>
      <c r="H740" s="2">
        <v>36.4</v>
      </c>
      <c r="I740" s="2" t="s">
        <v>47</v>
      </c>
    </row>
    <row r="741" ht="15.75" customHeight="1">
      <c r="A741" s="2" t="s">
        <v>839</v>
      </c>
      <c r="B741" s="2" t="s">
        <v>841</v>
      </c>
      <c r="C741" s="2" t="s">
        <v>12</v>
      </c>
      <c r="D741" s="2" t="s">
        <v>250</v>
      </c>
      <c r="E741" s="2" t="s">
        <v>251</v>
      </c>
      <c r="F741" s="2">
        <v>2549.0</v>
      </c>
      <c r="G741" s="2">
        <v>10.48</v>
      </c>
      <c r="H741" s="2">
        <v>243.2</v>
      </c>
      <c r="I741" s="2" t="s">
        <v>138</v>
      </c>
    </row>
    <row r="742" ht="15.75" customHeight="1">
      <c r="A742" s="2" t="s">
        <v>2917</v>
      </c>
      <c r="B742" s="2" t="s">
        <v>2918</v>
      </c>
      <c r="C742" s="2" t="s">
        <v>12</v>
      </c>
      <c r="D742" s="2" t="s">
        <v>43</v>
      </c>
      <c r="E742" s="2" t="s">
        <v>44</v>
      </c>
      <c r="F742" s="2">
        <v>235.0</v>
      </c>
      <c r="G742" s="2">
        <v>10.3</v>
      </c>
      <c r="H742" s="2">
        <v>22.8</v>
      </c>
      <c r="I742" s="2" t="s">
        <v>47</v>
      </c>
    </row>
    <row r="743" ht="15.75" customHeight="1">
      <c r="A743" s="2" t="s">
        <v>2920</v>
      </c>
      <c r="B743" s="2" t="s">
        <v>2921</v>
      </c>
      <c r="C743" s="2" t="s">
        <v>12</v>
      </c>
      <c r="D743" s="2" t="s">
        <v>182</v>
      </c>
      <c r="E743" s="2" t="s">
        <v>184</v>
      </c>
      <c r="F743" s="2">
        <v>270.0</v>
      </c>
      <c r="G743" s="2">
        <v>4.12</v>
      </c>
      <c r="H743" s="2">
        <v>65.5</v>
      </c>
      <c r="I743" s="2" t="s">
        <v>47</v>
      </c>
    </row>
    <row r="744" ht="15.75" customHeight="1">
      <c r="A744" s="2" t="s">
        <v>2922</v>
      </c>
      <c r="B744" s="2" t="s">
        <v>2923</v>
      </c>
      <c r="C744" s="2" t="s">
        <v>12</v>
      </c>
      <c r="D744" s="2" t="s">
        <v>686</v>
      </c>
      <c r="E744" s="2" t="s">
        <v>691</v>
      </c>
      <c r="F744" s="2">
        <v>155.0</v>
      </c>
      <c r="G744" s="2">
        <v>7.46</v>
      </c>
      <c r="H744" s="2">
        <v>20.8</v>
      </c>
      <c r="I744" s="2" t="s">
        <v>47</v>
      </c>
    </row>
    <row r="745" ht="15.75" customHeight="1">
      <c r="A745" s="2" t="s">
        <v>844</v>
      </c>
      <c r="B745" s="2" t="s">
        <v>846</v>
      </c>
      <c r="C745" s="2" t="s">
        <v>12</v>
      </c>
      <c r="D745" s="2" t="s">
        <v>90</v>
      </c>
      <c r="E745" s="2" t="s">
        <v>91</v>
      </c>
      <c r="F745" s="2">
        <v>1608.0</v>
      </c>
      <c r="G745" s="2">
        <v>5.29</v>
      </c>
      <c r="H745" s="2">
        <v>304.0</v>
      </c>
      <c r="I745" s="2" t="s">
        <v>27</v>
      </c>
    </row>
    <row r="746" ht="15.75" customHeight="1">
      <c r="A746" s="2" t="s">
        <v>2928</v>
      </c>
      <c r="B746" s="2" t="s">
        <v>2929</v>
      </c>
      <c r="C746" s="2" t="s">
        <v>12</v>
      </c>
      <c r="D746" s="2" t="s">
        <v>174</v>
      </c>
      <c r="E746" s="2" t="s">
        <v>175</v>
      </c>
      <c r="F746" s="2">
        <v>93.0</v>
      </c>
      <c r="G746" s="2">
        <v>6.33</v>
      </c>
      <c r="H746" s="2">
        <v>14.7</v>
      </c>
      <c r="I746" s="2" t="s">
        <v>47</v>
      </c>
    </row>
    <row r="747" ht="15.75" customHeight="1">
      <c r="A747" s="2" t="s">
        <v>2930</v>
      </c>
      <c r="B747" s="2" t="s">
        <v>2931</v>
      </c>
      <c r="C747" s="2" t="s">
        <v>12</v>
      </c>
      <c r="D747" s="2" t="s">
        <v>73</v>
      </c>
      <c r="E747" s="2" t="s">
        <v>75</v>
      </c>
      <c r="F747" s="2">
        <v>166.0</v>
      </c>
      <c r="G747" s="2">
        <v>6.62</v>
      </c>
      <c r="H747" s="2">
        <v>25.1</v>
      </c>
      <c r="I747" s="2" t="s">
        <v>47</v>
      </c>
    </row>
    <row r="748" ht="15.75" customHeight="1">
      <c r="A748" s="2" t="s">
        <v>855</v>
      </c>
      <c r="B748" s="2" t="s">
        <v>857</v>
      </c>
      <c r="C748" s="2" t="s">
        <v>12</v>
      </c>
      <c r="D748" s="2" t="s">
        <v>686</v>
      </c>
      <c r="E748" s="2" t="s">
        <v>691</v>
      </c>
      <c r="F748" s="2">
        <v>1192.0</v>
      </c>
      <c r="G748" s="2">
        <v>21.54</v>
      </c>
      <c r="H748" s="2">
        <v>55.3</v>
      </c>
      <c r="I748" s="2" t="s">
        <v>27</v>
      </c>
    </row>
    <row r="749" ht="15.75" customHeight="1">
      <c r="A749" s="2" t="s">
        <v>863</v>
      </c>
      <c r="B749" s="2" t="s">
        <v>864</v>
      </c>
      <c r="C749" s="2" t="s">
        <v>12</v>
      </c>
      <c r="D749" s="2" t="s">
        <v>98</v>
      </c>
      <c r="E749" s="2" t="s">
        <v>100</v>
      </c>
      <c r="F749" s="2">
        <v>384.0</v>
      </c>
      <c r="G749" s="2">
        <v>12.7</v>
      </c>
      <c r="H749" s="2">
        <v>30.2</v>
      </c>
      <c r="I749" s="2" t="s">
        <v>47</v>
      </c>
    </row>
    <row r="750" ht="15.75" customHeight="1">
      <c r="A750" s="2" t="s">
        <v>2933</v>
      </c>
      <c r="B750" s="2" t="s">
        <v>2937</v>
      </c>
      <c r="C750" s="2" t="s">
        <v>12</v>
      </c>
      <c r="D750" s="2" t="s">
        <v>174</v>
      </c>
      <c r="E750" s="2" t="s">
        <v>175</v>
      </c>
      <c r="F750" s="2">
        <v>310.0</v>
      </c>
      <c r="G750" s="2">
        <v>10.06</v>
      </c>
      <c r="H750" s="2">
        <v>30.8</v>
      </c>
      <c r="I750" s="2" t="s">
        <v>47</v>
      </c>
    </row>
    <row r="751" ht="15.75" customHeight="1">
      <c r="A751" s="2" t="s">
        <v>2940</v>
      </c>
      <c r="B751" s="2" t="s">
        <v>2941</v>
      </c>
      <c r="C751" s="2" t="s">
        <v>12</v>
      </c>
      <c r="D751" s="2" t="s">
        <v>160</v>
      </c>
      <c r="E751" s="2" t="s">
        <v>161</v>
      </c>
      <c r="F751" s="2">
        <v>262.0</v>
      </c>
      <c r="G751" s="2">
        <v>13.94</v>
      </c>
      <c r="H751" s="2">
        <v>18.8</v>
      </c>
      <c r="I751" s="2" t="s">
        <v>47</v>
      </c>
    </row>
    <row r="752" ht="15.75" customHeight="1">
      <c r="A752" s="2" t="s">
        <v>2986</v>
      </c>
      <c r="B752" s="2" t="s">
        <v>2987</v>
      </c>
      <c r="C752" s="2" t="s">
        <v>12</v>
      </c>
      <c r="D752" s="2" t="s">
        <v>73</v>
      </c>
      <c r="E752" s="2" t="s">
        <v>75</v>
      </c>
      <c r="F752" s="2">
        <v>84.0</v>
      </c>
      <c r="G752" s="2">
        <v>2.68</v>
      </c>
      <c r="H752" s="2">
        <v>31.3</v>
      </c>
      <c r="I752" s="2" t="s">
        <v>47</v>
      </c>
    </row>
    <row r="753" ht="15.75" customHeight="1">
      <c r="A753" s="2" t="s">
        <v>2948</v>
      </c>
      <c r="B753" s="2" t="s">
        <v>2951</v>
      </c>
      <c r="C753" s="2" t="s">
        <v>12</v>
      </c>
      <c r="D753" s="2" t="s">
        <v>98</v>
      </c>
      <c r="E753" s="2" t="s">
        <v>100</v>
      </c>
      <c r="F753" s="2">
        <v>219.0</v>
      </c>
      <c r="G753" s="2">
        <v>7.66</v>
      </c>
      <c r="H753" s="2">
        <v>28.6</v>
      </c>
      <c r="I753" s="2" t="s">
        <v>47</v>
      </c>
    </row>
    <row r="754" ht="15.75" customHeight="1">
      <c r="A754" s="2" t="s">
        <v>867</v>
      </c>
      <c r="B754" s="2" t="s">
        <v>868</v>
      </c>
      <c r="C754" s="2" t="s">
        <v>12</v>
      </c>
      <c r="D754" s="2" t="s">
        <v>35</v>
      </c>
      <c r="E754" s="2" t="s">
        <v>36</v>
      </c>
      <c r="F754" s="2">
        <v>2616.0</v>
      </c>
      <c r="G754" s="2">
        <v>4.53</v>
      </c>
      <c r="H754" s="2">
        <v>577.5</v>
      </c>
      <c r="I754" s="2" t="s">
        <v>138</v>
      </c>
    </row>
    <row r="755" ht="15.75" customHeight="1">
      <c r="A755" s="2" t="s">
        <v>874</v>
      </c>
      <c r="B755" s="2" t="s">
        <v>875</v>
      </c>
      <c r="C755" s="2" t="s">
        <v>12</v>
      </c>
      <c r="D755" s="2" t="s">
        <v>52</v>
      </c>
      <c r="E755" s="2" t="s">
        <v>53</v>
      </c>
      <c r="F755" s="2">
        <v>2792.0</v>
      </c>
      <c r="G755" s="2">
        <v>25.15</v>
      </c>
      <c r="H755" s="2">
        <v>111.0</v>
      </c>
      <c r="I755" s="2" t="s">
        <v>138</v>
      </c>
    </row>
    <row r="756" ht="15.75" customHeight="1">
      <c r="A756" s="2" t="s">
        <v>2956</v>
      </c>
      <c r="B756" s="2" t="s">
        <v>2957</v>
      </c>
      <c r="C756" s="2" t="s">
        <v>12</v>
      </c>
      <c r="D756" s="2" t="s">
        <v>174</v>
      </c>
      <c r="E756" s="2" t="s">
        <v>175</v>
      </c>
      <c r="F756" s="2">
        <v>277.0</v>
      </c>
      <c r="G756" s="2">
        <v>10.69</v>
      </c>
      <c r="H756" s="2">
        <v>25.9</v>
      </c>
      <c r="I756" s="2" t="s">
        <v>47</v>
      </c>
    </row>
    <row r="757" ht="15.75" customHeight="1">
      <c r="A757" s="2" t="s">
        <v>890</v>
      </c>
      <c r="B757" s="2" t="s">
        <v>891</v>
      </c>
      <c r="C757" s="2" t="s">
        <v>12</v>
      </c>
      <c r="D757" s="2" t="s">
        <v>22</v>
      </c>
      <c r="E757" s="2" t="s">
        <v>23</v>
      </c>
      <c r="F757" s="2">
        <v>684.0</v>
      </c>
      <c r="G757" s="2">
        <v>12.34</v>
      </c>
      <c r="H757" s="2">
        <v>55.4</v>
      </c>
      <c r="I757" s="2" t="s">
        <v>27</v>
      </c>
    </row>
    <row r="758" ht="15.75" customHeight="1">
      <c r="A758" s="2" t="s">
        <v>2962</v>
      </c>
      <c r="B758" s="2" t="s">
        <v>2964</v>
      </c>
      <c r="C758" s="2" t="s">
        <v>12</v>
      </c>
      <c r="D758" s="2" t="s">
        <v>204</v>
      </c>
      <c r="E758" s="2" t="s">
        <v>205</v>
      </c>
      <c r="F758" s="2">
        <v>263.0</v>
      </c>
      <c r="G758" s="2">
        <v>4.0</v>
      </c>
      <c r="H758" s="2">
        <v>65.8</v>
      </c>
      <c r="I758" s="2" t="s">
        <v>47</v>
      </c>
    </row>
    <row r="759" ht="15.75" customHeight="1">
      <c r="A759" s="2" t="s">
        <v>2968</v>
      </c>
      <c r="B759" s="2" t="s">
        <v>2969</v>
      </c>
      <c r="C759" s="2" t="s">
        <v>12</v>
      </c>
      <c r="D759" s="2" t="s">
        <v>174</v>
      </c>
      <c r="E759" s="2" t="s">
        <v>175</v>
      </c>
      <c r="F759" s="2">
        <v>75.0</v>
      </c>
      <c r="G759" s="2">
        <v>13.12</v>
      </c>
      <c r="H759" s="2">
        <v>5.7</v>
      </c>
      <c r="I759" s="2" t="s">
        <v>47</v>
      </c>
    </row>
    <row r="760" ht="15.75" customHeight="1">
      <c r="A760" s="2" t="s">
        <v>894</v>
      </c>
      <c r="B760" s="2" t="s">
        <v>896</v>
      </c>
      <c r="C760" s="2" t="s">
        <v>12</v>
      </c>
      <c r="D760" s="2" t="s">
        <v>90</v>
      </c>
      <c r="E760" s="2" t="s">
        <v>91</v>
      </c>
      <c r="F760" s="2">
        <v>10489.0</v>
      </c>
      <c r="G760" s="2">
        <v>42.11</v>
      </c>
      <c r="H760" s="2">
        <v>249.1</v>
      </c>
      <c r="I760" s="2" t="s">
        <v>805</v>
      </c>
    </row>
    <row r="761" ht="15.75" customHeight="1">
      <c r="A761" s="2" t="s">
        <v>2974</v>
      </c>
      <c r="B761" s="2" t="s">
        <v>2975</v>
      </c>
      <c r="C761" s="2" t="s">
        <v>12</v>
      </c>
      <c r="D761" s="2" t="s">
        <v>90</v>
      </c>
      <c r="E761" s="2" t="s">
        <v>91</v>
      </c>
      <c r="F761" s="2">
        <v>193.0</v>
      </c>
      <c r="G761" s="2">
        <v>8.18</v>
      </c>
      <c r="H761" s="2">
        <v>23.6</v>
      </c>
      <c r="I761" s="2" t="s">
        <v>47</v>
      </c>
    </row>
    <row r="762" ht="15.75" customHeight="1">
      <c r="A762" s="2" t="s">
        <v>897</v>
      </c>
      <c r="B762" s="2" t="s">
        <v>898</v>
      </c>
      <c r="C762" s="2" t="s">
        <v>12</v>
      </c>
      <c r="D762" s="2" t="s">
        <v>145</v>
      </c>
      <c r="E762" s="2" t="s">
        <v>146</v>
      </c>
      <c r="F762" s="2">
        <v>418.0</v>
      </c>
      <c r="G762" s="2">
        <v>8.93</v>
      </c>
      <c r="H762" s="2">
        <v>46.8</v>
      </c>
      <c r="I762" s="2" t="s">
        <v>47</v>
      </c>
    </row>
    <row r="763" ht="15.75" customHeight="1">
      <c r="A763" s="2" t="s">
        <v>2978</v>
      </c>
      <c r="B763" s="2" t="s">
        <v>2979</v>
      </c>
      <c r="C763" s="2" t="s">
        <v>12</v>
      </c>
      <c r="D763" s="2" t="s">
        <v>80</v>
      </c>
      <c r="E763" s="2" t="s">
        <v>81</v>
      </c>
      <c r="F763" s="2">
        <v>262.0</v>
      </c>
      <c r="G763" s="2">
        <v>10.61</v>
      </c>
      <c r="H763" s="2">
        <v>24.7</v>
      </c>
      <c r="I763" s="2" t="s">
        <v>47</v>
      </c>
    </row>
    <row r="764" ht="15.75" customHeight="1">
      <c r="A764" s="2" t="s">
        <v>2982</v>
      </c>
      <c r="B764" s="2" t="s">
        <v>2983</v>
      </c>
      <c r="C764" s="2" t="s">
        <v>12</v>
      </c>
      <c r="D764" s="2" t="s">
        <v>58</v>
      </c>
      <c r="E764" s="2" t="s">
        <v>59</v>
      </c>
      <c r="F764" s="2">
        <v>166.0</v>
      </c>
      <c r="G764" s="2">
        <v>8.13</v>
      </c>
      <c r="H764" s="2">
        <v>20.4</v>
      </c>
      <c r="I764" s="2" t="s">
        <v>47</v>
      </c>
    </row>
    <row r="765" ht="15.75" customHeight="1">
      <c r="A765" s="2" t="s">
        <v>903</v>
      </c>
      <c r="B765" s="2" t="s">
        <v>905</v>
      </c>
      <c r="C765" s="2" t="s">
        <v>12</v>
      </c>
      <c r="D765" s="2" t="s">
        <v>174</v>
      </c>
      <c r="E765" s="2" t="s">
        <v>175</v>
      </c>
      <c r="F765" s="2">
        <v>508.0</v>
      </c>
      <c r="G765" s="2">
        <v>10.75</v>
      </c>
      <c r="H765" s="2">
        <v>47.3</v>
      </c>
      <c r="I765" s="2" t="s">
        <v>27</v>
      </c>
    </row>
    <row r="766" ht="15.75" customHeight="1">
      <c r="A766" s="2" t="s">
        <v>908</v>
      </c>
      <c r="B766" s="2" t="s">
        <v>910</v>
      </c>
      <c r="C766" s="2" t="s">
        <v>12</v>
      </c>
      <c r="D766" s="2" t="s">
        <v>686</v>
      </c>
      <c r="E766" s="2" t="s">
        <v>691</v>
      </c>
      <c r="F766" s="2">
        <v>997.0</v>
      </c>
      <c r="G766" s="2">
        <v>7.63</v>
      </c>
      <c r="H766" s="2">
        <v>130.7</v>
      </c>
      <c r="I766" s="2" t="s">
        <v>27</v>
      </c>
    </row>
    <row r="767" ht="15.75" customHeight="1">
      <c r="A767" s="2" t="s">
        <v>2992</v>
      </c>
      <c r="B767" s="2" t="s">
        <v>2994</v>
      </c>
      <c r="C767" s="2" t="s">
        <v>12</v>
      </c>
      <c r="D767" s="2" t="s">
        <v>160</v>
      </c>
      <c r="E767" s="2" t="s">
        <v>161</v>
      </c>
      <c r="F767" s="2">
        <v>101.0</v>
      </c>
      <c r="G767" s="2">
        <v>12.05</v>
      </c>
      <c r="H767" s="2">
        <v>8.4</v>
      </c>
      <c r="I767" s="2" t="s">
        <v>47</v>
      </c>
    </row>
    <row r="768" ht="15.75" customHeight="1">
      <c r="A768" s="2" t="s">
        <v>913</v>
      </c>
      <c r="B768" s="2" t="s">
        <v>915</v>
      </c>
      <c r="C768" s="2" t="s">
        <v>12</v>
      </c>
      <c r="D768" s="2" t="s">
        <v>22</v>
      </c>
      <c r="E768" s="2" t="s">
        <v>23</v>
      </c>
      <c r="F768" s="2">
        <v>1651.0</v>
      </c>
      <c r="G768" s="2">
        <v>17.79</v>
      </c>
      <c r="H768" s="2">
        <v>92.8</v>
      </c>
      <c r="I768" s="2" t="s">
        <v>27</v>
      </c>
    </row>
    <row r="769" ht="15.75" customHeight="1">
      <c r="A769" s="2" t="s">
        <v>919</v>
      </c>
      <c r="B769" s="2" t="s">
        <v>920</v>
      </c>
      <c r="C769" s="2" t="s">
        <v>12</v>
      </c>
      <c r="D769" s="2" t="s">
        <v>182</v>
      </c>
      <c r="E769" s="2" t="s">
        <v>184</v>
      </c>
      <c r="F769" s="2">
        <v>654.0</v>
      </c>
      <c r="G769" s="2">
        <v>9.01</v>
      </c>
      <c r="H769" s="2">
        <v>72.6</v>
      </c>
      <c r="I769" s="2" t="s">
        <v>27</v>
      </c>
    </row>
    <row r="770" ht="15.75" customHeight="1">
      <c r="A770" s="2" t="s">
        <v>3000</v>
      </c>
      <c r="B770" s="2" t="s">
        <v>3001</v>
      </c>
      <c r="C770" s="2" t="s">
        <v>12</v>
      </c>
      <c r="D770" s="2" t="s">
        <v>90</v>
      </c>
      <c r="E770" s="2" t="s">
        <v>91</v>
      </c>
      <c r="F770" s="2">
        <v>403.0</v>
      </c>
      <c r="G770" s="2">
        <v>13.97</v>
      </c>
      <c r="H770" s="2">
        <v>28.8</v>
      </c>
      <c r="I770" s="2" t="s">
        <v>47</v>
      </c>
    </row>
    <row r="771" ht="15.75" customHeight="1">
      <c r="A771" s="2" t="s">
        <v>3004</v>
      </c>
      <c r="B771" s="2" t="s">
        <v>3006</v>
      </c>
      <c r="C771" s="2" t="s">
        <v>12</v>
      </c>
      <c r="D771" s="2" t="s">
        <v>250</v>
      </c>
      <c r="E771" s="2" t="s">
        <v>251</v>
      </c>
      <c r="F771" s="2">
        <v>70.0</v>
      </c>
      <c r="G771" s="2">
        <v>3.38</v>
      </c>
      <c r="H771" s="2">
        <v>20.7</v>
      </c>
      <c r="I771" s="2" t="s">
        <v>47</v>
      </c>
    </row>
    <row r="772" ht="15.75" customHeight="1">
      <c r="A772" s="2" t="s">
        <v>3008</v>
      </c>
      <c r="B772" s="2" t="s">
        <v>3010</v>
      </c>
      <c r="C772" s="2" t="s">
        <v>12</v>
      </c>
      <c r="D772" s="2" t="s">
        <v>182</v>
      </c>
      <c r="E772" s="2" t="s">
        <v>184</v>
      </c>
      <c r="F772" s="2">
        <v>383.0</v>
      </c>
      <c r="G772" s="2">
        <v>4.76</v>
      </c>
      <c r="H772" s="2">
        <v>80.5</v>
      </c>
      <c r="I772" s="2" t="s">
        <v>47</v>
      </c>
    </row>
    <row r="773" ht="15.75" customHeight="1">
      <c r="A773" s="2" t="s">
        <v>3012</v>
      </c>
      <c r="B773" s="2" t="s">
        <v>3015</v>
      </c>
      <c r="C773" s="2" t="s">
        <v>12</v>
      </c>
      <c r="D773" s="2" t="s">
        <v>250</v>
      </c>
      <c r="E773" s="2" t="s">
        <v>251</v>
      </c>
      <c r="F773" s="2">
        <v>348.0</v>
      </c>
      <c r="G773" s="2">
        <v>11.58</v>
      </c>
      <c r="H773" s="2">
        <v>30.1</v>
      </c>
      <c r="I773" s="2" t="s">
        <v>47</v>
      </c>
    </row>
    <row r="774" ht="15.75" customHeight="1">
      <c r="A774" s="2" t="s">
        <v>925</v>
      </c>
      <c r="B774" s="2" t="s">
        <v>926</v>
      </c>
      <c r="C774" s="2" t="s">
        <v>12</v>
      </c>
      <c r="D774" s="2" t="s">
        <v>43</v>
      </c>
      <c r="E774" s="2" t="s">
        <v>44</v>
      </c>
      <c r="F774" s="2">
        <v>312.0</v>
      </c>
      <c r="G774" s="2">
        <v>13.84</v>
      </c>
      <c r="H774" s="2">
        <v>22.5</v>
      </c>
      <c r="I774" s="2" t="s">
        <v>47</v>
      </c>
    </row>
    <row r="775" ht="15.75" customHeight="1">
      <c r="A775" s="2" t="s">
        <v>3019</v>
      </c>
      <c r="B775" s="2" t="s">
        <v>3020</v>
      </c>
      <c r="C775" s="2" t="s">
        <v>12</v>
      </c>
      <c r="D775" s="2" t="s">
        <v>35</v>
      </c>
      <c r="E775" s="2" t="s">
        <v>36</v>
      </c>
      <c r="F775" s="2">
        <v>89.0</v>
      </c>
      <c r="G775" s="2">
        <v>4.58</v>
      </c>
      <c r="H775" s="2">
        <v>19.4</v>
      </c>
      <c r="I775" s="2" t="s">
        <v>47</v>
      </c>
    </row>
    <row r="776" ht="15.75" customHeight="1">
      <c r="A776" s="2" t="s">
        <v>3023</v>
      </c>
      <c r="B776" s="2" t="s">
        <v>3024</v>
      </c>
      <c r="C776" s="2" t="s">
        <v>12</v>
      </c>
      <c r="D776" s="2" t="s">
        <v>73</v>
      </c>
      <c r="E776" s="2" t="s">
        <v>75</v>
      </c>
      <c r="F776" s="2">
        <v>43.0</v>
      </c>
      <c r="G776" s="2">
        <v>1.07</v>
      </c>
      <c r="H776" s="2">
        <v>40.2</v>
      </c>
      <c r="I776" s="2" t="s">
        <v>47</v>
      </c>
    </row>
    <row r="777" ht="15.75" customHeight="1">
      <c r="A777" s="2" t="s">
        <v>2885</v>
      </c>
      <c r="B777" s="2" t="s">
        <v>2887</v>
      </c>
      <c r="C777" s="2" t="s">
        <v>12</v>
      </c>
      <c r="D777" s="2" t="s">
        <v>58</v>
      </c>
      <c r="E777" s="2" t="s">
        <v>59</v>
      </c>
      <c r="F777" s="2">
        <v>229.0</v>
      </c>
      <c r="G777" s="2">
        <v>8.99</v>
      </c>
      <c r="H777" s="2">
        <v>25.5</v>
      </c>
      <c r="I777" s="2" t="s">
        <v>47</v>
      </c>
    </row>
    <row r="778" ht="15.75" customHeight="1">
      <c r="A778" s="2" t="s">
        <v>2924</v>
      </c>
      <c r="B778" s="2" t="s">
        <v>2925</v>
      </c>
      <c r="C778" s="2" t="s">
        <v>12</v>
      </c>
      <c r="D778" s="2" t="s">
        <v>90</v>
      </c>
      <c r="E778" s="2" t="s">
        <v>91</v>
      </c>
      <c r="F778" s="2">
        <v>113.0</v>
      </c>
      <c r="G778" s="2">
        <v>3.23</v>
      </c>
      <c r="H778" s="2">
        <v>35.0</v>
      </c>
      <c r="I778" s="2" t="s">
        <v>47</v>
      </c>
    </row>
    <row r="779" ht="15.75" customHeight="1">
      <c r="A779" s="2" t="s">
        <v>2926</v>
      </c>
      <c r="B779" s="2" t="s">
        <v>2927</v>
      </c>
      <c r="C779" s="2" t="s">
        <v>12</v>
      </c>
      <c r="D779" s="2" t="s">
        <v>174</v>
      </c>
      <c r="E779" s="2" t="s">
        <v>175</v>
      </c>
      <c r="F779" s="2">
        <v>181.0</v>
      </c>
      <c r="G779" s="2">
        <v>10.74</v>
      </c>
      <c r="H779" s="2">
        <v>16.9</v>
      </c>
      <c r="I779" s="2" t="s">
        <v>47</v>
      </c>
    </row>
    <row r="780" ht="15.75" customHeight="1">
      <c r="A780" s="2" t="s">
        <v>929</v>
      </c>
      <c r="B780" s="2" t="s">
        <v>930</v>
      </c>
      <c r="C780" s="2" t="s">
        <v>12</v>
      </c>
      <c r="D780" s="2" t="s">
        <v>58</v>
      </c>
      <c r="E780" s="2" t="s">
        <v>59</v>
      </c>
      <c r="F780" s="2">
        <v>927.0</v>
      </c>
      <c r="G780" s="2">
        <v>6.76</v>
      </c>
      <c r="H780" s="2">
        <v>137.1</v>
      </c>
      <c r="I780" s="2" t="s">
        <v>27</v>
      </c>
    </row>
    <row r="781" ht="15.75" customHeight="1">
      <c r="A781" s="2" t="s">
        <v>3028</v>
      </c>
      <c r="B781" s="2" t="s">
        <v>3030</v>
      </c>
      <c r="C781" s="2" t="s">
        <v>12</v>
      </c>
      <c r="D781" s="2" t="s">
        <v>152</v>
      </c>
      <c r="E781" s="2" t="s">
        <v>153</v>
      </c>
      <c r="F781" s="2">
        <v>350.0</v>
      </c>
      <c r="G781" s="2">
        <v>21.36</v>
      </c>
      <c r="H781" s="2">
        <v>16.4</v>
      </c>
      <c r="I781" s="2" t="s">
        <v>47</v>
      </c>
    </row>
    <row r="782" ht="15.75" customHeight="1">
      <c r="A782" s="2" t="s">
        <v>3036</v>
      </c>
      <c r="B782" s="2" t="s">
        <v>3037</v>
      </c>
      <c r="C782" s="2" t="s">
        <v>12</v>
      </c>
      <c r="D782" s="2" t="s">
        <v>152</v>
      </c>
      <c r="E782" s="2" t="s">
        <v>153</v>
      </c>
      <c r="F782" s="2">
        <v>460.0</v>
      </c>
      <c r="G782" s="2">
        <v>12.02</v>
      </c>
      <c r="H782" s="2">
        <v>38.3</v>
      </c>
      <c r="I782" s="2" t="s">
        <v>47</v>
      </c>
    </row>
    <row r="783" ht="15.75" customHeight="1">
      <c r="A783" s="2" t="s">
        <v>3040</v>
      </c>
      <c r="B783" s="2" t="s">
        <v>3041</v>
      </c>
      <c r="C783" s="2" t="s">
        <v>12</v>
      </c>
      <c r="D783" s="2" t="s">
        <v>134</v>
      </c>
      <c r="E783" s="2" t="s">
        <v>135</v>
      </c>
      <c r="F783" s="2">
        <v>145.0</v>
      </c>
      <c r="G783" s="2">
        <v>4.51</v>
      </c>
      <c r="H783" s="2">
        <v>32.2</v>
      </c>
      <c r="I783" s="2" t="s">
        <v>47</v>
      </c>
    </row>
    <row r="784" ht="15.75" customHeight="1">
      <c r="A784" s="2" t="s">
        <v>3032</v>
      </c>
      <c r="B784" s="2" t="s">
        <v>3033</v>
      </c>
      <c r="C784" s="2" t="s">
        <v>12</v>
      </c>
      <c r="D784" s="2" t="s">
        <v>250</v>
      </c>
      <c r="E784" s="2" t="s">
        <v>251</v>
      </c>
      <c r="F784" s="2">
        <v>179.0</v>
      </c>
      <c r="G784" s="2">
        <v>7.61</v>
      </c>
      <c r="H784" s="2">
        <v>23.5</v>
      </c>
      <c r="I784" s="2" t="s">
        <v>47</v>
      </c>
    </row>
    <row r="785" ht="15.75" customHeight="1">
      <c r="A785" s="2" t="s">
        <v>1151</v>
      </c>
      <c r="B785" s="2" t="s">
        <v>1152</v>
      </c>
      <c r="C785" s="2" t="s">
        <v>12</v>
      </c>
      <c r="D785" s="2" t="s">
        <v>52</v>
      </c>
      <c r="E785" s="2" t="s">
        <v>53</v>
      </c>
      <c r="F785" s="2">
        <v>164.0</v>
      </c>
      <c r="G785" s="2">
        <v>13.06</v>
      </c>
      <c r="H785" s="2">
        <v>12.6</v>
      </c>
      <c r="I785" s="2" t="s">
        <v>47</v>
      </c>
    </row>
    <row r="786" ht="15.75" customHeight="1">
      <c r="A786" s="2" t="s">
        <v>1163</v>
      </c>
      <c r="B786" s="2" t="s">
        <v>1164</v>
      </c>
      <c r="C786" s="2" t="s">
        <v>12</v>
      </c>
      <c r="D786" s="2" t="s">
        <v>90</v>
      </c>
      <c r="E786" s="2" t="s">
        <v>91</v>
      </c>
      <c r="F786" s="2">
        <v>337.0</v>
      </c>
      <c r="G786" s="2">
        <v>10.96</v>
      </c>
      <c r="H786" s="2">
        <v>30.7</v>
      </c>
      <c r="I786" s="2" t="s">
        <v>47</v>
      </c>
    </row>
    <row r="787" ht="15.75" customHeight="1">
      <c r="A787" s="2" t="s">
        <v>1166</v>
      </c>
      <c r="B787" s="2" t="s">
        <v>1168</v>
      </c>
      <c r="C787" s="2" t="s">
        <v>12</v>
      </c>
      <c r="D787" s="2" t="s">
        <v>152</v>
      </c>
      <c r="E787" s="2" t="s">
        <v>153</v>
      </c>
      <c r="F787" s="2">
        <v>38.0</v>
      </c>
      <c r="G787" s="2">
        <v>7.55</v>
      </c>
      <c r="H787" s="2">
        <v>5.0</v>
      </c>
      <c r="I787" s="2" t="s">
        <v>47</v>
      </c>
    </row>
    <row r="788" ht="15.75" customHeight="1">
      <c r="A788" s="2" t="s">
        <v>933</v>
      </c>
      <c r="B788" s="2" t="s">
        <v>935</v>
      </c>
      <c r="C788" s="2" t="s">
        <v>12</v>
      </c>
      <c r="D788" s="2" t="s">
        <v>174</v>
      </c>
      <c r="E788" s="2" t="s">
        <v>175</v>
      </c>
      <c r="F788" s="2">
        <v>534.0</v>
      </c>
      <c r="G788" s="2">
        <v>19.86</v>
      </c>
      <c r="H788" s="2">
        <v>26.9</v>
      </c>
      <c r="I788" s="2" t="s">
        <v>27</v>
      </c>
    </row>
    <row r="789" ht="15.75" customHeight="1">
      <c r="A789" s="2" t="s">
        <v>1171</v>
      </c>
      <c r="B789" s="2" t="s">
        <v>1172</v>
      </c>
      <c r="C789" s="2" t="s">
        <v>12</v>
      </c>
      <c r="D789" s="2" t="s">
        <v>174</v>
      </c>
      <c r="E789" s="2" t="s">
        <v>175</v>
      </c>
      <c r="F789" s="2">
        <v>395.0</v>
      </c>
      <c r="G789" s="2">
        <v>19.1</v>
      </c>
      <c r="H789" s="2">
        <v>20.7</v>
      </c>
      <c r="I789" s="2" t="s">
        <v>47</v>
      </c>
    </row>
    <row r="790" ht="15.75" customHeight="1">
      <c r="A790" s="2" t="s">
        <v>947</v>
      </c>
      <c r="B790" s="2" t="s">
        <v>949</v>
      </c>
      <c r="C790" s="2" t="s">
        <v>12</v>
      </c>
      <c r="D790" s="2" t="s">
        <v>174</v>
      </c>
      <c r="E790" s="2" t="s">
        <v>175</v>
      </c>
      <c r="F790" s="2">
        <v>1329.0</v>
      </c>
      <c r="G790" s="2">
        <v>2.19</v>
      </c>
      <c r="H790" s="2">
        <v>606.8</v>
      </c>
      <c r="I790" s="2" t="s">
        <v>27</v>
      </c>
    </row>
    <row r="791" ht="15.75" customHeight="1">
      <c r="A791" s="2" t="s">
        <v>1208</v>
      </c>
      <c r="B791" s="2" t="s">
        <v>1210</v>
      </c>
      <c r="C791" s="2" t="s">
        <v>12</v>
      </c>
      <c r="D791" s="2" t="s">
        <v>204</v>
      </c>
      <c r="E791" s="2" t="s">
        <v>205</v>
      </c>
      <c r="F791" s="2">
        <v>543.0</v>
      </c>
      <c r="G791" s="2">
        <v>13.69</v>
      </c>
      <c r="H791" s="2">
        <v>39.7</v>
      </c>
      <c r="I791" s="2" t="s">
        <v>27</v>
      </c>
    </row>
    <row r="792" ht="15.75" customHeight="1">
      <c r="A792" s="2" t="s">
        <v>1211</v>
      </c>
      <c r="B792" s="2" t="s">
        <v>1212</v>
      </c>
      <c r="C792" s="2" t="s">
        <v>12</v>
      </c>
      <c r="D792" s="2" t="s">
        <v>182</v>
      </c>
      <c r="E792" s="2" t="s">
        <v>184</v>
      </c>
      <c r="F792" s="2">
        <v>208.0</v>
      </c>
      <c r="G792" s="2">
        <v>2.4</v>
      </c>
      <c r="H792" s="2">
        <v>86.7</v>
      </c>
      <c r="I792" s="2" t="s">
        <v>47</v>
      </c>
    </row>
    <row r="793" ht="15.75" customHeight="1">
      <c r="A793" s="2" t="s">
        <v>952</v>
      </c>
      <c r="B793" s="2" t="s">
        <v>954</v>
      </c>
      <c r="C793" s="2" t="s">
        <v>12</v>
      </c>
      <c r="D793" s="2" t="s">
        <v>204</v>
      </c>
      <c r="E793" s="2" t="s">
        <v>205</v>
      </c>
      <c r="F793" s="2">
        <v>1157.0</v>
      </c>
      <c r="G793" s="2">
        <v>8.66</v>
      </c>
      <c r="H793" s="2">
        <v>133.6</v>
      </c>
      <c r="I793" s="2" t="s">
        <v>27</v>
      </c>
    </row>
    <row r="794" ht="15.75" customHeight="1">
      <c r="A794" s="2" t="s">
        <v>959</v>
      </c>
      <c r="B794" s="2" t="s">
        <v>960</v>
      </c>
      <c r="C794" s="2" t="s">
        <v>12</v>
      </c>
      <c r="D794" s="2" t="s">
        <v>58</v>
      </c>
      <c r="E794" s="2" t="s">
        <v>59</v>
      </c>
      <c r="F794" s="2">
        <v>1436.0</v>
      </c>
      <c r="G794" s="2">
        <v>10.33</v>
      </c>
      <c r="H794" s="2">
        <v>139.0</v>
      </c>
      <c r="I794" s="2" t="s">
        <v>27</v>
      </c>
    </row>
    <row r="795" ht="15.75" customHeight="1">
      <c r="A795" s="2" t="s">
        <v>964</v>
      </c>
      <c r="B795" s="2" t="s">
        <v>966</v>
      </c>
      <c r="C795" s="2" t="s">
        <v>12</v>
      </c>
      <c r="D795" s="2" t="s">
        <v>250</v>
      </c>
      <c r="E795" s="2" t="s">
        <v>251</v>
      </c>
      <c r="F795" s="2">
        <v>839.0</v>
      </c>
      <c r="G795" s="2">
        <v>17.63</v>
      </c>
      <c r="H795" s="2">
        <v>47.6</v>
      </c>
      <c r="I795" s="2" t="s">
        <v>27</v>
      </c>
    </row>
    <row r="796" ht="15.75" customHeight="1">
      <c r="A796" s="2" t="s">
        <v>1219</v>
      </c>
      <c r="B796" s="2" t="s">
        <v>1220</v>
      </c>
      <c r="C796" s="2" t="s">
        <v>12</v>
      </c>
      <c r="D796" s="2" t="s">
        <v>174</v>
      </c>
      <c r="E796" s="2" t="s">
        <v>175</v>
      </c>
      <c r="F796" s="2">
        <v>125.0</v>
      </c>
      <c r="G796" s="2">
        <v>5.26</v>
      </c>
      <c r="H796" s="2">
        <v>23.8</v>
      </c>
      <c r="I796" s="2" t="s">
        <v>47</v>
      </c>
    </row>
    <row r="797" ht="15.75" customHeight="1">
      <c r="A797" s="2" t="s">
        <v>970</v>
      </c>
      <c r="B797" s="2" t="s">
        <v>972</v>
      </c>
      <c r="C797" s="2" t="s">
        <v>12</v>
      </c>
      <c r="D797" s="2" t="s">
        <v>52</v>
      </c>
      <c r="E797" s="2" t="s">
        <v>53</v>
      </c>
      <c r="F797" s="2">
        <v>522.0</v>
      </c>
      <c r="G797" s="2">
        <v>9.17</v>
      </c>
      <c r="H797" s="2">
        <v>56.9</v>
      </c>
      <c r="I797" s="2" t="s">
        <v>27</v>
      </c>
    </row>
    <row r="798" ht="15.75" customHeight="1">
      <c r="A798" s="2" t="s">
        <v>2113</v>
      </c>
      <c r="B798" s="2" t="s">
        <v>2114</v>
      </c>
      <c r="C798" s="2" t="s">
        <v>12</v>
      </c>
      <c r="D798" s="2" t="s">
        <v>66</v>
      </c>
      <c r="E798" s="2" t="s">
        <v>67</v>
      </c>
      <c r="F798" s="2">
        <v>293.0</v>
      </c>
      <c r="G798" s="2">
        <v>2.86</v>
      </c>
      <c r="H798" s="2">
        <v>102.4</v>
      </c>
      <c r="I798" s="2" t="s">
        <v>47</v>
      </c>
    </row>
    <row r="799" ht="15.75" customHeight="1">
      <c r="A799" s="2" t="s">
        <v>3044</v>
      </c>
      <c r="B799" s="2" t="s">
        <v>2702</v>
      </c>
      <c r="C799" s="2" t="s">
        <v>979</v>
      </c>
      <c r="D799" s="2" t="s">
        <v>794</v>
      </c>
      <c r="E799" s="2" t="s">
        <v>795</v>
      </c>
      <c r="F799" s="2">
        <v>441.0</v>
      </c>
      <c r="G799" s="2">
        <v>5.68</v>
      </c>
      <c r="H799" s="2">
        <v>77.6</v>
      </c>
      <c r="I799" s="2" t="s">
        <v>47</v>
      </c>
    </row>
    <row r="800" ht="15.75" customHeight="1">
      <c r="A800" s="2" t="s">
        <v>975</v>
      </c>
      <c r="B800" s="2" t="s">
        <v>976</v>
      </c>
      <c r="C800" s="2" t="s">
        <v>979</v>
      </c>
      <c r="D800" s="2" t="s">
        <v>800</v>
      </c>
      <c r="E800" s="2" t="s">
        <v>801</v>
      </c>
      <c r="F800" s="2">
        <v>4108.0</v>
      </c>
      <c r="G800" s="2">
        <v>7.24</v>
      </c>
      <c r="H800" s="2">
        <v>567.4</v>
      </c>
      <c r="I800" s="2" t="s">
        <v>138</v>
      </c>
    </row>
    <row r="801" ht="15.75" customHeight="1">
      <c r="A801" s="2" t="s">
        <v>3049</v>
      </c>
      <c r="B801" s="2" t="s">
        <v>3050</v>
      </c>
      <c r="C801" s="2" t="s">
        <v>979</v>
      </c>
      <c r="D801" s="2" t="s">
        <v>847</v>
      </c>
      <c r="E801" s="2" t="s">
        <v>848</v>
      </c>
      <c r="F801" s="2">
        <v>350.0</v>
      </c>
      <c r="G801" s="2">
        <v>9.22</v>
      </c>
      <c r="H801" s="2">
        <v>38.0</v>
      </c>
      <c r="I801" s="2" t="s">
        <v>47</v>
      </c>
    </row>
    <row r="802" ht="15.75" customHeight="1">
      <c r="A802" s="2" t="s">
        <v>982</v>
      </c>
      <c r="B802" s="2" t="s">
        <v>983</v>
      </c>
      <c r="C802" s="2" t="s">
        <v>979</v>
      </c>
      <c r="D802" s="2" t="s">
        <v>1045</v>
      </c>
      <c r="E802" s="2" t="s">
        <v>1046</v>
      </c>
      <c r="F802" s="2">
        <v>1338.0</v>
      </c>
      <c r="G802" s="2">
        <v>6.54</v>
      </c>
      <c r="H802" s="2">
        <v>204.6</v>
      </c>
      <c r="I802" s="2" t="s">
        <v>27</v>
      </c>
    </row>
    <row r="803" ht="15.75" customHeight="1">
      <c r="A803" s="2" t="s">
        <v>987</v>
      </c>
      <c r="B803" s="2" t="s">
        <v>989</v>
      </c>
      <c r="C803" s="2" t="s">
        <v>979</v>
      </c>
      <c r="D803" s="2" t="s">
        <v>1092</v>
      </c>
      <c r="E803" s="2" t="s">
        <v>1093</v>
      </c>
      <c r="F803" s="2">
        <v>3545.0</v>
      </c>
      <c r="G803" s="2">
        <v>5.54</v>
      </c>
      <c r="H803" s="2">
        <v>639.9</v>
      </c>
      <c r="I803" s="2" t="s">
        <v>138</v>
      </c>
    </row>
    <row r="804" ht="15.75" customHeight="1">
      <c r="A804" s="2" t="s">
        <v>992</v>
      </c>
      <c r="B804" s="2" t="s">
        <v>996</v>
      </c>
      <c r="C804" s="2" t="s">
        <v>979</v>
      </c>
      <c r="D804" s="2" t="s">
        <v>813</v>
      </c>
      <c r="E804" s="2" t="s">
        <v>814</v>
      </c>
      <c r="F804" s="2">
        <v>888.0</v>
      </c>
      <c r="G804" s="2">
        <v>1.71</v>
      </c>
      <c r="H804" s="2">
        <v>519.3</v>
      </c>
      <c r="I804" s="2" t="s">
        <v>27</v>
      </c>
    </row>
    <row r="805" ht="15.75" customHeight="1">
      <c r="A805" s="2" t="s">
        <v>998</v>
      </c>
      <c r="B805" s="2" t="s">
        <v>1000</v>
      </c>
      <c r="C805" s="2" t="s">
        <v>979</v>
      </c>
      <c r="D805" s="2" t="s">
        <v>778</v>
      </c>
      <c r="E805" s="2" t="s">
        <v>779</v>
      </c>
      <c r="F805" s="2">
        <v>9963.0</v>
      </c>
      <c r="G805" s="2">
        <v>6.52</v>
      </c>
      <c r="H805" s="2">
        <v>1528.1</v>
      </c>
      <c r="I805" s="2" t="s">
        <v>138</v>
      </c>
    </row>
    <row r="806" ht="15.75" customHeight="1">
      <c r="A806" s="2" t="s">
        <v>1003</v>
      </c>
      <c r="B806" s="2" t="s">
        <v>1005</v>
      </c>
      <c r="C806" s="2" t="s">
        <v>979</v>
      </c>
      <c r="D806" s="2" t="s">
        <v>794</v>
      </c>
      <c r="E806" s="2" t="s">
        <v>795</v>
      </c>
      <c r="F806" s="2">
        <v>258.0</v>
      </c>
      <c r="G806" s="2">
        <v>5.41</v>
      </c>
      <c r="H806" s="2">
        <v>47.7</v>
      </c>
      <c r="I806" s="2" t="s">
        <v>47</v>
      </c>
    </row>
    <row r="807" ht="15.75" customHeight="1">
      <c r="A807" s="2" t="s">
        <v>1007</v>
      </c>
      <c r="B807" s="2" t="s">
        <v>1008</v>
      </c>
      <c r="C807" s="2" t="s">
        <v>979</v>
      </c>
      <c r="D807" s="2" t="s">
        <v>1092</v>
      </c>
      <c r="E807" s="2" t="s">
        <v>1093</v>
      </c>
      <c r="F807" s="2">
        <v>10847.0</v>
      </c>
      <c r="G807" s="2">
        <v>8.97</v>
      </c>
      <c r="H807" s="2">
        <v>1209.3</v>
      </c>
      <c r="I807" s="2" t="s">
        <v>805</v>
      </c>
    </row>
    <row r="808" ht="15.75" customHeight="1">
      <c r="A808" s="2" t="s">
        <v>1011</v>
      </c>
      <c r="B808" s="2" t="s">
        <v>1012</v>
      </c>
      <c r="C808" s="2" t="s">
        <v>979</v>
      </c>
      <c r="D808" s="2" t="s">
        <v>1001</v>
      </c>
      <c r="E808" s="2" t="s">
        <v>1002</v>
      </c>
      <c r="F808" s="2">
        <v>3099.0</v>
      </c>
      <c r="G808" s="2">
        <v>22.27</v>
      </c>
      <c r="H808" s="2">
        <v>139.2</v>
      </c>
      <c r="I808" s="2" t="s">
        <v>138</v>
      </c>
    </row>
    <row r="809" ht="15.75" customHeight="1">
      <c r="A809" s="2" t="s">
        <v>1014</v>
      </c>
      <c r="B809" s="2" t="s">
        <v>1015</v>
      </c>
      <c r="C809" s="2" t="s">
        <v>979</v>
      </c>
      <c r="D809" s="2" t="s">
        <v>1092</v>
      </c>
      <c r="E809" s="2" t="s">
        <v>1093</v>
      </c>
      <c r="F809" s="2">
        <v>1631.0</v>
      </c>
      <c r="G809" s="2">
        <v>2.3</v>
      </c>
      <c r="H809" s="2">
        <v>709.1</v>
      </c>
      <c r="I809" s="2" t="s">
        <v>27</v>
      </c>
    </row>
    <row r="810" ht="15.75" customHeight="1">
      <c r="A810" s="2" t="s">
        <v>1018</v>
      </c>
      <c r="B810" s="2" t="s">
        <v>1020</v>
      </c>
      <c r="C810" s="2" t="s">
        <v>979</v>
      </c>
      <c r="D810" s="2" t="s">
        <v>850</v>
      </c>
      <c r="E810" s="2" t="s">
        <v>852</v>
      </c>
      <c r="F810" s="2">
        <v>13183.0</v>
      </c>
      <c r="G810" s="2">
        <v>3.65</v>
      </c>
      <c r="H810" s="2">
        <v>3611.8</v>
      </c>
      <c r="I810" s="2" t="s">
        <v>805</v>
      </c>
    </row>
    <row r="811" ht="15.75" customHeight="1">
      <c r="A811" s="2" t="s">
        <v>1024</v>
      </c>
      <c r="B811" s="2" t="s">
        <v>1026</v>
      </c>
      <c r="C811" s="2" t="s">
        <v>979</v>
      </c>
      <c r="D811" s="2" t="s">
        <v>813</v>
      </c>
      <c r="E811" s="2" t="s">
        <v>814</v>
      </c>
      <c r="F811" s="2">
        <v>3125.0</v>
      </c>
      <c r="G811" s="2">
        <v>11.13</v>
      </c>
      <c r="H811" s="2">
        <v>280.8</v>
      </c>
      <c r="I811" s="2" t="s">
        <v>138</v>
      </c>
    </row>
    <row r="812" ht="15.75" customHeight="1">
      <c r="A812" s="2" t="s">
        <v>1030</v>
      </c>
      <c r="B812" s="2" t="s">
        <v>1031</v>
      </c>
      <c r="C812" s="2" t="s">
        <v>979</v>
      </c>
      <c r="D812" s="2" t="s">
        <v>1086</v>
      </c>
      <c r="E812" s="2" t="s">
        <v>1087</v>
      </c>
      <c r="F812" s="2">
        <v>2077.0</v>
      </c>
      <c r="G812" s="2">
        <v>10.17</v>
      </c>
      <c r="H812" s="2">
        <v>204.2</v>
      </c>
      <c r="I812" s="2" t="s">
        <v>138</v>
      </c>
    </row>
    <row r="813" ht="15.75" customHeight="1">
      <c r="A813" s="2" t="s">
        <v>1034</v>
      </c>
      <c r="B813" s="2" t="s">
        <v>1036</v>
      </c>
      <c r="C813" s="2" t="s">
        <v>979</v>
      </c>
      <c r="D813" s="2" t="s">
        <v>1092</v>
      </c>
      <c r="E813" s="2" t="s">
        <v>1093</v>
      </c>
      <c r="F813" s="2">
        <v>26998.0</v>
      </c>
      <c r="G813" s="2">
        <v>6.27</v>
      </c>
      <c r="H813" s="2">
        <v>4305.9</v>
      </c>
      <c r="I813" s="2" t="s">
        <v>805</v>
      </c>
    </row>
    <row r="814" ht="15.75" customHeight="1">
      <c r="A814" s="2" t="s">
        <v>1041</v>
      </c>
      <c r="B814" s="2" t="s">
        <v>1044</v>
      </c>
      <c r="C814" s="2" t="s">
        <v>979</v>
      </c>
      <c r="D814" s="2" t="s">
        <v>780</v>
      </c>
      <c r="E814" s="2" t="s">
        <v>782</v>
      </c>
      <c r="F814" s="2">
        <v>1594.0</v>
      </c>
      <c r="G814" s="2">
        <v>13.41</v>
      </c>
      <c r="H814" s="2">
        <v>118.9</v>
      </c>
      <c r="I814" s="2" t="s">
        <v>27</v>
      </c>
    </row>
    <row r="815" ht="15.75" customHeight="1">
      <c r="A815" s="2" t="s">
        <v>1047</v>
      </c>
      <c r="B815" s="2" t="s">
        <v>1049</v>
      </c>
      <c r="C815" s="2" t="s">
        <v>979</v>
      </c>
      <c r="D815" s="2" t="s">
        <v>850</v>
      </c>
      <c r="E815" s="2" t="s">
        <v>852</v>
      </c>
      <c r="F815" s="2">
        <v>1082.0</v>
      </c>
      <c r="G815" s="2">
        <v>6.5</v>
      </c>
      <c r="H815" s="2">
        <v>166.5</v>
      </c>
      <c r="I815" s="2" t="s">
        <v>27</v>
      </c>
    </row>
    <row r="816" ht="15.75" customHeight="1">
      <c r="A816" s="2" t="s">
        <v>1054</v>
      </c>
      <c r="B816" s="2" t="s">
        <v>1055</v>
      </c>
      <c r="C816" s="2" t="s">
        <v>979</v>
      </c>
      <c r="D816" s="2" t="s">
        <v>847</v>
      </c>
      <c r="E816" s="2" t="s">
        <v>848</v>
      </c>
      <c r="F816" s="2">
        <v>1769.0</v>
      </c>
      <c r="G816" s="2">
        <v>1.87</v>
      </c>
      <c r="H816" s="2">
        <v>946.0</v>
      </c>
      <c r="I816" s="2" t="s">
        <v>27</v>
      </c>
    </row>
    <row r="817" ht="15.75" customHeight="1">
      <c r="A817" s="2" t="s">
        <v>1058</v>
      </c>
      <c r="B817" s="2" t="s">
        <v>1059</v>
      </c>
      <c r="C817" s="2" t="s">
        <v>979</v>
      </c>
      <c r="D817" s="2" t="s">
        <v>1045</v>
      </c>
      <c r="E817" s="2" t="s">
        <v>1046</v>
      </c>
      <c r="F817" s="2">
        <v>2245.0</v>
      </c>
      <c r="G817" s="2">
        <v>6.74</v>
      </c>
      <c r="H817" s="2">
        <v>333.1</v>
      </c>
      <c r="I817" s="2" t="s">
        <v>138</v>
      </c>
    </row>
    <row r="818" ht="15.75" customHeight="1">
      <c r="A818" s="2" t="s">
        <v>1061</v>
      </c>
      <c r="B818" s="2" t="s">
        <v>1063</v>
      </c>
      <c r="C818" s="2" t="s">
        <v>979</v>
      </c>
      <c r="D818" s="2" t="s">
        <v>794</v>
      </c>
      <c r="E818" s="2" t="s">
        <v>795</v>
      </c>
      <c r="F818" s="2">
        <v>549.0</v>
      </c>
      <c r="G818" s="2">
        <v>3.21</v>
      </c>
      <c r="H818" s="2">
        <v>171.0</v>
      </c>
      <c r="I818" s="2" t="s">
        <v>27</v>
      </c>
    </row>
    <row r="819" ht="15.75" customHeight="1">
      <c r="A819" s="2" t="s">
        <v>1067</v>
      </c>
      <c r="B819" s="2" t="s">
        <v>1068</v>
      </c>
      <c r="C819" s="2" t="s">
        <v>979</v>
      </c>
      <c r="D819" s="2" t="s">
        <v>778</v>
      </c>
      <c r="E819" s="2" t="s">
        <v>779</v>
      </c>
      <c r="F819" s="2">
        <v>4626.0</v>
      </c>
      <c r="G819" s="2">
        <v>7.08</v>
      </c>
      <c r="H819" s="2">
        <v>653.4</v>
      </c>
      <c r="I819" s="2" t="s">
        <v>138</v>
      </c>
    </row>
    <row r="820" ht="15.75" customHeight="1">
      <c r="A820" s="2" t="s">
        <v>1072</v>
      </c>
      <c r="B820" s="2" t="s">
        <v>1074</v>
      </c>
      <c r="C820" s="2" t="s">
        <v>979</v>
      </c>
      <c r="D820" s="2" t="s">
        <v>1092</v>
      </c>
      <c r="E820" s="2" t="s">
        <v>1093</v>
      </c>
      <c r="F820" s="2">
        <v>1749.0</v>
      </c>
      <c r="G820" s="2">
        <v>10.1</v>
      </c>
      <c r="H820" s="2">
        <v>173.2</v>
      </c>
      <c r="I820" s="2" t="s">
        <v>27</v>
      </c>
    </row>
    <row r="821" ht="15.75" customHeight="1">
      <c r="A821" s="2" t="s">
        <v>1077</v>
      </c>
      <c r="B821" s="2" t="s">
        <v>1079</v>
      </c>
      <c r="C821" s="2" t="s">
        <v>979</v>
      </c>
      <c r="D821" s="2" t="s">
        <v>813</v>
      </c>
      <c r="E821" s="2" t="s">
        <v>814</v>
      </c>
      <c r="F821" s="2">
        <v>1143.0</v>
      </c>
      <c r="G821" s="2">
        <v>5.16</v>
      </c>
      <c r="H821" s="2">
        <v>221.5</v>
      </c>
      <c r="I821" s="2" t="s">
        <v>27</v>
      </c>
    </row>
    <row r="822" ht="15.75" customHeight="1">
      <c r="A822" s="2" t="s">
        <v>1089</v>
      </c>
      <c r="B822" s="2" t="s">
        <v>1091</v>
      </c>
      <c r="C822" s="2" t="s">
        <v>979</v>
      </c>
      <c r="D822" s="2" t="s">
        <v>850</v>
      </c>
      <c r="E822" s="2" t="s">
        <v>852</v>
      </c>
      <c r="F822" s="2">
        <v>1705.0</v>
      </c>
      <c r="G822" s="2">
        <v>4.32</v>
      </c>
      <c r="H822" s="2">
        <v>394.7</v>
      </c>
      <c r="I822" s="2" t="s">
        <v>27</v>
      </c>
    </row>
    <row r="823" ht="15.75" customHeight="1">
      <c r="A823" s="2" t="s">
        <v>1097</v>
      </c>
      <c r="B823" s="2" t="s">
        <v>1098</v>
      </c>
      <c r="C823" s="2" t="s">
        <v>979</v>
      </c>
      <c r="D823" s="2" t="s">
        <v>813</v>
      </c>
      <c r="E823" s="2" t="s">
        <v>814</v>
      </c>
      <c r="F823" s="2">
        <v>7083.0</v>
      </c>
      <c r="G823" s="2">
        <v>7.13</v>
      </c>
      <c r="H823" s="2">
        <v>993.4</v>
      </c>
      <c r="I823" s="2" t="s">
        <v>138</v>
      </c>
    </row>
    <row r="824" ht="15.75" customHeight="1">
      <c r="A824" s="2" t="s">
        <v>1099</v>
      </c>
      <c r="B824" s="2" t="s">
        <v>1100</v>
      </c>
      <c r="C824" s="2" t="s">
        <v>979</v>
      </c>
      <c r="D824" s="2" t="s">
        <v>1045</v>
      </c>
      <c r="E824" s="2" t="s">
        <v>1046</v>
      </c>
      <c r="F824" s="2">
        <v>1599.0</v>
      </c>
      <c r="G824" s="2">
        <v>7.77</v>
      </c>
      <c r="H824" s="2">
        <v>205.8</v>
      </c>
      <c r="I824" s="2" t="s">
        <v>27</v>
      </c>
    </row>
    <row r="825" ht="15.75" customHeight="1">
      <c r="A825" s="2" t="s">
        <v>1101</v>
      </c>
      <c r="B825" s="2" t="s">
        <v>1102</v>
      </c>
      <c r="C825" s="2" t="s">
        <v>979</v>
      </c>
      <c r="D825" s="2" t="s">
        <v>968</v>
      </c>
      <c r="E825" s="2" t="s">
        <v>971</v>
      </c>
      <c r="F825" s="2">
        <v>359.0</v>
      </c>
      <c r="G825" s="2">
        <v>3.56</v>
      </c>
      <c r="H825" s="2">
        <v>100.8</v>
      </c>
      <c r="I825" s="2" t="s">
        <v>47</v>
      </c>
    </row>
    <row r="826" ht="15.75" customHeight="1">
      <c r="A826" s="2" t="s">
        <v>1103</v>
      </c>
      <c r="B826" s="2" t="s">
        <v>1104</v>
      </c>
      <c r="C826" s="2" t="s">
        <v>979</v>
      </c>
      <c r="D826" s="2" t="s">
        <v>850</v>
      </c>
      <c r="E826" s="2" t="s">
        <v>852</v>
      </c>
      <c r="F826" s="2">
        <v>7080.0</v>
      </c>
      <c r="G826" s="2">
        <v>6.08</v>
      </c>
      <c r="H826" s="2">
        <v>1164.5</v>
      </c>
      <c r="I826" s="2" t="s">
        <v>138</v>
      </c>
    </row>
    <row r="827" ht="15.75" customHeight="1">
      <c r="A827" s="2" t="s">
        <v>1105</v>
      </c>
      <c r="B827" s="2" t="s">
        <v>1106</v>
      </c>
      <c r="C827" s="2" t="s">
        <v>979</v>
      </c>
      <c r="D827" s="2" t="s">
        <v>847</v>
      </c>
      <c r="E827" s="2" t="s">
        <v>848</v>
      </c>
      <c r="F827" s="2">
        <v>8612.0</v>
      </c>
      <c r="G827" s="2">
        <v>8.65</v>
      </c>
      <c r="H827" s="2">
        <v>995.6</v>
      </c>
      <c r="I827" s="2" t="s">
        <v>138</v>
      </c>
    </row>
    <row r="828" ht="15.75" customHeight="1">
      <c r="A828" s="2" t="s">
        <v>1107</v>
      </c>
      <c r="B828" s="2" t="s">
        <v>1108</v>
      </c>
      <c r="C828" s="2" t="s">
        <v>979</v>
      </c>
      <c r="D828" s="2" t="s">
        <v>1045</v>
      </c>
      <c r="E828" s="2" t="s">
        <v>1046</v>
      </c>
      <c r="F828" s="2">
        <v>2561.0</v>
      </c>
      <c r="G828" s="2">
        <v>13.85</v>
      </c>
      <c r="H828" s="2">
        <v>184.9</v>
      </c>
      <c r="I828" s="2" t="s">
        <v>138</v>
      </c>
    </row>
    <row r="829" ht="15.75" customHeight="1">
      <c r="A829" s="2" t="s">
        <v>1110</v>
      </c>
      <c r="B829" s="2" t="s">
        <v>1112</v>
      </c>
      <c r="C829" s="2" t="s">
        <v>979</v>
      </c>
      <c r="D829" s="2" t="s">
        <v>858</v>
      </c>
      <c r="E829" s="2" t="s">
        <v>859</v>
      </c>
      <c r="F829" s="2">
        <v>2232.0</v>
      </c>
      <c r="G829" s="2">
        <v>12.74</v>
      </c>
      <c r="H829" s="2">
        <v>175.2</v>
      </c>
      <c r="I829" s="2" t="s">
        <v>138</v>
      </c>
    </row>
    <row r="830" ht="15.75" customHeight="1">
      <c r="A830" s="2" t="s">
        <v>1114</v>
      </c>
      <c r="B830" s="2" t="s">
        <v>1116</v>
      </c>
      <c r="C830" s="2" t="s">
        <v>979</v>
      </c>
      <c r="D830" s="2" t="s">
        <v>800</v>
      </c>
      <c r="E830" s="2" t="s">
        <v>801</v>
      </c>
      <c r="F830" s="2">
        <v>1458.0</v>
      </c>
      <c r="G830" s="2">
        <v>10.51</v>
      </c>
      <c r="H830" s="2">
        <v>138.7</v>
      </c>
      <c r="I830" s="2" t="s">
        <v>27</v>
      </c>
    </row>
    <row r="831" ht="15.75" customHeight="1">
      <c r="A831" s="2" t="s">
        <v>1117</v>
      </c>
      <c r="B831" s="2" t="s">
        <v>1118</v>
      </c>
      <c r="C831" s="2" t="s">
        <v>979</v>
      </c>
      <c r="D831" s="2" t="s">
        <v>826</v>
      </c>
      <c r="E831" s="2" t="s">
        <v>829</v>
      </c>
      <c r="F831" s="2">
        <v>3562.0</v>
      </c>
      <c r="G831" s="2">
        <v>9.04</v>
      </c>
      <c r="H831" s="2">
        <v>394.0</v>
      </c>
      <c r="I831" s="2" t="s">
        <v>138</v>
      </c>
    </row>
    <row r="832" ht="15.75" customHeight="1">
      <c r="A832" s="2" t="s">
        <v>1121</v>
      </c>
      <c r="B832" s="2" t="s">
        <v>1122</v>
      </c>
      <c r="C832" s="2" t="s">
        <v>979</v>
      </c>
      <c r="D832" s="2" t="s">
        <v>858</v>
      </c>
      <c r="E832" s="2" t="s">
        <v>859</v>
      </c>
      <c r="F832" s="2">
        <v>4012.0</v>
      </c>
      <c r="G832" s="2">
        <v>2.31</v>
      </c>
      <c r="H832" s="2">
        <v>1736.8</v>
      </c>
      <c r="I832" s="2" t="s">
        <v>138</v>
      </c>
    </row>
    <row r="833" ht="15.75" customHeight="1">
      <c r="A833" s="2" t="s">
        <v>1125</v>
      </c>
      <c r="B833" s="2" t="s">
        <v>1126</v>
      </c>
      <c r="C833" s="2" t="s">
        <v>979</v>
      </c>
      <c r="D833" s="2" t="s">
        <v>794</v>
      </c>
      <c r="E833" s="2" t="s">
        <v>795</v>
      </c>
      <c r="F833" s="2">
        <v>757.0</v>
      </c>
      <c r="G833" s="2">
        <v>6.31</v>
      </c>
      <c r="H833" s="2">
        <v>120.0</v>
      </c>
      <c r="I833" s="2" t="s">
        <v>27</v>
      </c>
    </row>
    <row r="834" ht="15.75" customHeight="1">
      <c r="A834" s="2" t="s">
        <v>1129</v>
      </c>
      <c r="B834" s="2" t="s">
        <v>1130</v>
      </c>
      <c r="C834" s="2" t="s">
        <v>979</v>
      </c>
      <c r="D834" s="2" t="s">
        <v>847</v>
      </c>
      <c r="E834" s="2" t="s">
        <v>848</v>
      </c>
      <c r="F834" s="2">
        <v>2230.0</v>
      </c>
      <c r="G834" s="2">
        <v>9.41</v>
      </c>
      <c r="H834" s="2">
        <v>237.0</v>
      </c>
      <c r="I834" s="2" t="s">
        <v>138</v>
      </c>
    </row>
    <row r="835" ht="15.75" customHeight="1">
      <c r="A835" s="2" t="s">
        <v>1131</v>
      </c>
      <c r="B835" s="2" t="s">
        <v>1133</v>
      </c>
      <c r="C835" s="2" t="s">
        <v>979</v>
      </c>
      <c r="D835" s="2" t="s">
        <v>1045</v>
      </c>
      <c r="E835" s="2" t="s">
        <v>1046</v>
      </c>
      <c r="F835" s="2">
        <v>1898.0</v>
      </c>
      <c r="G835" s="2">
        <v>6.43</v>
      </c>
      <c r="H835" s="2">
        <v>295.2</v>
      </c>
      <c r="I835" s="2" t="s">
        <v>27</v>
      </c>
    </row>
    <row r="836" ht="15.75" customHeight="1">
      <c r="A836" s="2" t="s">
        <v>1136</v>
      </c>
      <c r="B836" s="2" t="s">
        <v>1137</v>
      </c>
      <c r="C836" s="2" t="s">
        <v>979</v>
      </c>
      <c r="D836" s="2" t="s">
        <v>780</v>
      </c>
      <c r="E836" s="2" t="s">
        <v>782</v>
      </c>
      <c r="F836" s="2">
        <v>14732.0</v>
      </c>
      <c r="G836" s="2">
        <v>43.49</v>
      </c>
      <c r="H836" s="2">
        <v>338.7</v>
      </c>
      <c r="I836" s="2" t="s">
        <v>805</v>
      </c>
    </row>
    <row r="837" ht="15.75" customHeight="1">
      <c r="A837" s="2" t="s">
        <v>1140</v>
      </c>
      <c r="B837" s="2" t="s">
        <v>1142</v>
      </c>
      <c r="C837" s="2" t="s">
        <v>979</v>
      </c>
      <c r="D837" s="2" t="s">
        <v>1092</v>
      </c>
      <c r="E837" s="2" t="s">
        <v>1093</v>
      </c>
      <c r="F837" s="2">
        <v>5545.0</v>
      </c>
      <c r="G837" s="2">
        <v>8.68</v>
      </c>
      <c r="H837" s="2">
        <v>638.8</v>
      </c>
      <c r="I837" s="2" t="s">
        <v>138</v>
      </c>
    </row>
    <row r="838" ht="15.75" customHeight="1">
      <c r="A838" s="2" t="s">
        <v>3128</v>
      </c>
      <c r="B838" s="2" t="s">
        <v>3130</v>
      </c>
      <c r="C838" s="2" t="s">
        <v>979</v>
      </c>
      <c r="D838" s="2" t="s">
        <v>1001</v>
      </c>
      <c r="E838" s="2" t="s">
        <v>1002</v>
      </c>
      <c r="F838" s="2">
        <v>158.0</v>
      </c>
      <c r="G838" s="2">
        <v>7.96</v>
      </c>
      <c r="H838" s="2">
        <v>19.8</v>
      </c>
      <c r="I838" s="2" t="s">
        <v>47</v>
      </c>
    </row>
    <row r="839" ht="15.75" customHeight="1">
      <c r="A839" s="2" t="s">
        <v>1145</v>
      </c>
      <c r="B839" s="2" t="s">
        <v>1146</v>
      </c>
      <c r="C839" s="2" t="s">
        <v>979</v>
      </c>
      <c r="D839" s="2" t="s">
        <v>911</v>
      </c>
      <c r="E839" s="2" t="s">
        <v>914</v>
      </c>
      <c r="F839" s="2">
        <v>845.0</v>
      </c>
      <c r="G839" s="2">
        <v>11.82</v>
      </c>
      <c r="H839" s="2">
        <v>71.5</v>
      </c>
      <c r="I839" s="2" t="s">
        <v>27</v>
      </c>
    </row>
    <row r="840" ht="15.75" customHeight="1">
      <c r="A840" s="2" t="s">
        <v>3136</v>
      </c>
      <c r="B840" s="2" t="s">
        <v>3137</v>
      </c>
      <c r="C840" s="2" t="s">
        <v>979</v>
      </c>
      <c r="D840" s="2" t="s">
        <v>794</v>
      </c>
      <c r="E840" s="2" t="s">
        <v>795</v>
      </c>
      <c r="F840" s="2">
        <v>339.0</v>
      </c>
      <c r="G840" s="2">
        <v>6.16</v>
      </c>
      <c r="H840" s="2">
        <v>55.0</v>
      </c>
      <c r="I840" s="2" t="s">
        <v>47</v>
      </c>
    </row>
    <row r="841" ht="15.75" customHeight="1">
      <c r="A841" s="2" t="s">
        <v>1149</v>
      </c>
      <c r="B841" s="2" t="s">
        <v>1150</v>
      </c>
      <c r="C841" s="2" t="s">
        <v>979</v>
      </c>
      <c r="D841" s="2" t="s">
        <v>794</v>
      </c>
      <c r="E841" s="2" t="s">
        <v>795</v>
      </c>
      <c r="F841" s="2">
        <v>494.0</v>
      </c>
      <c r="G841" s="2">
        <v>3.18</v>
      </c>
      <c r="H841" s="2">
        <v>155.3</v>
      </c>
      <c r="I841" s="2" t="s">
        <v>47</v>
      </c>
    </row>
    <row r="842" ht="15.75" customHeight="1">
      <c r="A842" s="2" t="s">
        <v>3142</v>
      </c>
      <c r="B842" s="2" t="s">
        <v>3143</v>
      </c>
      <c r="C842" s="2" t="s">
        <v>979</v>
      </c>
      <c r="D842" s="2" t="s">
        <v>794</v>
      </c>
      <c r="E842" s="2" t="s">
        <v>795</v>
      </c>
      <c r="F842" s="2">
        <v>441.0</v>
      </c>
      <c r="G842" s="2">
        <v>7.69</v>
      </c>
      <c r="H842" s="2">
        <v>57.3</v>
      </c>
      <c r="I842" s="2" t="s">
        <v>47</v>
      </c>
    </row>
    <row r="843" ht="15.75" customHeight="1">
      <c r="A843" s="2" t="s">
        <v>3146</v>
      </c>
      <c r="B843" s="2" t="s">
        <v>3147</v>
      </c>
      <c r="C843" s="2" t="s">
        <v>979</v>
      </c>
      <c r="D843" s="2" t="s">
        <v>858</v>
      </c>
      <c r="E843" s="2" t="s">
        <v>859</v>
      </c>
      <c r="F843" s="2">
        <v>348.0</v>
      </c>
      <c r="G843" s="2">
        <v>7.62</v>
      </c>
      <c r="H843" s="2">
        <v>45.7</v>
      </c>
      <c r="I843" s="2" t="s">
        <v>47</v>
      </c>
    </row>
    <row r="844" ht="15.75" customHeight="1">
      <c r="A844" s="2" t="s">
        <v>1153</v>
      </c>
      <c r="B844" s="2" t="s">
        <v>1154</v>
      </c>
      <c r="C844" s="2" t="s">
        <v>979</v>
      </c>
      <c r="D844" s="2" t="s">
        <v>1092</v>
      </c>
      <c r="E844" s="2" t="s">
        <v>1093</v>
      </c>
      <c r="F844" s="2">
        <v>5249.0</v>
      </c>
      <c r="G844" s="2">
        <v>3.87</v>
      </c>
      <c r="H844" s="2">
        <v>1356.3</v>
      </c>
      <c r="I844" s="2" t="s">
        <v>138</v>
      </c>
    </row>
    <row r="845" ht="15.75" customHeight="1">
      <c r="A845" s="2" t="s">
        <v>1157</v>
      </c>
      <c r="B845" s="2" t="s">
        <v>1158</v>
      </c>
      <c r="C845" s="2" t="s">
        <v>979</v>
      </c>
      <c r="D845" s="2" t="s">
        <v>968</v>
      </c>
      <c r="E845" s="2" t="s">
        <v>971</v>
      </c>
      <c r="F845" s="2">
        <v>3249.0</v>
      </c>
      <c r="G845" s="2">
        <v>10.33</v>
      </c>
      <c r="H845" s="2">
        <v>314.5</v>
      </c>
      <c r="I845" s="2" t="s">
        <v>138</v>
      </c>
    </row>
    <row r="846" ht="15.75" customHeight="1">
      <c r="A846" s="2" t="s">
        <v>1161</v>
      </c>
      <c r="B846" s="2" t="s">
        <v>1162</v>
      </c>
      <c r="C846" s="2" t="s">
        <v>979</v>
      </c>
      <c r="D846" s="2" t="s">
        <v>780</v>
      </c>
      <c r="E846" s="2" t="s">
        <v>782</v>
      </c>
      <c r="F846" s="2">
        <v>1045.0</v>
      </c>
      <c r="G846" s="2">
        <v>8.44</v>
      </c>
      <c r="H846" s="2">
        <v>123.8</v>
      </c>
      <c r="I846" s="2" t="s">
        <v>27</v>
      </c>
    </row>
    <row r="847" ht="15.75" customHeight="1">
      <c r="A847" s="2" t="s">
        <v>1165</v>
      </c>
      <c r="B847" s="2" t="s">
        <v>1167</v>
      </c>
      <c r="C847" s="2" t="s">
        <v>979</v>
      </c>
      <c r="D847" s="2" t="s">
        <v>826</v>
      </c>
      <c r="E847" s="2" t="s">
        <v>829</v>
      </c>
      <c r="F847" s="2">
        <v>551.0</v>
      </c>
      <c r="G847" s="2">
        <v>11.83</v>
      </c>
      <c r="H847" s="2">
        <v>46.6</v>
      </c>
      <c r="I847" s="2" t="s">
        <v>27</v>
      </c>
    </row>
    <row r="848" ht="15.75" customHeight="1">
      <c r="A848" s="2" t="s">
        <v>1169</v>
      </c>
      <c r="B848" s="2" t="s">
        <v>1170</v>
      </c>
      <c r="C848" s="2" t="s">
        <v>979</v>
      </c>
      <c r="D848" s="2" t="s">
        <v>1092</v>
      </c>
      <c r="E848" s="2" t="s">
        <v>1093</v>
      </c>
      <c r="F848" s="2">
        <v>845.0</v>
      </c>
      <c r="G848" s="2">
        <v>5.04</v>
      </c>
      <c r="H848" s="2">
        <v>167.7</v>
      </c>
      <c r="I848" s="2" t="s">
        <v>27</v>
      </c>
    </row>
    <row r="849" ht="15.75" customHeight="1">
      <c r="A849" s="2" t="s">
        <v>3163</v>
      </c>
      <c r="B849" s="2" t="s">
        <v>3164</v>
      </c>
      <c r="C849" s="2" t="s">
        <v>979</v>
      </c>
      <c r="D849" s="2" t="s">
        <v>968</v>
      </c>
      <c r="E849" s="2" t="s">
        <v>971</v>
      </c>
      <c r="F849" s="2">
        <v>574.0</v>
      </c>
      <c r="G849" s="2">
        <v>7.88</v>
      </c>
      <c r="H849" s="2">
        <v>72.8</v>
      </c>
      <c r="I849" s="2" t="s">
        <v>27</v>
      </c>
    </row>
    <row r="850" ht="15.75" customHeight="1">
      <c r="A850" s="2" t="s">
        <v>1173</v>
      </c>
      <c r="B850" s="2" t="s">
        <v>1174</v>
      </c>
      <c r="C850" s="2" t="s">
        <v>979</v>
      </c>
      <c r="D850" s="2" t="s">
        <v>847</v>
      </c>
      <c r="E850" s="2" t="s">
        <v>848</v>
      </c>
      <c r="F850" s="2">
        <v>995.0</v>
      </c>
      <c r="G850" s="2">
        <v>12.82</v>
      </c>
      <c r="H850" s="2">
        <v>77.6</v>
      </c>
      <c r="I850" s="2" t="s">
        <v>27</v>
      </c>
    </row>
    <row r="851" ht="15.75" customHeight="1">
      <c r="A851" s="2" t="s">
        <v>3168</v>
      </c>
      <c r="B851" s="2" t="s">
        <v>3169</v>
      </c>
      <c r="C851" s="2" t="s">
        <v>979</v>
      </c>
      <c r="D851" s="2" t="s">
        <v>826</v>
      </c>
      <c r="E851" s="2" t="s">
        <v>829</v>
      </c>
      <c r="F851" s="2">
        <v>458.0</v>
      </c>
      <c r="G851" s="2">
        <v>3.31</v>
      </c>
      <c r="H851" s="2">
        <v>138.4</v>
      </c>
      <c r="I851" s="2" t="s">
        <v>47</v>
      </c>
    </row>
    <row r="852" ht="15.75" customHeight="1">
      <c r="A852" s="2" t="s">
        <v>3172</v>
      </c>
      <c r="B852" s="2" t="s">
        <v>3173</v>
      </c>
      <c r="C852" s="2" t="s">
        <v>979</v>
      </c>
      <c r="D852" s="2" t="s">
        <v>990</v>
      </c>
      <c r="E852" s="2" t="s">
        <v>991</v>
      </c>
      <c r="F852" s="2">
        <v>234.0</v>
      </c>
      <c r="G852" s="2">
        <v>1.01</v>
      </c>
      <c r="H852" s="2">
        <v>231.7</v>
      </c>
      <c r="I852" s="2" t="s">
        <v>47</v>
      </c>
    </row>
    <row r="853" ht="15.75" customHeight="1">
      <c r="A853" s="2" t="s">
        <v>3176</v>
      </c>
      <c r="B853" s="2" t="s">
        <v>3177</v>
      </c>
      <c r="C853" s="2" t="s">
        <v>979</v>
      </c>
      <c r="D853" s="2" t="s">
        <v>858</v>
      </c>
      <c r="E853" s="2" t="s">
        <v>859</v>
      </c>
      <c r="F853" s="2">
        <v>272.0</v>
      </c>
      <c r="G853" s="2">
        <v>7.9</v>
      </c>
      <c r="H853" s="2">
        <v>34.4</v>
      </c>
      <c r="I853" s="2" t="s">
        <v>47</v>
      </c>
    </row>
    <row r="854" ht="15.75" customHeight="1">
      <c r="A854" s="2" t="s">
        <v>3180</v>
      </c>
      <c r="B854" s="2" t="s">
        <v>335</v>
      </c>
      <c r="C854" s="2" t="s">
        <v>979</v>
      </c>
      <c r="D854" s="2" t="s">
        <v>858</v>
      </c>
      <c r="E854" s="2" t="s">
        <v>859</v>
      </c>
      <c r="F854" s="2">
        <v>169.0</v>
      </c>
      <c r="G854" s="2">
        <v>7.38</v>
      </c>
      <c r="H854" s="2">
        <v>22.9</v>
      </c>
      <c r="I854" s="2" t="s">
        <v>47</v>
      </c>
    </row>
    <row r="855" ht="15.75" customHeight="1">
      <c r="A855" s="2" t="s">
        <v>1177</v>
      </c>
      <c r="B855" s="2" t="s">
        <v>1179</v>
      </c>
      <c r="C855" s="2" t="s">
        <v>979</v>
      </c>
      <c r="D855" s="2" t="s">
        <v>826</v>
      </c>
      <c r="E855" s="2" t="s">
        <v>829</v>
      </c>
      <c r="F855" s="2">
        <v>1933.0</v>
      </c>
      <c r="G855" s="2">
        <v>3.54</v>
      </c>
      <c r="H855" s="2">
        <v>546.0</v>
      </c>
      <c r="I855" s="2" t="s">
        <v>27</v>
      </c>
    </row>
    <row r="856" ht="15.75" customHeight="1">
      <c r="A856" s="2" t="s">
        <v>1181</v>
      </c>
      <c r="B856" s="2" t="s">
        <v>1182</v>
      </c>
      <c r="C856" s="2" t="s">
        <v>979</v>
      </c>
      <c r="D856" s="2" t="s">
        <v>800</v>
      </c>
      <c r="E856" s="2" t="s">
        <v>801</v>
      </c>
      <c r="F856" s="2">
        <v>1301.0</v>
      </c>
      <c r="G856" s="2">
        <v>3.4</v>
      </c>
      <c r="H856" s="2">
        <v>382.6</v>
      </c>
      <c r="I856" s="2" t="s">
        <v>27</v>
      </c>
    </row>
    <row r="857" ht="15.75" customHeight="1">
      <c r="A857" s="2" t="s">
        <v>1185</v>
      </c>
      <c r="B857" s="2" t="s">
        <v>1186</v>
      </c>
      <c r="C857" s="2" t="s">
        <v>979</v>
      </c>
      <c r="D857" s="2" t="s">
        <v>968</v>
      </c>
      <c r="E857" s="2" t="s">
        <v>971</v>
      </c>
      <c r="F857" s="2">
        <v>810.0</v>
      </c>
      <c r="G857" s="2">
        <v>5.21</v>
      </c>
      <c r="H857" s="2">
        <v>155.5</v>
      </c>
      <c r="I857" s="2" t="s">
        <v>27</v>
      </c>
    </row>
    <row r="858" ht="15.75" customHeight="1">
      <c r="A858" s="2" t="s">
        <v>1189</v>
      </c>
      <c r="B858" s="2" t="s">
        <v>1190</v>
      </c>
      <c r="C858" s="2" t="s">
        <v>979</v>
      </c>
      <c r="D858" s="2" t="s">
        <v>911</v>
      </c>
      <c r="E858" s="2" t="s">
        <v>914</v>
      </c>
      <c r="F858" s="2">
        <v>3525.0</v>
      </c>
      <c r="G858" s="2">
        <v>1.34</v>
      </c>
      <c r="H858" s="2">
        <v>2630.6</v>
      </c>
      <c r="I858" s="2" t="s">
        <v>138</v>
      </c>
    </row>
    <row r="859" ht="15.75" customHeight="1">
      <c r="A859" s="2" t="s">
        <v>1191</v>
      </c>
      <c r="B859" s="2" t="s">
        <v>1192</v>
      </c>
      <c r="C859" s="2" t="s">
        <v>979</v>
      </c>
      <c r="D859" s="2" t="s">
        <v>847</v>
      </c>
      <c r="E859" s="2" t="s">
        <v>848</v>
      </c>
      <c r="F859" s="2">
        <v>3159.0</v>
      </c>
      <c r="G859" s="2">
        <v>13.16</v>
      </c>
      <c r="H859" s="2">
        <v>240.0</v>
      </c>
      <c r="I859" s="2" t="s">
        <v>138</v>
      </c>
    </row>
    <row r="860" ht="15.75" customHeight="1">
      <c r="A860" s="2" t="s">
        <v>1193</v>
      </c>
      <c r="B860" s="2" t="s">
        <v>1194</v>
      </c>
      <c r="C860" s="2" t="s">
        <v>979</v>
      </c>
      <c r="D860" s="2" t="s">
        <v>990</v>
      </c>
      <c r="E860" s="2" t="s">
        <v>991</v>
      </c>
      <c r="F860" s="2">
        <v>778.0</v>
      </c>
      <c r="G860" s="2">
        <v>6.62</v>
      </c>
      <c r="H860" s="2">
        <v>117.5</v>
      </c>
      <c r="I860" s="2" t="s">
        <v>27</v>
      </c>
    </row>
    <row r="861" ht="15.75" customHeight="1">
      <c r="A861" s="2" t="s">
        <v>3199</v>
      </c>
      <c r="B861" s="2" t="s">
        <v>3200</v>
      </c>
      <c r="C861" s="2" t="s">
        <v>979</v>
      </c>
      <c r="D861" s="2" t="s">
        <v>847</v>
      </c>
      <c r="E861" s="2" t="s">
        <v>848</v>
      </c>
      <c r="F861" s="2">
        <v>237.0</v>
      </c>
      <c r="G861" s="2">
        <v>2.85</v>
      </c>
      <c r="H861" s="2">
        <v>83.2</v>
      </c>
      <c r="I861" s="2" t="s">
        <v>47</v>
      </c>
    </row>
    <row r="862" ht="15.75" customHeight="1">
      <c r="A862" s="2" t="s">
        <v>1195</v>
      </c>
      <c r="B862" s="2" t="s">
        <v>1196</v>
      </c>
      <c r="C862" s="2" t="s">
        <v>979</v>
      </c>
      <c r="D862" s="2" t="s">
        <v>1045</v>
      </c>
      <c r="E862" s="2" t="s">
        <v>1046</v>
      </c>
      <c r="F862" s="2">
        <v>2318.0</v>
      </c>
      <c r="G862" s="2">
        <v>11.14</v>
      </c>
      <c r="H862" s="2">
        <v>208.1</v>
      </c>
      <c r="I862" s="2" t="s">
        <v>138</v>
      </c>
    </row>
    <row r="863" ht="15.75" customHeight="1">
      <c r="A863" s="2" t="s">
        <v>3203</v>
      </c>
      <c r="B863" s="2" t="s">
        <v>3204</v>
      </c>
      <c r="C863" s="2" t="s">
        <v>979</v>
      </c>
      <c r="D863" s="2" t="s">
        <v>780</v>
      </c>
      <c r="E863" s="2" t="s">
        <v>782</v>
      </c>
      <c r="F863" s="2">
        <v>627.0</v>
      </c>
      <c r="G863" s="2">
        <v>5.13</v>
      </c>
      <c r="H863" s="2">
        <v>122.2</v>
      </c>
      <c r="I863" s="2" t="s">
        <v>27</v>
      </c>
    </row>
    <row r="864" ht="15.75" customHeight="1">
      <c r="A864" s="2" t="s">
        <v>1199</v>
      </c>
      <c r="B864" s="2" t="s">
        <v>1200</v>
      </c>
      <c r="C864" s="2" t="s">
        <v>979</v>
      </c>
      <c r="D864" s="2" t="s">
        <v>826</v>
      </c>
      <c r="E864" s="2" t="s">
        <v>829</v>
      </c>
      <c r="F864" s="2">
        <v>2140.0</v>
      </c>
      <c r="G864" s="2">
        <v>8.55</v>
      </c>
      <c r="H864" s="2">
        <v>250.3</v>
      </c>
      <c r="I864" s="2" t="s">
        <v>138</v>
      </c>
    </row>
    <row r="865" ht="15.75" customHeight="1">
      <c r="A865" s="2" t="s">
        <v>3209</v>
      </c>
      <c r="B865" s="2" t="s">
        <v>3211</v>
      </c>
      <c r="C865" s="2" t="s">
        <v>979</v>
      </c>
      <c r="D865" s="2" t="s">
        <v>847</v>
      </c>
      <c r="E865" s="2" t="s">
        <v>848</v>
      </c>
      <c r="F865" s="2">
        <v>343.0</v>
      </c>
      <c r="G865" s="2">
        <v>4.62</v>
      </c>
      <c r="H865" s="2">
        <v>74.2</v>
      </c>
      <c r="I865" s="2" t="s">
        <v>47</v>
      </c>
    </row>
    <row r="866" ht="15.75" customHeight="1">
      <c r="A866" s="2" t="s">
        <v>3213</v>
      </c>
      <c r="B866" s="2" t="s">
        <v>3215</v>
      </c>
      <c r="C866" s="2" t="s">
        <v>979</v>
      </c>
      <c r="D866" s="2" t="s">
        <v>968</v>
      </c>
      <c r="E866" s="2" t="s">
        <v>971</v>
      </c>
      <c r="F866" s="2">
        <v>253.0</v>
      </c>
      <c r="G866" s="2">
        <v>3.32</v>
      </c>
      <c r="H866" s="2">
        <v>76.2</v>
      </c>
      <c r="I866" s="2" t="s">
        <v>47</v>
      </c>
    </row>
    <row r="867" ht="15.75" customHeight="1">
      <c r="A867" s="2" t="s">
        <v>1201</v>
      </c>
      <c r="B867" s="2" t="s">
        <v>1202</v>
      </c>
      <c r="C867" s="2" t="s">
        <v>979</v>
      </c>
      <c r="D867" s="2" t="s">
        <v>858</v>
      </c>
      <c r="E867" s="2" t="s">
        <v>859</v>
      </c>
      <c r="F867" s="2">
        <v>599.0</v>
      </c>
      <c r="G867" s="2">
        <v>8.92</v>
      </c>
      <c r="H867" s="2">
        <v>67.2</v>
      </c>
      <c r="I867" s="2" t="s">
        <v>27</v>
      </c>
    </row>
    <row r="868" ht="15.75" customHeight="1">
      <c r="A868" s="2" t="s">
        <v>1205</v>
      </c>
      <c r="B868" s="2" t="s">
        <v>1206</v>
      </c>
      <c r="C868" s="2" t="s">
        <v>979</v>
      </c>
      <c r="D868" s="2" t="s">
        <v>850</v>
      </c>
      <c r="E868" s="2" t="s">
        <v>852</v>
      </c>
      <c r="F868" s="2">
        <v>6796.0</v>
      </c>
      <c r="G868" s="2">
        <v>2.98</v>
      </c>
      <c r="H868" s="2">
        <v>2280.5</v>
      </c>
      <c r="I868" s="2" t="s">
        <v>138</v>
      </c>
    </row>
    <row r="869" ht="15.75" customHeight="1">
      <c r="A869" s="2" t="s">
        <v>1207</v>
      </c>
      <c r="B869" s="2" t="s">
        <v>1209</v>
      </c>
      <c r="C869" s="2" t="s">
        <v>979</v>
      </c>
      <c r="D869" s="2" t="s">
        <v>1045</v>
      </c>
      <c r="E869" s="2" t="s">
        <v>1046</v>
      </c>
      <c r="F869" s="2">
        <v>2861.0</v>
      </c>
      <c r="G869" s="2">
        <v>12.59</v>
      </c>
      <c r="H869" s="2">
        <v>227.2</v>
      </c>
      <c r="I869" s="2" t="s">
        <v>138</v>
      </c>
    </row>
    <row r="870" ht="15.75" customHeight="1">
      <c r="A870" s="2" t="s">
        <v>1213</v>
      </c>
      <c r="B870" s="2" t="s">
        <v>1214</v>
      </c>
      <c r="C870" s="2" t="s">
        <v>979</v>
      </c>
      <c r="D870" s="2" t="s">
        <v>911</v>
      </c>
      <c r="E870" s="2" t="s">
        <v>914</v>
      </c>
      <c r="F870" s="2">
        <v>1716.0</v>
      </c>
      <c r="G870" s="2">
        <v>11.07</v>
      </c>
      <c r="H870" s="2">
        <v>155.0</v>
      </c>
      <c r="I870" s="2" t="s">
        <v>27</v>
      </c>
    </row>
    <row r="871" ht="15.75" customHeight="1">
      <c r="A871" s="2" t="s">
        <v>3226</v>
      </c>
      <c r="B871" s="2" t="s">
        <v>3227</v>
      </c>
      <c r="C871" s="2" t="s">
        <v>979</v>
      </c>
      <c r="D871" s="2" t="s">
        <v>911</v>
      </c>
      <c r="E871" s="2" t="s">
        <v>914</v>
      </c>
      <c r="F871" s="2">
        <v>239.0</v>
      </c>
      <c r="G871" s="2">
        <v>3.58</v>
      </c>
      <c r="H871" s="2">
        <v>66.8</v>
      </c>
      <c r="I871" s="2" t="s">
        <v>47</v>
      </c>
    </row>
    <row r="872" ht="15.75" customHeight="1">
      <c r="A872" s="2" t="s">
        <v>1215</v>
      </c>
      <c r="B872" s="2" t="s">
        <v>1216</v>
      </c>
      <c r="C872" s="2" t="s">
        <v>979</v>
      </c>
      <c r="D872" s="2" t="s">
        <v>780</v>
      </c>
      <c r="E872" s="2" t="s">
        <v>782</v>
      </c>
      <c r="F872" s="2">
        <v>2008.0</v>
      </c>
      <c r="G872" s="2">
        <v>18.24</v>
      </c>
      <c r="H872" s="2">
        <v>110.1</v>
      </c>
      <c r="I872" s="2" t="s">
        <v>138</v>
      </c>
    </row>
    <row r="873" ht="15.75" customHeight="1">
      <c r="A873" s="2" t="s">
        <v>3231</v>
      </c>
      <c r="B873" s="2" t="s">
        <v>3233</v>
      </c>
      <c r="C873" s="2" t="s">
        <v>979</v>
      </c>
      <c r="D873" s="2" t="s">
        <v>794</v>
      </c>
      <c r="E873" s="2" t="s">
        <v>795</v>
      </c>
      <c r="F873" s="2">
        <v>313.0</v>
      </c>
      <c r="G873" s="2">
        <v>3.59</v>
      </c>
      <c r="H873" s="2">
        <v>87.2</v>
      </c>
      <c r="I873" s="2" t="s">
        <v>47</v>
      </c>
    </row>
    <row r="874" ht="15.75" customHeight="1">
      <c r="A874" s="2" t="s">
        <v>1217</v>
      </c>
      <c r="B874" s="2" t="s">
        <v>1218</v>
      </c>
      <c r="C874" s="2" t="s">
        <v>979</v>
      </c>
      <c r="D874" s="2" t="s">
        <v>780</v>
      </c>
      <c r="E874" s="2" t="s">
        <v>782</v>
      </c>
      <c r="F874" s="2">
        <v>2244.0</v>
      </c>
      <c r="G874" s="2">
        <v>13.71</v>
      </c>
      <c r="H874" s="2">
        <v>163.7</v>
      </c>
      <c r="I874" s="2" t="s">
        <v>138</v>
      </c>
    </row>
    <row r="875" ht="15.75" customHeight="1">
      <c r="A875" s="2" t="s">
        <v>1221</v>
      </c>
      <c r="B875" s="2" t="s">
        <v>1222</v>
      </c>
      <c r="C875" s="2" t="s">
        <v>979</v>
      </c>
      <c r="D875" s="2" t="s">
        <v>1092</v>
      </c>
      <c r="E875" s="2" t="s">
        <v>1093</v>
      </c>
      <c r="F875" s="2">
        <v>1775.0</v>
      </c>
      <c r="G875" s="2">
        <v>7.41</v>
      </c>
      <c r="H875" s="2">
        <v>239.5</v>
      </c>
      <c r="I875" s="2" t="s">
        <v>27</v>
      </c>
    </row>
    <row r="876" ht="15.75" customHeight="1">
      <c r="A876" s="2" t="s">
        <v>1223</v>
      </c>
      <c r="B876" s="2" t="s">
        <v>1224</v>
      </c>
      <c r="C876" s="2" t="s">
        <v>979</v>
      </c>
      <c r="D876" s="2" t="s">
        <v>911</v>
      </c>
      <c r="E876" s="2" t="s">
        <v>914</v>
      </c>
      <c r="F876" s="2">
        <v>1445.0</v>
      </c>
      <c r="G876" s="2">
        <v>17.59</v>
      </c>
      <c r="H876" s="2">
        <v>82.1</v>
      </c>
      <c r="I876" s="2" t="s">
        <v>27</v>
      </c>
    </row>
    <row r="877" ht="15.75" customHeight="1">
      <c r="A877" s="2" t="s">
        <v>1225</v>
      </c>
      <c r="B877" s="2" t="s">
        <v>1226</v>
      </c>
      <c r="C877" s="2" t="s">
        <v>979</v>
      </c>
      <c r="D877" s="2" t="s">
        <v>1092</v>
      </c>
      <c r="E877" s="2" t="s">
        <v>1093</v>
      </c>
      <c r="F877" s="2">
        <v>9747.0</v>
      </c>
      <c r="G877" s="2">
        <v>13.0</v>
      </c>
      <c r="H877" s="2">
        <v>749.8</v>
      </c>
      <c r="I877" s="2" t="s">
        <v>138</v>
      </c>
    </row>
    <row r="878" ht="15.75" customHeight="1">
      <c r="A878" s="2" t="s">
        <v>1229</v>
      </c>
      <c r="B878" s="2" t="s">
        <v>1230</v>
      </c>
      <c r="C878" s="2" t="s">
        <v>979</v>
      </c>
      <c r="D878" s="2" t="s">
        <v>780</v>
      </c>
      <c r="E878" s="2" t="s">
        <v>782</v>
      </c>
      <c r="F878" s="2">
        <v>553.0</v>
      </c>
      <c r="G878" s="2">
        <v>5.97</v>
      </c>
      <c r="H878" s="2">
        <v>92.6</v>
      </c>
      <c r="I878" s="2" t="s">
        <v>27</v>
      </c>
    </row>
    <row r="879" ht="15.75" customHeight="1">
      <c r="A879" s="2" t="s">
        <v>1231</v>
      </c>
      <c r="B879" s="2" t="s">
        <v>1232</v>
      </c>
      <c r="C879" s="2" t="s">
        <v>979</v>
      </c>
      <c r="D879" s="2" t="s">
        <v>800</v>
      </c>
      <c r="E879" s="2" t="s">
        <v>801</v>
      </c>
      <c r="F879" s="2">
        <v>4113.0</v>
      </c>
      <c r="G879" s="2">
        <v>12.42</v>
      </c>
      <c r="H879" s="2">
        <v>331.2</v>
      </c>
      <c r="I879" s="2" t="s">
        <v>138</v>
      </c>
    </row>
    <row r="880" ht="15.75" customHeight="1">
      <c r="A880" s="2" t="s">
        <v>3247</v>
      </c>
      <c r="B880" s="2" t="s">
        <v>3249</v>
      </c>
      <c r="C880" s="2" t="s">
        <v>979</v>
      </c>
      <c r="D880" s="2" t="s">
        <v>858</v>
      </c>
      <c r="E880" s="2" t="s">
        <v>859</v>
      </c>
      <c r="F880" s="2">
        <v>291.0</v>
      </c>
      <c r="G880" s="2">
        <v>8.72</v>
      </c>
      <c r="H880" s="2">
        <v>33.4</v>
      </c>
      <c r="I880" s="2" t="s">
        <v>47</v>
      </c>
    </row>
    <row r="881" ht="15.75" customHeight="1">
      <c r="A881" s="2" t="s">
        <v>1233</v>
      </c>
      <c r="B881" s="2" t="s">
        <v>1234</v>
      </c>
      <c r="C881" s="2" t="s">
        <v>979</v>
      </c>
      <c r="D881" s="2" t="s">
        <v>1086</v>
      </c>
      <c r="E881" s="2" t="s">
        <v>1087</v>
      </c>
      <c r="F881" s="2">
        <v>6931.0</v>
      </c>
      <c r="G881" s="2">
        <v>38.35</v>
      </c>
      <c r="H881" s="2">
        <v>180.7</v>
      </c>
      <c r="I881" s="2" t="s">
        <v>138</v>
      </c>
    </row>
    <row r="882" ht="15.75" customHeight="1">
      <c r="A882" s="2" t="s">
        <v>1235</v>
      </c>
      <c r="B882" s="2" t="s">
        <v>1236</v>
      </c>
      <c r="C882" s="2" t="s">
        <v>979</v>
      </c>
      <c r="D882" s="2" t="s">
        <v>1045</v>
      </c>
      <c r="E882" s="2" t="s">
        <v>1046</v>
      </c>
      <c r="F882" s="2">
        <v>1682.0</v>
      </c>
      <c r="G882" s="2">
        <v>6.57</v>
      </c>
      <c r="H882" s="2">
        <v>256.0</v>
      </c>
      <c r="I882" s="2" t="s">
        <v>27</v>
      </c>
    </row>
    <row r="883" ht="15.75" customHeight="1">
      <c r="A883" s="2" t="s">
        <v>3256</v>
      </c>
      <c r="B883" s="2" t="s">
        <v>3258</v>
      </c>
      <c r="C883" s="2" t="s">
        <v>979</v>
      </c>
      <c r="D883" s="2" t="s">
        <v>794</v>
      </c>
      <c r="E883" s="2" t="s">
        <v>795</v>
      </c>
      <c r="F883" s="2">
        <v>360.0</v>
      </c>
      <c r="G883" s="2">
        <v>7.63</v>
      </c>
      <c r="H883" s="2">
        <v>47.2</v>
      </c>
      <c r="I883" s="2" t="s">
        <v>47</v>
      </c>
    </row>
    <row r="884" ht="15.75" customHeight="1">
      <c r="A884" s="2" t="s">
        <v>1237</v>
      </c>
      <c r="B884" s="2" t="s">
        <v>1238</v>
      </c>
      <c r="C884" s="2" t="s">
        <v>979</v>
      </c>
      <c r="D884" s="2" t="s">
        <v>1092</v>
      </c>
      <c r="E884" s="2" t="s">
        <v>1093</v>
      </c>
      <c r="F884" s="2">
        <v>4978.0</v>
      </c>
      <c r="G884" s="2">
        <v>6.42</v>
      </c>
      <c r="H884" s="2">
        <v>775.4</v>
      </c>
      <c r="I884" s="2" t="s">
        <v>138</v>
      </c>
    </row>
    <row r="885" ht="15.75" customHeight="1">
      <c r="A885" s="2" t="s">
        <v>1239</v>
      </c>
      <c r="B885" s="2" t="s">
        <v>1240</v>
      </c>
      <c r="C885" s="2" t="s">
        <v>979</v>
      </c>
      <c r="D885" s="2" t="s">
        <v>968</v>
      </c>
      <c r="E885" s="2" t="s">
        <v>971</v>
      </c>
      <c r="F885" s="2">
        <v>1769.0</v>
      </c>
      <c r="G885" s="2">
        <v>9.85</v>
      </c>
      <c r="H885" s="2">
        <v>179.6</v>
      </c>
      <c r="I885" s="2" t="s">
        <v>27</v>
      </c>
    </row>
    <row r="886" ht="15.75" customHeight="1">
      <c r="A886" s="2" t="s">
        <v>1241</v>
      </c>
      <c r="B886" s="2" t="s">
        <v>1242</v>
      </c>
      <c r="C886" s="2" t="s">
        <v>979</v>
      </c>
      <c r="D886" s="2" t="s">
        <v>800</v>
      </c>
      <c r="E886" s="2" t="s">
        <v>801</v>
      </c>
      <c r="F886" s="2">
        <v>339.0</v>
      </c>
      <c r="G886" s="2">
        <v>3.15</v>
      </c>
      <c r="H886" s="2">
        <v>107.6</v>
      </c>
      <c r="I886" s="2" t="s">
        <v>47</v>
      </c>
    </row>
    <row r="887" ht="15.75" customHeight="1">
      <c r="A887" s="2" t="s">
        <v>1245</v>
      </c>
      <c r="B887" s="2" t="s">
        <v>1246</v>
      </c>
      <c r="C887" s="2" t="s">
        <v>979</v>
      </c>
      <c r="D887" s="2" t="s">
        <v>847</v>
      </c>
      <c r="E887" s="2" t="s">
        <v>848</v>
      </c>
      <c r="F887" s="2">
        <v>369.0</v>
      </c>
      <c r="G887" s="2">
        <v>12.16</v>
      </c>
      <c r="H887" s="2">
        <v>30.3</v>
      </c>
      <c r="I887" s="2" t="s">
        <v>47</v>
      </c>
    </row>
    <row r="888" ht="15.75" customHeight="1">
      <c r="A888" s="2" t="s">
        <v>3269</v>
      </c>
      <c r="B888" s="2" t="s">
        <v>3270</v>
      </c>
      <c r="C888" s="2" t="s">
        <v>979</v>
      </c>
      <c r="D888" s="2" t="s">
        <v>826</v>
      </c>
      <c r="E888" s="2" t="s">
        <v>829</v>
      </c>
      <c r="F888" s="2">
        <v>436.0</v>
      </c>
      <c r="G888" s="2">
        <v>4.81</v>
      </c>
      <c r="H888" s="2">
        <v>90.6</v>
      </c>
      <c r="I888" s="2" t="s">
        <v>47</v>
      </c>
    </row>
    <row r="889" ht="15.75" customHeight="1">
      <c r="A889" s="2" t="s">
        <v>1247</v>
      </c>
      <c r="B889" s="2" t="s">
        <v>1248</v>
      </c>
      <c r="C889" s="2" t="s">
        <v>979</v>
      </c>
      <c r="D889" s="2" t="s">
        <v>847</v>
      </c>
      <c r="E889" s="2" t="s">
        <v>848</v>
      </c>
      <c r="F889" s="2">
        <v>522.0</v>
      </c>
      <c r="G889" s="2">
        <v>3.28</v>
      </c>
      <c r="H889" s="2">
        <v>159.1</v>
      </c>
      <c r="I889" s="2" t="s">
        <v>27</v>
      </c>
    </row>
    <row r="890" ht="15.75" customHeight="1">
      <c r="A890" s="2" t="s">
        <v>1249</v>
      </c>
      <c r="B890" s="2" t="s">
        <v>1250</v>
      </c>
      <c r="C890" s="2" t="s">
        <v>979</v>
      </c>
      <c r="D890" s="2" t="s">
        <v>847</v>
      </c>
      <c r="E890" s="2" t="s">
        <v>848</v>
      </c>
      <c r="F890" s="2">
        <v>3123.0</v>
      </c>
      <c r="G890" s="2">
        <v>6.28</v>
      </c>
      <c r="H890" s="2">
        <v>497.3</v>
      </c>
      <c r="I890" s="2" t="s">
        <v>138</v>
      </c>
    </row>
    <row r="891" ht="15.75" customHeight="1">
      <c r="A891" s="2" t="s">
        <v>1251</v>
      </c>
      <c r="B891" s="2" t="s">
        <v>1252</v>
      </c>
      <c r="C891" s="2" t="s">
        <v>979</v>
      </c>
      <c r="D891" s="2" t="s">
        <v>1045</v>
      </c>
      <c r="E891" s="2" t="s">
        <v>1046</v>
      </c>
      <c r="F891" s="2">
        <v>1580.0</v>
      </c>
      <c r="G891" s="2">
        <v>8.69</v>
      </c>
      <c r="H891" s="2">
        <v>181.8</v>
      </c>
      <c r="I891" s="2" t="s">
        <v>27</v>
      </c>
    </row>
    <row r="892" ht="15.75" customHeight="1">
      <c r="A892" s="2" t="s">
        <v>3279</v>
      </c>
      <c r="B892" s="2" t="s">
        <v>3280</v>
      </c>
      <c r="C892" s="2" t="s">
        <v>979</v>
      </c>
      <c r="D892" s="2" t="s">
        <v>1092</v>
      </c>
      <c r="E892" s="2" t="s">
        <v>1093</v>
      </c>
      <c r="F892" s="2">
        <v>766.0</v>
      </c>
      <c r="G892" s="2">
        <v>2.71</v>
      </c>
      <c r="H892" s="2">
        <v>282.7</v>
      </c>
      <c r="I892" s="2" t="s">
        <v>27</v>
      </c>
    </row>
    <row r="893" ht="15.75" customHeight="1">
      <c r="A893" s="2" t="s">
        <v>3237</v>
      </c>
      <c r="B893" s="2" t="s">
        <v>3238</v>
      </c>
      <c r="C893" s="2" t="s">
        <v>979</v>
      </c>
      <c r="D893" s="2" t="s">
        <v>780</v>
      </c>
      <c r="E893" s="2" t="s">
        <v>782</v>
      </c>
      <c r="F893" s="2">
        <v>766.0</v>
      </c>
      <c r="G893" s="2">
        <v>7.09</v>
      </c>
      <c r="H893" s="2">
        <v>108.0</v>
      </c>
      <c r="I893" s="2" t="s">
        <v>27</v>
      </c>
    </row>
    <row r="894" ht="15.75" customHeight="1">
      <c r="A894" s="2" t="s">
        <v>1255</v>
      </c>
      <c r="B894" s="2" t="s">
        <v>1256</v>
      </c>
      <c r="C894" s="2" t="s">
        <v>979</v>
      </c>
      <c r="D894" s="2" t="s">
        <v>1086</v>
      </c>
      <c r="E894" s="2" t="s">
        <v>1087</v>
      </c>
      <c r="F894" s="2">
        <v>4189.0</v>
      </c>
      <c r="G894" s="2">
        <v>8.63</v>
      </c>
      <c r="H894" s="2">
        <v>485.4</v>
      </c>
      <c r="I894" s="2" t="s">
        <v>138</v>
      </c>
    </row>
    <row r="895" ht="15.75" customHeight="1">
      <c r="A895" s="2" t="s">
        <v>1257</v>
      </c>
      <c r="B895" s="2" t="s">
        <v>1259</v>
      </c>
      <c r="C895" s="2" t="s">
        <v>979</v>
      </c>
      <c r="D895" s="2" t="s">
        <v>826</v>
      </c>
      <c r="E895" s="2" t="s">
        <v>829</v>
      </c>
      <c r="F895" s="2">
        <v>689.0</v>
      </c>
      <c r="G895" s="2">
        <v>6.96</v>
      </c>
      <c r="H895" s="2">
        <v>99.0</v>
      </c>
      <c r="I895" s="2" t="s">
        <v>27</v>
      </c>
    </row>
    <row r="896" ht="15.75" customHeight="1">
      <c r="A896" s="2" t="s">
        <v>1263</v>
      </c>
      <c r="B896" s="2" t="s">
        <v>1264</v>
      </c>
      <c r="C896" s="2" t="s">
        <v>979</v>
      </c>
      <c r="D896" s="2" t="s">
        <v>800</v>
      </c>
      <c r="E896" s="2" t="s">
        <v>801</v>
      </c>
      <c r="F896" s="2">
        <v>771.0</v>
      </c>
      <c r="G896" s="2">
        <v>2.84</v>
      </c>
      <c r="H896" s="2">
        <v>271.5</v>
      </c>
      <c r="I896" s="2" t="s">
        <v>27</v>
      </c>
    </row>
    <row r="897" ht="15.75" customHeight="1">
      <c r="A897" s="2" t="s">
        <v>1265</v>
      </c>
      <c r="B897" s="2" t="s">
        <v>1266</v>
      </c>
      <c r="C897" s="2" t="s">
        <v>979</v>
      </c>
      <c r="D897" s="2" t="s">
        <v>911</v>
      </c>
      <c r="E897" s="2" t="s">
        <v>914</v>
      </c>
      <c r="F897" s="2">
        <v>1452.0</v>
      </c>
      <c r="G897" s="2">
        <v>11.9</v>
      </c>
      <c r="H897" s="2">
        <v>122.0</v>
      </c>
      <c r="I897" s="2" t="s">
        <v>27</v>
      </c>
    </row>
    <row r="898" ht="15.75" customHeight="1">
      <c r="A898" s="2" t="s">
        <v>3290</v>
      </c>
      <c r="B898" s="2" t="s">
        <v>3292</v>
      </c>
      <c r="C898" s="2" t="s">
        <v>979</v>
      </c>
      <c r="D898" s="2" t="s">
        <v>911</v>
      </c>
      <c r="E898" s="2" t="s">
        <v>914</v>
      </c>
      <c r="F898" s="2">
        <v>425.0</v>
      </c>
      <c r="G898" s="2">
        <v>3.77</v>
      </c>
      <c r="H898" s="2">
        <v>112.7</v>
      </c>
      <c r="I898" s="2" t="s">
        <v>47</v>
      </c>
    </row>
    <row r="899" ht="15.75" customHeight="1">
      <c r="A899" s="2" t="s">
        <v>1267</v>
      </c>
      <c r="B899" s="2" t="s">
        <v>1268</v>
      </c>
      <c r="C899" s="2" t="s">
        <v>979</v>
      </c>
      <c r="D899" s="2" t="s">
        <v>850</v>
      </c>
      <c r="E899" s="2" t="s">
        <v>852</v>
      </c>
      <c r="F899" s="2">
        <v>11644.0</v>
      </c>
      <c r="G899" s="2">
        <v>6.67</v>
      </c>
      <c r="H899" s="2">
        <v>1745.7</v>
      </c>
      <c r="I899" s="2" t="s">
        <v>805</v>
      </c>
    </row>
    <row r="900" ht="15.75" customHeight="1">
      <c r="A900" s="2" t="s">
        <v>1271</v>
      </c>
      <c r="B900" s="2" t="s">
        <v>1272</v>
      </c>
      <c r="C900" s="2" t="s">
        <v>979</v>
      </c>
      <c r="D900" s="2" t="s">
        <v>800</v>
      </c>
      <c r="E900" s="2" t="s">
        <v>801</v>
      </c>
      <c r="F900" s="2">
        <v>1698.0</v>
      </c>
      <c r="G900" s="2">
        <v>7.91</v>
      </c>
      <c r="H900" s="2">
        <v>214.7</v>
      </c>
      <c r="I900" s="2" t="s">
        <v>27</v>
      </c>
    </row>
    <row r="901" ht="15.75" customHeight="1">
      <c r="A901" s="2" t="s">
        <v>1273</v>
      </c>
      <c r="B901" s="2" t="s">
        <v>1274</v>
      </c>
      <c r="C901" s="2" t="s">
        <v>979</v>
      </c>
      <c r="D901" s="2" t="s">
        <v>778</v>
      </c>
      <c r="E901" s="2" t="s">
        <v>779</v>
      </c>
      <c r="F901" s="2">
        <v>1340.0</v>
      </c>
      <c r="G901" s="2">
        <v>4.36</v>
      </c>
      <c r="H901" s="2">
        <v>307.3</v>
      </c>
      <c r="I901" s="2" t="s">
        <v>27</v>
      </c>
    </row>
    <row r="902" ht="15.75" customHeight="1">
      <c r="A902" s="2" t="s">
        <v>1276</v>
      </c>
      <c r="B902" s="2" t="s">
        <v>1278</v>
      </c>
      <c r="C902" s="2" t="s">
        <v>979</v>
      </c>
      <c r="D902" s="2" t="s">
        <v>813</v>
      </c>
      <c r="E902" s="2" t="s">
        <v>814</v>
      </c>
      <c r="F902" s="2">
        <v>704.0</v>
      </c>
      <c r="G902" s="2">
        <v>2.03</v>
      </c>
      <c r="H902" s="2">
        <v>346.8</v>
      </c>
      <c r="I902" s="2" t="s">
        <v>27</v>
      </c>
    </row>
    <row r="903" ht="15.75" customHeight="1">
      <c r="A903" s="2" t="s">
        <v>1280</v>
      </c>
      <c r="B903" s="2" t="s">
        <v>1281</v>
      </c>
      <c r="C903" s="2" t="s">
        <v>979</v>
      </c>
      <c r="D903" s="2" t="s">
        <v>968</v>
      </c>
      <c r="E903" s="2" t="s">
        <v>971</v>
      </c>
      <c r="F903" s="2">
        <v>390.0</v>
      </c>
      <c r="G903" s="2">
        <v>2.88</v>
      </c>
      <c r="H903" s="2">
        <v>135.4</v>
      </c>
      <c r="I903" s="2" t="s">
        <v>47</v>
      </c>
    </row>
    <row r="904" ht="15.75" customHeight="1">
      <c r="A904" s="2" t="s">
        <v>1285</v>
      </c>
      <c r="B904" s="2" t="s">
        <v>1286</v>
      </c>
      <c r="C904" s="2" t="s">
        <v>979</v>
      </c>
      <c r="D904" s="2" t="s">
        <v>813</v>
      </c>
      <c r="E904" s="2" t="s">
        <v>814</v>
      </c>
      <c r="F904" s="2">
        <v>1095.0</v>
      </c>
      <c r="G904" s="2">
        <v>6.31</v>
      </c>
      <c r="H904" s="2">
        <v>173.5</v>
      </c>
      <c r="I904" s="2" t="s">
        <v>27</v>
      </c>
    </row>
    <row r="905" ht="15.75" customHeight="1">
      <c r="A905" s="2" t="s">
        <v>1287</v>
      </c>
      <c r="B905" s="2" t="s">
        <v>1288</v>
      </c>
      <c r="C905" s="2" t="s">
        <v>979</v>
      </c>
      <c r="D905" s="2" t="s">
        <v>826</v>
      </c>
      <c r="E905" s="2" t="s">
        <v>829</v>
      </c>
      <c r="F905" s="2">
        <v>2435.0</v>
      </c>
      <c r="G905" s="2">
        <v>16.5</v>
      </c>
      <c r="H905" s="2">
        <v>147.6</v>
      </c>
      <c r="I905" s="2" t="s">
        <v>138</v>
      </c>
    </row>
    <row r="906" ht="15.75" customHeight="1">
      <c r="A906" s="2" t="s">
        <v>3309</v>
      </c>
      <c r="B906" s="2" t="s">
        <v>3310</v>
      </c>
      <c r="C906" s="2" t="s">
        <v>979</v>
      </c>
      <c r="D906" s="2" t="s">
        <v>780</v>
      </c>
      <c r="E906" s="2" t="s">
        <v>782</v>
      </c>
      <c r="F906" s="2">
        <v>582.0</v>
      </c>
      <c r="G906" s="2">
        <v>6.18</v>
      </c>
      <c r="H906" s="2">
        <v>94.2</v>
      </c>
      <c r="I906" s="2" t="s">
        <v>27</v>
      </c>
    </row>
    <row r="907" ht="15.75" customHeight="1">
      <c r="A907" s="2" t="s">
        <v>3189</v>
      </c>
      <c r="B907" s="2" t="s">
        <v>3190</v>
      </c>
      <c r="C907" s="2" t="s">
        <v>979</v>
      </c>
      <c r="D907" s="2" t="s">
        <v>858</v>
      </c>
      <c r="E907" s="2" t="s">
        <v>859</v>
      </c>
      <c r="F907" s="2">
        <v>163.0</v>
      </c>
      <c r="G907" s="2">
        <v>5.76</v>
      </c>
      <c r="H907" s="2">
        <v>28.3</v>
      </c>
      <c r="I907" s="2" t="s">
        <v>47</v>
      </c>
    </row>
    <row r="908" ht="15.75" customHeight="1">
      <c r="A908" s="2" t="s">
        <v>1291</v>
      </c>
      <c r="B908" s="2" t="s">
        <v>1292</v>
      </c>
      <c r="C908" s="2" t="s">
        <v>979</v>
      </c>
      <c r="D908" s="2" t="s">
        <v>826</v>
      </c>
      <c r="E908" s="2" t="s">
        <v>829</v>
      </c>
      <c r="F908" s="2">
        <v>689.0</v>
      </c>
      <c r="G908" s="2">
        <v>5.15</v>
      </c>
      <c r="H908" s="2">
        <v>133.8</v>
      </c>
      <c r="I908" s="2" t="s">
        <v>27</v>
      </c>
    </row>
    <row r="909" ht="15.75" customHeight="1">
      <c r="A909" s="2" t="s">
        <v>1293</v>
      </c>
      <c r="B909" s="2" t="s">
        <v>1294</v>
      </c>
      <c r="C909" s="2" t="s">
        <v>979</v>
      </c>
      <c r="D909" s="2" t="s">
        <v>826</v>
      </c>
      <c r="E909" s="2" t="s">
        <v>829</v>
      </c>
      <c r="F909" s="2">
        <v>529.0</v>
      </c>
      <c r="G909" s="2">
        <v>4.8</v>
      </c>
      <c r="H909" s="2">
        <v>110.2</v>
      </c>
      <c r="I909" s="2" t="s">
        <v>27</v>
      </c>
    </row>
    <row r="910" ht="15.75" customHeight="1">
      <c r="A910" s="2" t="s">
        <v>1297</v>
      </c>
      <c r="B910" s="2" t="s">
        <v>1298</v>
      </c>
      <c r="C910" s="2" t="s">
        <v>979</v>
      </c>
      <c r="D910" s="2" t="s">
        <v>794</v>
      </c>
      <c r="E910" s="2" t="s">
        <v>795</v>
      </c>
      <c r="F910" s="2">
        <v>663.0</v>
      </c>
      <c r="G910" s="2">
        <v>6.18</v>
      </c>
      <c r="H910" s="2">
        <v>107.3</v>
      </c>
      <c r="I910" s="2" t="s">
        <v>27</v>
      </c>
    </row>
    <row r="911" ht="15.75" customHeight="1">
      <c r="A911" s="2" t="s">
        <v>1301</v>
      </c>
      <c r="B911" s="2" t="s">
        <v>1302</v>
      </c>
      <c r="C911" s="2" t="s">
        <v>979</v>
      </c>
      <c r="D911" s="2" t="s">
        <v>794</v>
      </c>
      <c r="E911" s="2" t="s">
        <v>795</v>
      </c>
      <c r="F911" s="2">
        <v>31134.0</v>
      </c>
      <c r="G911" s="2">
        <v>18.19</v>
      </c>
      <c r="H911" s="2">
        <v>1711.6</v>
      </c>
      <c r="I911" s="2" t="s">
        <v>805</v>
      </c>
    </row>
    <row r="912" ht="15.75" customHeight="1">
      <c r="A912" s="2" t="s">
        <v>1303</v>
      </c>
      <c r="B912" s="2" t="s">
        <v>1304</v>
      </c>
      <c r="C912" s="2" t="s">
        <v>979</v>
      </c>
      <c r="D912" s="2" t="s">
        <v>1045</v>
      </c>
      <c r="E912" s="2" t="s">
        <v>1046</v>
      </c>
      <c r="F912" s="2">
        <v>1737.0</v>
      </c>
      <c r="G912" s="2">
        <v>7.44</v>
      </c>
      <c r="H912" s="2">
        <v>233.5</v>
      </c>
      <c r="I912" s="2" t="s">
        <v>27</v>
      </c>
    </row>
    <row r="913" ht="15.75" customHeight="1">
      <c r="A913" s="2" t="s">
        <v>1307</v>
      </c>
      <c r="B913" s="2" t="s">
        <v>1308</v>
      </c>
      <c r="C913" s="2" t="s">
        <v>979</v>
      </c>
      <c r="D913" s="2" t="s">
        <v>1045</v>
      </c>
      <c r="E913" s="2" t="s">
        <v>1046</v>
      </c>
      <c r="F913" s="2">
        <v>2518.0</v>
      </c>
      <c r="G913" s="2">
        <v>6.45</v>
      </c>
      <c r="H913" s="2">
        <v>390.4</v>
      </c>
      <c r="I913" s="2" t="s">
        <v>138</v>
      </c>
    </row>
    <row r="914" ht="15.75" customHeight="1">
      <c r="A914" s="2" t="s">
        <v>3321</v>
      </c>
      <c r="B914" s="2" t="s">
        <v>3322</v>
      </c>
      <c r="C914" s="2" t="s">
        <v>979</v>
      </c>
      <c r="D914" s="2" t="s">
        <v>794</v>
      </c>
      <c r="E914" s="2" t="s">
        <v>795</v>
      </c>
      <c r="F914" s="2">
        <v>410.0</v>
      </c>
      <c r="G914" s="2">
        <v>6.46</v>
      </c>
      <c r="H914" s="2">
        <v>63.5</v>
      </c>
      <c r="I914" s="2" t="s">
        <v>47</v>
      </c>
    </row>
    <row r="915" ht="15.75" customHeight="1">
      <c r="A915" s="2" t="s">
        <v>1309</v>
      </c>
      <c r="B915" s="2" t="s">
        <v>1311</v>
      </c>
      <c r="C915" s="2" t="s">
        <v>979</v>
      </c>
      <c r="D915" s="2" t="s">
        <v>813</v>
      </c>
      <c r="E915" s="2" t="s">
        <v>814</v>
      </c>
      <c r="F915" s="2">
        <v>1741.0</v>
      </c>
      <c r="G915" s="2">
        <v>9.28</v>
      </c>
      <c r="H915" s="2">
        <v>187.6</v>
      </c>
      <c r="I915" s="2" t="s">
        <v>27</v>
      </c>
    </row>
    <row r="916" ht="15.75" customHeight="1">
      <c r="A916" s="2" t="s">
        <v>3327</v>
      </c>
      <c r="B916" s="2" t="s">
        <v>3328</v>
      </c>
      <c r="C916" s="2" t="s">
        <v>979</v>
      </c>
      <c r="D916" s="2" t="s">
        <v>990</v>
      </c>
      <c r="E916" s="2" t="s">
        <v>991</v>
      </c>
      <c r="F916" s="2">
        <v>135.0</v>
      </c>
      <c r="G916" s="2">
        <v>5.07</v>
      </c>
      <c r="H916" s="2">
        <v>26.6</v>
      </c>
      <c r="I916" s="2" t="s">
        <v>47</v>
      </c>
    </row>
    <row r="917" ht="15.75" customHeight="1">
      <c r="A917" s="2" t="s">
        <v>1313</v>
      </c>
      <c r="B917" s="2" t="s">
        <v>1314</v>
      </c>
      <c r="C917" s="2" t="s">
        <v>979</v>
      </c>
      <c r="D917" s="2" t="s">
        <v>1092</v>
      </c>
      <c r="E917" s="2" t="s">
        <v>1093</v>
      </c>
      <c r="F917" s="2">
        <v>2728.0</v>
      </c>
      <c r="G917" s="2">
        <v>1.87</v>
      </c>
      <c r="H917" s="2">
        <v>1458.8</v>
      </c>
      <c r="I917" s="2" t="s">
        <v>138</v>
      </c>
    </row>
    <row r="918" ht="15.75" customHeight="1">
      <c r="A918" s="2" t="s">
        <v>1316</v>
      </c>
      <c r="B918" s="2" t="s">
        <v>1320</v>
      </c>
      <c r="C918" s="2" t="s">
        <v>979</v>
      </c>
      <c r="D918" s="2" t="s">
        <v>911</v>
      </c>
      <c r="E918" s="2" t="s">
        <v>914</v>
      </c>
      <c r="F918" s="2">
        <v>1169.0</v>
      </c>
      <c r="G918" s="2">
        <v>17.61</v>
      </c>
      <c r="H918" s="2">
        <v>66.4</v>
      </c>
      <c r="I918" s="2" t="s">
        <v>27</v>
      </c>
    </row>
    <row r="919" ht="15.75" customHeight="1">
      <c r="A919" s="2" t="s">
        <v>1321</v>
      </c>
      <c r="B919" s="2" t="s">
        <v>1322</v>
      </c>
      <c r="C919" s="2" t="s">
        <v>979</v>
      </c>
      <c r="D919" s="2" t="s">
        <v>1045</v>
      </c>
      <c r="E919" s="2" t="s">
        <v>1046</v>
      </c>
      <c r="F919" s="2">
        <v>2257.0</v>
      </c>
      <c r="G919" s="2">
        <v>8.13</v>
      </c>
      <c r="H919" s="2">
        <v>277.6</v>
      </c>
      <c r="I919" s="2" t="s">
        <v>138</v>
      </c>
    </row>
    <row r="920" ht="15.75" customHeight="1">
      <c r="A920" s="2" t="s">
        <v>1323</v>
      </c>
      <c r="B920" s="2" t="s">
        <v>1324</v>
      </c>
      <c r="C920" s="2" t="s">
        <v>979</v>
      </c>
      <c r="D920" s="2" t="s">
        <v>1086</v>
      </c>
      <c r="E920" s="2" t="s">
        <v>1087</v>
      </c>
      <c r="F920" s="2">
        <v>7839.0</v>
      </c>
      <c r="G920" s="2">
        <v>5.48</v>
      </c>
      <c r="H920" s="2">
        <v>1430.5</v>
      </c>
      <c r="I920" s="2" t="s">
        <v>138</v>
      </c>
    </row>
    <row r="921" ht="15.75" customHeight="1">
      <c r="A921" s="2" t="s">
        <v>1327</v>
      </c>
      <c r="B921" s="2" t="s">
        <v>1328</v>
      </c>
      <c r="C921" s="2" t="s">
        <v>979</v>
      </c>
      <c r="D921" s="2" t="s">
        <v>1092</v>
      </c>
      <c r="E921" s="2" t="s">
        <v>1093</v>
      </c>
      <c r="F921" s="2">
        <v>1105.0</v>
      </c>
      <c r="G921" s="2">
        <v>2.34</v>
      </c>
      <c r="H921" s="2">
        <v>472.2</v>
      </c>
      <c r="I921" s="2" t="s">
        <v>27</v>
      </c>
    </row>
    <row r="922" ht="15.75" customHeight="1">
      <c r="A922" s="2" t="s">
        <v>1330</v>
      </c>
      <c r="B922" s="2" t="s">
        <v>1332</v>
      </c>
      <c r="C922" s="2" t="s">
        <v>979</v>
      </c>
      <c r="D922" s="2" t="s">
        <v>826</v>
      </c>
      <c r="E922" s="2" t="s">
        <v>829</v>
      </c>
      <c r="F922" s="2">
        <v>983.0</v>
      </c>
      <c r="G922" s="2">
        <v>8.16</v>
      </c>
      <c r="H922" s="2">
        <v>120.5</v>
      </c>
      <c r="I922" s="2" t="s">
        <v>27</v>
      </c>
    </row>
    <row r="923" ht="15.75" customHeight="1">
      <c r="A923" s="2" t="s">
        <v>1333</v>
      </c>
      <c r="B923" s="2" t="s">
        <v>1335</v>
      </c>
      <c r="C923" s="2" t="s">
        <v>979</v>
      </c>
      <c r="D923" s="2" t="s">
        <v>858</v>
      </c>
      <c r="E923" s="2" t="s">
        <v>859</v>
      </c>
      <c r="F923" s="2">
        <v>1209.0</v>
      </c>
      <c r="G923" s="2">
        <v>26.41</v>
      </c>
      <c r="H923" s="2">
        <v>45.8</v>
      </c>
      <c r="I923" s="2" t="s">
        <v>27</v>
      </c>
    </row>
    <row r="924" ht="15.75" customHeight="1">
      <c r="A924" s="2" t="s">
        <v>1337</v>
      </c>
      <c r="B924" s="2" t="s">
        <v>1339</v>
      </c>
      <c r="C924" s="2" t="s">
        <v>979</v>
      </c>
      <c r="D924" s="2" t="s">
        <v>780</v>
      </c>
      <c r="E924" s="2" t="s">
        <v>782</v>
      </c>
      <c r="F924" s="2">
        <v>2198.0</v>
      </c>
      <c r="G924" s="2">
        <v>13.09</v>
      </c>
      <c r="H924" s="2">
        <v>167.9</v>
      </c>
      <c r="I924" s="2" t="s">
        <v>138</v>
      </c>
    </row>
    <row r="925" ht="15.75" customHeight="1">
      <c r="A925" s="2" t="s">
        <v>1341</v>
      </c>
      <c r="B925" s="2" t="s">
        <v>1342</v>
      </c>
      <c r="C925" s="2" t="s">
        <v>979</v>
      </c>
      <c r="D925" s="2" t="s">
        <v>826</v>
      </c>
      <c r="E925" s="2" t="s">
        <v>829</v>
      </c>
      <c r="F925" s="2">
        <v>781.0</v>
      </c>
      <c r="G925" s="2">
        <v>13.41</v>
      </c>
      <c r="H925" s="2">
        <v>58.2</v>
      </c>
      <c r="I925" s="2" t="s">
        <v>27</v>
      </c>
    </row>
    <row r="926" ht="15.75" customHeight="1">
      <c r="A926" s="2" t="s">
        <v>1345</v>
      </c>
      <c r="B926" s="2" t="s">
        <v>1346</v>
      </c>
      <c r="C926" s="2" t="s">
        <v>979</v>
      </c>
      <c r="D926" s="2" t="s">
        <v>826</v>
      </c>
      <c r="E926" s="2" t="s">
        <v>829</v>
      </c>
      <c r="F926" s="2">
        <v>689.0</v>
      </c>
      <c r="G926" s="2">
        <v>5.4</v>
      </c>
      <c r="H926" s="2">
        <v>127.6</v>
      </c>
      <c r="I926" s="2" t="s">
        <v>27</v>
      </c>
    </row>
    <row r="927" ht="15.75" customHeight="1">
      <c r="A927" s="2" t="s">
        <v>1349</v>
      </c>
      <c r="B927" s="2" t="s">
        <v>1350</v>
      </c>
      <c r="C927" s="2" t="s">
        <v>979</v>
      </c>
      <c r="D927" s="2" t="s">
        <v>826</v>
      </c>
      <c r="E927" s="2" t="s">
        <v>829</v>
      </c>
      <c r="F927" s="2">
        <v>13833.0</v>
      </c>
      <c r="G927" s="2">
        <v>12.95</v>
      </c>
      <c r="H927" s="2">
        <v>1068.2</v>
      </c>
      <c r="I927" s="2" t="s">
        <v>805</v>
      </c>
    </row>
    <row r="928" ht="15.75" customHeight="1">
      <c r="A928" s="2" t="s">
        <v>3350</v>
      </c>
      <c r="B928" s="2" t="s">
        <v>3352</v>
      </c>
      <c r="C928" s="2" t="s">
        <v>979</v>
      </c>
      <c r="D928" s="2" t="s">
        <v>826</v>
      </c>
      <c r="E928" s="2" t="s">
        <v>829</v>
      </c>
      <c r="F928" s="2">
        <v>467.0</v>
      </c>
      <c r="G928" s="2">
        <v>2.5</v>
      </c>
      <c r="H928" s="2">
        <v>186.8</v>
      </c>
      <c r="I928" s="2" t="s">
        <v>47</v>
      </c>
    </row>
    <row r="929" ht="15.75" customHeight="1">
      <c r="A929" s="2" t="s">
        <v>1353</v>
      </c>
      <c r="B929" s="2" t="s">
        <v>1354</v>
      </c>
      <c r="C929" s="2" t="s">
        <v>979</v>
      </c>
      <c r="D929" s="2" t="s">
        <v>794</v>
      </c>
      <c r="E929" s="2" t="s">
        <v>795</v>
      </c>
      <c r="F929" s="2">
        <v>579.0</v>
      </c>
      <c r="G929" s="2">
        <v>5.61</v>
      </c>
      <c r="H929" s="2">
        <v>103.2</v>
      </c>
      <c r="I929" s="2" t="s">
        <v>27</v>
      </c>
    </row>
    <row r="930" ht="15.75" customHeight="1">
      <c r="A930" s="2" t="s">
        <v>1357</v>
      </c>
      <c r="B930" s="2" t="s">
        <v>1358</v>
      </c>
      <c r="C930" s="2" t="s">
        <v>979</v>
      </c>
      <c r="D930" s="2" t="s">
        <v>780</v>
      </c>
      <c r="E930" s="2" t="s">
        <v>782</v>
      </c>
      <c r="F930" s="2">
        <v>1951.0</v>
      </c>
      <c r="G930" s="2">
        <v>10.21</v>
      </c>
      <c r="H930" s="2">
        <v>191.1</v>
      </c>
      <c r="I930" s="2" t="s">
        <v>27</v>
      </c>
    </row>
    <row r="931" ht="15.75" customHeight="1">
      <c r="A931" s="2" t="s">
        <v>1359</v>
      </c>
      <c r="B931" s="2" t="s">
        <v>1361</v>
      </c>
      <c r="C931" s="2" t="s">
        <v>979</v>
      </c>
      <c r="D931" s="2" t="s">
        <v>847</v>
      </c>
      <c r="E931" s="2" t="s">
        <v>848</v>
      </c>
      <c r="F931" s="2">
        <v>646.0</v>
      </c>
      <c r="G931" s="2">
        <v>3.88</v>
      </c>
      <c r="H931" s="2">
        <v>166.5</v>
      </c>
      <c r="I931" s="2" t="s">
        <v>27</v>
      </c>
    </row>
    <row r="932" ht="15.75" customHeight="1">
      <c r="A932" s="2" t="s">
        <v>3361</v>
      </c>
      <c r="B932" s="2" t="s">
        <v>3363</v>
      </c>
      <c r="C932" s="2" t="s">
        <v>979</v>
      </c>
      <c r="D932" s="2" t="s">
        <v>1045</v>
      </c>
      <c r="E932" s="2" t="s">
        <v>1046</v>
      </c>
      <c r="F932" s="2">
        <v>766.0</v>
      </c>
      <c r="G932" s="2">
        <v>3.46</v>
      </c>
      <c r="H932" s="2">
        <v>221.4</v>
      </c>
      <c r="I932" s="2" t="s">
        <v>27</v>
      </c>
    </row>
    <row r="933" ht="15.75" customHeight="1">
      <c r="A933" s="2" t="s">
        <v>3367</v>
      </c>
      <c r="B933" s="2" t="s">
        <v>3369</v>
      </c>
      <c r="C933" s="2" t="s">
        <v>979</v>
      </c>
      <c r="D933" s="2" t="s">
        <v>858</v>
      </c>
      <c r="E933" s="2" t="s">
        <v>859</v>
      </c>
      <c r="F933" s="2">
        <v>43.0</v>
      </c>
      <c r="G933" s="2">
        <v>2.51</v>
      </c>
      <c r="H933" s="2">
        <v>17.1</v>
      </c>
      <c r="I933" s="2" t="s">
        <v>47</v>
      </c>
    </row>
    <row r="934" ht="15.75" customHeight="1">
      <c r="A934" s="2" t="s">
        <v>1363</v>
      </c>
      <c r="B934" s="2" t="s">
        <v>1365</v>
      </c>
      <c r="C934" s="2" t="s">
        <v>979</v>
      </c>
      <c r="D934" s="2" t="s">
        <v>800</v>
      </c>
      <c r="E934" s="2" t="s">
        <v>801</v>
      </c>
      <c r="F934" s="2">
        <v>917.0</v>
      </c>
      <c r="G934" s="2">
        <v>4.41</v>
      </c>
      <c r="H934" s="2">
        <v>207.9</v>
      </c>
      <c r="I934" s="2" t="s">
        <v>27</v>
      </c>
    </row>
    <row r="935" ht="15.75" customHeight="1">
      <c r="A935" s="2" t="s">
        <v>1368</v>
      </c>
      <c r="B935" s="2" t="s">
        <v>1370</v>
      </c>
      <c r="C935" s="2" t="s">
        <v>979</v>
      </c>
      <c r="D935" s="2" t="s">
        <v>1092</v>
      </c>
      <c r="E935" s="2" t="s">
        <v>1093</v>
      </c>
      <c r="F935" s="2">
        <v>3078.0</v>
      </c>
      <c r="G935" s="2">
        <v>4.19</v>
      </c>
      <c r="H935" s="2">
        <v>734.6</v>
      </c>
      <c r="I935" s="2" t="s">
        <v>138</v>
      </c>
    </row>
    <row r="936" ht="15.75" customHeight="1">
      <c r="A936" s="2" t="s">
        <v>3370</v>
      </c>
      <c r="B936" s="2" t="s">
        <v>3372</v>
      </c>
      <c r="C936" s="2" t="s">
        <v>979</v>
      </c>
      <c r="D936" s="2" t="s">
        <v>858</v>
      </c>
      <c r="E936" s="2" t="s">
        <v>859</v>
      </c>
      <c r="F936" s="2">
        <v>357.0</v>
      </c>
      <c r="G936" s="2">
        <v>7.5</v>
      </c>
      <c r="H936" s="2">
        <v>47.6</v>
      </c>
      <c r="I936" s="2" t="s">
        <v>47</v>
      </c>
    </row>
    <row r="937" ht="15.75" customHeight="1">
      <c r="A937" s="2" t="s">
        <v>1373</v>
      </c>
      <c r="B937" s="2" t="s">
        <v>1374</v>
      </c>
      <c r="C937" s="2" t="s">
        <v>979</v>
      </c>
      <c r="D937" s="2" t="s">
        <v>826</v>
      </c>
      <c r="E937" s="2" t="s">
        <v>829</v>
      </c>
      <c r="F937" s="2">
        <v>1088.0</v>
      </c>
      <c r="G937" s="2">
        <v>9.95</v>
      </c>
      <c r="H937" s="2">
        <v>109.3</v>
      </c>
      <c r="I937" s="2" t="s">
        <v>27</v>
      </c>
    </row>
    <row r="938" ht="15.75" customHeight="1">
      <c r="A938" s="2" t="s">
        <v>1377</v>
      </c>
      <c r="B938" s="2" t="s">
        <v>1378</v>
      </c>
      <c r="C938" s="2" t="s">
        <v>979</v>
      </c>
      <c r="D938" s="2" t="s">
        <v>1045</v>
      </c>
      <c r="E938" s="2" t="s">
        <v>1046</v>
      </c>
      <c r="F938" s="2">
        <v>563.0</v>
      </c>
      <c r="G938" s="2">
        <v>2.84</v>
      </c>
      <c r="H938" s="2">
        <v>198.2</v>
      </c>
      <c r="I938" s="2" t="s">
        <v>27</v>
      </c>
    </row>
    <row r="939" ht="15.75" customHeight="1">
      <c r="A939" s="2" t="s">
        <v>1381</v>
      </c>
      <c r="B939" s="2" t="s">
        <v>1382</v>
      </c>
      <c r="C939" s="2" t="s">
        <v>979</v>
      </c>
      <c r="D939" s="2" t="s">
        <v>847</v>
      </c>
      <c r="E939" s="2" t="s">
        <v>848</v>
      </c>
      <c r="F939" s="2">
        <v>1541.0</v>
      </c>
      <c r="G939" s="2">
        <v>18.82</v>
      </c>
      <c r="H939" s="2">
        <v>81.9</v>
      </c>
      <c r="I939" s="2" t="s">
        <v>27</v>
      </c>
    </row>
    <row r="940" ht="15.75" customHeight="1">
      <c r="A940" s="2" t="s">
        <v>1383</v>
      </c>
      <c r="B940" s="2" t="s">
        <v>1384</v>
      </c>
      <c r="C940" s="2" t="s">
        <v>979</v>
      </c>
      <c r="D940" s="2" t="s">
        <v>1092</v>
      </c>
      <c r="E940" s="2" t="s">
        <v>1093</v>
      </c>
      <c r="F940" s="2">
        <v>12731.0</v>
      </c>
      <c r="G940" s="2">
        <v>16.06</v>
      </c>
      <c r="H940" s="2">
        <v>792.7</v>
      </c>
      <c r="I940" s="2" t="s">
        <v>805</v>
      </c>
    </row>
    <row r="941" ht="15.75" customHeight="1">
      <c r="A941" s="2" t="s">
        <v>1385</v>
      </c>
      <c r="B941" s="2" t="s">
        <v>1386</v>
      </c>
      <c r="C941" s="2" t="s">
        <v>979</v>
      </c>
      <c r="D941" s="2" t="s">
        <v>850</v>
      </c>
      <c r="E941" s="2" t="s">
        <v>852</v>
      </c>
      <c r="F941" s="2">
        <v>9253.0</v>
      </c>
      <c r="G941" s="2">
        <v>18.36</v>
      </c>
      <c r="H941" s="2">
        <v>504.0</v>
      </c>
      <c r="I941" s="2" t="s">
        <v>138</v>
      </c>
    </row>
    <row r="942" ht="15.75" customHeight="1">
      <c r="A942" s="2" t="s">
        <v>1387</v>
      </c>
      <c r="B942" s="2" t="s">
        <v>1389</v>
      </c>
      <c r="C942" s="2" t="s">
        <v>979</v>
      </c>
      <c r="D942" s="2" t="s">
        <v>1086</v>
      </c>
      <c r="E942" s="2" t="s">
        <v>1087</v>
      </c>
      <c r="F942" s="2">
        <v>20787.0</v>
      </c>
      <c r="G942" s="2">
        <v>9.12</v>
      </c>
      <c r="H942" s="2">
        <v>2279.3</v>
      </c>
      <c r="I942" s="2" t="s">
        <v>805</v>
      </c>
    </row>
    <row r="943" ht="15.75" customHeight="1">
      <c r="A943" s="2" t="s">
        <v>1392</v>
      </c>
      <c r="B943" s="2" t="s">
        <v>1394</v>
      </c>
      <c r="C943" s="2" t="s">
        <v>979</v>
      </c>
      <c r="D943" s="2" t="s">
        <v>813</v>
      </c>
      <c r="E943" s="2" t="s">
        <v>814</v>
      </c>
      <c r="F943" s="2">
        <v>2855.0</v>
      </c>
      <c r="G943" s="2">
        <v>1.66</v>
      </c>
      <c r="H943" s="2">
        <v>1719.9</v>
      </c>
      <c r="I943" s="2" t="s">
        <v>138</v>
      </c>
    </row>
    <row r="944" ht="15.75" customHeight="1">
      <c r="A944" s="2" t="s">
        <v>1396</v>
      </c>
      <c r="B944" s="2" t="s">
        <v>1397</v>
      </c>
      <c r="C944" s="2" t="s">
        <v>979</v>
      </c>
      <c r="D944" s="2" t="s">
        <v>847</v>
      </c>
      <c r="E944" s="2" t="s">
        <v>848</v>
      </c>
      <c r="F944" s="2">
        <v>2153.0</v>
      </c>
      <c r="G944" s="2">
        <v>20.99</v>
      </c>
      <c r="H944" s="2">
        <v>102.6</v>
      </c>
      <c r="I944" s="2" t="s">
        <v>138</v>
      </c>
    </row>
    <row r="945" ht="15.75" customHeight="1">
      <c r="A945" s="2" t="s">
        <v>1399</v>
      </c>
      <c r="B945" s="2" t="s">
        <v>1400</v>
      </c>
      <c r="C945" s="2" t="s">
        <v>979</v>
      </c>
      <c r="D945" s="2" t="s">
        <v>1045</v>
      </c>
      <c r="E945" s="2" t="s">
        <v>1046</v>
      </c>
      <c r="F945" s="2">
        <v>3436.0</v>
      </c>
      <c r="G945" s="2">
        <v>16.34</v>
      </c>
      <c r="H945" s="2">
        <v>210.3</v>
      </c>
      <c r="I945" s="2" t="s">
        <v>138</v>
      </c>
    </row>
    <row r="946" ht="15.75" customHeight="1">
      <c r="A946" s="2" t="s">
        <v>1402</v>
      </c>
      <c r="B946" s="2" t="s">
        <v>1404</v>
      </c>
      <c r="C946" s="2" t="s">
        <v>979</v>
      </c>
      <c r="D946" s="2" t="s">
        <v>1086</v>
      </c>
      <c r="E946" s="2" t="s">
        <v>1087</v>
      </c>
      <c r="F946" s="2">
        <v>791.0</v>
      </c>
      <c r="G946" s="2">
        <v>7.75</v>
      </c>
      <c r="H946" s="2">
        <v>102.1</v>
      </c>
      <c r="I946" s="2" t="s">
        <v>27</v>
      </c>
    </row>
    <row r="947" ht="15.75" customHeight="1">
      <c r="A947" s="2" t="s">
        <v>1407</v>
      </c>
      <c r="B947" s="2" t="s">
        <v>1408</v>
      </c>
      <c r="C947" s="2" t="s">
        <v>979</v>
      </c>
      <c r="D947" s="2" t="s">
        <v>850</v>
      </c>
      <c r="E947" s="2" t="s">
        <v>852</v>
      </c>
      <c r="F947" s="2">
        <v>4532.0</v>
      </c>
      <c r="G947" s="2">
        <v>9.94</v>
      </c>
      <c r="H947" s="2">
        <v>455.9</v>
      </c>
      <c r="I947" s="2" t="s">
        <v>138</v>
      </c>
    </row>
    <row r="948" ht="15.75" customHeight="1">
      <c r="A948" s="2" t="s">
        <v>3397</v>
      </c>
      <c r="B948" s="2" t="s">
        <v>3399</v>
      </c>
      <c r="C948" s="2" t="s">
        <v>979</v>
      </c>
      <c r="D948" s="2" t="s">
        <v>911</v>
      </c>
      <c r="E948" s="2" t="s">
        <v>914</v>
      </c>
      <c r="F948" s="2">
        <v>659.0</v>
      </c>
      <c r="G948" s="2">
        <v>7.85</v>
      </c>
      <c r="H948" s="2">
        <v>83.9</v>
      </c>
      <c r="I948" s="2" t="s">
        <v>27</v>
      </c>
    </row>
    <row r="949" ht="15.75" customHeight="1">
      <c r="A949" s="2" t="s">
        <v>1411</v>
      </c>
      <c r="B949" s="2" t="s">
        <v>1412</v>
      </c>
      <c r="C949" s="2" t="s">
        <v>979</v>
      </c>
      <c r="D949" s="2" t="s">
        <v>1092</v>
      </c>
      <c r="E949" s="2" t="s">
        <v>1093</v>
      </c>
      <c r="F949" s="2">
        <v>20566.0</v>
      </c>
      <c r="G949" s="2">
        <v>4.44</v>
      </c>
      <c r="H949" s="2">
        <v>4632.0</v>
      </c>
      <c r="I949" s="2" t="s">
        <v>805</v>
      </c>
    </row>
    <row r="950" ht="15.75" customHeight="1">
      <c r="A950" s="2" t="s">
        <v>3408</v>
      </c>
      <c r="B950" s="2" t="s">
        <v>3409</v>
      </c>
      <c r="C950" s="2" t="s">
        <v>979</v>
      </c>
      <c r="D950" s="2" t="s">
        <v>968</v>
      </c>
      <c r="E950" s="2" t="s">
        <v>971</v>
      </c>
      <c r="F950" s="2">
        <v>238.0</v>
      </c>
      <c r="G950" s="2">
        <v>3.97</v>
      </c>
      <c r="H950" s="2">
        <v>59.9</v>
      </c>
      <c r="I950" s="2" t="s">
        <v>47</v>
      </c>
    </row>
    <row r="951" ht="15.75" customHeight="1">
      <c r="A951" s="2" t="s">
        <v>1415</v>
      </c>
      <c r="B951" s="2" t="s">
        <v>1416</v>
      </c>
      <c r="C951" s="2" t="s">
        <v>979</v>
      </c>
      <c r="D951" s="2" t="s">
        <v>794</v>
      </c>
      <c r="E951" s="2" t="s">
        <v>795</v>
      </c>
      <c r="F951" s="2">
        <v>716.0</v>
      </c>
      <c r="G951" s="2">
        <v>19.02</v>
      </c>
      <c r="H951" s="2">
        <v>37.6</v>
      </c>
      <c r="I951" s="2" t="s">
        <v>27</v>
      </c>
    </row>
    <row r="952" ht="15.75" customHeight="1">
      <c r="A952" s="2" t="s">
        <v>1417</v>
      </c>
      <c r="B952" s="2" t="s">
        <v>1418</v>
      </c>
      <c r="C952" s="2" t="s">
        <v>979</v>
      </c>
      <c r="D952" s="2" t="s">
        <v>813</v>
      </c>
      <c r="E952" s="2" t="s">
        <v>814</v>
      </c>
      <c r="F952" s="2">
        <v>6467.0</v>
      </c>
      <c r="G952" s="2">
        <v>7.0</v>
      </c>
      <c r="H952" s="2">
        <v>923.9</v>
      </c>
      <c r="I952" s="2" t="s">
        <v>138</v>
      </c>
    </row>
    <row r="953" ht="15.75" customHeight="1">
      <c r="A953" s="2" t="s">
        <v>1421</v>
      </c>
      <c r="B953" s="2" t="s">
        <v>1422</v>
      </c>
      <c r="C953" s="2" t="s">
        <v>979</v>
      </c>
      <c r="D953" s="2" t="s">
        <v>850</v>
      </c>
      <c r="E953" s="2" t="s">
        <v>852</v>
      </c>
      <c r="F953" s="2">
        <v>1333.0</v>
      </c>
      <c r="G953" s="2">
        <v>6.06</v>
      </c>
      <c r="H953" s="2">
        <v>220.0</v>
      </c>
      <c r="I953" s="2" t="s">
        <v>27</v>
      </c>
    </row>
    <row r="954" ht="15.75" customHeight="1">
      <c r="A954" s="2" t="s">
        <v>3415</v>
      </c>
      <c r="B954" s="2" t="s">
        <v>3416</v>
      </c>
      <c r="C954" s="2" t="s">
        <v>979</v>
      </c>
      <c r="D954" s="2" t="s">
        <v>794</v>
      </c>
      <c r="E954" s="2" t="s">
        <v>795</v>
      </c>
      <c r="F954" s="2">
        <v>177.0</v>
      </c>
      <c r="G954" s="2">
        <v>2.9</v>
      </c>
      <c r="H954" s="2">
        <v>61.0</v>
      </c>
      <c r="I954" s="2" t="s">
        <v>47</v>
      </c>
    </row>
    <row r="955" ht="15.75" customHeight="1">
      <c r="A955" s="2" t="s">
        <v>1423</v>
      </c>
      <c r="B955" s="2" t="s">
        <v>1424</v>
      </c>
      <c r="C955" s="2" t="s">
        <v>979</v>
      </c>
      <c r="D955" s="2" t="s">
        <v>1045</v>
      </c>
      <c r="E955" s="2" t="s">
        <v>1046</v>
      </c>
      <c r="F955" s="2">
        <v>4839.0</v>
      </c>
      <c r="G955" s="2">
        <v>13.62</v>
      </c>
      <c r="H955" s="2">
        <v>355.3</v>
      </c>
      <c r="I955" s="2" t="s">
        <v>138</v>
      </c>
    </row>
    <row r="956" ht="15.75" customHeight="1">
      <c r="A956" s="2" t="s">
        <v>3420</v>
      </c>
      <c r="B956" s="2" t="s">
        <v>3421</v>
      </c>
      <c r="C956" s="2" t="s">
        <v>979</v>
      </c>
      <c r="D956" s="2" t="s">
        <v>858</v>
      </c>
      <c r="E956" s="2" t="s">
        <v>859</v>
      </c>
      <c r="F956" s="2">
        <v>205.0</v>
      </c>
      <c r="G956" s="2">
        <v>5.02</v>
      </c>
      <c r="H956" s="2">
        <v>40.8</v>
      </c>
      <c r="I956" s="2" t="s">
        <v>47</v>
      </c>
    </row>
    <row r="957" ht="15.75" customHeight="1">
      <c r="A957" s="2" t="s">
        <v>1426</v>
      </c>
      <c r="B957" s="2" t="s">
        <v>1428</v>
      </c>
      <c r="C957" s="2" t="s">
        <v>979</v>
      </c>
      <c r="D957" s="2" t="s">
        <v>813</v>
      </c>
      <c r="E957" s="2" t="s">
        <v>814</v>
      </c>
      <c r="F957" s="2">
        <v>5338.0</v>
      </c>
      <c r="G957" s="2">
        <v>9.29</v>
      </c>
      <c r="H957" s="2">
        <v>574.6</v>
      </c>
      <c r="I957" s="2" t="s">
        <v>138</v>
      </c>
    </row>
    <row r="958" ht="15.75" customHeight="1">
      <c r="A958" s="2" t="s">
        <v>3425</v>
      </c>
      <c r="B958" s="2" t="s">
        <v>3426</v>
      </c>
      <c r="C958" s="2" t="s">
        <v>979</v>
      </c>
      <c r="D958" s="2" t="s">
        <v>826</v>
      </c>
      <c r="E958" s="2" t="s">
        <v>829</v>
      </c>
      <c r="F958" s="2">
        <v>43.0</v>
      </c>
      <c r="G958" s="2">
        <v>1.89</v>
      </c>
      <c r="H958" s="2">
        <v>22.8</v>
      </c>
      <c r="I958" s="2" t="s">
        <v>47</v>
      </c>
    </row>
    <row r="959" ht="15.75" customHeight="1">
      <c r="A959" s="2" t="s">
        <v>1430</v>
      </c>
      <c r="B959" s="2" t="s">
        <v>1432</v>
      </c>
      <c r="C959" s="2" t="s">
        <v>979</v>
      </c>
      <c r="D959" s="2" t="s">
        <v>800</v>
      </c>
      <c r="E959" s="2" t="s">
        <v>801</v>
      </c>
      <c r="F959" s="2">
        <v>20665.0</v>
      </c>
      <c r="G959" s="2">
        <v>11.51</v>
      </c>
      <c r="H959" s="2">
        <v>1795.4</v>
      </c>
      <c r="I959" s="2" t="s">
        <v>805</v>
      </c>
    </row>
    <row r="960" ht="15.75" customHeight="1">
      <c r="A960" s="2" t="s">
        <v>1435</v>
      </c>
      <c r="B960" s="2" t="s">
        <v>1436</v>
      </c>
      <c r="C960" s="2" t="s">
        <v>979</v>
      </c>
      <c r="D960" s="2" t="s">
        <v>1092</v>
      </c>
      <c r="E960" s="2" t="s">
        <v>1093</v>
      </c>
      <c r="F960" s="2">
        <v>1778.0</v>
      </c>
      <c r="G960" s="2">
        <v>9.97</v>
      </c>
      <c r="H960" s="2">
        <v>178.3</v>
      </c>
      <c r="I960" s="2" t="s">
        <v>27</v>
      </c>
    </row>
    <row r="961" ht="15.75" customHeight="1">
      <c r="A961" s="2" t="s">
        <v>3432</v>
      </c>
      <c r="B961" s="2" t="s">
        <v>3433</v>
      </c>
      <c r="C961" s="2" t="s">
        <v>979</v>
      </c>
      <c r="D961" s="2" t="s">
        <v>858</v>
      </c>
      <c r="E961" s="2" t="s">
        <v>859</v>
      </c>
      <c r="F961" s="2">
        <v>327.0</v>
      </c>
      <c r="G961" s="2">
        <v>4.84</v>
      </c>
      <c r="H961" s="2">
        <v>67.6</v>
      </c>
      <c r="I961" s="2" t="s">
        <v>47</v>
      </c>
    </row>
    <row r="962" ht="15.75" customHeight="1">
      <c r="A962" s="2" t="s">
        <v>3436</v>
      </c>
      <c r="B962" s="2" t="s">
        <v>3437</v>
      </c>
      <c r="C962" s="2" t="s">
        <v>979</v>
      </c>
      <c r="D962" s="2" t="s">
        <v>858</v>
      </c>
      <c r="E962" s="2" t="s">
        <v>859</v>
      </c>
      <c r="F962" s="2">
        <v>289.0</v>
      </c>
      <c r="G962" s="2">
        <v>7.45</v>
      </c>
      <c r="H962" s="2">
        <v>38.8</v>
      </c>
      <c r="I962" s="2" t="s">
        <v>47</v>
      </c>
    </row>
    <row r="963" ht="15.75" customHeight="1">
      <c r="A963" s="2" t="s">
        <v>1439</v>
      </c>
      <c r="B963" s="2" t="s">
        <v>1440</v>
      </c>
      <c r="C963" s="2" t="s">
        <v>979</v>
      </c>
      <c r="D963" s="2" t="s">
        <v>794</v>
      </c>
      <c r="E963" s="2" t="s">
        <v>795</v>
      </c>
      <c r="F963" s="2">
        <v>325.0</v>
      </c>
      <c r="G963" s="2">
        <v>7.34</v>
      </c>
      <c r="H963" s="2">
        <v>44.3</v>
      </c>
      <c r="I963" s="2" t="s">
        <v>47</v>
      </c>
    </row>
    <row r="964" ht="15.75" customHeight="1">
      <c r="A964" s="2" t="s">
        <v>1443</v>
      </c>
      <c r="B964" s="2" t="s">
        <v>1444</v>
      </c>
      <c r="C964" s="2" t="s">
        <v>979</v>
      </c>
      <c r="D964" s="2" t="s">
        <v>858</v>
      </c>
      <c r="E964" s="2" t="s">
        <v>859</v>
      </c>
      <c r="F964" s="2">
        <v>815.0</v>
      </c>
      <c r="G964" s="2">
        <v>13.26</v>
      </c>
      <c r="H964" s="2">
        <v>61.5</v>
      </c>
      <c r="I964" s="2" t="s">
        <v>27</v>
      </c>
    </row>
    <row r="965" ht="15.75" customHeight="1">
      <c r="A965" s="2" t="s">
        <v>1446</v>
      </c>
      <c r="B965" s="2" t="s">
        <v>1447</v>
      </c>
      <c r="C965" s="2" t="s">
        <v>979</v>
      </c>
      <c r="D965" s="2" t="s">
        <v>1092</v>
      </c>
      <c r="E965" s="2" t="s">
        <v>1093</v>
      </c>
      <c r="F965" s="2">
        <v>1387.0</v>
      </c>
      <c r="G965" s="2">
        <v>2.31</v>
      </c>
      <c r="H965" s="2">
        <v>600.4</v>
      </c>
      <c r="I965" s="2" t="s">
        <v>27</v>
      </c>
    </row>
    <row r="966" ht="15.75" customHeight="1">
      <c r="A966" s="2" t="s">
        <v>1449</v>
      </c>
      <c r="B966" s="2" t="s">
        <v>1450</v>
      </c>
      <c r="C966" s="2" t="s">
        <v>979</v>
      </c>
      <c r="D966" s="2" t="s">
        <v>813</v>
      </c>
      <c r="E966" s="2" t="s">
        <v>814</v>
      </c>
      <c r="F966" s="2">
        <v>40250.0</v>
      </c>
      <c r="G966" s="2">
        <v>16.86</v>
      </c>
      <c r="H966" s="2">
        <v>2387.3</v>
      </c>
      <c r="I966" s="2" t="s">
        <v>805</v>
      </c>
    </row>
    <row r="967" ht="15.75" customHeight="1">
      <c r="A967" s="2" t="s">
        <v>1451</v>
      </c>
      <c r="B967" s="2" t="s">
        <v>1452</v>
      </c>
      <c r="C967" s="2" t="s">
        <v>979</v>
      </c>
      <c r="D967" s="2" t="s">
        <v>800</v>
      </c>
      <c r="E967" s="2" t="s">
        <v>801</v>
      </c>
      <c r="F967" s="2">
        <v>10109.0</v>
      </c>
      <c r="G967" s="2">
        <v>9.19</v>
      </c>
      <c r="H967" s="2">
        <v>1100.0</v>
      </c>
      <c r="I967" s="2" t="s">
        <v>805</v>
      </c>
    </row>
    <row r="968" ht="15.75" customHeight="1">
      <c r="A968" s="2" t="s">
        <v>1453</v>
      </c>
      <c r="B968" s="2" t="s">
        <v>1454</v>
      </c>
      <c r="C968" s="2" t="s">
        <v>979</v>
      </c>
      <c r="D968" s="2" t="s">
        <v>858</v>
      </c>
      <c r="E968" s="2" t="s">
        <v>859</v>
      </c>
      <c r="F968" s="2">
        <v>536.0</v>
      </c>
      <c r="G968" s="2">
        <v>8.74</v>
      </c>
      <c r="H968" s="2">
        <v>61.3</v>
      </c>
      <c r="I968" s="2" t="s">
        <v>27</v>
      </c>
    </row>
    <row r="969" ht="15.75" customHeight="1">
      <c r="A969" s="2" t="s">
        <v>3450</v>
      </c>
      <c r="B969" s="2" t="s">
        <v>3451</v>
      </c>
      <c r="C969" s="2" t="s">
        <v>979</v>
      </c>
      <c r="D969" s="2" t="s">
        <v>911</v>
      </c>
      <c r="E969" s="2" t="s">
        <v>914</v>
      </c>
      <c r="F969" s="2">
        <v>281.0</v>
      </c>
      <c r="G969" s="2">
        <v>3.37</v>
      </c>
      <c r="H969" s="2">
        <v>83.4</v>
      </c>
      <c r="I969" s="2" t="s">
        <v>47</v>
      </c>
    </row>
    <row r="970" ht="15.75" customHeight="1">
      <c r="A970" s="2" t="s">
        <v>1456</v>
      </c>
      <c r="B970" s="2" t="s">
        <v>1458</v>
      </c>
      <c r="C970" s="2" t="s">
        <v>979</v>
      </c>
      <c r="D970" s="2" t="s">
        <v>1086</v>
      </c>
      <c r="E970" s="2" t="s">
        <v>1087</v>
      </c>
      <c r="F970" s="2">
        <v>86263.0</v>
      </c>
      <c r="G970" s="2">
        <v>41.96</v>
      </c>
      <c r="H970" s="2">
        <v>2055.8</v>
      </c>
      <c r="I970" s="2" t="s">
        <v>3730</v>
      </c>
    </row>
    <row r="971" ht="15.75" customHeight="1">
      <c r="A971" s="2" t="s">
        <v>1460</v>
      </c>
      <c r="B971" s="2" t="s">
        <v>1462</v>
      </c>
      <c r="C971" s="2" t="s">
        <v>979</v>
      </c>
      <c r="D971" s="2" t="s">
        <v>780</v>
      </c>
      <c r="E971" s="2" t="s">
        <v>782</v>
      </c>
      <c r="F971" s="2">
        <v>660.0</v>
      </c>
      <c r="G971" s="2">
        <v>9.2</v>
      </c>
      <c r="H971" s="2">
        <v>71.7</v>
      </c>
      <c r="I971" s="2" t="s">
        <v>27</v>
      </c>
    </row>
    <row r="972" ht="15.75" customHeight="1">
      <c r="A972" s="2" t="s">
        <v>3460</v>
      </c>
      <c r="B972" s="2" t="s">
        <v>3461</v>
      </c>
      <c r="C972" s="2" t="s">
        <v>979</v>
      </c>
      <c r="D972" s="2" t="s">
        <v>858</v>
      </c>
      <c r="E972" s="2" t="s">
        <v>859</v>
      </c>
      <c r="F972" s="2">
        <v>94.0</v>
      </c>
      <c r="G972" s="2">
        <v>3.52</v>
      </c>
      <c r="H972" s="2">
        <v>26.7</v>
      </c>
      <c r="I972" s="2" t="s">
        <v>47</v>
      </c>
    </row>
    <row r="973" ht="15.75" customHeight="1">
      <c r="A973" s="2" t="s">
        <v>1464</v>
      </c>
      <c r="B973" s="2" t="s">
        <v>1466</v>
      </c>
      <c r="C973" s="2" t="s">
        <v>979</v>
      </c>
      <c r="D973" s="2" t="s">
        <v>780</v>
      </c>
      <c r="E973" s="2" t="s">
        <v>782</v>
      </c>
      <c r="F973" s="2">
        <v>1213.0</v>
      </c>
      <c r="G973" s="2">
        <v>10.43</v>
      </c>
      <c r="H973" s="2">
        <v>116.3</v>
      </c>
      <c r="I973" s="2" t="s">
        <v>27</v>
      </c>
    </row>
    <row r="974" ht="15.75" customHeight="1">
      <c r="A974" s="2" t="s">
        <v>1469</v>
      </c>
      <c r="B974" s="2" t="s">
        <v>1470</v>
      </c>
      <c r="C974" s="2" t="s">
        <v>979</v>
      </c>
      <c r="D974" s="2" t="s">
        <v>1092</v>
      </c>
      <c r="E974" s="2" t="s">
        <v>1093</v>
      </c>
      <c r="F974" s="2">
        <v>3026.0</v>
      </c>
      <c r="G974" s="2">
        <v>4.95</v>
      </c>
      <c r="H974" s="2">
        <v>611.3</v>
      </c>
      <c r="I974" s="2" t="s">
        <v>138</v>
      </c>
    </row>
    <row r="975" ht="15.75" customHeight="1">
      <c r="A975" s="2" t="s">
        <v>1471</v>
      </c>
      <c r="B975" s="2" t="s">
        <v>1472</v>
      </c>
      <c r="C975" s="2" t="s">
        <v>979</v>
      </c>
      <c r="D975" s="2" t="s">
        <v>968</v>
      </c>
      <c r="E975" s="2" t="s">
        <v>971</v>
      </c>
      <c r="F975" s="2">
        <v>1291.0</v>
      </c>
      <c r="G975" s="2">
        <v>4.73</v>
      </c>
      <c r="H975" s="2">
        <v>272.9</v>
      </c>
      <c r="I975" s="2" t="s">
        <v>27</v>
      </c>
    </row>
    <row r="976" ht="15.75" customHeight="1">
      <c r="A976" s="2" t="s">
        <v>1473</v>
      </c>
      <c r="B976" s="2" t="s">
        <v>1474</v>
      </c>
      <c r="C976" s="2" t="s">
        <v>979</v>
      </c>
      <c r="D976" s="2" t="s">
        <v>1092</v>
      </c>
      <c r="E976" s="2" t="s">
        <v>1093</v>
      </c>
      <c r="F976" s="2">
        <v>618.0</v>
      </c>
      <c r="G976" s="2">
        <v>1.34</v>
      </c>
      <c r="H976" s="2">
        <v>461.2</v>
      </c>
      <c r="I976" s="2" t="s">
        <v>27</v>
      </c>
    </row>
    <row r="977" ht="15.75" customHeight="1">
      <c r="A977" s="2" t="s">
        <v>1477</v>
      </c>
      <c r="B977" s="2" t="s">
        <v>1478</v>
      </c>
      <c r="C977" s="2" t="s">
        <v>979</v>
      </c>
      <c r="D977" s="2" t="s">
        <v>1092</v>
      </c>
      <c r="E977" s="2" t="s">
        <v>1093</v>
      </c>
      <c r="F977" s="2">
        <v>1280.0</v>
      </c>
      <c r="G977" s="2">
        <v>10.47</v>
      </c>
      <c r="H977" s="2">
        <v>122.3</v>
      </c>
      <c r="I977" s="2" t="s">
        <v>27</v>
      </c>
    </row>
    <row r="978" ht="15.75" customHeight="1">
      <c r="A978" s="2" t="s">
        <v>1481</v>
      </c>
      <c r="B978" s="2" t="s">
        <v>1483</v>
      </c>
      <c r="C978" s="2" t="s">
        <v>979</v>
      </c>
      <c r="D978" s="2" t="s">
        <v>1045</v>
      </c>
      <c r="E978" s="2" t="s">
        <v>1046</v>
      </c>
      <c r="F978" s="2">
        <v>2416.0</v>
      </c>
      <c r="G978" s="2">
        <v>9.97</v>
      </c>
      <c r="H978" s="2">
        <v>242.3</v>
      </c>
      <c r="I978" s="2" t="s">
        <v>138</v>
      </c>
    </row>
    <row r="979" ht="15.75" customHeight="1">
      <c r="A979" s="2" t="s">
        <v>3487</v>
      </c>
      <c r="B979" s="2" t="s">
        <v>3489</v>
      </c>
      <c r="C979" s="2" t="s">
        <v>979</v>
      </c>
      <c r="D979" s="2" t="s">
        <v>1001</v>
      </c>
      <c r="E979" s="2" t="s">
        <v>1002</v>
      </c>
      <c r="F979" s="2">
        <v>237.0</v>
      </c>
      <c r="G979" s="2">
        <v>16.71</v>
      </c>
      <c r="H979" s="2">
        <v>14.2</v>
      </c>
      <c r="I979" s="2" t="s">
        <v>47</v>
      </c>
    </row>
    <row r="980" ht="15.75" customHeight="1">
      <c r="A980" s="2" t="s">
        <v>3490</v>
      </c>
      <c r="B980" s="2" t="s">
        <v>3492</v>
      </c>
      <c r="C980" s="2" t="s">
        <v>979</v>
      </c>
      <c r="D980" s="2" t="s">
        <v>813</v>
      </c>
      <c r="E980" s="2" t="s">
        <v>814</v>
      </c>
      <c r="F980" s="2">
        <v>670.0</v>
      </c>
      <c r="G980" s="2">
        <v>5.28</v>
      </c>
      <c r="H980" s="2">
        <v>126.9</v>
      </c>
      <c r="I980" s="2" t="s">
        <v>27</v>
      </c>
    </row>
    <row r="981" ht="15.75" customHeight="1">
      <c r="A981" s="2" t="s">
        <v>3494</v>
      </c>
      <c r="B981" s="2" t="s">
        <v>3496</v>
      </c>
      <c r="C981" s="2" t="s">
        <v>979</v>
      </c>
      <c r="D981" s="2" t="s">
        <v>911</v>
      </c>
      <c r="E981" s="2" t="s">
        <v>914</v>
      </c>
      <c r="F981" s="2">
        <v>462.0</v>
      </c>
      <c r="G981" s="2">
        <v>11.62</v>
      </c>
      <c r="H981" s="2">
        <v>39.8</v>
      </c>
      <c r="I981" s="2" t="s">
        <v>47</v>
      </c>
    </row>
    <row r="982" ht="15.75" customHeight="1">
      <c r="A982" s="2" t="s">
        <v>1487</v>
      </c>
      <c r="B982" s="2" t="s">
        <v>1488</v>
      </c>
      <c r="C982" s="2" t="s">
        <v>979</v>
      </c>
      <c r="D982" s="2" t="s">
        <v>1092</v>
      </c>
      <c r="E982" s="2" t="s">
        <v>1093</v>
      </c>
      <c r="F982" s="2">
        <v>5341.0</v>
      </c>
      <c r="G982" s="2">
        <v>9.08</v>
      </c>
      <c r="H982" s="2">
        <v>588.2</v>
      </c>
      <c r="I982" s="2" t="s">
        <v>138</v>
      </c>
    </row>
    <row r="983" ht="15.75" customHeight="1">
      <c r="A983" s="2" t="s">
        <v>3498</v>
      </c>
      <c r="B983" s="2" t="s">
        <v>3499</v>
      </c>
      <c r="C983" s="2" t="s">
        <v>979</v>
      </c>
      <c r="D983" s="2" t="s">
        <v>1092</v>
      </c>
      <c r="E983" s="2" t="s">
        <v>1093</v>
      </c>
      <c r="F983" s="2">
        <v>620.0</v>
      </c>
      <c r="G983" s="2">
        <v>1.75</v>
      </c>
      <c r="H983" s="2">
        <v>354.3</v>
      </c>
      <c r="I983" s="2" t="s">
        <v>27</v>
      </c>
    </row>
    <row r="984" ht="15.75" customHeight="1">
      <c r="A984" s="2" t="s">
        <v>1491</v>
      </c>
      <c r="B984" s="2" t="s">
        <v>1493</v>
      </c>
      <c r="C984" s="2" t="s">
        <v>979</v>
      </c>
      <c r="D984" s="2" t="s">
        <v>778</v>
      </c>
      <c r="E984" s="2" t="s">
        <v>779</v>
      </c>
      <c r="F984" s="2">
        <v>1586.0</v>
      </c>
      <c r="G984" s="2">
        <v>5.86</v>
      </c>
      <c r="H984" s="2">
        <v>270.6</v>
      </c>
      <c r="I984" s="2" t="s">
        <v>27</v>
      </c>
    </row>
    <row r="985" ht="15.75" customHeight="1">
      <c r="A985" s="2" t="s">
        <v>3506</v>
      </c>
      <c r="B985" s="2" t="s">
        <v>3507</v>
      </c>
      <c r="C985" s="2" t="s">
        <v>979</v>
      </c>
      <c r="D985" s="2" t="s">
        <v>990</v>
      </c>
      <c r="E985" s="2" t="s">
        <v>991</v>
      </c>
      <c r="F985" s="2">
        <v>479.0</v>
      </c>
      <c r="G985" s="2">
        <v>6.32</v>
      </c>
      <c r="H985" s="2">
        <v>75.8</v>
      </c>
      <c r="I985" s="2" t="s">
        <v>47</v>
      </c>
    </row>
    <row r="986" ht="15.75" customHeight="1">
      <c r="A986" s="2" t="s">
        <v>1495</v>
      </c>
      <c r="B986" s="2" t="s">
        <v>1496</v>
      </c>
      <c r="C986" s="2" t="s">
        <v>979</v>
      </c>
      <c r="D986" s="2" t="s">
        <v>800</v>
      </c>
      <c r="E986" s="2" t="s">
        <v>801</v>
      </c>
      <c r="F986" s="2">
        <v>9039.0</v>
      </c>
      <c r="G986" s="2">
        <v>10.24</v>
      </c>
      <c r="H986" s="2">
        <v>882.7</v>
      </c>
      <c r="I986" s="2" t="s">
        <v>138</v>
      </c>
    </row>
    <row r="987" ht="15.75" customHeight="1">
      <c r="A987" s="2" t="s">
        <v>1497</v>
      </c>
      <c r="B987" s="2" t="s">
        <v>1500</v>
      </c>
      <c r="C987" s="2" t="s">
        <v>979</v>
      </c>
      <c r="D987" s="2" t="s">
        <v>794</v>
      </c>
      <c r="E987" s="2" t="s">
        <v>795</v>
      </c>
      <c r="F987" s="2">
        <v>3171.0</v>
      </c>
      <c r="G987" s="2">
        <v>6.66</v>
      </c>
      <c r="H987" s="2">
        <v>476.1</v>
      </c>
      <c r="I987" s="2" t="s">
        <v>138</v>
      </c>
    </row>
    <row r="988" ht="15.75" customHeight="1">
      <c r="A988" s="2" t="s">
        <v>1501</v>
      </c>
      <c r="B988" s="2" t="s">
        <v>1502</v>
      </c>
      <c r="C988" s="2" t="s">
        <v>979</v>
      </c>
      <c r="D988" s="2" t="s">
        <v>800</v>
      </c>
      <c r="E988" s="2" t="s">
        <v>801</v>
      </c>
      <c r="F988" s="2">
        <v>4202.0</v>
      </c>
      <c r="G988" s="2">
        <v>5.74</v>
      </c>
      <c r="H988" s="2">
        <v>732.1</v>
      </c>
      <c r="I988" s="2" t="s">
        <v>138</v>
      </c>
    </row>
    <row r="989" ht="15.75" customHeight="1">
      <c r="A989" s="2" t="s">
        <v>3515</v>
      </c>
      <c r="B989" s="2" t="s">
        <v>3516</v>
      </c>
      <c r="C989" s="2" t="s">
        <v>979</v>
      </c>
      <c r="D989" s="2" t="s">
        <v>1092</v>
      </c>
      <c r="E989" s="2" t="s">
        <v>1093</v>
      </c>
      <c r="F989" s="2">
        <v>302.0</v>
      </c>
      <c r="G989" s="2">
        <v>1.85</v>
      </c>
      <c r="H989" s="2">
        <v>163.2</v>
      </c>
      <c r="I989" s="2" t="s">
        <v>47</v>
      </c>
    </row>
    <row r="990" ht="15.75" customHeight="1">
      <c r="A990" s="2" t="s">
        <v>1503</v>
      </c>
      <c r="B990" s="2" t="s">
        <v>1504</v>
      </c>
      <c r="C990" s="2" t="s">
        <v>979</v>
      </c>
      <c r="D990" s="2" t="s">
        <v>794</v>
      </c>
      <c r="E990" s="2" t="s">
        <v>795</v>
      </c>
      <c r="F990" s="2">
        <v>656.0</v>
      </c>
      <c r="G990" s="2">
        <v>14.49</v>
      </c>
      <c r="H990" s="2">
        <v>45.3</v>
      </c>
      <c r="I990" s="2" t="s">
        <v>27</v>
      </c>
    </row>
    <row r="991" ht="15.75" customHeight="1">
      <c r="A991" s="2" t="s">
        <v>1507</v>
      </c>
      <c r="B991" s="2" t="s">
        <v>1508</v>
      </c>
      <c r="C991" s="2" t="s">
        <v>979</v>
      </c>
      <c r="D991" s="2" t="s">
        <v>911</v>
      </c>
      <c r="E991" s="2" t="s">
        <v>914</v>
      </c>
      <c r="F991" s="2">
        <v>2137.0</v>
      </c>
      <c r="G991" s="2">
        <v>12.26</v>
      </c>
      <c r="H991" s="2">
        <v>174.3</v>
      </c>
      <c r="I991" s="2" t="s">
        <v>138</v>
      </c>
    </row>
    <row r="992" ht="15.75" customHeight="1">
      <c r="A992" s="2" t="s">
        <v>1511</v>
      </c>
      <c r="B992" s="2" t="s">
        <v>1513</v>
      </c>
      <c r="C992" s="2" t="s">
        <v>979</v>
      </c>
      <c r="D992" s="2" t="s">
        <v>813</v>
      </c>
      <c r="E992" s="2" t="s">
        <v>814</v>
      </c>
      <c r="F992" s="2">
        <v>893.0</v>
      </c>
      <c r="G992" s="2">
        <v>5.39</v>
      </c>
      <c r="H992" s="2">
        <v>165.7</v>
      </c>
      <c r="I992" s="2" t="s">
        <v>27</v>
      </c>
    </row>
    <row r="993" ht="15.75" customHeight="1">
      <c r="A993" s="2" t="s">
        <v>1515</v>
      </c>
      <c r="B993" s="2" t="s">
        <v>1516</v>
      </c>
      <c r="C993" s="2" t="s">
        <v>979</v>
      </c>
      <c r="D993" s="2" t="s">
        <v>1028</v>
      </c>
      <c r="E993" s="2" t="s">
        <v>1029</v>
      </c>
      <c r="F993" s="2">
        <v>6525.0</v>
      </c>
      <c r="G993" s="2">
        <v>13.4</v>
      </c>
      <c r="H993" s="2">
        <v>486.9</v>
      </c>
      <c r="I993" s="2" t="s">
        <v>138</v>
      </c>
    </row>
    <row r="994" ht="15.75" customHeight="1">
      <c r="A994" s="2" t="s">
        <v>1517</v>
      </c>
      <c r="B994" s="2" t="s">
        <v>1518</v>
      </c>
      <c r="C994" s="2" t="s">
        <v>979</v>
      </c>
      <c r="D994" s="2" t="s">
        <v>826</v>
      </c>
      <c r="E994" s="2" t="s">
        <v>829</v>
      </c>
      <c r="F994" s="2">
        <v>475.0</v>
      </c>
      <c r="G994" s="2">
        <v>5.46</v>
      </c>
      <c r="H994" s="2">
        <v>87.0</v>
      </c>
      <c r="I994" s="2" t="s">
        <v>47</v>
      </c>
    </row>
    <row r="995" ht="15.75" customHeight="1">
      <c r="A995" s="2" t="s">
        <v>1521</v>
      </c>
      <c r="B995" s="2" t="s">
        <v>1522</v>
      </c>
      <c r="C995" s="2" t="s">
        <v>979</v>
      </c>
      <c r="D995" s="2" t="s">
        <v>850</v>
      </c>
      <c r="E995" s="2" t="s">
        <v>852</v>
      </c>
      <c r="F995" s="2">
        <v>937.0</v>
      </c>
      <c r="G995" s="2">
        <v>5.32</v>
      </c>
      <c r="H995" s="2">
        <v>176.1</v>
      </c>
      <c r="I995" s="2" t="s">
        <v>27</v>
      </c>
    </row>
    <row r="996" ht="15.75" customHeight="1">
      <c r="A996" s="2" t="s">
        <v>3531</v>
      </c>
      <c r="B996" s="2" t="s">
        <v>3532</v>
      </c>
      <c r="C996" s="2" t="s">
        <v>979</v>
      </c>
      <c r="D996" s="2" t="s">
        <v>794</v>
      </c>
      <c r="E996" s="2" t="s">
        <v>795</v>
      </c>
      <c r="F996" s="2">
        <v>725.0</v>
      </c>
      <c r="G996" s="2">
        <v>2.82</v>
      </c>
      <c r="H996" s="2">
        <v>257.1</v>
      </c>
      <c r="I996" s="2" t="s">
        <v>27</v>
      </c>
    </row>
    <row r="997" ht="15.75" customHeight="1">
      <c r="A997" s="2" t="s">
        <v>1525</v>
      </c>
      <c r="B997" s="2" t="s">
        <v>1204</v>
      </c>
      <c r="C997" s="2" t="s">
        <v>979</v>
      </c>
      <c r="D997" s="2" t="s">
        <v>813</v>
      </c>
      <c r="E997" s="2" t="s">
        <v>814</v>
      </c>
      <c r="F997" s="2">
        <v>1134.0</v>
      </c>
      <c r="G997" s="2">
        <v>5.8</v>
      </c>
      <c r="H997" s="2">
        <v>195.5</v>
      </c>
      <c r="I997" s="2" t="s">
        <v>27</v>
      </c>
    </row>
    <row r="998" ht="15.75" customHeight="1">
      <c r="A998" s="2" t="s">
        <v>3521</v>
      </c>
      <c r="B998" s="2" t="s">
        <v>3523</v>
      </c>
      <c r="C998" s="2" t="s">
        <v>979</v>
      </c>
      <c r="D998" s="2" t="s">
        <v>794</v>
      </c>
      <c r="E998" s="2" t="s">
        <v>795</v>
      </c>
      <c r="F998" s="2">
        <v>363.0</v>
      </c>
      <c r="G998" s="2">
        <v>2.77</v>
      </c>
      <c r="H998" s="2">
        <v>131.0</v>
      </c>
      <c r="I998" s="2" t="s">
        <v>47</v>
      </c>
    </row>
    <row r="999" ht="15.75" customHeight="1">
      <c r="A999" s="2" t="s">
        <v>3525</v>
      </c>
      <c r="B999" s="2" t="s">
        <v>3526</v>
      </c>
      <c r="C999" s="2" t="s">
        <v>979</v>
      </c>
      <c r="D999" s="2" t="s">
        <v>968</v>
      </c>
      <c r="E999" s="2" t="s">
        <v>971</v>
      </c>
      <c r="F999" s="2">
        <v>328.0</v>
      </c>
      <c r="G999" s="2">
        <v>2.83</v>
      </c>
      <c r="H999" s="2">
        <v>115.9</v>
      </c>
      <c r="I999" s="2" t="s">
        <v>47</v>
      </c>
    </row>
    <row r="1000" ht="15.75" customHeight="1">
      <c r="A1000" s="2" t="s">
        <v>1529</v>
      </c>
      <c r="B1000" s="2" t="s">
        <v>1531</v>
      </c>
      <c r="C1000" s="2" t="s">
        <v>979</v>
      </c>
      <c r="D1000" s="2" t="s">
        <v>1092</v>
      </c>
      <c r="E1000" s="2" t="s">
        <v>1093</v>
      </c>
      <c r="F1000" s="2">
        <v>18619.0</v>
      </c>
      <c r="G1000" s="2">
        <v>4.61</v>
      </c>
      <c r="H1000" s="2">
        <v>4038.8</v>
      </c>
      <c r="I1000" s="2" t="s">
        <v>805</v>
      </c>
    </row>
    <row r="1001" ht="15.75" customHeight="1">
      <c r="A1001" s="2" t="s">
        <v>1532</v>
      </c>
      <c r="B1001" s="2" t="s">
        <v>1533</v>
      </c>
      <c r="C1001" s="2" t="s">
        <v>979</v>
      </c>
      <c r="D1001" s="2" t="s">
        <v>850</v>
      </c>
      <c r="E1001" s="2" t="s">
        <v>852</v>
      </c>
      <c r="F1001" s="2">
        <v>2474.0</v>
      </c>
      <c r="G1001" s="2">
        <v>4.75</v>
      </c>
      <c r="H1001" s="2">
        <v>520.8</v>
      </c>
      <c r="I1001" s="2" t="s">
        <v>138</v>
      </c>
    </row>
    <row r="1002" ht="15.75" customHeight="1">
      <c r="A1002" s="2" t="s">
        <v>1536</v>
      </c>
      <c r="B1002" s="2" t="s">
        <v>1537</v>
      </c>
      <c r="C1002" s="2" t="s">
        <v>979</v>
      </c>
      <c r="D1002" s="2" t="s">
        <v>813</v>
      </c>
      <c r="E1002" s="2" t="s">
        <v>814</v>
      </c>
      <c r="F1002" s="2">
        <v>2278.0</v>
      </c>
      <c r="G1002" s="2">
        <v>9.56</v>
      </c>
      <c r="H1002" s="2">
        <v>238.3</v>
      </c>
      <c r="I1002" s="2" t="s">
        <v>138</v>
      </c>
    </row>
    <row r="1003" ht="15.75" customHeight="1">
      <c r="A1003" s="2" t="s">
        <v>1538</v>
      </c>
      <c r="B1003" s="2" t="s">
        <v>1539</v>
      </c>
      <c r="C1003" s="2" t="s">
        <v>979</v>
      </c>
      <c r="D1003" s="2" t="s">
        <v>847</v>
      </c>
      <c r="E1003" s="2" t="s">
        <v>848</v>
      </c>
      <c r="F1003" s="2">
        <v>6703.0</v>
      </c>
      <c r="G1003" s="2">
        <v>18.77</v>
      </c>
      <c r="H1003" s="2">
        <v>357.1</v>
      </c>
      <c r="I1003" s="2" t="s">
        <v>138</v>
      </c>
    </row>
    <row r="1004" ht="15.75" customHeight="1">
      <c r="A1004" s="2" t="s">
        <v>1540</v>
      </c>
      <c r="B1004" s="2" t="s">
        <v>1541</v>
      </c>
      <c r="C1004" s="2" t="s">
        <v>979</v>
      </c>
      <c r="D1004" s="2" t="s">
        <v>858</v>
      </c>
      <c r="E1004" s="2" t="s">
        <v>859</v>
      </c>
      <c r="F1004" s="2">
        <v>1433.0</v>
      </c>
      <c r="G1004" s="2">
        <v>19.59</v>
      </c>
      <c r="H1004" s="2">
        <v>73.1</v>
      </c>
      <c r="I1004" s="2" t="s">
        <v>27</v>
      </c>
    </row>
    <row r="1005" ht="15.75" customHeight="1">
      <c r="A1005" s="2" t="s">
        <v>1542</v>
      </c>
      <c r="B1005" s="2" t="s">
        <v>1544</v>
      </c>
      <c r="C1005" s="2" t="s">
        <v>979</v>
      </c>
      <c r="D1005" s="2" t="s">
        <v>778</v>
      </c>
      <c r="E1005" s="2" t="s">
        <v>779</v>
      </c>
      <c r="F1005" s="2">
        <v>5441.0</v>
      </c>
      <c r="G1005" s="2">
        <v>5.82</v>
      </c>
      <c r="H1005" s="2">
        <v>934.9</v>
      </c>
      <c r="I1005" s="2" t="s">
        <v>138</v>
      </c>
    </row>
    <row r="1006" ht="15.75" customHeight="1">
      <c r="A1006" s="2" t="s">
        <v>1546</v>
      </c>
      <c r="B1006" s="2" t="s">
        <v>1547</v>
      </c>
      <c r="C1006" s="2" t="s">
        <v>979</v>
      </c>
      <c r="D1006" s="2" t="s">
        <v>847</v>
      </c>
      <c r="E1006" s="2" t="s">
        <v>848</v>
      </c>
      <c r="F1006" s="2">
        <v>5131.0</v>
      </c>
      <c r="G1006" s="2">
        <v>10.01</v>
      </c>
      <c r="H1006" s="2">
        <v>512.6</v>
      </c>
      <c r="I1006" s="2" t="s">
        <v>138</v>
      </c>
    </row>
    <row r="1007" ht="15.75" customHeight="1">
      <c r="A1007" s="2" t="s">
        <v>1550</v>
      </c>
      <c r="B1007" s="2" t="s">
        <v>1551</v>
      </c>
      <c r="C1007" s="2" t="s">
        <v>979</v>
      </c>
      <c r="D1007" s="2" t="s">
        <v>847</v>
      </c>
      <c r="E1007" s="2" t="s">
        <v>848</v>
      </c>
      <c r="F1007" s="2">
        <v>1024.0</v>
      </c>
      <c r="G1007" s="2">
        <v>5.39</v>
      </c>
      <c r="H1007" s="2">
        <v>190.0</v>
      </c>
      <c r="I1007" s="2" t="s">
        <v>27</v>
      </c>
    </row>
    <row r="1008" ht="15.75" customHeight="1">
      <c r="A1008" s="2" t="s">
        <v>1554</v>
      </c>
      <c r="B1008" s="2" t="s">
        <v>1555</v>
      </c>
      <c r="C1008" s="2" t="s">
        <v>979</v>
      </c>
      <c r="D1008" s="2" t="s">
        <v>858</v>
      </c>
      <c r="E1008" s="2" t="s">
        <v>859</v>
      </c>
      <c r="F1008" s="2">
        <v>342.0</v>
      </c>
      <c r="G1008" s="2">
        <v>5.66</v>
      </c>
      <c r="H1008" s="2">
        <v>60.4</v>
      </c>
      <c r="I1008" s="2" t="s">
        <v>47</v>
      </c>
    </row>
    <row r="1009" ht="15.75" customHeight="1">
      <c r="A1009" s="2" t="s">
        <v>1558</v>
      </c>
      <c r="B1009" s="2" t="s">
        <v>1559</v>
      </c>
      <c r="C1009" s="2" t="s">
        <v>979</v>
      </c>
      <c r="D1009" s="2" t="s">
        <v>813</v>
      </c>
      <c r="E1009" s="2" t="s">
        <v>814</v>
      </c>
      <c r="F1009" s="2">
        <v>5424.0</v>
      </c>
      <c r="G1009" s="2">
        <v>7.13</v>
      </c>
      <c r="H1009" s="2">
        <v>760.7</v>
      </c>
      <c r="I1009" s="2" t="s">
        <v>138</v>
      </c>
    </row>
    <row r="1010" ht="15.75" customHeight="1">
      <c r="A1010" s="2" t="s">
        <v>3563</v>
      </c>
      <c r="B1010" s="2" t="s">
        <v>3564</v>
      </c>
      <c r="C1010" s="2" t="s">
        <v>979</v>
      </c>
      <c r="D1010" s="2" t="s">
        <v>794</v>
      </c>
      <c r="E1010" s="2" t="s">
        <v>795</v>
      </c>
      <c r="F1010" s="2">
        <v>276.0</v>
      </c>
      <c r="G1010" s="2">
        <v>6.31</v>
      </c>
      <c r="H1010" s="2">
        <v>43.7</v>
      </c>
      <c r="I1010" s="2" t="s">
        <v>47</v>
      </c>
    </row>
    <row r="1011" ht="15.75" customHeight="1">
      <c r="A1011" s="2" t="s">
        <v>1562</v>
      </c>
      <c r="B1011" s="2" t="s">
        <v>1563</v>
      </c>
      <c r="C1011" s="2" t="s">
        <v>979</v>
      </c>
      <c r="D1011" s="2" t="s">
        <v>813</v>
      </c>
      <c r="E1011" s="2" t="s">
        <v>814</v>
      </c>
      <c r="F1011" s="2">
        <v>5745.0</v>
      </c>
      <c r="G1011" s="2">
        <v>19.16</v>
      </c>
      <c r="H1011" s="2">
        <v>299.8</v>
      </c>
      <c r="I1011" s="2" t="s">
        <v>138</v>
      </c>
    </row>
    <row r="1012" ht="15.75" customHeight="1">
      <c r="A1012" s="2" t="s">
        <v>1566</v>
      </c>
      <c r="B1012" s="2" t="s">
        <v>1567</v>
      </c>
      <c r="C1012" s="2" t="s">
        <v>979</v>
      </c>
      <c r="D1012" s="2" t="s">
        <v>800</v>
      </c>
      <c r="E1012" s="2" t="s">
        <v>801</v>
      </c>
      <c r="F1012" s="2">
        <v>1685.0</v>
      </c>
      <c r="G1012" s="2">
        <v>14.49</v>
      </c>
      <c r="H1012" s="2">
        <v>116.3</v>
      </c>
      <c r="I1012" s="2" t="s">
        <v>27</v>
      </c>
    </row>
    <row r="1013" ht="15.75" customHeight="1">
      <c r="A1013" s="2" t="s">
        <v>3573</v>
      </c>
      <c r="B1013" s="2" t="s">
        <v>3575</v>
      </c>
      <c r="C1013" s="2" t="s">
        <v>979</v>
      </c>
      <c r="D1013" s="2" t="s">
        <v>858</v>
      </c>
      <c r="E1013" s="2" t="s">
        <v>859</v>
      </c>
      <c r="F1013" s="2">
        <v>131.0</v>
      </c>
      <c r="G1013" s="2">
        <v>4.67</v>
      </c>
      <c r="H1013" s="2">
        <v>28.1</v>
      </c>
      <c r="I1013" s="2" t="s">
        <v>47</v>
      </c>
    </row>
    <row r="1014" ht="15.75" customHeight="1">
      <c r="A1014" s="2" t="s">
        <v>1568</v>
      </c>
      <c r="B1014" s="2" t="s">
        <v>1570</v>
      </c>
      <c r="C1014" s="2" t="s">
        <v>979</v>
      </c>
      <c r="D1014" s="2" t="s">
        <v>858</v>
      </c>
      <c r="E1014" s="2" t="s">
        <v>859</v>
      </c>
      <c r="F1014" s="2">
        <v>505.0</v>
      </c>
      <c r="G1014" s="2">
        <v>17.35</v>
      </c>
      <c r="H1014" s="2">
        <v>29.1</v>
      </c>
      <c r="I1014" s="2" t="s">
        <v>27</v>
      </c>
    </row>
    <row r="1015" ht="15.75" customHeight="1">
      <c r="A1015" s="2" t="s">
        <v>1572</v>
      </c>
      <c r="B1015" s="2" t="s">
        <v>1573</v>
      </c>
      <c r="C1015" s="2" t="s">
        <v>979</v>
      </c>
      <c r="D1015" s="2" t="s">
        <v>780</v>
      </c>
      <c r="E1015" s="2" t="s">
        <v>782</v>
      </c>
      <c r="F1015" s="2">
        <v>923.0</v>
      </c>
      <c r="G1015" s="2">
        <v>9.01</v>
      </c>
      <c r="H1015" s="2">
        <v>102.4</v>
      </c>
      <c r="I1015" s="2" t="s">
        <v>27</v>
      </c>
    </row>
    <row r="1016" ht="15.75" customHeight="1">
      <c r="A1016" s="2" t="s">
        <v>1580</v>
      </c>
      <c r="B1016" s="2" t="s">
        <v>1277</v>
      </c>
      <c r="C1016" s="2" t="s">
        <v>979</v>
      </c>
      <c r="D1016" s="2" t="s">
        <v>794</v>
      </c>
      <c r="E1016" s="2" t="s">
        <v>795</v>
      </c>
      <c r="F1016" s="2">
        <v>1754.0</v>
      </c>
      <c r="G1016" s="2">
        <v>10.56</v>
      </c>
      <c r="H1016" s="2">
        <v>166.1</v>
      </c>
      <c r="I1016" s="2" t="s">
        <v>27</v>
      </c>
    </row>
    <row r="1017" ht="15.75" customHeight="1">
      <c r="A1017" s="2" t="s">
        <v>1583</v>
      </c>
      <c r="B1017" s="2" t="s">
        <v>1584</v>
      </c>
      <c r="C1017" s="2" t="s">
        <v>979</v>
      </c>
      <c r="D1017" s="2" t="s">
        <v>968</v>
      </c>
      <c r="E1017" s="2" t="s">
        <v>971</v>
      </c>
      <c r="F1017" s="2">
        <v>687.0</v>
      </c>
      <c r="G1017" s="2">
        <v>7.68</v>
      </c>
      <c r="H1017" s="2">
        <v>89.5</v>
      </c>
      <c r="I1017" s="2" t="s">
        <v>27</v>
      </c>
    </row>
    <row r="1018" ht="15.75" customHeight="1">
      <c r="A1018" s="2" t="s">
        <v>1587</v>
      </c>
      <c r="B1018" s="2" t="s">
        <v>1588</v>
      </c>
      <c r="C1018" s="2" t="s">
        <v>979</v>
      </c>
      <c r="D1018" s="2" t="s">
        <v>826</v>
      </c>
      <c r="E1018" s="2" t="s">
        <v>829</v>
      </c>
      <c r="F1018" s="2">
        <v>1214.0</v>
      </c>
      <c r="G1018" s="2">
        <v>7.61</v>
      </c>
      <c r="H1018" s="2">
        <v>159.5</v>
      </c>
      <c r="I1018" s="2" t="s">
        <v>27</v>
      </c>
    </row>
    <row r="1019" ht="15.75" customHeight="1">
      <c r="A1019" s="2" t="s">
        <v>1589</v>
      </c>
      <c r="B1019" s="2" t="s">
        <v>1590</v>
      </c>
      <c r="C1019" s="2" t="s">
        <v>979</v>
      </c>
      <c r="D1019" s="2" t="s">
        <v>968</v>
      </c>
      <c r="E1019" s="2" t="s">
        <v>971</v>
      </c>
      <c r="F1019" s="2">
        <v>549.0</v>
      </c>
      <c r="G1019" s="2">
        <v>8.84</v>
      </c>
      <c r="H1019" s="2">
        <v>62.1</v>
      </c>
      <c r="I1019" s="2" t="s">
        <v>27</v>
      </c>
    </row>
    <row r="1020" ht="15.75" customHeight="1">
      <c r="A1020" s="2" t="s">
        <v>1591</v>
      </c>
      <c r="B1020" s="2" t="s">
        <v>1592</v>
      </c>
      <c r="C1020" s="2" t="s">
        <v>979</v>
      </c>
      <c r="D1020" s="2" t="s">
        <v>1092</v>
      </c>
      <c r="E1020" s="2" t="s">
        <v>1093</v>
      </c>
      <c r="F1020" s="2">
        <v>1662.0</v>
      </c>
      <c r="G1020" s="2">
        <v>1.06</v>
      </c>
      <c r="H1020" s="2">
        <v>1567.9</v>
      </c>
      <c r="I1020" s="2" t="s">
        <v>27</v>
      </c>
    </row>
    <row r="1021" ht="15.75" customHeight="1">
      <c r="A1021" s="2" t="s">
        <v>1595</v>
      </c>
      <c r="B1021" s="2" t="s">
        <v>1596</v>
      </c>
      <c r="C1021" s="2" t="s">
        <v>979</v>
      </c>
      <c r="D1021" s="2" t="s">
        <v>1001</v>
      </c>
      <c r="E1021" s="2" t="s">
        <v>1002</v>
      </c>
      <c r="F1021" s="2">
        <v>11449.0</v>
      </c>
      <c r="G1021" s="2">
        <v>22.97</v>
      </c>
      <c r="H1021" s="2">
        <v>498.4</v>
      </c>
      <c r="I1021" s="2" t="s">
        <v>805</v>
      </c>
    </row>
    <row r="1022" ht="15.75" customHeight="1">
      <c r="A1022" s="2" t="s">
        <v>1598</v>
      </c>
      <c r="B1022" s="2" t="s">
        <v>1600</v>
      </c>
      <c r="C1022" s="2" t="s">
        <v>979</v>
      </c>
      <c r="D1022" s="2" t="s">
        <v>1092</v>
      </c>
      <c r="E1022" s="2" t="s">
        <v>1093</v>
      </c>
      <c r="F1022" s="2">
        <v>2179.0</v>
      </c>
      <c r="G1022" s="2">
        <v>8.32</v>
      </c>
      <c r="H1022" s="2">
        <v>261.9</v>
      </c>
      <c r="I1022" s="2" t="s">
        <v>138</v>
      </c>
    </row>
    <row r="1023" ht="15.75" customHeight="1">
      <c r="A1023" s="2" t="s">
        <v>3591</v>
      </c>
      <c r="B1023" s="2" t="s">
        <v>3592</v>
      </c>
      <c r="C1023" s="2" t="s">
        <v>979</v>
      </c>
      <c r="D1023" s="2" t="s">
        <v>968</v>
      </c>
      <c r="E1023" s="2" t="s">
        <v>971</v>
      </c>
      <c r="F1023" s="2">
        <v>389.0</v>
      </c>
      <c r="G1023" s="2">
        <v>5.83</v>
      </c>
      <c r="H1023" s="2">
        <v>66.7</v>
      </c>
      <c r="I1023" s="2" t="s">
        <v>47</v>
      </c>
    </row>
    <row r="1024" ht="15.75" customHeight="1">
      <c r="A1024" s="2" t="s">
        <v>1601</v>
      </c>
      <c r="B1024" s="2" t="s">
        <v>1602</v>
      </c>
      <c r="C1024" s="2" t="s">
        <v>979</v>
      </c>
      <c r="D1024" s="2" t="s">
        <v>1092</v>
      </c>
      <c r="E1024" s="2" t="s">
        <v>1093</v>
      </c>
      <c r="F1024" s="2">
        <v>2609.0</v>
      </c>
      <c r="G1024" s="2">
        <v>11.22</v>
      </c>
      <c r="H1024" s="2">
        <v>232.5</v>
      </c>
      <c r="I1024" s="2" t="s">
        <v>138</v>
      </c>
    </row>
    <row r="1025" ht="15.75" customHeight="1">
      <c r="A1025" s="2" t="s">
        <v>1603</v>
      </c>
      <c r="B1025" s="2" t="s">
        <v>1604</v>
      </c>
      <c r="C1025" s="2" t="s">
        <v>979</v>
      </c>
      <c r="D1025" s="2" t="s">
        <v>850</v>
      </c>
      <c r="E1025" s="2" t="s">
        <v>852</v>
      </c>
      <c r="F1025" s="2">
        <v>7354.0</v>
      </c>
      <c r="G1025" s="2">
        <v>11.7</v>
      </c>
      <c r="H1025" s="2">
        <v>628.5</v>
      </c>
      <c r="I1025" s="2" t="s">
        <v>138</v>
      </c>
    </row>
    <row r="1026" ht="15.75" customHeight="1">
      <c r="A1026" s="2" t="s">
        <v>1607</v>
      </c>
      <c r="B1026" s="2" t="s">
        <v>1608</v>
      </c>
      <c r="C1026" s="2" t="s">
        <v>979</v>
      </c>
      <c r="D1026" s="2" t="s">
        <v>813</v>
      </c>
      <c r="E1026" s="2" t="s">
        <v>814</v>
      </c>
      <c r="F1026" s="2">
        <v>919.0</v>
      </c>
      <c r="G1026" s="2">
        <v>6.41</v>
      </c>
      <c r="H1026" s="2">
        <v>143.4</v>
      </c>
      <c r="I1026" s="2" t="s">
        <v>27</v>
      </c>
    </row>
    <row r="1027" ht="15.75" customHeight="1">
      <c r="A1027" s="2" t="s">
        <v>3601</v>
      </c>
      <c r="B1027" s="2" t="s">
        <v>3602</v>
      </c>
      <c r="C1027" s="2" t="s">
        <v>979</v>
      </c>
      <c r="D1027" s="2" t="s">
        <v>794</v>
      </c>
      <c r="E1027" s="2" t="s">
        <v>795</v>
      </c>
      <c r="F1027" s="2">
        <v>571.0</v>
      </c>
      <c r="G1027" s="2">
        <v>4.73</v>
      </c>
      <c r="H1027" s="2">
        <v>120.7</v>
      </c>
      <c r="I1027" s="2" t="s">
        <v>27</v>
      </c>
    </row>
    <row r="1028" ht="15.75" customHeight="1">
      <c r="A1028" s="2" t="s">
        <v>1611</v>
      </c>
      <c r="B1028" s="2" t="s">
        <v>1612</v>
      </c>
      <c r="C1028" s="2" t="s">
        <v>979</v>
      </c>
      <c r="D1028" s="2" t="s">
        <v>1092</v>
      </c>
      <c r="E1028" s="2" t="s">
        <v>1093</v>
      </c>
      <c r="F1028" s="2">
        <v>3214.0</v>
      </c>
      <c r="G1028" s="2">
        <v>13.29</v>
      </c>
      <c r="H1028" s="2">
        <v>241.8</v>
      </c>
      <c r="I1028" s="2" t="s">
        <v>138</v>
      </c>
    </row>
    <row r="1029" ht="15.75" customHeight="1">
      <c r="A1029" s="2" t="s">
        <v>1615</v>
      </c>
      <c r="B1029" s="2" t="s">
        <v>1616</v>
      </c>
      <c r="C1029" s="2" t="s">
        <v>979</v>
      </c>
      <c r="D1029" s="2" t="s">
        <v>1092</v>
      </c>
      <c r="E1029" s="2" t="s">
        <v>1093</v>
      </c>
      <c r="F1029" s="2">
        <v>1161.0</v>
      </c>
      <c r="G1029" s="2">
        <v>8.65</v>
      </c>
      <c r="H1029" s="2">
        <v>134.2</v>
      </c>
      <c r="I1029" s="2" t="s">
        <v>27</v>
      </c>
    </row>
    <row r="1030" ht="15.75" customHeight="1">
      <c r="A1030" s="2" t="s">
        <v>1618</v>
      </c>
      <c r="B1030" s="2" t="s">
        <v>1620</v>
      </c>
      <c r="C1030" s="2" t="s">
        <v>979</v>
      </c>
      <c r="D1030" s="2" t="s">
        <v>813</v>
      </c>
      <c r="E1030" s="2" t="s">
        <v>814</v>
      </c>
      <c r="F1030" s="2">
        <v>1635.0</v>
      </c>
      <c r="G1030" s="2">
        <v>5.15</v>
      </c>
      <c r="H1030" s="2">
        <v>317.5</v>
      </c>
      <c r="I1030" s="2" t="s">
        <v>27</v>
      </c>
    </row>
    <row r="1031" ht="15.75" customHeight="1">
      <c r="A1031" s="2" t="s">
        <v>1621</v>
      </c>
      <c r="B1031" s="2" t="s">
        <v>1622</v>
      </c>
      <c r="C1031" s="2" t="s">
        <v>979</v>
      </c>
      <c r="D1031" s="2" t="s">
        <v>813</v>
      </c>
      <c r="E1031" s="2" t="s">
        <v>814</v>
      </c>
      <c r="F1031" s="2">
        <v>1432.0</v>
      </c>
      <c r="G1031" s="2">
        <v>5.52</v>
      </c>
      <c r="H1031" s="2">
        <v>259.4</v>
      </c>
      <c r="I1031" s="2" t="s">
        <v>27</v>
      </c>
    </row>
    <row r="1032" ht="15.75" customHeight="1">
      <c r="A1032" s="2" t="s">
        <v>3551</v>
      </c>
      <c r="B1032" s="2" t="s">
        <v>3552</v>
      </c>
      <c r="C1032" s="2" t="s">
        <v>979</v>
      </c>
      <c r="D1032" s="2" t="s">
        <v>1001</v>
      </c>
      <c r="E1032" s="2" t="s">
        <v>1002</v>
      </c>
      <c r="F1032" s="2">
        <v>514.0</v>
      </c>
      <c r="G1032" s="2">
        <v>13.42</v>
      </c>
      <c r="H1032" s="2">
        <v>38.3</v>
      </c>
      <c r="I1032" s="2" t="s">
        <v>27</v>
      </c>
    </row>
    <row r="1033" ht="15.75" customHeight="1">
      <c r="A1033" s="2" t="s">
        <v>1624</v>
      </c>
      <c r="B1033" s="2" t="s">
        <v>1626</v>
      </c>
      <c r="C1033" s="2" t="s">
        <v>979</v>
      </c>
      <c r="D1033" s="2" t="s">
        <v>1045</v>
      </c>
      <c r="E1033" s="2" t="s">
        <v>1046</v>
      </c>
      <c r="F1033" s="2">
        <v>2803.0</v>
      </c>
      <c r="G1033" s="2">
        <v>7.47</v>
      </c>
      <c r="H1033" s="2">
        <v>375.2</v>
      </c>
      <c r="I1033" s="2" t="s">
        <v>138</v>
      </c>
    </row>
    <row r="1034" ht="15.75" customHeight="1">
      <c r="A1034" s="2" t="s">
        <v>3610</v>
      </c>
      <c r="B1034" s="2" t="s">
        <v>3612</v>
      </c>
      <c r="C1034" s="2" t="s">
        <v>979</v>
      </c>
      <c r="D1034" s="2" t="s">
        <v>968</v>
      </c>
      <c r="E1034" s="2" t="s">
        <v>971</v>
      </c>
      <c r="F1034" s="2">
        <v>505.0</v>
      </c>
      <c r="G1034" s="2">
        <v>4.5</v>
      </c>
      <c r="H1034" s="2">
        <v>112.2</v>
      </c>
      <c r="I1034" s="2" t="s">
        <v>27</v>
      </c>
    </row>
    <row r="1035" ht="15.75" customHeight="1">
      <c r="A1035" s="2" t="s">
        <v>1629</v>
      </c>
      <c r="B1035" s="2" t="s">
        <v>1631</v>
      </c>
      <c r="C1035" s="2" t="s">
        <v>979</v>
      </c>
      <c r="D1035" s="2" t="s">
        <v>1086</v>
      </c>
      <c r="E1035" s="2" t="s">
        <v>1087</v>
      </c>
      <c r="F1035" s="2">
        <v>4133.0</v>
      </c>
      <c r="G1035" s="2">
        <v>35.76</v>
      </c>
      <c r="H1035" s="2">
        <v>115.6</v>
      </c>
      <c r="I1035" s="2" t="s">
        <v>138</v>
      </c>
    </row>
    <row r="1036" ht="15.75" customHeight="1">
      <c r="A1036" s="2" t="s">
        <v>1634</v>
      </c>
      <c r="B1036" s="2" t="s">
        <v>1636</v>
      </c>
      <c r="C1036" s="2" t="s">
        <v>979</v>
      </c>
      <c r="D1036" s="2" t="s">
        <v>1001</v>
      </c>
      <c r="E1036" s="2" t="s">
        <v>1002</v>
      </c>
      <c r="F1036" s="2">
        <v>1699.0</v>
      </c>
      <c r="G1036" s="2">
        <v>11.79</v>
      </c>
      <c r="H1036" s="2">
        <v>144.1</v>
      </c>
      <c r="I1036" s="2" t="s">
        <v>27</v>
      </c>
    </row>
    <row r="1037" ht="15.75" customHeight="1">
      <c r="A1037" s="2" t="s">
        <v>1639</v>
      </c>
      <c r="B1037" s="2" t="s">
        <v>1640</v>
      </c>
      <c r="C1037" s="2" t="s">
        <v>979</v>
      </c>
      <c r="D1037" s="2" t="s">
        <v>780</v>
      </c>
      <c r="E1037" s="2" t="s">
        <v>782</v>
      </c>
      <c r="F1037" s="2">
        <v>2024.0</v>
      </c>
      <c r="G1037" s="2">
        <v>11.94</v>
      </c>
      <c r="H1037" s="2">
        <v>169.5</v>
      </c>
      <c r="I1037" s="2" t="s">
        <v>138</v>
      </c>
    </row>
    <row r="1038" ht="15.75" customHeight="1">
      <c r="A1038" s="2" t="s">
        <v>1643</v>
      </c>
      <c r="B1038" s="2" t="s">
        <v>1644</v>
      </c>
      <c r="C1038" s="2" t="s">
        <v>979</v>
      </c>
      <c r="D1038" s="2" t="s">
        <v>847</v>
      </c>
      <c r="E1038" s="2" t="s">
        <v>848</v>
      </c>
      <c r="F1038" s="2">
        <v>723.0</v>
      </c>
      <c r="G1038" s="2">
        <v>7.97</v>
      </c>
      <c r="H1038" s="2">
        <v>90.7</v>
      </c>
      <c r="I1038" s="2" t="s">
        <v>27</v>
      </c>
    </row>
    <row r="1039" ht="15.75" customHeight="1">
      <c r="A1039" s="2" t="s">
        <v>1646</v>
      </c>
      <c r="B1039" s="2" t="s">
        <v>1648</v>
      </c>
      <c r="C1039" s="2" t="s">
        <v>979</v>
      </c>
      <c r="D1039" s="2" t="s">
        <v>968</v>
      </c>
      <c r="E1039" s="2" t="s">
        <v>971</v>
      </c>
      <c r="F1039" s="2">
        <v>2264.0</v>
      </c>
      <c r="G1039" s="2">
        <v>15.79</v>
      </c>
      <c r="H1039" s="2">
        <v>143.4</v>
      </c>
      <c r="I1039" s="2" t="s">
        <v>138</v>
      </c>
    </row>
    <row r="1040" ht="15.75" customHeight="1">
      <c r="A1040" s="2" t="s">
        <v>1650</v>
      </c>
      <c r="B1040" s="2" t="s">
        <v>1652</v>
      </c>
      <c r="C1040" s="2" t="s">
        <v>979</v>
      </c>
      <c r="D1040" s="2" t="s">
        <v>1045</v>
      </c>
      <c r="E1040" s="2" t="s">
        <v>1046</v>
      </c>
      <c r="F1040" s="2">
        <v>4148.0</v>
      </c>
      <c r="G1040" s="2">
        <v>8.19</v>
      </c>
      <c r="H1040" s="2">
        <v>506.5</v>
      </c>
      <c r="I1040" s="2" t="s">
        <v>138</v>
      </c>
    </row>
    <row r="1041" ht="15.75" customHeight="1">
      <c r="A1041" s="2" t="s">
        <v>3627</v>
      </c>
      <c r="B1041" s="2" t="s">
        <v>3628</v>
      </c>
      <c r="C1041" s="2" t="s">
        <v>979</v>
      </c>
      <c r="D1041" s="2" t="s">
        <v>794</v>
      </c>
      <c r="E1041" s="2" t="s">
        <v>795</v>
      </c>
      <c r="F1041" s="2">
        <v>279.0</v>
      </c>
      <c r="G1041" s="2">
        <v>4.95</v>
      </c>
      <c r="H1041" s="2">
        <v>56.4</v>
      </c>
      <c r="I1041" s="2" t="s">
        <v>47</v>
      </c>
    </row>
    <row r="1042" ht="15.75" customHeight="1">
      <c r="A1042" s="2" t="s">
        <v>1654</v>
      </c>
      <c r="B1042" s="2" t="s">
        <v>1655</v>
      </c>
      <c r="C1042" s="2" t="s">
        <v>979</v>
      </c>
      <c r="D1042" s="2" t="s">
        <v>794</v>
      </c>
      <c r="E1042" s="2" t="s">
        <v>795</v>
      </c>
      <c r="F1042" s="2">
        <v>1413.0</v>
      </c>
      <c r="G1042" s="2">
        <v>12.13</v>
      </c>
      <c r="H1042" s="2">
        <v>116.5</v>
      </c>
      <c r="I1042" s="2" t="s">
        <v>27</v>
      </c>
    </row>
    <row r="1043" ht="15.75" customHeight="1">
      <c r="A1043" s="2" t="s">
        <v>1658</v>
      </c>
      <c r="B1043" s="2" t="s">
        <v>1660</v>
      </c>
      <c r="C1043" s="2" t="s">
        <v>979</v>
      </c>
      <c r="D1043" s="2" t="s">
        <v>858</v>
      </c>
      <c r="E1043" s="2" t="s">
        <v>859</v>
      </c>
      <c r="F1043" s="2">
        <v>473.0</v>
      </c>
      <c r="G1043" s="2">
        <v>8.77</v>
      </c>
      <c r="H1043" s="2">
        <v>53.9</v>
      </c>
      <c r="I1043" s="2" t="s">
        <v>47</v>
      </c>
    </row>
    <row r="1044" ht="15.75" customHeight="1">
      <c r="A1044" s="2" t="s">
        <v>1662</v>
      </c>
      <c r="B1044" s="2" t="s">
        <v>1664</v>
      </c>
      <c r="C1044" s="2" t="s">
        <v>979</v>
      </c>
      <c r="D1044" s="2" t="s">
        <v>1086</v>
      </c>
      <c r="E1044" s="2" t="s">
        <v>1087</v>
      </c>
      <c r="F1044" s="2">
        <v>4887.0</v>
      </c>
      <c r="G1044" s="2">
        <v>1.84</v>
      </c>
      <c r="H1044" s="2">
        <v>2656.0</v>
      </c>
      <c r="I1044" s="2" t="s">
        <v>138</v>
      </c>
    </row>
    <row r="1045" ht="15.75" customHeight="1">
      <c r="A1045" s="2" t="s">
        <v>1666</v>
      </c>
      <c r="B1045" s="2" t="s">
        <v>1668</v>
      </c>
      <c r="C1045" s="2" t="s">
        <v>979</v>
      </c>
      <c r="D1045" s="2" t="s">
        <v>1086</v>
      </c>
      <c r="E1045" s="2" t="s">
        <v>1087</v>
      </c>
      <c r="F1045" s="2">
        <v>20239.0</v>
      </c>
      <c r="G1045" s="2">
        <v>20.99</v>
      </c>
      <c r="H1045" s="2">
        <v>964.2</v>
      </c>
      <c r="I1045" s="2" t="s">
        <v>805</v>
      </c>
    </row>
    <row r="1046" ht="15.75" customHeight="1">
      <c r="A1046" s="2" t="s">
        <v>1669</v>
      </c>
      <c r="B1046" s="2" t="s">
        <v>1671</v>
      </c>
      <c r="C1046" s="2" t="s">
        <v>979</v>
      </c>
      <c r="D1046" s="2" t="s">
        <v>1086</v>
      </c>
      <c r="E1046" s="2" t="s">
        <v>1087</v>
      </c>
      <c r="F1046" s="2">
        <v>11430.0</v>
      </c>
      <c r="G1046" s="2">
        <v>20.67</v>
      </c>
      <c r="H1046" s="2">
        <v>553.0</v>
      </c>
      <c r="I1046" s="2" t="s">
        <v>805</v>
      </c>
    </row>
    <row r="1047" ht="15.75" customHeight="1">
      <c r="A1047" s="2" t="s">
        <v>3645</v>
      </c>
      <c r="B1047" s="2" t="s">
        <v>3646</v>
      </c>
      <c r="C1047" s="2" t="s">
        <v>979</v>
      </c>
      <c r="D1047" s="2" t="s">
        <v>1092</v>
      </c>
      <c r="E1047" s="2" t="s">
        <v>1093</v>
      </c>
      <c r="F1047" s="2">
        <v>1207.0</v>
      </c>
      <c r="G1047" s="2">
        <v>3.14</v>
      </c>
      <c r="H1047" s="2">
        <v>384.4</v>
      </c>
      <c r="I1047" s="2" t="s">
        <v>27</v>
      </c>
    </row>
    <row r="1048" ht="15.75" customHeight="1">
      <c r="A1048" s="2" t="s">
        <v>1673</v>
      </c>
      <c r="B1048" s="2" t="s">
        <v>1674</v>
      </c>
      <c r="C1048" s="2" t="s">
        <v>979</v>
      </c>
      <c r="D1048" s="2" t="s">
        <v>813</v>
      </c>
      <c r="E1048" s="2" t="s">
        <v>814</v>
      </c>
      <c r="F1048" s="2">
        <v>4635.0</v>
      </c>
      <c r="G1048" s="2">
        <v>4.06</v>
      </c>
      <c r="H1048" s="2">
        <v>1141.6</v>
      </c>
      <c r="I1048" s="2" t="s">
        <v>138</v>
      </c>
    </row>
    <row r="1049" ht="15.75" customHeight="1">
      <c r="A1049" s="2" t="s">
        <v>3651</v>
      </c>
      <c r="B1049" s="2" t="s">
        <v>3652</v>
      </c>
      <c r="C1049" s="2" t="s">
        <v>979</v>
      </c>
      <c r="D1049" s="2" t="s">
        <v>968</v>
      </c>
      <c r="E1049" s="2" t="s">
        <v>971</v>
      </c>
      <c r="F1049" s="2">
        <v>353.0</v>
      </c>
      <c r="G1049" s="2">
        <v>3.43</v>
      </c>
      <c r="H1049" s="2">
        <v>102.9</v>
      </c>
      <c r="I1049" s="2" t="s">
        <v>47</v>
      </c>
    </row>
    <row r="1050" ht="15.75" customHeight="1">
      <c r="A1050" s="2" t="s">
        <v>1675</v>
      </c>
      <c r="B1050" s="2" t="s">
        <v>1676</v>
      </c>
      <c r="C1050" s="2" t="s">
        <v>979</v>
      </c>
      <c r="D1050" s="2" t="s">
        <v>813</v>
      </c>
      <c r="E1050" s="2" t="s">
        <v>814</v>
      </c>
      <c r="F1050" s="2">
        <v>1070.0</v>
      </c>
      <c r="G1050" s="2">
        <v>4.77</v>
      </c>
      <c r="H1050" s="2">
        <v>224.3</v>
      </c>
      <c r="I1050" s="2" t="s">
        <v>27</v>
      </c>
    </row>
    <row r="1051" ht="15.75" customHeight="1">
      <c r="A1051" s="2" t="s">
        <v>1679</v>
      </c>
      <c r="B1051" s="2" t="s">
        <v>1680</v>
      </c>
      <c r="C1051" s="2" t="s">
        <v>979</v>
      </c>
      <c r="D1051" s="2" t="s">
        <v>1092</v>
      </c>
      <c r="E1051" s="2" t="s">
        <v>1093</v>
      </c>
      <c r="F1051" s="2">
        <v>4683.0</v>
      </c>
      <c r="G1051" s="2">
        <v>4.34</v>
      </c>
      <c r="H1051" s="2">
        <v>1079.0</v>
      </c>
      <c r="I1051" s="2" t="s">
        <v>138</v>
      </c>
    </row>
    <row r="1052" ht="15.75" customHeight="1">
      <c r="A1052" s="2" t="s">
        <v>1683</v>
      </c>
      <c r="B1052" s="2" t="s">
        <v>1684</v>
      </c>
      <c r="C1052" s="2" t="s">
        <v>979</v>
      </c>
      <c r="D1052" s="2" t="s">
        <v>1092</v>
      </c>
      <c r="E1052" s="2" t="s">
        <v>1093</v>
      </c>
      <c r="F1052" s="2">
        <v>20715.0</v>
      </c>
      <c r="G1052" s="2">
        <v>12.57</v>
      </c>
      <c r="H1052" s="2">
        <v>1648.0</v>
      </c>
      <c r="I1052" s="2" t="s">
        <v>805</v>
      </c>
    </row>
    <row r="1053" ht="15.75" customHeight="1">
      <c r="A1053" s="2" t="s">
        <v>1687</v>
      </c>
      <c r="B1053" s="2" t="s">
        <v>1688</v>
      </c>
      <c r="C1053" s="2" t="s">
        <v>979</v>
      </c>
      <c r="D1053" s="2" t="s">
        <v>813</v>
      </c>
      <c r="E1053" s="2" t="s">
        <v>814</v>
      </c>
      <c r="F1053" s="2">
        <v>797.0</v>
      </c>
      <c r="G1053" s="2">
        <v>3.58</v>
      </c>
      <c r="H1053" s="2">
        <v>222.6</v>
      </c>
      <c r="I1053" s="2" t="s">
        <v>27</v>
      </c>
    </row>
    <row r="1054" ht="15.75" customHeight="1">
      <c r="A1054" s="2" t="s">
        <v>1691</v>
      </c>
      <c r="B1054" s="2" t="s">
        <v>1692</v>
      </c>
      <c r="C1054" s="2" t="s">
        <v>979</v>
      </c>
      <c r="D1054" s="2" t="s">
        <v>1092</v>
      </c>
      <c r="E1054" s="2" t="s">
        <v>1093</v>
      </c>
      <c r="F1054" s="2">
        <v>1244.0</v>
      </c>
      <c r="G1054" s="2">
        <v>2.11</v>
      </c>
      <c r="H1054" s="2">
        <v>589.6</v>
      </c>
      <c r="I1054" s="2" t="s">
        <v>27</v>
      </c>
    </row>
    <row r="1055" ht="15.75" customHeight="1">
      <c r="A1055" s="2" t="s">
        <v>1693</v>
      </c>
      <c r="B1055" s="2" t="s">
        <v>1694</v>
      </c>
      <c r="C1055" s="2" t="s">
        <v>979</v>
      </c>
      <c r="D1055" s="2" t="s">
        <v>780</v>
      </c>
      <c r="E1055" s="2" t="s">
        <v>782</v>
      </c>
      <c r="F1055" s="2">
        <v>385.0</v>
      </c>
      <c r="G1055" s="2">
        <v>6.13</v>
      </c>
      <c r="H1055" s="2">
        <v>62.8</v>
      </c>
      <c r="I1055" s="2" t="s">
        <v>47</v>
      </c>
    </row>
    <row r="1056" ht="15.75" customHeight="1">
      <c r="A1056" s="2" t="s">
        <v>3665</v>
      </c>
      <c r="B1056" s="2" t="s">
        <v>3666</v>
      </c>
      <c r="C1056" s="2" t="s">
        <v>979</v>
      </c>
      <c r="D1056" s="2" t="s">
        <v>968</v>
      </c>
      <c r="E1056" s="2" t="s">
        <v>971</v>
      </c>
      <c r="F1056" s="2">
        <v>599.0</v>
      </c>
      <c r="G1056" s="2">
        <v>5.17</v>
      </c>
      <c r="H1056" s="2">
        <v>115.9</v>
      </c>
      <c r="I1056" s="2" t="s">
        <v>27</v>
      </c>
    </row>
    <row r="1057" ht="15.75" customHeight="1">
      <c r="A1057" s="2" t="s">
        <v>1696</v>
      </c>
      <c r="B1057" s="2" t="s">
        <v>1697</v>
      </c>
      <c r="C1057" s="2" t="s">
        <v>979</v>
      </c>
      <c r="D1057" s="2" t="s">
        <v>800</v>
      </c>
      <c r="E1057" s="2" t="s">
        <v>801</v>
      </c>
      <c r="F1057" s="2">
        <v>3849.0</v>
      </c>
      <c r="G1057" s="2">
        <v>12.8</v>
      </c>
      <c r="H1057" s="2">
        <v>300.7</v>
      </c>
      <c r="I1057" s="2" t="s">
        <v>138</v>
      </c>
    </row>
    <row r="1058" ht="15.75" customHeight="1">
      <c r="A1058" s="2" t="s">
        <v>1699</v>
      </c>
      <c r="B1058" s="2" t="s">
        <v>1701</v>
      </c>
      <c r="C1058" s="2" t="s">
        <v>979</v>
      </c>
      <c r="D1058" s="2" t="s">
        <v>800</v>
      </c>
      <c r="E1058" s="2" t="s">
        <v>801</v>
      </c>
      <c r="F1058" s="2">
        <v>2626.0</v>
      </c>
      <c r="G1058" s="2">
        <v>12.23</v>
      </c>
      <c r="H1058" s="2">
        <v>214.7</v>
      </c>
      <c r="I1058" s="2" t="s">
        <v>138</v>
      </c>
    </row>
    <row r="1059" ht="15.75" customHeight="1">
      <c r="A1059" s="2" t="s">
        <v>1704</v>
      </c>
      <c r="B1059" s="2" t="s">
        <v>1705</v>
      </c>
      <c r="C1059" s="2" t="s">
        <v>979</v>
      </c>
      <c r="D1059" s="2" t="s">
        <v>1092</v>
      </c>
      <c r="E1059" s="2" t="s">
        <v>1093</v>
      </c>
      <c r="F1059" s="2">
        <v>15074.0</v>
      </c>
      <c r="G1059" s="2">
        <v>5.38</v>
      </c>
      <c r="H1059" s="2">
        <v>2801.9</v>
      </c>
      <c r="I1059" s="2" t="s">
        <v>805</v>
      </c>
    </row>
    <row r="1060" ht="15.75" customHeight="1">
      <c r="A1060" s="2" t="s">
        <v>3674</v>
      </c>
      <c r="B1060" s="2" t="s">
        <v>3675</v>
      </c>
      <c r="C1060" s="2" t="s">
        <v>979</v>
      </c>
      <c r="D1060" s="2" t="s">
        <v>826</v>
      </c>
      <c r="E1060" s="2" t="s">
        <v>829</v>
      </c>
      <c r="F1060" s="2">
        <v>193.0</v>
      </c>
      <c r="G1060" s="2">
        <v>3.56</v>
      </c>
      <c r="H1060" s="2">
        <v>54.2</v>
      </c>
      <c r="I1060" s="2" t="s">
        <v>47</v>
      </c>
    </row>
    <row r="1061" ht="15.75" customHeight="1">
      <c r="A1061" s="2" t="s">
        <v>1707</v>
      </c>
      <c r="B1061" s="2" t="s">
        <v>1708</v>
      </c>
      <c r="C1061" s="2" t="s">
        <v>979</v>
      </c>
      <c r="D1061" s="2" t="s">
        <v>800</v>
      </c>
      <c r="E1061" s="2" t="s">
        <v>801</v>
      </c>
      <c r="F1061" s="2">
        <v>2281.0</v>
      </c>
      <c r="G1061" s="2">
        <v>5.15</v>
      </c>
      <c r="H1061" s="2">
        <v>442.9</v>
      </c>
      <c r="I1061" s="2" t="s">
        <v>138</v>
      </c>
    </row>
    <row r="1062" ht="15.75" customHeight="1">
      <c r="A1062" s="2" t="s">
        <v>1709</v>
      </c>
      <c r="B1062" s="2" t="s">
        <v>1710</v>
      </c>
      <c r="C1062" s="2" t="s">
        <v>979</v>
      </c>
      <c r="D1062" s="2" t="s">
        <v>990</v>
      </c>
      <c r="E1062" s="2" t="s">
        <v>991</v>
      </c>
      <c r="F1062" s="2">
        <v>1451.0</v>
      </c>
      <c r="G1062" s="2">
        <v>16.13</v>
      </c>
      <c r="H1062" s="2">
        <v>90.0</v>
      </c>
      <c r="I1062" s="2" t="s">
        <v>27</v>
      </c>
    </row>
    <row r="1063" ht="15.75" customHeight="1">
      <c r="A1063" s="2" t="s">
        <v>1712</v>
      </c>
      <c r="B1063" s="2" t="s">
        <v>1714</v>
      </c>
      <c r="C1063" s="2" t="s">
        <v>979</v>
      </c>
      <c r="D1063" s="2" t="s">
        <v>858</v>
      </c>
      <c r="E1063" s="2" t="s">
        <v>859</v>
      </c>
      <c r="F1063" s="2">
        <v>361.0</v>
      </c>
      <c r="G1063" s="2">
        <v>8.96</v>
      </c>
      <c r="H1063" s="2">
        <v>40.3</v>
      </c>
      <c r="I1063" s="2" t="s">
        <v>47</v>
      </c>
    </row>
    <row r="1064" ht="15.75" customHeight="1">
      <c r="A1064" s="2" t="s">
        <v>1715</v>
      </c>
      <c r="B1064" s="2" t="s">
        <v>1716</v>
      </c>
      <c r="C1064" s="2" t="s">
        <v>979</v>
      </c>
      <c r="D1064" s="2" t="s">
        <v>847</v>
      </c>
      <c r="E1064" s="2" t="s">
        <v>848</v>
      </c>
      <c r="F1064" s="2">
        <v>14152.0</v>
      </c>
      <c r="G1064" s="2">
        <v>12.35</v>
      </c>
      <c r="H1064" s="2">
        <v>1145.9</v>
      </c>
      <c r="I1064" s="2" t="s">
        <v>805</v>
      </c>
    </row>
    <row r="1065" ht="15.75" customHeight="1">
      <c r="A1065" s="2" t="s">
        <v>1717</v>
      </c>
      <c r="B1065" s="2" t="s">
        <v>1718</v>
      </c>
      <c r="C1065" s="2" t="s">
        <v>979</v>
      </c>
      <c r="D1065" s="2" t="s">
        <v>800</v>
      </c>
      <c r="E1065" s="2" t="s">
        <v>801</v>
      </c>
      <c r="F1065" s="2">
        <v>3222.0</v>
      </c>
      <c r="G1065" s="2">
        <v>4.72</v>
      </c>
      <c r="H1065" s="2">
        <v>682.6</v>
      </c>
      <c r="I1065" s="2" t="s">
        <v>138</v>
      </c>
    </row>
    <row r="1066" ht="15.75" customHeight="1">
      <c r="A1066" s="2" t="s">
        <v>1719</v>
      </c>
      <c r="B1066" s="2" t="s">
        <v>1721</v>
      </c>
      <c r="C1066" s="2" t="s">
        <v>979</v>
      </c>
      <c r="D1066" s="2" t="s">
        <v>1028</v>
      </c>
      <c r="E1066" s="2" t="s">
        <v>1029</v>
      </c>
      <c r="F1066" s="2">
        <v>1376.0</v>
      </c>
      <c r="G1066" s="2">
        <v>9.27</v>
      </c>
      <c r="H1066" s="2">
        <v>148.4</v>
      </c>
      <c r="I1066" s="2" t="s">
        <v>27</v>
      </c>
    </row>
    <row r="1067" ht="15.75" customHeight="1">
      <c r="A1067" s="2" t="s">
        <v>3690</v>
      </c>
      <c r="B1067" s="2" t="s">
        <v>3691</v>
      </c>
      <c r="C1067" s="2" t="s">
        <v>979</v>
      </c>
      <c r="D1067" s="2" t="s">
        <v>794</v>
      </c>
      <c r="E1067" s="2" t="s">
        <v>795</v>
      </c>
      <c r="F1067" s="2">
        <v>307.0</v>
      </c>
      <c r="G1067" s="2">
        <v>5.94</v>
      </c>
      <c r="H1067" s="2">
        <v>51.7</v>
      </c>
      <c r="I1067" s="2" t="s">
        <v>47</v>
      </c>
    </row>
    <row r="1068" ht="15.75" customHeight="1">
      <c r="A1068" s="2" t="s">
        <v>1722</v>
      </c>
      <c r="B1068" s="2" t="s">
        <v>1724</v>
      </c>
      <c r="C1068" s="2" t="s">
        <v>979</v>
      </c>
      <c r="D1068" s="2" t="s">
        <v>780</v>
      </c>
      <c r="E1068" s="2" t="s">
        <v>782</v>
      </c>
      <c r="F1068" s="2">
        <v>21912.0</v>
      </c>
      <c r="G1068" s="2">
        <v>27.41</v>
      </c>
      <c r="H1068" s="2">
        <v>799.4</v>
      </c>
      <c r="I1068" s="2" t="s">
        <v>805</v>
      </c>
    </row>
    <row r="1069" ht="15.75" customHeight="1">
      <c r="A1069" s="2" t="s">
        <v>1725</v>
      </c>
      <c r="B1069" s="2" t="s">
        <v>1728</v>
      </c>
      <c r="C1069" s="2" t="s">
        <v>979</v>
      </c>
      <c r="D1069" s="2" t="s">
        <v>968</v>
      </c>
      <c r="E1069" s="2" t="s">
        <v>971</v>
      </c>
      <c r="F1069" s="2">
        <v>353.0</v>
      </c>
      <c r="G1069" s="2">
        <v>1.36</v>
      </c>
      <c r="H1069" s="2">
        <v>259.6</v>
      </c>
      <c r="I1069" s="2" t="s">
        <v>47</v>
      </c>
    </row>
    <row r="1070" ht="15.75" customHeight="1">
      <c r="A1070" s="2" t="s">
        <v>1729</v>
      </c>
      <c r="B1070" s="2" t="s">
        <v>1730</v>
      </c>
      <c r="C1070" s="2" t="s">
        <v>979</v>
      </c>
      <c r="D1070" s="2" t="s">
        <v>1092</v>
      </c>
      <c r="E1070" s="2" t="s">
        <v>1093</v>
      </c>
      <c r="F1070" s="2">
        <v>18582.0</v>
      </c>
      <c r="G1070" s="2">
        <v>9.67</v>
      </c>
      <c r="H1070" s="2">
        <v>1921.6</v>
      </c>
      <c r="I1070" s="2" t="s">
        <v>805</v>
      </c>
    </row>
    <row r="1071" ht="15.75" customHeight="1">
      <c r="A1071" s="2" t="s">
        <v>1731</v>
      </c>
      <c r="B1071" s="2" t="s">
        <v>1732</v>
      </c>
      <c r="C1071" s="2" t="s">
        <v>979</v>
      </c>
      <c r="D1071" s="2" t="s">
        <v>794</v>
      </c>
      <c r="E1071" s="2" t="s">
        <v>795</v>
      </c>
      <c r="F1071" s="2">
        <v>565.0</v>
      </c>
      <c r="G1071" s="2">
        <v>4.91</v>
      </c>
      <c r="H1071" s="2">
        <v>115.1</v>
      </c>
      <c r="I1071" s="2" t="s">
        <v>27</v>
      </c>
    </row>
    <row r="1072" ht="15.75" customHeight="1">
      <c r="A1072" s="2" t="s">
        <v>1735</v>
      </c>
      <c r="B1072" s="2" t="s">
        <v>1736</v>
      </c>
      <c r="C1072" s="2" t="s">
        <v>979</v>
      </c>
      <c r="D1072" s="2" t="s">
        <v>850</v>
      </c>
      <c r="E1072" s="2" t="s">
        <v>852</v>
      </c>
      <c r="F1072" s="2">
        <v>4479.0</v>
      </c>
      <c r="G1072" s="2">
        <v>10.74</v>
      </c>
      <c r="H1072" s="2">
        <v>417.0</v>
      </c>
      <c r="I1072" s="2" t="s">
        <v>138</v>
      </c>
    </row>
    <row r="1073" ht="15.75" customHeight="1">
      <c r="A1073" s="2" t="s">
        <v>1738</v>
      </c>
      <c r="B1073" s="2" t="s">
        <v>1739</v>
      </c>
      <c r="C1073" s="2" t="s">
        <v>979</v>
      </c>
      <c r="D1073" s="2" t="s">
        <v>1092</v>
      </c>
      <c r="E1073" s="2" t="s">
        <v>1093</v>
      </c>
      <c r="F1073" s="2">
        <v>2267.0</v>
      </c>
      <c r="G1073" s="2">
        <v>7.12</v>
      </c>
      <c r="H1073" s="2">
        <v>318.4</v>
      </c>
      <c r="I1073" s="2" t="s">
        <v>138</v>
      </c>
    </row>
    <row r="1074" ht="15.75" customHeight="1">
      <c r="A1074" s="2" t="s">
        <v>3710</v>
      </c>
      <c r="B1074" s="2" t="s">
        <v>3711</v>
      </c>
      <c r="C1074" s="2" t="s">
        <v>979</v>
      </c>
      <c r="D1074" s="2" t="s">
        <v>1045</v>
      </c>
      <c r="E1074" s="2" t="s">
        <v>1046</v>
      </c>
      <c r="F1074" s="2">
        <v>425.0</v>
      </c>
      <c r="G1074" s="2">
        <v>2.15</v>
      </c>
      <c r="H1074" s="2">
        <v>197.7</v>
      </c>
      <c r="I1074" s="2" t="s">
        <v>47</v>
      </c>
    </row>
    <row r="1075" ht="15.75" customHeight="1">
      <c r="A1075" s="2" t="s">
        <v>1741</v>
      </c>
      <c r="B1075" s="2" t="s">
        <v>1742</v>
      </c>
      <c r="C1075" s="2" t="s">
        <v>979</v>
      </c>
      <c r="D1075" s="2" t="s">
        <v>911</v>
      </c>
      <c r="E1075" s="2" t="s">
        <v>914</v>
      </c>
      <c r="F1075" s="2">
        <v>1638.0</v>
      </c>
      <c r="G1075" s="2">
        <v>17.19</v>
      </c>
      <c r="H1075" s="2">
        <v>95.3</v>
      </c>
      <c r="I1075" s="2" t="s">
        <v>27</v>
      </c>
    </row>
    <row r="1076" ht="15.75" customHeight="1">
      <c r="A1076" s="2" t="s">
        <v>3715</v>
      </c>
      <c r="B1076" s="2" t="s">
        <v>3717</v>
      </c>
      <c r="C1076" s="2" t="s">
        <v>979</v>
      </c>
      <c r="D1076" s="2" t="s">
        <v>858</v>
      </c>
      <c r="E1076" s="2" t="s">
        <v>859</v>
      </c>
      <c r="F1076" s="2">
        <v>288.0</v>
      </c>
      <c r="G1076" s="2">
        <v>6.08</v>
      </c>
      <c r="H1076" s="2">
        <v>47.4</v>
      </c>
      <c r="I1076" s="2" t="s">
        <v>47</v>
      </c>
    </row>
    <row r="1077" ht="15.75" customHeight="1">
      <c r="A1077" s="2" t="s">
        <v>1745</v>
      </c>
      <c r="B1077" s="2" t="s">
        <v>1746</v>
      </c>
      <c r="C1077" s="2" t="s">
        <v>979</v>
      </c>
      <c r="D1077" s="2" t="s">
        <v>911</v>
      </c>
      <c r="E1077" s="2" t="s">
        <v>914</v>
      </c>
      <c r="F1077" s="2">
        <v>837.0</v>
      </c>
      <c r="G1077" s="2">
        <v>3.8</v>
      </c>
      <c r="H1077" s="2">
        <v>220.3</v>
      </c>
      <c r="I1077" s="2" t="s">
        <v>27</v>
      </c>
    </row>
    <row r="1078" ht="15.75" customHeight="1">
      <c r="A1078" s="2" t="s">
        <v>1747</v>
      </c>
      <c r="B1078" s="2" t="s">
        <v>1748</v>
      </c>
      <c r="C1078" s="2" t="s">
        <v>979</v>
      </c>
      <c r="D1078" s="2" t="s">
        <v>968</v>
      </c>
      <c r="E1078" s="2" t="s">
        <v>971</v>
      </c>
      <c r="F1078" s="2">
        <v>867.0</v>
      </c>
      <c r="G1078" s="2">
        <v>10.98</v>
      </c>
      <c r="H1078" s="2">
        <v>79.0</v>
      </c>
      <c r="I1078" s="2" t="s">
        <v>27</v>
      </c>
    </row>
    <row r="1079" ht="15.75" customHeight="1">
      <c r="A1079" s="2" t="s">
        <v>1751</v>
      </c>
      <c r="B1079" s="2" t="s">
        <v>1752</v>
      </c>
      <c r="C1079" s="2" t="s">
        <v>979</v>
      </c>
      <c r="D1079" s="2" t="s">
        <v>780</v>
      </c>
      <c r="E1079" s="2" t="s">
        <v>782</v>
      </c>
      <c r="F1079" s="2">
        <v>916.0</v>
      </c>
      <c r="G1079" s="2">
        <v>12.63</v>
      </c>
      <c r="H1079" s="2">
        <v>72.5</v>
      </c>
      <c r="I1079" s="2" t="s">
        <v>27</v>
      </c>
    </row>
    <row r="1080" ht="15.75" customHeight="1">
      <c r="A1080" s="2" t="s">
        <v>1753</v>
      </c>
      <c r="B1080" s="2" t="s">
        <v>1754</v>
      </c>
      <c r="C1080" s="2" t="s">
        <v>979</v>
      </c>
      <c r="D1080" s="2" t="s">
        <v>911</v>
      </c>
      <c r="E1080" s="2" t="s">
        <v>914</v>
      </c>
      <c r="F1080" s="2">
        <v>3957.0</v>
      </c>
      <c r="G1080" s="2">
        <v>23.62</v>
      </c>
      <c r="H1080" s="2">
        <v>167.5</v>
      </c>
      <c r="I1080" s="2" t="s">
        <v>138</v>
      </c>
    </row>
    <row r="1081" ht="15.75" customHeight="1">
      <c r="A1081" s="2" t="s">
        <v>1755</v>
      </c>
      <c r="B1081" s="2" t="s">
        <v>1756</v>
      </c>
      <c r="C1081" s="2" t="s">
        <v>979</v>
      </c>
      <c r="D1081" s="2" t="s">
        <v>826</v>
      </c>
      <c r="E1081" s="2" t="s">
        <v>829</v>
      </c>
      <c r="F1081" s="2">
        <v>541.0</v>
      </c>
      <c r="G1081" s="2">
        <v>6.54</v>
      </c>
      <c r="H1081" s="2">
        <v>82.7</v>
      </c>
      <c r="I1081" s="2" t="s">
        <v>27</v>
      </c>
    </row>
    <row r="1082" ht="15.75" customHeight="1">
      <c r="A1082" s="2" t="s">
        <v>1757</v>
      </c>
      <c r="B1082" s="2" t="s">
        <v>1758</v>
      </c>
      <c r="C1082" s="2" t="s">
        <v>979</v>
      </c>
      <c r="D1082" s="2" t="s">
        <v>794</v>
      </c>
      <c r="E1082" s="2" t="s">
        <v>795</v>
      </c>
      <c r="F1082" s="2">
        <v>710.0</v>
      </c>
      <c r="G1082" s="2">
        <v>15.52</v>
      </c>
      <c r="H1082" s="2">
        <v>45.7</v>
      </c>
      <c r="I1082" s="2" t="s">
        <v>27</v>
      </c>
    </row>
    <row r="1083" ht="15.75" customHeight="1">
      <c r="A1083" s="2" t="s">
        <v>1759</v>
      </c>
      <c r="B1083" s="2" t="s">
        <v>1760</v>
      </c>
      <c r="C1083" s="2" t="s">
        <v>979</v>
      </c>
      <c r="D1083" s="2" t="s">
        <v>800</v>
      </c>
      <c r="E1083" s="2" t="s">
        <v>801</v>
      </c>
      <c r="F1083" s="2">
        <v>1446.0</v>
      </c>
      <c r="G1083" s="2">
        <v>5.57</v>
      </c>
      <c r="H1083" s="2">
        <v>259.6</v>
      </c>
      <c r="I1083" s="2" t="s">
        <v>27</v>
      </c>
    </row>
    <row r="1084" ht="15.75" customHeight="1">
      <c r="A1084" s="2" t="s">
        <v>1761</v>
      </c>
      <c r="B1084" s="2" t="s">
        <v>1762</v>
      </c>
      <c r="C1084" s="2" t="s">
        <v>979</v>
      </c>
      <c r="D1084" s="2" t="s">
        <v>778</v>
      </c>
      <c r="E1084" s="2" t="s">
        <v>779</v>
      </c>
      <c r="F1084" s="2">
        <v>3496.0</v>
      </c>
      <c r="G1084" s="2">
        <v>8.93</v>
      </c>
      <c r="H1084" s="2">
        <v>391.5</v>
      </c>
      <c r="I1084" s="2" t="s">
        <v>138</v>
      </c>
    </row>
    <row r="1085" ht="15.75" customHeight="1">
      <c r="A1085" s="2" t="s">
        <v>1763</v>
      </c>
      <c r="B1085" s="2" t="s">
        <v>1764</v>
      </c>
      <c r="C1085" s="2" t="s">
        <v>979</v>
      </c>
      <c r="D1085" s="2" t="s">
        <v>968</v>
      </c>
      <c r="E1085" s="2" t="s">
        <v>971</v>
      </c>
      <c r="F1085" s="2">
        <v>902.0</v>
      </c>
      <c r="G1085" s="2">
        <v>12.14</v>
      </c>
      <c r="H1085" s="2">
        <v>74.3</v>
      </c>
      <c r="I1085" s="2" t="s">
        <v>27</v>
      </c>
    </row>
    <row r="1086" ht="15.75" customHeight="1">
      <c r="A1086" s="2" t="s">
        <v>1765</v>
      </c>
      <c r="B1086" s="2" t="s">
        <v>1766</v>
      </c>
      <c r="C1086" s="2" t="s">
        <v>979</v>
      </c>
      <c r="D1086" s="2" t="s">
        <v>1092</v>
      </c>
      <c r="E1086" s="2" t="s">
        <v>1093</v>
      </c>
      <c r="F1086" s="2">
        <v>3326.0</v>
      </c>
      <c r="G1086" s="2">
        <v>6.48</v>
      </c>
      <c r="H1086" s="2">
        <v>513.3</v>
      </c>
      <c r="I1086" s="2" t="s">
        <v>138</v>
      </c>
    </row>
    <row r="1087" ht="15.75" customHeight="1">
      <c r="A1087" s="2" t="s">
        <v>1767</v>
      </c>
      <c r="B1087" s="2" t="s">
        <v>1768</v>
      </c>
      <c r="C1087" s="2" t="s">
        <v>979</v>
      </c>
      <c r="D1087" s="2" t="s">
        <v>1092</v>
      </c>
      <c r="E1087" s="2" t="s">
        <v>1093</v>
      </c>
      <c r="F1087" s="2">
        <v>7921.0</v>
      </c>
      <c r="G1087" s="2">
        <v>11.27</v>
      </c>
      <c r="H1087" s="2">
        <v>702.8</v>
      </c>
      <c r="I1087" s="2" t="s">
        <v>138</v>
      </c>
    </row>
    <row r="1088" ht="15.75" customHeight="1">
      <c r="A1088" s="2" t="s">
        <v>1769</v>
      </c>
      <c r="B1088" s="2" t="s">
        <v>1770</v>
      </c>
      <c r="C1088" s="2" t="s">
        <v>979</v>
      </c>
      <c r="D1088" s="2" t="s">
        <v>780</v>
      </c>
      <c r="E1088" s="2" t="s">
        <v>782</v>
      </c>
      <c r="F1088" s="2">
        <v>978.0</v>
      </c>
      <c r="G1088" s="2">
        <v>13.19</v>
      </c>
      <c r="H1088" s="2">
        <v>74.1</v>
      </c>
      <c r="I1088" s="2" t="s">
        <v>27</v>
      </c>
    </row>
    <row r="1089" ht="15.75" customHeight="1">
      <c r="A1089" s="2" t="s">
        <v>1771</v>
      </c>
      <c r="B1089" s="2" t="s">
        <v>1772</v>
      </c>
      <c r="C1089" s="2" t="s">
        <v>979</v>
      </c>
      <c r="D1089" s="2" t="s">
        <v>911</v>
      </c>
      <c r="E1089" s="2" t="s">
        <v>914</v>
      </c>
      <c r="F1089" s="2">
        <v>3259.0</v>
      </c>
      <c r="G1089" s="2">
        <v>5.54</v>
      </c>
      <c r="H1089" s="2">
        <v>588.3</v>
      </c>
      <c r="I1089" s="2" t="s">
        <v>138</v>
      </c>
    </row>
    <row r="1090" ht="15.75" customHeight="1">
      <c r="A1090" s="2" t="s">
        <v>1774</v>
      </c>
      <c r="B1090" s="2" t="s">
        <v>1776</v>
      </c>
      <c r="C1090" s="2" t="s">
        <v>979</v>
      </c>
      <c r="D1090" s="2" t="s">
        <v>800</v>
      </c>
      <c r="E1090" s="2" t="s">
        <v>801</v>
      </c>
      <c r="F1090" s="2">
        <v>1907.0</v>
      </c>
      <c r="G1090" s="2">
        <v>7.32</v>
      </c>
      <c r="H1090" s="2">
        <v>260.5</v>
      </c>
      <c r="I1090" s="2" t="s">
        <v>27</v>
      </c>
    </row>
    <row r="1091" ht="15.75" customHeight="1">
      <c r="A1091" s="2" t="s">
        <v>1777</v>
      </c>
      <c r="B1091" s="2" t="s">
        <v>1778</v>
      </c>
      <c r="C1091" s="2" t="s">
        <v>979</v>
      </c>
      <c r="D1091" s="2" t="s">
        <v>800</v>
      </c>
      <c r="E1091" s="2" t="s">
        <v>801</v>
      </c>
      <c r="F1091" s="2">
        <v>4169.0</v>
      </c>
      <c r="G1091" s="2">
        <v>4.47</v>
      </c>
      <c r="H1091" s="2">
        <v>932.7</v>
      </c>
      <c r="I1091" s="2" t="s">
        <v>138</v>
      </c>
    </row>
    <row r="1092" ht="15.75" customHeight="1">
      <c r="A1092" s="2" t="s">
        <v>1781</v>
      </c>
      <c r="B1092" s="2" t="s">
        <v>1782</v>
      </c>
      <c r="C1092" s="2" t="s">
        <v>979</v>
      </c>
      <c r="D1092" s="2" t="s">
        <v>1092</v>
      </c>
      <c r="E1092" s="2" t="s">
        <v>1093</v>
      </c>
      <c r="F1092" s="2">
        <v>1712.0</v>
      </c>
      <c r="G1092" s="2">
        <v>7.97</v>
      </c>
      <c r="H1092" s="2">
        <v>214.8</v>
      </c>
      <c r="I1092" s="2" t="s">
        <v>27</v>
      </c>
    </row>
    <row r="1093" ht="15.75" customHeight="1">
      <c r="A1093" s="2" t="s">
        <v>3745</v>
      </c>
      <c r="B1093" s="2" t="s">
        <v>3746</v>
      </c>
      <c r="C1093" s="2" t="s">
        <v>979</v>
      </c>
      <c r="D1093" s="2" t="s">
        <v>826</v>
      </c>
      <c r="E1093" s="2" t="s">
        <v>829</v>
      </c>
      <c r="F1093" s="2">
        <v>619.0</v>
      </c>
      <c r="G1093" s="2">
        <v>3.86</v>
      </c>
      <c r="H1093" s="2">
        <v>160.4</v>
      </c>
      <c r="I1093" s="2" t="s">
        <v>27</v>
      </c>
    </row>
    <row r="1094" ht="15.75" customHeight="1">
      <c r="A1094" s="2" t="s">
        <v>1785</v>
      </c>
      <c r="B1094" s="2" t="s">
        <v>1786</v>
      </c>
      <c r="C1094" s="2" t="s">
        <v>979</v>
      </c>
      <c r="D1094" s="2" t="s">
        <v>794</v>
      </c>
      <c r="E1094" s="2" t="s">
        <v>795</v>
      </c>
      <c r="F1094" s="2">
        <v>3403.0</v>
      </c>
      <c r="G1094" s="2">
        <v>12.75</v>
      </c>
      <c r="H1094" s="2">
        <v>266.9</v>
      </c>
      <c r="I1094" s="2" t="s">
        <v>138</v>
      </c>
    </row>
    <row r="1095" ht="15.75" customHeight="1">
      <c r="A1095" s="2" t="s">
        <v>1789</v>
      </c>
      <c r="B1095" s="2" t="s">
        <v>1790</v>
      </c>
      <c r="C1095" s="2" t="s">
        <v>979</v>
      </c>
      <c r="D1095" s="2" t="s">
        <v>968</v>
      </c>
      <c r="E1095" s="2" t="s">
        <v>971</v>
      </c>
      <c r="F1095" s="2">
        <v>1115.0</v>
      </c>
      <c r="G1095" s="2">
        <v>5.9</v>
      </c>
      <c r="H1095" s="2">
        <v>189.0</v>
      </c>
      <c r="I1095" s="2" t="s">
        <v>27</v>
      </c>
    </row>
    <row r="1096" ht="15.75" customHeight="1">
      <c r="A1096" s="2" t="s">
        <v>1791</v>
      </c>
      <c r="B1096" s="2" t="s">
        <v>1792</v>
      </c>
      <c r="C1096" s="2" t="s">
        <v>979</v>
      </c>
      <c r="D1096" s="2" t="s">
        <v>847</v>
      </c>
      <c r="E1096" s="2" t="s">
        <v>848</v>
      </c>
      <c r="F1096" s="2">
        <v>10160.0</v>
      </c>
      <c r="G1096" s="2">
        <v>10.23</v>
      </c>
      <c r="H1096" s="2">
        <v>993.2</v>
      </c>
      <c r="I1096" s="2" t="s">
        <v>805</v>
      </c>
    </row>
    <row r="1097" ht="15.75" customHeight="1">
      <c r="A1097" s="2" t="s">
        <v>3755</v>
      </c>
      <c r="B1097" s="2" t="s">
        <v>3756</v>
      </c>
      <c r="C1097" s="2" t="s">
        <v>979</v>
      </c>
      <c r="D1097" s="2" t="s">
        <v>968</v>
      </c>
      <c r="E1097" s="2" t="s">
        <v>971</v>
      </c>
      <c r="F1097" s="2">
        <v>856.0</v>
      </c>
      <c r="G1097" s="2">
        <v>3.96</v>
      </c>
      <c r="H1097" s="2">
        <v>216.2</v>
      </c>
      <c r="I1097" s="2" t="s">
        <v>27</v>
      </c>
    </row>
    <row r="1098" ht="15.75" customHeight="1">
      <c r="A1098" s="2" t="s">
        <v>1793</v>
      </c>
      <c r="B1098" s="2" t="s">
        <v>1794</v>
      </c>
      <c r="C1098" s="2" t="s">
        <v>979</v>
      </c>
      <c r="D1098" s="2" t="s">
        <v>911</v>
      </c>
      <c r="E1098" s="2" t="s">
        <v>914</v>
      </c>
      <c r="F1098" s="2">
        <v>1164.0</v>
      </c>
      <c r="G1098" s="2">
        <v>11.99</v>
      </c>
      <c r="H1098" s="2">
        <v>97.1</v>
      </c>
      <c r="I1098" s="2" t="s">
        <v>27</v>
      </c>
    </row>
    <row r="1099" ht="15.75" customHeight="1">
      <c r="A1099" s="2" t="s">
        <v>3055</v>
      </c>
      <c r="B1099" s="2" t="s">
        <v>3056</v>
      </c>
      <c r="C1099" s="2" t="s">
        <v>979</v>
      </c>
      <c r="D1099" s="2" t="s">
        <v>968</v>
      </c>
      <c r="E1099" s="2" t="s">
        <v>971</v>
      </c>
      <c r="F1099" s="2">
        <v>619.0</v>
      </c>
      <c r="G1099" s="2">
        <v>6.82</v>
      </c>
      <c r="H1099" s="2">
        <v>90.8</v>
      </c>
      <c r="I1099" s="2" t="s">
        <v>27</v>
      </c>
    </row>
    <row r="1100" ht="15.75" customHeight="1">
      <c r="A1100" s="2" t="s">
        <v>1795</v>
      </c>
      <c r="B1100" s="2" t="s">
        <v>1796</v>
      </c>
      <c r="C1100" s="2" t="s">
        <v>979</v>
      </c>
      <c r="D1100" s="2" t="s">
        <v>1092</v>
      </c>
      <c r="E1100" s="2" t="s">
        <v>1093</v>
      </c>
      <c r="F1100" s="2">
        <v>6650.0</v>
      </c>
      <c r="G1100" s="2">
        <v>3.53</v>
      </c>
      <c r="H1100" s="2">
        <v>1883.9</v>
      </c>
      <c r="I1100" s="2" t="s">
        <v>138</v>
      </c>
    </row>
    <row r="1101" ht="15.75" customHeight="1">
      <c r="A1101" s="2" t="s">
        <v>1797</v>
      </c>
      <c r="B1101" s="2" t="s">
        <v>1798</v>
      </c>
      <c r="C1101" s="2" t="s">
        <v>979</v>
      </c>
      <c r="D1101" s="2" t="s">
        <v>1092</v>
      </c>
      <c r="E1101" s="2" t="s">
        <v>1093</v>
      </c>
      <c r="F1101" s="2">
        <v>8754.0</v>
      </c>
      <c r="G1101" s="2">
        <v>10.69</v>
      </c>
      <c r="H1101" s="2">
        <v>818.9</v>
      </c>
      <c r="I1101" s="2" t="s">
        <v>138</v>
      </c>
    </row>
    <row r="1102" ht="15.75" customHeight="1">
      <c r="A1102" s="2" t="s">
        <v>1799</v>
      </c>
      <c r="B1102" s="2" t="s">
        <v>421</v>
      </c>
      <c r="C1102" s="2" t="s">
        <v>979</v>
      </c>
      <c r="D1102" s="2" t="s">
        <v>968</v>
      </c>
      <c r="E1102" s="2" t="s">
        <v>971</v>
      </c>
      <c r="F1102" s="2">
        <v>431.0</v>
      </c>
      <c r="G1102" s="2">
        <v>2.02</v>
      </c>
      <c r="H1102" s="2">
        <v>213.4</v>
      </c>
      <c r="I1102" s="2" t="s">
        <v>47</v>
      </c>
    </row>
    <row r="1103" ht="15.75" customHeight="1">
      <c r="A1103" s="2" t="s">
        <v>1803</v>
      </c>
      <c r="B1103" s="2" t="s">
        <v>1805</v>
      </c>
      <c r="C1103" s="2" t="s">
        <v>979</v>
      </c>
      <c r="D1103" s="2" t="s">
        <v>1028</v>
      </c>
      <c r="E1103" s="2" t="s">
        <v>1029</v>
      </c>
      <c r="F1103" s="2">
        <v>5616.0</v>
      </c>
      <c r="G1103" s="2">
        <v>15.03</v>
      </c>
      <c r="H1103" s="2">
        <v>373.7</v>
      </c>
      <c r="I1103" s="2" t="s">
        <v>138</v>
      </c>
    </row>
    <row r="1104" ht="15.75" customHeight="1">
      <c r="A1104" s="2" t="s">
        <v>3641</v>
      </c>
      <c r="B1104" s="2" t="s">
        <v>3643</v>
      </c>
      <c r="C1104" s="2" t="s">
        <v>979</v>
      </c>
      <c r="D1104" s="2" t="s">
        <v>826</v>
      </c>
      <c r="E1104" s="2" t="s">
        <v>829</v>
      </c>
      <c r="F1104" s="2">
        <v>464.0</v>
      </c>
      <c r="G1104" s="2">
        <v>9.37</v>
      </c>
      <c r="H1104" s="2">
        <v>49.5</v>
      </c>
      <c r="I1104" s="2" t="s">
        <v>47</v>
      </c>
    </row>
    <row r="1105" ht="15.75" customHeight="1">
      <c r="A1105" s="2" t="s">
        <v>1807</v>
      </c>
      <c r="B1105" s="2" t="s">
        <v>1809</v>
      </c>
      <c r="C1105" s="2" t="s">
        <v>979</v>
      </c>
      <c r="D1105" s="2" t="s">
        <v>968</v>
      </c>
      <c r="E1105" s="2" t="s">
        <v>971</v>
      </c>
      <c r="F1105" s="2">
        <v>2057.0</v>
      </c>
      <c r="G1105" s="2">
        <v>17.6</v>
      </c>
      <c r="H1105" s="2">
        <v>116.9</v>
      </c>
      <c r="I1105" s="2" t="s">
        <v>138</v>
      </c>
    </row>
    <row r="1106" ht="15.75" customHeight="1">
      <c r="A1106" s="2" t="s">
        <v>1810</v>
      </c>
      <c r="B1106" s="2" t="s">
        <v>1812</v>
      </c>
      <c r="C1106" s="2" t="s">
        <v>979</v>
      </c>
      <c r="D1106" s="2" t="s">
        <v>1092</v>
      </c>
      <c r="E1106" s="2" t="s">
        <v>1093</v>
      </c>
      <c r="F1106" s="2">
        <v>21790.0</v>
      </c>
      <c r="G1106" s="2">
        <v>2.69</v>
      </c>
      <c r="H1106" s="2">
        <v>8100.4</v>
      </c>
      <c r="I1106" s="2" t="s">
        <v>805</v>
      </c>
    </row>
    <row r="1107" ht="15.75" customHeight="1">
      <c r="A1107" s="2" t="s">
        <v>1814</v>
      </c>
      <c r="B1107" s="2" t="s">
        <v>1815</v>
      </c>
      <c r="C1107" s="2" t="s">
        <v>979</v>
      </c>
      <c r="D1107" s="2" t="s">
        <v>1045</v>
      </c>
      <c r="E1107" s="2" t="s">
        <v>1046</v>
      </c>
      <c r="F1107" s="2">
        <v>593.0</v>
      </c>
      <c r="G1107" s="2">
        <v>3.96</v>
      </c>
      <c r="H1107" s="2">
        <v>149.7</v>
      </c>
      <c r="I1107" s="2" t="s">
        <v>27</v>
      </c>
    </row>
    <row r="1108" ht="15.75" customHeight="1">
      <c r="A1108" s="2" t="s">
        <v>1818</v>
      </c>
      <c r="B1108" s="2" t="s">
        <v>1819</v>
      </c>
      <c r="C1108" s="2" t="s">
        <v>979</v>
      </c>
      <c r="D1108" s="2" t="s">
        <v>800</v>
      </c>
      <c r="E1108" s="2" t="s">
        <v>801</v>
      </c>
      <c r="F1108" s="2">
        <v>3103.0</v>
      </c>
      <c r="G1108" s="2">
        <v>3.87</v>
      </c>
      <c r="H1108" s="2">
        <v>801.8</v>
      </c>
      <c r="I1108" s="2" t="s">
        <v>138</v>
      </c>
    </row>
    <row r="1109" ht="15.75" customHeight="1">
      <c r="A1109" s="2" t="s">
        <v>1820</v>
      </c>
      <c r="B1109" s="2" t="s">
        <v>1821</v>
      </c>
      <c r="C1109" s="2" t="s">
        <v>979</v>
      </c>
      <c r="D1109" s="2" t="s">
        <v>813</v>
      </c>
      <c r="E1109" s="2" t="s">
        <v>814</v>
      </c>
      <c r="F1109" s="2">
        <v>6287.0</v>
      </c>
      <c r="G1109" s="2">
        <v>5.99</v>
      </c>
      <c r="H1109" s="2">
        <v>1049.6</v>
      </c>
      <c r="I1109" s="2" t="s">
        <v>138</v>
      </c>
    </row>
    <row r="1110" ht="15.75" customHeight="1">
      <c r="A1110" s="2" t="s">
        <v>1823</v>
      </c>
      <c r="B1110" s="2" t="s">
        <v>1825</v>
      </c>
      <c r="C1110" s="2" t="s">
        <v>979</v>
      </c>
      <c r="D1110" s="2" t="s">
        <v>1092</v>
      </c>
      <c r="E1110" s="2" t="s">
        <v>1093</v>
      </c>
      <c r="F1110" s="2">
        <v>27090.0</v>
      </c>
      <c r="G1110" s="2">
        <v>6.07</v>
      </c>
      <c r="H1110" s="2">
        <v>4462.9</v>
      </c>
      <c r="I1110" s="2" t="s">
        <v>805</v>
      </c>
    </row>
    <row r="1111" ht="15.75" customHeight="1">
      <c r="A1111" s="2" t="s">
        <v>1828</v>
      </c>
      <c r="B1111" s="2" t="s">
        <v>1829</v>
      </c>
      <c r="C1111" s="2" t="s">
        <v>979</v>
      </c>
      <c r="D1111" s="2" t="s">
        <v>813</v>
      </c>
      <c r="E1111" s="2" t="s">
        <v>814</v>
      </c>
      <c r="F1111" s="2">
        <v>4883.0</v>
      </c>
      <c r="G1111" s="2">
        <v>8.8</v>
      </c>
      <c r="H1111" s="2">
        <v>554.9</v>
      </c>
      <c r="I1111" s="2" t="s">
        <v>138</v>
      </c>
    </row>
    <row r="1112" ht="15.75" customHeight="1">
      <c r="A1112" s="2" t="s">
        <v>1831</v>
      </c>
      <c r="B1112" s="2" t="s">
        <v>1832</v>
      </c>
      <c r="C1112" s="2" t="s">
        <v>979</v>
      </c>
      <c r="D1112" s="2" t="s">
        <v>1045</v>
      </c>
      <c r="E1112" s="2" t="s">
        <v>1046</v>
      </c>
      <c r="F1112" s="2">
        <v>2518.0</v>
      </c>
      <c r="G1112" s="2">
        <v>11.96</v>
      </c>
      <c r="H1112" s="2">
        <v>210.5</v>
      </c>
      <c r="I1112" s="2" t="s">
        <v>138</v>
      </c>
    </row>
    <row r="1113" ht="15.75" customHeight="1">
      <c r="A1113" s="2" t="s">
        <v>1834</v>
      </c>
      <c r="B1113" s="2" t="s">
        <v>1835</v>
      </c>
      <c r="C1113" s="2" t="s">
        <v>979</v>
      </c>
      <c r="D1113" s="2" t="s">
        <v>968</v>
      </c>
      <c r="E1113" s="2" t="s">
        <v>971</v>
      </c>
      <c r="F1113" s="2">
        <v>3407.0</v>
      </c>
      <c r="G1113" s="2">
        <v>21.65</v>
      </c>
      <c r="H1113" s="2">
        <v>157.4</v>
      </c>
      <c r="I1113" s="2" t="s">
        <v>138</v>
      </c>
    </row>
    <row r="1114" ht="15.75" customHeight="1">
      <c r="A1114" s="2" t="s">
        <v>1836</v>
      </c>
      <c r="B1114" s="2" t="s">
        <v>1837</v>
      </c>
      <c r="C1114" s="2" t="s">
        <v>979</v>
      </c>
      <c r="D1114" s="2" t="s">
        <v>1092</v>
      </c>
      <c r="E1114" s="2" t="s">
        <v>1093</v>
      </c>
      <c r="F1114" s="2">
        <v>1812.0</v>
      </c>
      <c r="G1114" s="2">
        <v>0.18</v>
      </c>
      <c r="H1114" s="2">
        <v>10066.7</v>
      </c>
      <c r="I1114" s="2" t="s">
        <v>27</v>
      </c>
    </row>
    <row r="1115" ht="15.75" customHeight="1">
      <c r="A1115" s="2" t="s">
        <v>1840</v>
      </c>
      <c r="B1115" s="2" t="s">
        <v>1841</v>
      </c>
      <c r="C1115" s="2" t="s">
        <v>979</v>
      </c>
      <c r="D1115" s="2" t="s">
        <v>858</v>
      </c>
      <c r="E1115" s="2" t="s">
        <v>859</v>
      </c>
      <c r="F1115" s="2">
        <v>231.0</v>
      </c>
      <c r="G1115" s="2">
        <v>5.38</v>
      </c>
      <c r="H1115" s="2">
        <v>42.9</v>
      </c>
      <c r="I1115" s="2" t="s">
        <v>47</v>
      </c>
    </row>
    <row r="1116" ht="15.75" customHeight="1">
      <c r="A1116" s="2" t="s">
        <v>1842</v>
      </c>
      <c r="B1116" s="2" t="s">
        <v>1843</v>
      </c>
      <c r="C1116" s="2" t="s">
        <v>979</v>
      </c>
      <c r="D1116" s="2" t="s">
        <v>813</v>
      </c>
      <c r="E1116" s="2" t="s">
        <v>814</v>
      </c>
      <c r="F1116" s="2">
        <v>1608.0</v>
      </c>
      <c r="G1116" s="2">
        <v>3.63</v>
      </c>
      <c r="H1116" s="2">
        <v>443.0</v>
      </c>
      <c r="I1116" s="2" t="s">
        <v>27</v>
      </c>
    </row>
    <row r="1117" ht="15.75" customHeight="1">
      <c r="A1117" s="2" t="s">
        <v>1844</v>
      </c>
      <c r="B1117" s="2" t="s">
        <v>1845</v>
      </c>
      <c r="C1117" s="2" t="s">
        <v>979</v>
      </c>
      <c r="D1117" s="2" t="s">
        <v>826</v>
      </c>
      <c r="E1117" s="2" t="s">
        <v>829</v>
      </c>
      <c r="F1117" s="2">
        <v>6764.0</v>
      </c>
      <c r="G1117" s="2">
        <v>27.22</v>
      </c>
      <c r="H1117" s="2">
        <v>248.5</v>
      </c>
      <c r="I1117" s="2" t="s">
        <v>138</v>
      </c>
    </row>
    <row r="1118" ht="15.75" customHeight="1">
      <c r="A1118" s="2" t="s">
        <v>1846</v>
      </c>
      <c r="B1118" s="2" t="s">
        <v>1847</v>
      </c>
      <c r="C1118" s="2" t="s">
        <v>979</v>
      </c>
      <c r="D1118" s="2" t="s">
        <v>780</v>
      </c>
      <c r="E1118" s="2" t="s">
        <v>782</v>
      </c>
      <c r="F1118" s="2">
        <v>1436.0</v>
      </c>
      <c r="G1118" s="2">
        <v>11.89</v>
      </c>
      <c r="H1118" s="2">
        <v>120.8</v>
      </c>
      <c r="I1118" s="2" t="s">
        <v>27</v>
      </c>
    </row>
    <row r="1119" ht="15.75" customHeight="1">
      <c r="A1119" s="2" t="s">
        <v>3539</v>
      </c>
      <c r="B1119" s="2" t="s">
        <v>3541</v>
      </c>
      <c r="C1119" s="2" t="s">
        <v>979</v>
      </c>
      <c r="D1119" s="2" t="s">
        <v>968</v>
      </c>
      <c r="E1119" s="2" t="s">
        <v>971</v>
      </c>
      <c r="F1119" s="2">
        <v>506.0</v>
      </c>
      <c r="G1119" s="2">
        <v>11.47</v>
      </c>
      <c r="H1119" s="2">
        <v>44.1</v>
      </c>
      <c r="I1119" s="2" t="s">
        <v>27</v>
      </c>
    </row>
    <row r="1120" ht="15.75" customHeight="1">
      <c r="A1120" s="2" t="s">
        <v>1850</v>
      </c>
      <c r="B1120" s="2" t="s">
        <v>1851</v>
      </c>
      <c r="C1120" s="2" t="s">
        <v>979</v>
      </c>
      <c r="D1120" s="2" t="s">
        <v>1092</v>
      </c>
      <c r="E1120" s="2" t="s">
        <v>1093</v>
      </c>
      <c r="F1120" s="2">
        <v>628.0</v>
      </c>
      <c r="G1120" s="2">
        <v>3.51</v>
      </c>
      <c r="H1120" s="2">
        <v>178.9</v>
      </c>
      <c r="I1120" s="2" t="s">
        <v>27</v>
      </c>
    </row>
    <row r="1121" ht="15.75" customHeight="1">
      <c r="A1121" s="2" t="s">
        <v>1852</v>
      </c>
      <c r="B1121" s="2" t="s">
        <v>1853</v>
      </c>
      <c r="C1121" s="2" t="s">
        <v>979</v>
      </c>
      <c r="D1121" s="2" t="s">
        <v>968</v>
      </c>
      <c r="E1121" s="2" t="s">
        <v>971</v>
      </c>
      <c r="F1121" s="2">
        <v>4878.0</v>
      </c>
      <c r="G1121" s="2">
        <v>14.22</v>
      </c>
      <c r="H1121" s="2">
        <v>343.0</v>
      </c>
      <c r="I1121" s="2" t="s">
        <v>138</v>
      </c>
    </row>
    <row r="1122" ht="15.75" customHeight="1">
      <c r="A1122" s="2" t="s">
        <v>1854</v>
      </c>
      <c r="B1122" s="2" t="s">
        <v>1855</v>
      </c>
      <c r="C1122" s="2" t="s">
        <v>979</v>
      </c>
      <c r="D1122" s="2" t="s">
        <v>800</v>
      </c>
      <c r="E1122" s="2" t="s">
        <v>801</v>
      </c>
      <c r="F1122" s="2">
        <v>3046.0</v>
      </c>
      <c r="G1122" s="2">
        <v>16.31</v>
      </c>
      <c r="H1122" s="2">
        <v>186.8</v>
      </c>
      <c r="I1122" s="2" t="s">
        <v>138</v>
      </c>
    </row>
    <row r="1123" ht="15.75" customHeight="1">
      <c r="A1123" s="2" t="s">
        <v>1856</v>
      </c>
      <c r="B1123" s="2" t="s">
        <v>1857</v>
      </c>
      <c r="C1123" s="2" t="s">
        <v>979</v>
      </c>
      <c r="D1123" s="2" t="s">
        <v>911</v>
      </c>
      <c r="E1123" s="2" t="s">
        <v>914</v>
      </c>
      <c r="F1123" s="2">
        <v>703.0</v>
      </c>
      <c r="G1123" s="2">
        <v>8.67</v>
      </c>
      <c r="H1123" s="2">
        <v>81.1</v>
      </c>
      <c r="I1123" s="2" t="s">
        <v>27</v>
      </c>
    </row>
    <row r="1124" ht="15.75" customHeight="1">
      <c r="A1124" s="2" t="s">
        <v>1860</v>
      </c>
      <c r="B1124" s="2" t="s">
        <v>1861</v>
      </c>
      <c r="C1124" s="2" t="s">
        <v>979</v>
      </c>
      <c r="D1124" s="2" t="s">
        <v>911</v>
      </c>
      <c r="E1124" s="2" t="s">
        <v>914</v>
      </c>
      <c r="F1124" s="2">
        <v>611.0</v>
      </c>
      <c r="G1124" s="2">
        <v>7.02</v>
      </c>
      <c r="H1124" s="2">
        <v>87.0</v>
      </c>
      <c r="I1124" s="2" t="s">
        <v>27</v>
      </c>
    </row>
    <row r="1125" ht="15.75" customHeight="1">
      <c r="A1125" s="2" t="s">
        <v>1862</v>
      </c>
      <c r="B1125" s="2" t="s">
        <v>1863</v>
      </c>
      <c r="C1125" s="2" t="s">
        <v>979</v>
      </c>
      <c r="D1125" s="2" t="s">
        <v>1092</v>
      </c>
      <c r="E1125" s="2" t="s">
        <v>1093</v>
      </c>
      <c r="F1125" s="2">
        <v>9521.0</v>
      </c>
      <c r="G1125" s="2">
        <v>5.41</v>
      </c>
      <c r="H1125" s="2">
        <v>1759.9</v>
      </c>
      <c r="I1125" s="2" t="s">
        <v>138</v>
      </c>
    </row>
    <row r="1126" ht="15.75" customHeight="1">
      <c r="A1126" s="2" t="s">
        <v>1866</v>
      </c>
      <c r="B1126" s="2" t="s">
        <v>1867</v>
      </c>
      <c r="C1126" s="2" t="s">
        <v>979</v>
      </c>
      <c r="D1126" s="2" t="s">
        <v>1086</v>
      </c>
      <c r="E1126" s="2" t="s">
        <v>1087</v>
      </c>
      <c r="F1126" s="2">
        <v>4078.0</v>
      </c>
      <c r="G1126" s="2">
        <v>7.19</v>
      </c>
      <c r="H1126" s="2">
        <v>567.2</v>
      </c>
      <c r="I1126" s="2" t="s">
        <v>138</v>
      </c>
    </row>
    <row r="1127" ht="15.75" customHeight="1">
      <c r="A1127" s="2" t="s">
        <v>1868</v>
      </c>
      <c r="B1127" s="2" t="s">
        <v>1869</v>
      </c>
      <c r="C1127" s="2" t="s">
        <v>979</v>
      </c>
      <c r="D1127" s="2" t="s">
        <v>794</v>
      </c>
      <c r="E1127" s="2" t="s">
        <v>795</v>
      </c>
      <c r="F1127" s="2">
        <v>737.0</v>
      </c>
      <c r="G1127" s="2">
        <v>17.7</v>
      </c>
      <c r="H1127" s="2">
        <v>41.6</v>
      </c>
      <c r="I1127" s="2" t="s">
        <v>27</v>
      </c>
    </row>
    <row r="1128" ht="15.75" customHeight="1">
      <c r="A1128" s="2" t="s">
        <v>3786</v>
      </c>
      <c r="B1128" s="2" t="s">
        <v>3788</v>
      </c>
      <c r="C1128" s="2" t="s">
        <v>979</v>
      </c>
      <c r="D1128" s="2" t="s">
        <v>794</v>
      </c>
      <c r="E1128" s="2" t="s">
        <v>795</v>
      </c>
      <c r="F1128" s="2">
        <v>432.0</v>
      </c>
      <c r="G1128" s="2">
        <v>8.44</v>
      </c>
      <c r="H1128" s="2">
        <v>51.2</v>
      </c>
      <c r="I1128" s="2" t="s">
        <v>47</v>
      </c>
    </row>
    <row r="1129" ht="15.75" customHeight="1">
      <c r="A1129" s="2" t="s">
        <v>1870</v>
      </c>
      <c r="B1129" s="2" t="s">
        <v>1871</v>
      </c>
      <c r="C1129" s="2" t="s">
        <v>979</v>
      </c>
      <c r="D1129" s="2" t="s">
        <v>1092</v>
      </c>
      <c r="E1129" s="2" t="s">
        <v>1093</v>
      </c>
      <c r="F1129" s="2">
        <v>9600.0</v>
      </c>
      <c r="G1129" s="2">
        <v>8.47</v>
      </c>
      <c r="H1129" s="2">
        <v>1133.4</v>
      </c>
      <c r="I1129" s="2" t="s">
        <v>138</v>
      </c>
    </row>
    <row r="1130" ht="15.75" customHeight="1">
      <c r="A1130" s="2" t="s">
        <v>1872</v>
      </c>
      <c r="B1130" s="2" t="s">
        <v>1873</v>
      </c>
      <c r="C1130" s="2" t="s">
        <v>979</v>
      </c>
      <c r="D1130" s="2" t="s">
        <v>847</v>
      </c>
      <c r="E1130" s="2" t="s">
        <v>848</v>
      </c>
      <c r="F1130" s="2">
        <v>2474.0</v>
      </c>
      <c r="G1130" s="2">
        <v>5.9</v>
      </c>
      <c r="H1130" s="2">
        <v>419.3</v>
      </c>
      <c r="I1130" s="2" t="s">
        <v>138</v>
      </c>
    </row>
    <row r="1131" ht="15.75" customHeight="1">
      <c r="A1131" s="2" t="s">
        <v>1876</v>
      </c>
      <c r="B1131" s="2" t="s">
        <v>1877</v>
      </c>
      <c r="C1131" s="2" t="s">
        <v>979</v>
      </c>
      <c r="D1131" s="2" t="s">
        <v>778</v>
      </c>
      <c r="E1131" s="2" t="s">
        <v>779</v>
      </c>
      <c r="F1131" s="2">
        <v>2353.0</v>
      </c>
      <c r="G1131" s="2">
        <v>3.9</v>
      </c>
      <c r="H1131" s="2">
        <v>603.3</v>
      </c>
      <c r="I1131" s="2" t="s">
        <v>138</v>
      </c>
    </row>
    <row r="1132" ht="15.75" customHeight="1">
      <c r="A1132" s="2" t="s">
        <v>3790</v>
      </c>
      <c r="B1132" s="2" t="s">
        <v>3792</v>
      </c>
      <c r="C1132" s="2" t="s">
        <v>979</v>
      </c>
      <c r="D1132" s="2" t="s">
        <v>858</v>
      </c>
      <c r="E1132" s="2" t="s">
        <v>859</v>
      </c>
      <c r="F1132" s="2">
        <v>236.0</v>
      </c>
      <c r="G1132" s="2">
        <v>4.46</v>
      </c>
      <c r="H1132" s="2">
        <v>52.9</v>
      </c>
      <c r="I1132" s="2" t="s">
        <v>47</v>
      </c>
    </row>
    <row r="1133" ht="15.75" customHeight="1">
      <c r="A1133" s="2" t="s">
        <v>1879</v>
      </c>
      <c r="B1133" s="2" t="s">
        <v>1881</v>
      </c>
      <c r="C1133" s="2" t="s">
        <v>979</v>
      </c>
      <c r="D1133" s="2" t="s">
        <v>1092</v>
      </c>
      <c r="E1133" s="2" t="s">
        <v>1093</v>
      </c>
      <c r="F1133" s="2">
        <v>2978.0</v>
      </c>
      <c r="G1133" s="2">
        <v>2.15</v>
      </c>
      <c r="H1133" s="2">
        <v>1385.1</v>
      </c>
      <c r="I1133" s="2" t="s">
        <v>138</v>
      </c>
    </row>
    <row r="1134" ht="15.75" customHeight="1">
      <c r="A1134" s="2" t="s">
        <v>1882</v>
      </c>
      <c r="B1134" s="2" t="s">
        <v>1883</v>
      </c>
      <c r="C1134" s="2" t="s">
        <v>979</v>
      </c>
      <c r="D1134" s="2" t="s">
        <v>858</v>
      </c>
      <c r="E1134" s="2" t="s">
        <v>859</v>
      </c>
      <c r="F1134" s="2">
        <v>527.0</v>
      </c>
      <c r="G1134" s="2">
        <v>17.57</v>
      </c>
      <c r="H1134" s="2">
        <v>30.0</v>
      </c>
      <c r="I1134" s="2" t="s">
        <v>27</v>
      </c>
    </row>
    <row r="1135" ht="15.75" customHeight="1">
      <c r="A1135" s="2" t="s">
        <v>1884</v>
      </c>
      <c r="B1135" s="2" t="s">
        <v>1885</v>
      </c>
      <c r="C1135" s="2" t="s">
        <v>979</v>
      </c>
      <c r="D1135" s="2" t="s">
        <v>800</v>
      </c>
      <c r="E1135" s="2" t="s">
        <v>801</v>
      </c>
      <c r="F1135" s="2">
        <v>1462.0</v>
      </c>
      <c r="G1135" s="2">
        <v>5.12</v>
      </c>
      <c r="H1135" s="2">
        <v>285.5</v>
      </c>
      <c r="I1135" s="2" t="s">
        <v>27</v>
      </c>
    </row>
    <row r="1136" ht="15.75" customHeight="1">
      <c r="A1136" s="2" t="s">
        <v>1886</v>
      </c>
      <c r="B1136" s="2" t="s">
        <v>1887</v>
      </c>
      <c r="C1136" s="2" t="s">
        <v>979</v>
      </c>
      <c r="D1136" s="2" t="s">
        <v>826</v>
      </c>
      <c r="E1136" s="2" t="s">
        <v>829</v>
      </c>
      <c r="F1136" s="2">
        <v>1847.0</v>
      </c>
      <c r="G1136" s="2">
        <v>8.88</v>
      </c>
      <c r="H1136" s="2">
        <v>208.0</v>
      </c>
      <c r="I1136" s="2" t="s">
        <v>27</v>
      </c>
    </row>
    <row r="1137" ht="15.75" customHeight="1">
      <c r="A1137" s="2" t="s">
        <v>1890</v>
      </c>
      <c r="B1137" s="2" t="s">
        <v>1891</v>
      </c>
      <c r="C1137" s="2" t="s">
        <v>979</v>
      </c>
      <c r="D1137" s="2" t="s">
        <v>1092</v>
      </c>
      <c r="E1137" s="2" t="s">
        <v>1093</v>
      </c>
      <c r="F1137" s="2">
        <v>238246.0</v>
      </c>
      <c r="G1137" s="2">
        <v>34.75</v>
      </c>
      <c r="H1137" s="2">
        <v>6856.0</v>
      </c>
      <c r="I1137" s="2" t="s">
        <v>3730</v>
      </c>
    </row>
    <row r="1138" ht="15.75" customHeight="1">
      <c r="A1138" s="2" t="s">
        <v>1892</v>
      </c>
      <c r="B1138" s="2" t="s">
        <v>1893</v>
      </c>
      <c r="C1138" s="2" t="s">
        <v>979</v>
      </c>
      <c r="D1138" s="2" t="s">
        <v>847</v>
      </c>
      <c r="E1138" s="2" t="s">
        <v>848</v>
      </c>
      <c r="F1138" s="2">
        <v>525.0</v>
      </c>
      <c r="G1138" s="2">
        <v>6.8</v>
      </c>
      <c r="H1138" s="2">
        <v>77.2</v>
      </c>
      <c r="I1138" s="2" t="s">
        <v>27</v>
      </c>
    </row>
    <row r="1139" ht="15.75" customHeight="1">
      <c r="A1139" s="2" t="s">
        <v>1896</v>
      </c>
      <c r="B1139" s="2" t="s">
        <v>1897</v>
      </c>
      <c r="C1139" s="2" t="s">
        <v>979</v>
      </c>
      <c r="D1139" s="2" t="s">
        <v>1092</v>
      </c>
      <c r="E1139" s="2" t="s">
        <v>1093</v>
      </c>
      <c r="F1139" s="2">
        <v>8161.0</v>
      </c>
      <c r="G1139" s="2">
        <v>11.7</v>
      </c>
      <c r="H1139" s="2">
        <v>697.5</v>
      </c>
      <c r="I1139" s="2" t="s">
        <v>138</v>
      </c>
    </row>
    <row r="1140" ht="15.75" customHeight="1">
      <c r="A1140" s="2" t="s">
        <v>3811</v>
      </c>
      <c r="B1140" s="2" t="s">
        <v>3812</v>
      </c>
      <c r="C1140" s="2" t="s">
        <v>979</v>
      </c>
      <c r="D1140" s="2" t="s">
        <v>968</v>
      </c>
      <c r="E1140" s="2" t="s">
        <v>971</v>
      </c>
      <c r="F1140" s="2">
        <v>301.0</v>
      </c>
      <c r="G1140" s="2">
        <v>97.47</v>
      </c>
      <c r="H1140" s="2">
        <v>3.1</v>
      </c>
      <c r="I1140" s="2" t="s">
        <v>47</v>
      </c>
    </row>
    <row r="1141" ht="15.75" customHeight="1">
      <c r="A1141" s="2" t="s">
        <v>1900</v>
      </c>
      <c r="B1141" s="2" t="s">
        <v>1901</v>
      </c>
      <c r="C1141" s="2" t="s">
        <v>979</v>
      </c>
      <c r="D1141" s="2" t="s">
        <v>778</v>
      </c>
      <c r="E1141" s="2" t="s">
        <v>779</v>
      </c>
      <c r="F1141" s="2">
        <v>712.0</v>
      </c>
      <c r="G1141" s="2">
        <v>2.61</v>
      </c>
      <c r="H1141" s="2">
        <v>272.8</v>
      </c>
      <c r="I1141" s="2" t="s">
        <v>27</v>
      </c>
    </row>
    <row r="1142" ht="15.75" customHeight="1">
      <c r="A1142" s="2" t="s">
        <v>1904</v>
      </c>
      <c r="B1142" s="2" t="s">
        <v>1905</v>
      </c>
      <c r="C1142" s="2" t="s">
        <v>979</v>
      </c>
      <c r="D1142" s="2" t="s">
        <v>1092</v>
      </c>
      <c r="E1142" s="2" t="s">
        <v>1093</v>
      </c>
      <c r="F1142" s="2">
        <v>2155.0</v>
      </c>
      <c r="G1142" s="2">
        <v>3.1</v>
      </c>
      <c r="H1142" s="2">
        <v>695.2</v>
      </c>
      <c r="I1142" s="2" t="s">
        <v>138</v>
      </c>
    </row>
    <row r="1143" ht="15.75" customHeight="1">
      <c r="A1143" s="2" t="s">
        <v>1907</v>
      </c>
      <c r="B1143" s="2" t="s">
        <v>1909</v>
      </c>
      <c r="C1143" s="2" t="s">
        <v>979</v>
      </c>
      <c r="D1143" s="2" t="s">
        <v>911</v>
      </c>
      <c r="E1143" s="2" t="s">
        <v>914</v>
      </c>
      <c r="F1143" s="2">
        <v>1228.0</v>
      </c>
      <c r="G1143" s="2">
        <v>19.5</v>
      </c>
      <c r="H1143" s="2">
        <v>63.0</v>
      </c>
      <c r="I1143" s="2" t="s">
        <v>27</v>
      </c>
    </row>
    <row r="1144" ht="15.75" customHeight="1">
      <c r="A1144" s="2" t="s">
        <v>1910</v>
      </c>
      <c r="B1144" s="2" t="s">
        <v>1911</v>
      </c>
      <c r="C1144" s="2" t="s">
        <v>979</v>
      </c>
      <c r="D1144" s="2" t="s">
        <v>1086</v>
      </c>
      <c r="E1144" s="2" t="s">
        <v>1087</v>
      </c>
      <c r="F1144" s="2">
        <v>5952.0</v>
      </c>
      <c r="G1144" s="2">
        <v>42.3</v>
      </c>
      <c r="H1144" s="2">
        <v>140.7</v>
      </c>
      <c r="I1144" s="2" t="s">
        <v>138</v>
      </c>
    </row>
    <row r="1145" ht="15.75" customHeight="1">
      <c r="A1145" s="2" t="s">
        <v>1914</v>
      </c>
      <c r="B1145" s="2" t="s">
        <v>1915</v>
      </c>
      <c r="C1145" s="2" t="s">
        <v>979</v>
      </c>
      <c r="D1145" s="2" t="s">
        <v>1092</v>
      </c>
      <c r="E1145" s="2" t="s">
        <v>1093</v>
      </c>
      <c r="F1145" s="2">
        <v>22567.0</v>
      </c>
      <c r="G1145" s="2">
        <v>6.9</v>
      </c>
      <c r="H1145" s="2">
        <v>3270.6</v>
      </c>
      <c r="I1145" s="2" t="s">
        <v>805</v>
      </c>
    </row>
    <row r="1146" ht="15.75" customHeight="1">
      <c r="A1146" s="2" t="s">
        <v>1918</v>
      </c>
      <c r="B1146" s="2" t="s">
        <v>1919</v>
      </c>
      <c r="C1146" s="2" t="s">
        <v>979</v>
      </c>
      <c r="D1146" s="2" t="s">
        <v>800</v>
      </c>
      <c r="E1146" s="2" t="s">
        <v>801</v>
      </c>
      <c r="F1146" s="2">
        <v>3734.0</v>
      </c>
      <c r="G1146" s="2">
        <v>2.66</v>
      </c>
      <c r="H1146" s="2">
        <v>1403.8</v>
      </c>
      <c r="I1146" s="2" t="s">
        <v>138</v>
      </c>
    </row>
    <row r="1147" ht="15.75" customHeight="1">
      <c r="A1147" s="2" t="s">
        <v>1920</v>
      </c>
      <c r="B1147" s="2" t="s">
        <v>1921</v>
      </c>
      <c r="C1147" s="2" t="s">
        <v>979</v>
      </c>
      <c r="D1147" s="2" t="s">
        <v>968</v>
      </c>
      <c r="E1147" s="2" t="s">
        <v>971</v>
      </c>
      <c r="F1147" s="2">
        <v>899.0</v>
      </c>
      <c r="G1147" s="2">
        <v>8.39</v>
      </c>
      <c r="H1147" s="2">
        <v>107.2</v>
      </c>
      <c r="I1147" s="2" t="s">
        <v>27</v>
      </c>
    </row>
    <row r="1148" ht="15.75" customHeight="1">
      <c r="A1148" s="2" t="s">
        <v>3830</v>
      </c>
      <c r="B1148" s="2" t="s">
        <v>3832</v>
      </c>
      <c r="C1148" s="2" t="s">
        <v>979</v>
      </c>
      <c r="D1148" s="2" t="s">
        <v>1045</v>
      </c>
      <c r="E1148" s="2" t="s">
        <v>1046</v>
      </c>
      <c r="F1148" s="2">
        <v>922.0</v>
      </c>
      <c r="G1148" s="2">
        <v>2.52</v>
      </c>
      <c r="H1148" s="2">
        <v>365.9</v>
      </c>
      <c r="I1148" s="2" t="s">
        <v>27</v>
      </c>
    </row>
    <row r="1149" ht="15.75" customHeight="1">
      <c r="A1149" s="2" t="s">
        <v>1924</v>
      </c>
      <c r="B1149" s="2" t="s">
        <v>1925</v>
      </c>
      <c r="C1149" s="2" t="s">
        <v>979</v>
      </c>
      <c r="D1149" s="2" t="s">
        <v>847</v>
      </c>
      <c r="E1149" s="2" t="s">
        <v>848</v>
      </c>
      <c r="F1149" s="2">
        <v>6294.0</v>
      </c>
      <c r="G1149" s="2">
        <v>5.96</v>
      </c>
      <c r="H1149" s="2">
        <v>1056.0</v>
      </c>
      <c r="I1149" s="2" t="s">
        <v>138</v>
      </c>
    </row>
    <row r="1150" ht="15.75" customHeight="1">
      <c r="A1150" s="2" t="s">
        <v>1928</v>
      </c>
      <c r="B1150" s="2" t="s">
        <v>1929</v>
      </c>
      <c r="C1150" s="2" t="s">
        <v>979</v>
      </c>
      <c r="D1150" s="2" t="s">
        <v>780</v>
      </c>
      <c r="E1150" s="2" t="s">
        <v>782</v>
      </c>
      <c r="F1150" s="2">
        <v>783.0</v>
      </c>
      <c r="G1150" s="2">
        <v>9.08</v>
      </c>
      <c r="H1150" s="2">
        <v>86.2</v>
      </c>
      <c r="I1150" s="2" t="s">
        <v>27</v>
      </c>
    </row>
    <row r="1151" ht="15.75" customHeight="1">
      <c r="A1151" s="2" t="s">
        <v>1932</v>
      </c>
      <c r="B1151" s="2" t="s">
        <v>1933</v>
      </c>
      <c r="C1151" s="2" t="s">
        <v>979</v>
      </c>
      <c r="D1151" s="2" t="s">
        <v>1092</v>
      </c>
      <c r="E1151" s="2" t="s">
        <v>1093</v>
      </c>
      <c r="F1151" s="2">
        <v>14050.0</v>
      </c>
      <c r="G1151" s="2">
        <v>3.27</v>
      </c>
      <c r="H1151" s="2">
        <v>4296.6</v>
      </c>
      <c r="I1151" s="2" t="s">
        <v>805</v>
      </c>
    </row>
    <row r="1152" ht="15.75" customHeight="1">
      <c r="A1152" s="2" t="s">
        <v>1934</v>
      </c>
      <c r="B1152" s="2" t="s">
        <v>1935</v>
      </c>
      <c r="C1152" s="2" t="s">
        <v>979</v>
      </c>
      <c r="D1152" s="2" t="s">
        <v>813</v>
      </c>
      <c r="E1152" s="2" t="s">
        <v>814</v>
      </c>
      <c r="F1152" s="2">
        <v>1346.0</v>
      </c>
      <c r="G1152" s="2">
        <v>4.92</v>
      </c>
      <c r="H1152" s="2">
        <v>273.6</v>
      </c>
      <c r="I1152" s="2" t="s">
        <v>27</v>
      </c>
    </row>
    <row r="1153" ht="15.75" customHeight="1">
      <c r="A1153" s="2" t="s">
        <v>1936</v>
      </c>
      <c r="B1153" s="2" t="s">
        <v>1937</v>
      </c>
      <c r="C1153" s="2" t="s">
        <v>979</v>
      </c>
      <c r="D1153" s="2" t="s">
        <v>850</v>
      </c>
      <c r="E1153" s="2" t="s">
        <v>852</v>
      </c>
      <c r="F1153" s="2">
        <v>3954.0</v>
      </c>
      <c r="G1153" s="2">
        <v>11.67</v>
      </c>
      <c r="H1153" s="2">
        <v>338.8</v>
      </c>
      <c r="I1153" s="2" t="s">
        <v>138</v>
      </c>
    </row>
    <row r="1154" ht="15.75" customHeight="1">
      <c r="A1154" s="2" t="s">
        <v>1940</v>
      </c>
      <c r="B1154" s="2" t="s">
        <v>1941</v>
      </c>
      <c r="C1154" s="2" t="s">
        <v>979</v>
      </c>
      <c r="D1154" s="2" t="s">
        <v>847</v>
      </c>
      <c r="E1154" s="2" t="s">
        <v>848</v>
      </c>
      <c r="F1154" s="2">
        <v>699.0</v>
      </c>
      <c r="G1154" s="2">
        <v>6.57</v>
      </c>
      <c r="H1154" s="2">
        <v>106.4</v>
      </c>
      <c r="I1154" s="2" t="s">
        <v>27</v>
      </c>
    </row>
    <row r="1155" ht="15.75" customHeight="1">
      <c r="A1155" s="2" t="s">
        <v>3845</v>
      </c>
      <c r="B1155" s="2" t="s">
        <v>3846</v>
      </c>
      <c r="C1155" s="2" t="s">
        <v>979</v>
      </c>
      <c r="D1155" s="2" t="s">
        <v>826</v>
      </c>
      <c r="E1155" s="2" t="s">
        <v>829</v>
      </c>
      <c r="F1155" s="2">
        <v>498.0</v>
      </c>
      <c r="G1155" s="2">
        <v>10.27</v>
      </c>
      <c r="H1155" s="2">
        <v>48.5</v>
      </c>
      <c r="I1155" s="2" t="s">
        <v>47</v>
      </c>
    </row>
    <row r="1156" ht="15.75" customHeight="1">
      <c r="A1156" s="2" t="s">
        <v>3849</v>
      </c>
      <c r="B1156" s="2" t="s">
        <v>3850</v>
      </c>
      <c r="C1156" s="2" t="s">
        <v>979</v>
      </c>
      <c r="D1156" s="2" t="s">
        <v>858</v>
      </c>
      <c r="E1156" s="2" t="s">
        <v>859</v>
      </c>
      <c r="F1156" s="2">
        <v>461.0</v>
      </c>
      <c r="G1156" s="2">
        <v>6.61</v>
      </c>
      <c r="H1156" s="2">
        <v>69.7</v>
      </c>
      <c r="I1156" s="2" t="s">
        <v>47</v>
      </c>
    </row>
    <row r="1157" ht="15.75" customHeight="1">
      <c r="A1157" s="2" t="s">
        <v>1944</v>
      </c>
      <c r="B1157" s="2" t="s">
        <v>1945</v>
      </c>
      <c r="C1157" s="2" t="s">
        <v>979</v>
      </c>
      <c r="D1157" s="2" t="s">
        <v>778</v>
      </c>
      <c r="E1157" s="2" t="s">
        <v>779</v>
      </c>
      <c r="F1157" s="2">
        <v>4507.0</v>
      </c>
      <c r="G1157" s="2">
        <v>21.45</v>
      </c>
      <c r="H1157" s="2">
        <v>210.1</v>
      </c>
      <c r="I1157" s="2" t="s">
        <v>138</v>
      </c>
    </row>
    <row r="1158" ht="15.75" customHeight="1">
      <c r="A1158" s="2" t="s">
        <v>1946</v>
      </c>
      <c r="B1158" s="2" t="s">
        <v>1947</v>
      </c>
      <c r="C1158" s="2" t="s">
        <v>979</v>
      </c>
      <c r="D1158" s="2" t="s">
        <v>794</v>
      </c>
      <c r="E1158" s="2" t="s">
        <v>795</v>
      </c>
      <c r="F1158" s="2">
        <v>1841.0</v>
      </c>
      <c r="G1158" s="2">
        <v>15.07</v>
      </c>
      <c r="H1158" s="2">
        <v>122.2</v>
      </c>
      <c r="I1158" s="2" t="s">
        <v>27</v>
      </c>
    </row>
    <row r="1159" ht="15.75" customHeight="1">
      <c r="A1159" s="2" t="s">
        <v>1948</v>
      </c>
      <c r="B1159" s="2" t="s">
        <v>1949</v>
      </c>
      <c r="C1159" s="2" t="s">
        <v>979</v>
      </c>
      <c r="D1159" s="2" t="s">
        <v>1092</v>
      </c>
      <c r="E1159" s="2" t="s">
        <v>1093</v>
      </c>
      <c r="F1159" s="2">
        <v>40184.0</v>
      </c>
      <c r="G1159" s="2">
        <v>13.97</v>
      </c>
      <c r="H1159" s="2">
        <v>2876.4</v>
      </c>
      <c r="I1159" s="2" t="s">
        <v>805</v>
      </c>
    </row>
    <row r="1160" ht="15.75" customHeight="1">
      <c r="A1160" s="2" t="s">
        <v>1952</v>
      </c>
      <c r="B1160" s="2" t="s">
        <v>1953</v>
      </c>
      <c r="C1160" s="2" t="s">
        <v>979</v>
      </c>
      <c r="D1160" s="2" t="s">
        <v>813</v>
      </c>
      <c r="E1160" s="2" t="s">
        <v>814</v>
      </c>
      <c r="F1160" s="2">
        <v>741.0</v>
      </c>
      <c r="G1160" s="2">
        <v>6.21</v>
      </c>
      <c r="H1160" s="2">
        <v>119.3</v>
      </c>
      <c r="I1160" s="2" t="s">
        <v>27</v>
      </c>
    </row>
    <row r="1161" ht="15.75" customHeight="1">
      <c r="A1161" s="2" t="s">
        <v>1956</v>
      </c>
      <c r="B1161" s="2" t="s">
        <v>1957</v>
      </c>
      <c r="C1161" s="2" t="s">
        <v>979</v>
      </c>
      <c r="D1161" s="2" t="s">
        <v>968</v>
      </c>
      <c r="E1161" s="2" t="s">
        <v>971</v>
      </c>
      <c r="F1161" s="2">
        <v>808.0</v>
      </c>
      <c r="G1161" s="2">
        <v>4.79</v>
      </c>
      <c r="H1161" s="2">
        <v>168.7</v>
      </c>
      <c r="I1161" s="2" t="s">
        <v>27</v>
      </c>
    </row>
    <row r="1162" ht="15.75" customHeight="1">
      <c r="A1162" s="2" t="s">
        <v>1958</v>
      </c>
      <c r="B1162" s="2" t="s">
        <v>1959</v>
      </c>
      <c r="C1162" s="2" t="s">
        <v>979</v>
      </c>
      <c r="D1162" s="2" t="s">
        <v>826</v>
      </c>
      <c r="E1162" s="2" t="s">
        <v>829</v>
      </c>
      <c r="F1162" s="2">
        <v>1402.0</v>
      </c>
      <c r="G1162" s="2">
        <v>11.24</v>
      </c>
      <c r="H1162" s="2">
        <v>124.7</v>
      </c>
      <c r="I1162" s="2" t="s">
        <v>27</v>
      </c>
    </row>
    <row r="1163" ht="15.75" customHeight="1">
      <c r="A1163" s="2" t="s">
        <v>1962</v>
      </c>
      <c r="B1163" s="2" t="s">
        <v>1963</v>
      </c>
      <c r="C1163" s="2" t="s">
        <v>979</v>
      </c>
      <c r="D1163" s="2" t="s">
        <v>850</v>
      </c>
      <c r="E1163" s="2" t="s">
        <v>852</v>
      </c>
      <c r="F1163" s="2">
        <v>11995.0</v>
      </c>
      <c r="G1163" s="2">
        <v>8.03</v>
      </c>
      <c r="H1163" s="2">
        <v>1493.8</v>
      </c>
      <c r="I1163" s="2" t="s">
        <v>805</v>
      </c>
    </row>
    <row r="1164" ht="15.75" customHeight="1">
      <c r="A1164" s="2" t="s">
        <v>1965</v>
      </c>
      <c r="B1164" s="2" t="s">
        <v>1967</v>
      </c>
      <c r="C1164" s="2" t="s">
        <v>979</v>
      </c>
      <c r="D1164" s="2" t="s">
        <v>968</v>
      </c>
      <c r="E1164" s="2" t="s">
        <v>971</v>
      </c>
      <c r="F1164" s="2">
        <v>1454.0</v>
      </c>
      <c r="G1164" s="2">
        <v>22.05</v>
      </c>
      <c r="H1164" s="2">
        <v>65.9</v>
      </c>
      <c r="I1164" s="2" t="s">
        <v>27</v>
      </c>
    </row>
    <row r="1165" ht="15.75" customHeight="1">
      <c r="A1165" s="2" t="s">
        <v>1968</v>
      </c>
      <c r="B1165" s="2" t="s">
        <v>1969</v>
      </c>
      <c r="C1165" s="2" t="s">
        <v>979</v>
      </c>
      <c r="D1165" s="2" t="s">
        <v>847</v>
      </c>
      <c r="E1165" s="2" t="s">
        <v>848</v>
      </c>
      <c r="F1165" s="2">
        <v>2653.0</v>
      </c>
      <c r="G1165" s="2">
        <v>4.82</v>
      </c>
      <c r="H1165" s="2">
        <v>550.4</v>
      </c>
      <c r="I1165" s="2" t="s">
        <v>138</v>
      </c>
    </row>
    <row r="1166" ht="15.75" customHeight="1">
      <c r="A1166" s="2" t="s">
        <v>1970</v>
      </c>
      <c r="B1166" s="2" t="s">
        <v>1971</v>
      </c>
      <c r="C1166" s="2" t="s">
        <v>979</v>
      </c>
      <c r="D1166" s="2" t="s">
        <v>800</v>
      </c>
      <c r="E1166" s="2" t="s">
        <v>801</v>
      </c>
      <c r="F1166" s="2">
        <v>1943.0</v>
      </c>
      <c r="G1166" s="2">
        <v>7.48</v>
      </c>
      <c r="H1166" s="2">
        <v>259.8</v>
      </c>
      <c r="I1166" s="2" t="s">
        <v>27</v>
      </c>
    </row>
    <row r="1167" ht="15.75" customHeight="1">
      <c r="A1167" s="2" t="s">
        <v>1972</v>
      </c>
      <c r="B1167" s="2" t="s">
        <v>1973</v>
      </c>
      <c r="C1167" s="2" t="s">
        <v>979</v>
      </c>
      <c r="D1167" s="2" t="s">
        <v>1092</v>
      </c>
      <c r="E1167" s="2" t="s">
        <v>1093</v>
      </c>
      <c r="F1167" s="2">
        <v>12622.0</v>
      </c>
      <c r="G1167" s="2">
        <v>4.85</v>
      </c>
      <c r="H1167" s="2">
        <v>2602.5</v>
      </c>
      <c r="I1167" s="2" t="s">
        <v>805</v>
      </c>
    </row>
    <row r="1168" ht="15.75" customHeight="1">
      <c r="A1168" s="2" t="s">
        <v>1976</v>
      </c>
      <c r="B1168" s="2" t="s">
        <v>1977</v>
      </c>
      <c r="C1168" s="2" t="s">
        <v>979</v>
      </c>
      <c r="D1168" s="2" t="s">
        <v>1092</v>
      </c>
      <c r="E1168" s="2" t="s">
        <v>1093</v>
      </c>
      <c r="F1168" s="2">
        <v>1961.0</v>
      </c>
      <c r="G1168" s="2">
        <v>6.81</v>
      </c>
      <c r="H1168" s="2">
        <v>288.0</v>
      </c>
      <c r="I1168" s="2" t="s">
        <v>27</v>
      </c>
    </row>
    <row r="1169" ht="15.75" customHeight="1">
      <c r="A1169" s="2" t="s">
        <v>1980</v>
      </c>
      <c r="B1169" s="2" t="s">
        <v>1981</v>
      </c>
      <c r="C1169" s="2" t="s">
        <v>979</v>
      </c>
      <c r="D1169" s="2" t="s">
        <v>794</v>
      </c>
      <c r="E1169" s="2" t="s">
        <v>795</v>
      </c>
      <c r="F1169" s="2">
        <v>2689.0</v>
      </c>
      <c r="G1169" s="2">
        <v>11.0</v>
      </c>
      <c r="H1169" s="2">
        <v>244.5</v>
      </c>
      <c r="I1169" s="2" t="s">
        <v>138</v>
      </c>
    </row>
    <row r="1170" ht="15.75" customHeight="1">
      <c r="A1170" s="2" t="s">
        <v>1982</v>
      </c>
      <c r="B1170" s="2" t="s">
        <v>1985</v>
      </c>
      <c r="C1170" s="2" t="s">
        <v>979</v>
      </c>
      <c r="D1170" s="2" t="s">
        <v>778</v>
      </c>
      <c r="E1170" s="2" t="s">
        <v>779</v>
      </c>
      <c r="F1170" s="2">
        <v>3999.0</v>
      </c>
      <c r="G1170" s="2">
        <v>7.11</v>
      </c>
      <c r="H1170" s="2">
        <v>562.4</v>
      </c>
      <c r="I1170" s="2" t="s">
        <v>138</v>
      </c>
    </row>
    <row r="1171" ht="15.75" customHeight="1">
      <c r="A1171" s="2" t="s">
        <v>1987</v>
      </c>
      <c r="B1171" s="2" t="s">
        <v>1989</v>
      </c>
      <c r="C1171" s="2" t="s">
        <v>979</v>
      </c>
      <c r="D1171" s="2" t="s">
        <v>800</v>
      </c>
      <c r="E1171" s="2" t="s">
        <v>801</v>
      </c>
      <c r="F1171" s="2">
        <v>911.0</v>
      </c>
      <c r="G1171" s="2">
        <v>6.23</v>
      </c>
      <c r="H1171" s="2">
        <v>146.2</v>
      </c>
      <c r="I1171" s="2" t="s">
        <v>27</v>
      </c>
    </row>
    <row r="1172" ht="15.75" customHeight="1">
      <c r="A1172" s="2" t="s">
        <v>1990</v>
      </c>
      <c r="B1172" s="2" t="s">
        <v>1993</v>
      </c>
      <c r="C1172" s="2" t="s">
        <v>979</v>
      </c>
      <c r="D1172" s="2" t="s">
        <v>847</v>
      </c>
      <c r="E1172" s="2" t="s">
        <v>848</v>
      </c>
      <c r="F1172" s="2">
        <v>28767.0</v>
      </c>
      <c r="G1172" s="2">
        <v>18.86</v>
      </c>
      <c r="H1172" s="2">
        <v>1525.3</v>
      </c>
      <c r="I1172" s="2" t="s">
        <v>805</v>
      </c>
    </row>
    <row r="1173" ht="15.75" customHeight="1">
      <c r="A1173" s="2" t="s">
        <v>1994</v>
      </c>
      <c r="B1173" s="2" t="s">
        <v>1995</v>
      </c>
      <c r="C1173" s="2" t="s">
        <v>979</v>
      </c>
      <c r="D1173" s="2" t="s">
        <v>800</v>
      </c>
      <c r="E1173" s="2" t="s">
        <v>801</v>
      </c>
      <c r="F1173" s="2">
        <v>949.0</v>
      </c>
      <c r="G1173" s="2">
        <v>5.15</v>
      </c>
      <c r="H1173" s="2">
        <v>184.3</v>
      </c>
      <c r="I1173" s="2" t="s">
        <v>27</v>
      </c>
    </row>
    <row r="1174" ht="15.75" customHeight="1">
      <c r="A1174" s="2" t="s">
        <v>1997</v>
      </c>
      <c r="B1174" s="2" t="s">
        <v>1998</v>
      </c>
      <c r="C1174" s="2" t="s">
        <v>979</v>
      </c>
      <c r="D1174" s="2" t="s">
        <v>826</v>
      </c>
      <c r="E1174" s="2" t="s">
        <v>829</v>
      </c>
      <c r="F1174" s="2">
        <v>405.0</v>
      </c>
      <c r="G1174" s="2">
        <v>2.1</v>
      </c>
      <c r="H1174" s="2">
        <v>192.9</v>
      </c>
      <c r="I1174" s="2" t="s">
        <v>47</v>
      </c>
    </row>
    <row r="1175" ht="15.75" customHeight="1">
      <c r="A1175" s="2" t="s">
        <v>2001</v>
      </c>
      <c r="B1175" s="2" t="s">
        <v>2003</v>
      </c>
      <c r="C1175" s="2" t="s">
        <v>979</v>
      </c>
      <c r="D1175" s="2" t="s">
        <v>826</v>
      </c>
      <c r="E1175" s="2" t="s">
        <v>829</v>
      </c>
      <c r="F1175" s="2">
        <v>279.0</v>
      </c>
      <c r="G1175" s="2">
        <v>8.99</v>
      </c>
      <c r="H1175" s="2">
        <v>31.0</v>
      </c>
      <c r="I1175" s="2" t="s">
        <v>47</v>
      </c>
    </row>
    <row r="1176" ht="15.75" customHeight="1">
      <c r="A1176" s="2" t="s">
        <v>2005</v>
      </c>
      <c r="B1176" s="2" t="s">
        <v>2007</v>
      </c>
      <c r="C1176" s="2" t="s">
        <v>979</v>
      </c>
      <c r="D1176" s="2" t="s">
        <v>968</v>
      </c>
      <c r="E1176" s="2" t="s">
        <v>971</v>
      </c>
      <c r="F1176" s="2">
        <v>695.0</v>
      </c>
      <c r="G1176" s="2">
        <v>4.75</v>
      </c>
      <c r="H1176" s="2">
        <v>146.3</v>
      </c>
      <c r="I1176" s="2" t="s">
        <v>27</v>
      </c>
    </row>
    <row r="1177" ht="15.75" customHeight="1">
      <c r="A1177" s="2" t="s">
        <v>2008</v>
      </c>
      <c r="B1177" s="2" t="s">
        <v>2009</v>
      </c>
      <c r="C1177" s="2" t="s">
        <v>979</v>
      </c>
      <c r="D1177" s="2" t="s">
        <v>911</v>
      </c>
      <c r="E1177" s="2" t="s">
        <v>914</v>
      </c>
      <c r="F1177" s="2">
        <v>615.0</v>
      </c>
      <c r="G1177" s="2">
        <v>10.72</v>
      </c>
      <c r="H1177" s="2">
        <v>57.4</v>
      </c>
      <c r="I1177" s="2" t="s">
        <v>27</v>
      </c>
    </row>
    <row r="1178" ht="15.75" customHeight="1">
      <c r="A1178" s="2" t="s">
        <v>2011</v>
      </c>
      <c r="B1178" s="2" t="s">
        <v>2013</v>
      </c>
      <c r="C1178" s="2" t="s">
        <v>979</v>
      </c>
      <c r="D1178" s="2" t="s">
        <v>780</v>
      </c>
      <c r="E1178" s="2" t="s">
        <v>782</v>
      </c>
      <c r="F1178" s="2">
        <v>1106.0</v>
      </c>
      <c r="G1178" s="2">
        <v>10.14</v>
      </c>
      <c r="H1178" s="2">
        <v>109.1</v>
      </c>
      <c r="I1178" s="2" t="s">
        <v>27</v>
      </c>
    </row>
    <row r="1179" ht="15.75" customHeight="1">
      <c r="A1179" s="2" t="s">
        <v>2014</v>
      </c>
      <c r="B1179" s="2" t="s">
        <v>2016</v>
      </c>
      <c r="C1179" s="2" t="s">
        <v>979</v>
      </c>
      <c r="D1179" s="2" t="s">
        <v>1028</v>
      </c>
      <c r="E1179" s="2" t="s">
        <v>1029</v>
      </c>
      <c r="F1179" s="2">
        <v>9808.0</v>
      </c>
      <c r="G1179" s="2">
        <v>27.0</v>
      </c>
      <c r="H1179" s="2">
        <v>363.3</v>
      </c>
      <c r="I1179" s="2" t="s">
        <v>138</v>
      </c>
    </row>
    <row r="1180" ht="15.75" customHeight="1">
      <c r="A1180" s="2" t="s">
        <v>2018</v>
      </c>
      <c r="B1180" s="2" t="s">
        <v>2019</v>
      </c>
      <c r="C1180" s="2" t="s">
        <v>979</v>
      </c>
      <c r="D1180" s="2" t="s">
        <v>911</v>
      </c>
      <c r="E1180" s="2" t="s">
        <v>914</v>
      </c>
      <c r="F1180" s="2">
        <v>838.0</v>
      </c>
      <c r="G1180" s="2">
        <v>12.33</v>
      </c>
      <c r="H1180" s="2">
        <v>68.0</v>
      </c>
      <c r="I1180" s="2" t="s">
        <v>27</v>
      </c>
    </row>
    <row r="1181" ht="15.75" customHeight="1">
      <c r="A1181" s="2" t="s">
        <v>2022</v>
      </c>
      <c r="B1181" s="2" t="s">
        <v>2023</v>
      </c>
      <c r="C1181" s="2" t="s">
        <v>979</v>
      </c>
      <c r="D1181" s="2" t="s">
        <v>800</v>
      </c>
      <c r="E1181" s="2" t="s">
        <v>801</v>
      </c>
      <c r="F1181" s="2">
        <v>705.0</v>
      </c>
      <c r="G1181" s="2">
        <v>3.47</v>
      </c>
      <c r="H1181" s="2">
        <v>203.2</v>
      </c>
      <c r="I1181" s="2" t="s">
        <v>27</v>
      </c>
    </row>
    <row r="1182" ht="15.75" customHeight="1">
      <c r="A1182" s="2" t="s">
        <v>2024</v>
      </c>
      <c r="B1182" s="2" t="s">
        <v>2025</v>
      </c>
      <c r="C1182" s="2" t="s">
        <v>979</v>
      </c>
      <c r="D1182" s="2" t="s">
        <v>847</v>
      </c>
      <c r="E1182" s="2" t="s">
        <v>848</v>
      </c>
      <c r="F1182" s="2">
        <v>419.0</v>
      </c>
      <c r="G1182" s="2">
        <v>5.96</v>
      </c>
      <c r="H1182" s="2">
        <v>70.3</v>
      </c>
      <c r="I1182" s="2" t="s">
        <v>47</v>
      </c>
    </row>
    <row r="1183" ht="15.75" customHeight="1">
      <c r="A1183" s="2" t="s">
        <v>2026</v>
      </c>
      <c r="B1183" s="2" t="s">
        <v>2027</v>
      </c>
      <c r="C1183" s="2" t="s">
        <v>979</v>
      </c>
      <c r="D1183" s="2" t="s">
        <v>850</v>
      </c>
      <c r="E1183" s="2" t="s">
        <v>852</v>
      </c>
      <c r="F1183" s="2">
        <v>616.0</v>
      </c>
      <c r="G1183" s="2">
        <v>4.5</v>
      </c>
      <c r="H1183" s="2">
        <v>136.9</v>
      </c>
      <c r="I1183" s="2" t="s">
        <v>27</v>
      </c>
    </row>
    <row r="1184" ht="15.75" customHeight="1">
      <c r="A1184" s="2" t="s">
        <v>2028</v>
      </c>
      <c r="B1184" s="2" t="s">
        <v>2029</v>
      </c>
      <c r="C1184" s="2" t="s">
        <v>979</v>
      </c>
      <c r="D1184" s="2" t="s">
        <v>1045</v>
      </c>
      <c r="E1184" s="2" t="s">
        <v>1046</v>
      </c>
      <c r="F1184" s="2">
        <v>1663.0</v>
      </c>
      <c r="G1184" s="2">
        <v>4.96</v>
      </c>
      <c r="H1184" s="2">
        <v>335.3</v>
      </c>
      <c r="I1184" s="2" t="s">
        <v>27</v>
      </c>
    </row>
    <row r="1185" ht="15.75" customHeight="1">
      <c r="A1185" s="2" t="s">
        <v>2030</v>
      </c>
      <c r="B1185" s="2" t="s">
        <v>2031</v>
      </c>
      <c r="C1185" s="2" t="s">
        <v>979</v>
      </c>
      <c r="D1185" s="2" t="s">
        <v>778</v>
      </c>
      <c r="E1185" s="2" t="s">
        <v>779</v>
      </c>
      <c r="F1185" s="2">
        <v>2516.0</v>
      </c>
      <c r="G1185" s="2">
        <v>6.84</v>
      </c>
      <c r="H1185" s="2">
        <v>367.8</v>
      </c>
      <c r="I1185" s="2" t="s">
        <v>138</v>
      </c>
    </row>
    <row r="1186" ht="15.75" customHeight="1">
      <c r="A1186" s="2" t="s">
        <v>2032</v>
      </c>
      <c r="B1186" s="2" t="s">
        <v>2033</v>
      </c>
      <c r="C1186" s="2" t="s">
        <v>979</v>
      </c>
      <c r="D1186" s="2" t="s">
        <v>1092</v>
      </c>
      <c r="E1186" s="2" t="s">
        <v>1093</v>
      </c>
      <c r="F1186" s="2">
        <v>21105.0</v>
      </c>
      <c r="G1186" s="2">
        <v>2.88</v>
      </c>
      <c r="H1186" s="2">
        <v>7328.1</v>
      </c>
      <c r="I1186" s="2" t="s">
        <v>805</v>
      </c>
    </row>
    <row r="1187" ht="15.75" customHeight="1">
      <c r="A1187" s="2" t="s">
        <v>2036</v>
      </c>
      <c r="B1187" s="2" t="s">
        <v>2037</v>
      </c>
      <c r="C1187" s="2" t="s">
        <v>979</v>
      </c>
      <c r="D1187" s="2" t="s">
        <v>1045</v>
      </c>
      <c r="E1187" s="2" t="s">
        <v>1046</v>
      </c>
      <c r="F1187" s="2">
        <v>2075.0</v>
      </c>
      <c r="G1187" s="2">
        <v>12.29</v>
      </c>
      <c r="H1187" s="2">
        <v>168.8</v>
      </c>
      <c r="I1187" s="2" t="s">
        <v>138</v>
      </c>
    </row>
    <row r="1188" ht="15.75" customHeight="1">
      <c r="A1188" s="2" t="s">
        <v>3926</v>
      </c>
      <c r="B1188" s="2" t="s">
        <v>3928</v>
      </c>
      <c r="C1188" s="2" t="s">
        <v>979</v>
      </c>
      <c r="D1188" s="2" t="s">
        <v>826</v>
      </c>
      <c r="E1188" s="2" t="s">
        <v>829</v>
      </c>
      <c r="F1188" s="2">
        <v>276.0</v>
      </c>
      <c r="G1188" s="2">
        <v>5.53</v>
      </c>
      <c r="H1188" s="2">
        <v>49.9</v>
      </c>
      <c r="I1188" s="2" t="s">
        <v>47</v>
      </c>
    </row>
    <row r="1189" ht="15.75" customHeight="1">
      <c r="A1189" s="2" t="s">
        <v>2038</v>
      </c>
      <c r="B1189" s="2" t="s">
        <v>2039</v>
      </c>
      <c r="C1189" s="2" t="s">
        <v>979</v>
      </c>
      <c r="D1189" s="2" t="s">
        <v>826</v>
      </c>
      <c r="E1189" s="2" t="s">
        <v>829</v>
      </c>
      <c r="F1189" s="2">
        <v>552.0</v>
      </c>
      <c r="G1189" s="2">
        <v>5.84</v>
      </c>
      <c r="H1189" s="2">
        <v>94.5</v>
      </c>
      <c r="I1189" s="2" t="s">
        <v>27</v>
      </c>
    </row>
    <row r="1190" ht="15.75" customHeight="1">
      <c r="A1190" s="2" t="s">
        <v>2040</v>
      </c>
      <c r="B1190" s="2" t="s">
        <v>2041</v>
      </c>
      <c r="C1190" s="2" t="s">
        <v>979</v>
      </c>
      <c r="D1190" s="2" t="s">
        <v>778</v>
      </c>
      <c r="E1190" s="2" t="s">
        <v>779</v>
      </c>
      <c r="F1190" s="2">
        <v>4495.0</v>
      </c>
      <c r="G1190" s="2">
        <v>5.44</v>
      </c>
      <c r="H1190" s="2">
        <v>826.3</v>
      </c>
      <c r="I1190" s="2" t="s">
        <v>138</v>
      </c>
    </row>
    <row r="1191" ht="15.75" customHeight="1">
      <c r="A1191" s="2" t="s">
        <v>3935</v>
      </c>
      <c r="B1191" s="2" t="s">
        <v>3936</v>
      </c>
      <c r="C1191" s="2" t="s">
        <v>979</v>
      </c>
      <c r="D1191" s="2" t="s">
        <v>990</v>
      </c>
      <c r="E1191" s="2" t="s">
        <v>991</v>
      </c>
      <c r="F1191" s="2">
        <v>228.0</v>
      </c>
      <c r="G1191" s="2">
        <v>3.53</v>
      </c>
      <c r="H1191" s="2">
        <v>64.6</v>
      </c>
      <c r="I1191" s="2" t="s">
        <v>47</v>
      </c>
    </row>
    <row r="1192" ht="15.75" customHeight="1">
      <c r="A1192" s="2" t="s">
        <v>2042</v>
      </c>
      <c r="B1192" s="2" t="s">
        <v>2043</v>
      </c>
      <c r="C1192" s="2" t="s">
        <v>979</v>
      </c>
      <c r="D1192" s="2" t="s">
        <v>780</v>
      </c>
      <c r="E1192" s="2" t="s">
        <v>782</v>
      </c>
      <c r="F1192" s="2">
        <v>2573.0</v>
      </c>
      <c r="G1192" s="2">
        <v>44.33</v>
      </c>
      <c r="H1192" s="2">
        <v>58.0</v>
      </c>
      <c r="I1192" s="2" t="s">
        <v>138</v>
      </c>
    </row>
    <row r="1193" ht="15.75" customHeight="1">
      <c r="A1193" s="2" t="s">
        <v>2046</v>
      </c>
      <c r="B1193" s="2" t="s">
        <v>2048</v>
      </c>
      <c r="C1193" s="2" t="s">
        <v>979</v>
      </c>
      <c r="D1193" s="2" t="s">
        <v>800</v>
      </c>
      <c r="E1193" s="2" t="s">
        <v>801</v>
      </c>
      <c r="F1193" s="2">
        <v>1599.0</v>
      </c>
      <c r="G1193" s="2">
        <v>2.17</v>
      </c>
      <c r="H1193" s="2">
        <v>736.9</v>
      </c>
      <c r="I1193" s="2" t="s">
        <v>27</v>
      </c>
    </row>
    <row r="1194" ht="15.75" customHeight="1">
      <c r="A1194" s="2" t="s">
        <v>2050</v>
      </c>
      <c r="B1194" s="2" t="s">
        <v>2052</v>
      </c>
      <c r="C1194" s="2" t="s">
        <v>979</v>
      </c>
      <c r="D1194" s="2" t="s">
        <v>1045</v>
      </c>
      <c r="E1194" s="2" t="s">
        <v>1046</v>
      </c>
      <c r="F1194" s="2">
        <v>1491.0</v>
      </c>
      <c r="G1194" s="2">
        <v>9.21</v>
      </c>
      <c r="H1194" s="2">
        <v>161.9</v>
      </c>
      <c r="I1194" s="2" t="s">
        <v>27</v>
      </c>
    </row>
    <row r="1195" ht="15.75" customHeight="1">
      <c r="A1195" s="2" t="s">
        <v>3945</v>
      </c>
      <c r="B1195" s="2" t="s">
        <v>3946</v>
      </c>
      <c r="C1195" s="2" t="s">
        <v>979</v>
      </c>
      <c r="D1195" s="2" t="s">
        <v>1001</v>
      </c>
      <c r="E1195" s="2" t="s">
        <v>1002</v>
      </c>
      <c r="F1195" s="2">
        <v>61.0</v>
      </c>
      <c r="G1195" s="2">
        <v>7.16</v>
      </c>
      <c r="H1195" s="2">
        <v>8.5</v>
      </c>
      <c r="I1195" s="2" t="s">
        <v>47</v>
      </c>
    </row>
    <row r="1196" ht="15.75" customHeight="1">
      <c r="A1196" s="2" t="s">
        <v>2054</v>
      </c>
      <c r="B1196" s="2" t="s">
        <v>2055</v>
      </c>
      <c r="C1196" s="2" t="s">
        <v>979</v>
      </c>
      <c r="D1196" s="2" t="s">
        <v>1092</v>
      </c>
      <c r="E1196" s="2" t="s">
        <v>1093</v>
      </c>
      <c r="F1196" s="2">
        <v>13369.0</v>
      </c>
      <c r="G1196" s="2">
        <v>4.16</v>
      </c>
      <c r="H1196" s="2">
        <v>3213.7</v>
      </c>
      <c r="I1196" s="2" t="s">
        <v>805</v>
      </c>
    </row>
    <row r="1197" ht="15.75" customHeight="1">
      <c r="A1197" s="2" t="s">
        <v>2058</v>
      </c>
      <c r="B1197" s="2" t="s">
        <v>2059</v>
      </c>
      <c r="C1197" s="2" t="s">
        <v>979</v>
      </c>
      <c r="D1197" s="2" t="s">
        <v>1045</v>
      </c>
      <c r="E1197" s="2" t="s">
        <v>1046</v>
      </c>
      <c r="F1197" s="2">
        <v>3527.0</v>
      </c>
      <c r="G1197" s="2">
        <v>8.64</v>
      </c>
      <c r="H1197" s="2">
        <v>408.2</v>
      </c>
      <c r="I1197" s="2" t="s">
        <v>138</v>
      </c>
    </row>
    <row r="1198" ht="15.75" customHeight="1">
      <c r="A1198" s="2" t="s">
        <v>2060</v>
      </c>
      <c r="B1198" s="2" t="s">
        <v>2063</v>
      </c>
      <c r="C1198" s="2" t="s">
        <v>979</v>
      </c>
      <c r="D1198" s="2" t="s">
        <v>780</v>
      </c>
      <c r="E1198" s="2" t="s">
        <v>782</v>
      </c>
      <c r="F1198" s="2">
        <v>2231.0</v>
      </c>
      <c r="G1198" s="2">
        <v>18.49</v>
      </c>
      <c r="H1198" s="2">
        <v>120.7</v>
      </c>
      <c r="I1198" s="2" t="s">
        <v>138</v>
      </c>
    </row>
    <row r="1199" ht="15.75" customHeight="1">
      <c r="A1199" s="2" t="s">
        <v>3911</v>
      </c>
      <c r="B1199" s="2" t="s">
        <v>3912</v>
      </c>
      <c r="C1199" s="2" t="s">
        <v>979</v>
      </c>
      <c r="D1199" s="2" t="s">
        <v>794</v>
      </c>
      <c r="E1199" s="2" t="s">
        <v>795</v>
      </c>
      <c r="F1199" s="2">
        <v>490.0</v>
      </c>
      <c r="G1199" s="2">
        <v>7.4</v>
      </c>
      <c r="H1199" s="2">
        <v>66.2</v>
      </c>
      <c r="I1199" s="2" t="s">
        <v>47</v>
      </c>
    </row>
    <row r="1200" ht="15.75" customHeight="1">
      <c r="A1200" s="2" t="s">
        <v>2065</v>
      </c>
      <c r="B1200" s="2" t="s">
        <v>2067</v>
      </c>
      <c r="C1200" s="2" t="s">
        <v>979</v>
      </c>
      <c r="D1200" s="2" t="s">
        <v>794</v>
      </c>
      <c r="E1200" s="2" t="s">
        <v>795</v>
      </c>
      <c r="F1200" s="2">
        <v>620.0</v>
      </c>
      <c r="G1200" s="2">
        <v>5.21</v>
      </c>
      <c r="H1200" s="2">
        <v>119.0</v>
      </c>
      <c r="I1200" s="2" t="s">
        <v>27</v>
      </c>
    </row>
    <row r="1201" ht="15.75" customHeight="1">
      <c r="A1201" s="2" t="s">
        <v>2070</v>
      </c>
      <c r="B1201" s="2" t="s">
        <v>2071</v>
      </c>
      <c r="C1201" s="2" t="s">
        <v>979</v>
      </c>
      <c r="D1201" s="2" t="s">
        <v>780</v>
      </c>
      <c r="E1201" s="2" t="s">
        <v>782</v>
      </c>
      <c r="F1201" s="2">
        <v>1417.0</v>
      </c>
      <c r="G1201" s="2">
        <v>6.42</v>
      </c>
      <c r="H1201" s="2">
        <v>220.7</v>
      </c>
      <c r="I1201" s="2" t="s">
        <v>27</v>
      </c>
    </row>
    <row r="1202" ht="15.75" customHeight="1">
      <c r="A1202" s="2" t="s">
        <v>2074</v>
      </c>
      <c r="B1202" s="2" t="s">
        <v>2075</v>
      </c>
      <c r="C1202" s="2" t="s">
        <v>979</v>
      </c>
      <c r="D1202" s="2" t="s">
        <v>847</v>
      </c>
      <c r="E1202" s="2" t="s">
        <v>848</v>
      </c>
      <c r="F1202" s="2">
        <v>1286.0</v>
      </c>
      <c r="G1202" s="2">
        <v>1.26</v>
      </c>
      <c r="H1202" s="2">
        <v>1020.6</v>
      </c>
      <c r="I1202" s="2" t="s">
        <v>27</v>
      </c>
    </row>
    <row r="1203" ht="15.75" customHeight="1">
      <c r="A1203" s="2" t="s">
        <v>2076</v>
      </c>
      <c r="B1203" s="2" t="s">
        <v>2077</v>
      </c>
      <c r="C1203" s="2" t="s">
        <v>979</v>
      </c>
      <c r="D1203" s="2" t="s">
        <v>794</v>
      </c>
      <c r="E1203" s="2" t="s">
        <v>795</v>
      </c>
      <c r="F1203" s="2">
        <v>4012.0</v>
      </c>
      <c r="G1203" s="2">
        <v>2.37</v>
      </c>
      <c r="H1203" s="2">
        <v>1692.8</v>
      </c>
      <c r="I1203" s="2" t="s">
        <v>138</v>
      </c>
    </row>
    <row r="1204" ht="15.75" customHeight="1">
      <c r="A1204" s="2" t="s">
        <v>3957</v>
      </c>
      <c r="B1204" s="2" t="s">
        <v>3958</v>
      </c>
      <c r="C1204" s="2" t="s">
        <v>979</v>
      </c>
      <c r="D1204" s="2" t="s">
        <v>968</v>
      </c>
      <c r="E1204" s="2" t="s">
        <v>971</v>
      </c>
      <c r="F1204" s="2">
        <v>298.0</v>
      </c>
      <c r="G1204" s="2">
        <v>3.16</v>
      </c>
      <c r="H1204" s="2">
        <v>94.3</v>
      </c>
      <c r="I1204" s="2" t="s">
        <v>47</v>
      </c>
    </row>
    <row r="1205" ht="15.75" customHeight="1">
      <c r="A1205" s="2" t="s">
        <v>2078</v>
      </c>
      <c r="B1205" s="2" t="s">
        <v>2079</v>
      </c>
      <c r="C1205" s="2" t="s">
        <v>979</v>
      </c>
      <c r="D1205" s="2" t="s">
        <v>1092</v>
      </c>
      <c r="E1205" s="2" t="s">
        <v>1093</v>
      </c>
      <c r="F1205" s="2">
        <v>10002.0</v>
      </c>
      <c r="G1205" s="2">
        <v>6.18</v>
      </c>
      <c r="H1205" s="2">
        <v>1618.4</v>
      </c>
      <c r="I1205" s="2" t="s">
        <v>805</v>
      </c>
    </row>
    <row r="1206" ht="15.75" customHeight="1">
      <c r="A1206" s="2" t="s">
        <v>2080</v>
      </c>
      <c r="B1206" s="2" t="s">
        <v>2081</v>
      </c>
      <c r="C1206" s="2" t="s">
        <v>979</v>
      </c>
      <c r="D1206" s="2" t="s">
        <v>800</v>
      </c>
      <c r="E1206" s="2" t="s">
        <v>801</v>
      </c>
      <c r="F1206" s="2">
        <v>2901.0</v>
      </c>
      <c r="G1206" s="2">
        <v>4.76</v>
      </c>
      <c r="H1206" s="2">
        <v>609.5</v>
      </c>
      <c r="I1206" s="2" t="s">
        <v>138</v>
      </c>
    </row>
    <row r="1207" ht="15.75" customHeight="1">
      <c r="A1207" s="2" t="s">
        <v>2084</v>
      </c>
      <c r="B1207" s="2" t="s">
        <v>2085</v>
      </c>
      <c r="C1207" s="2" t="s">
        <v>979</v>
      </c>
      <c r="D1207" s="2" t="s">
        <v>826</v>
      </c>
      <c r="E1207" s="2" t="s">
        <v>829</v>
      </c>
      <c r="F1207" s="2">
        <v>1103.0</v>
      </c>
      <c r="G1207" s="2">
        <v>12.53</v>
      </c>
      <c r="H1207" s="2">
        <v>88.0</v>
      </c>
      <c r="I1207" s="2" t="s">
        <v>27</v>
      </c>
    </row>
    <row r="1208" ht="15.75" customHeight="1">
      <c r="A1208" s="2" t="s">
        <v>2087</v>
      </c>
      <c r="B1208" s="2" t="s">
        <v>2089</v>
      </c>
      <c r="C1208" s="2" t="s">
        <v>979</v>
      </c>
      <c r="D1208" s="2" t="s">
        <v>780</v>
      </c>
      <c r="E1208" s="2" t="s">
        <v>782</v>
      </c>
      <c r="F1208" s="2">
        <v>7764.0</v>
      </c>
      <c r="G1208" s="2">
        <v>17.12</v>
      </c>
      <c r="H1208" s="2">
        <v>453.5</v>
      </c>
      <c r="I1208" s="2" t="s">
        <v>138</v>
      </c>
    </row>
    <row r="1209" ht="15.75" customHeight="1">
      <c r="A1209" s="2" t="s">
        <v>2090</v>
      </c>
      <c r="B1209" s="2" t="s">
        <v>2091</v>
      </c>
      <c r="C1209" s="2" t="s">
        <v>979</v>
      </c>
      <c r="D1209" s="2" t="s">
        <v>794</v>
      </c>
      <c r="E1209" s="2" t="s">
        <v>795</v>
      </c>
      <c r="F1209" s="2">
        <v>509.0</v>
      </c>
      <c r="G1209" s="2">
        <v>4.35</v>
      </c>
      <c r="H1209" s="2">
        <v>117.0</v>
      </c>
      <c r="I1209" s="2" t="s">
        <v>27</v>
      </c>
    </row>
    <row r="1210" ht="15.75" customHeight="1">
      <c r="A1210" s="2" t="s">
        <v>3973</v>
      </c>
      <c r="B1210" s="2" t="s">
        <v>3974</v>
      </c>
      <c r="C1210" s="2" t="s">
        <v>979</v>
      </c>
      <c r="D1210" s="2" t="s">
        <v>911</v>
      </c>
      <c r="E1210" s="2" t="s">
        <v>914</v>
      </c>
      <c r="F1210" s="2">
        <v>908.0</v>
      </c>
      <c r="G1210" s="2">
        <v>10.29</v>
      </c>
      <c r="H1210" s="2">
        <v>88.2</v>
      </c>
      <c r="I1210" s="2" t="s">
        <v>27</v>
      </c>
    </row>
    <row r="1211" ht="15.75" customHeight="1">
      <c r="A1211" s="2" t="s">
        <v>2092</v>
      </c>
      <c r="B1211" s="2" t="s">
        <v>2093</v>
      </c>
      <c r="C1211" s="2" t="s">
        <v>979</v>
      </c>
      <c r="D1211" s="2" t="s">
        <v>800</v>
      </c>
      <c r="E1211" s="2" t="s">
        <v>801</v>
      </c>
      <c r="F1211" s="2">
        <v>1406.0</v>
      </c>
      <c r="G1211" s="2">
        <v>5.9</v>
      </c>
      <c r="H1211" s="2">
        <v>238.3</v>
      </c>
      <c r="I1211" s="2" t="s">
        <v>27</v>
      </c>
    </row>
    <row r="1212" ht="15.75" customHeight="1">
      <c r="A1212" s="2" t="s">
        <v>2094</v>
      </c>
      <c r="B1212" s="2" t="s">
        <v>2095</v>
      </c>
      <c r="C1212" s="2" t="s">
        <v>979</v>
      </c>
      <c r="D1212" s="2" t="s">
        <v>1045</v>
      </c>
      <c r="E1212" s="2" t="s">
        <v>1046</v>
      </c>
      <c r="F1212" s="2">
        <v>2651.0</v>
      </c>
      <c r="G1212" s="2">
        <v>19.07</v>
      </c>
      <c r="H1212" s="2">
        <v>139.0</v>
      </c>
      <c r="I1212" s="2" t="s">
        <v>138</v>
      </c>
    </row>
    <row r="1213" ht="15.75" customHeight="1">
      <c r="A1213" s="2" t="s">
        <v>2096</v>
      </c>
      <c r="B1213" s="2" t="s">
        <v>2097</v>
      </c>
      <c r="C1213" s="2" t="s">
        <v>979</v>
      </c>
      <c r="D1213" s="2" t="s">
        <v>780</v>
      </c>
      <c r="E1213" s="2" t="s">
        <v>782</v>
      </c>
      <c r="F1213" s="2">
        <v>825.0</v>
      </c>
      <c r="G1213" s="2">
        <v>17.23</v>
      </c>
      <c r="H1213" s="2">
        <v>47.9</v>
      </c>
      <c r="I1213" s="2" t="s">
        <v>27</v>
      </c>
    </row>
    <row r="1214" ht="15.75" customHeight="1">
      <c r="A1214" s="2" t="s">
        <v>3983</v>
      </c>
      <c r="B1214" s="2" t="s">
        <v>3984</v>
      </c>
      <c r="C1214" s="2" t="s">
        <v>979</v>
      </c>
      <c r="D1214" s="2" t="s">
        <v>1092</v>
      </c>
      <c r="E1214" s="2" t="s">
        <v>1093</v>
      </c>
      <c r="F1214" s="2">
        <v>838.0</v>
      </c>
      <c r="G1214" s="2">
        <v>2.38</v>
      </c>
      <c r="H1214" s="2">
        <v>352.1</v>
      </c>
      <c r="I1214" s="2" t="s">
        <v>27</v>
      </c>
    </row>
    <row r="1215" ht="15.75" customHeight="1">
      <c r="A1215" s="2" t="s">
        <v>3987</v>
      </c>
      <c r="B1215" s="2" t="s">
        <v>3988</v>
      </c>
      <c r="C1215" s="2" t="s">
        <v>979</v>
      </c>
      <c r="D1215" s="2" t="s">
        <v>794</v>
      </c>
      <c r="E1215" s="2" t="s">
        <v>795</v>
      </c>
      <c r="F1215" s="2">
        <v>816.0</v>
      </c>
      <c r="G1215" s="2">
        <v>4.98</v>
      </c>
      <c r="H1215" s="2">
        <v>163.9</v>
      </c>
      <c r="I1215" s="2" t="s">
        <v>27</v>
      </c>
    </row>
    <row r="1216" ht="15.75" customHeight="1">
      <c r="A1216" s="2" t="s">
        <v>3991</v>
      </c>
      <c r="B1216" s="2" t="s">
        <v>3993</v>
      </c>
      <c r="C1216" s="2" t="s">
        <v>979</v>
      </c>
      <c r="D1216" s="2" t="s">
        <v>847</v>
      </c>
      <c r="E1216" s="2" t="s">
        <v>848</v>
      </c>
      <c r="F1216" s="2">
        <v>283.0</v>
      </c>
      <c r="G1216" s="2">
        <v>6.54</v>
      </c>
      <c r="H1216" s="2">
        <v>43.3</v>
      </c>
      <c r="I1216" s="2" t="s">
        <v>47</v>
      </c>
    </row>
    <row r="1217" ht="15.75" customHeight="1">
      <c r="A1217" s="2" t="s">
        <v>2098</v>
      </c>
      <c r="B1217" s="2" t="s">
        <v>2099</v>
      </c>
      <c r="C1217" s="2" t="s">
        <v>979</v>
      </c>
      <c r="D1217" s="2" t="s">
        <v>800</v>
      </c>
      <c r="E1217" s="2" t="s">
        <v>801</v>
      </c>
      <c r="F1217" s="2">
        <v>657.0</v>
      </c>
      <c r="G1217" s="2">
        <v>5.05</v>
      </c>
      <c r="H1217" s="2">
        <v>130.1</v>
      </c>
      <c r="I1217" s="2" t="s">
        <v>27</v>
      </c>
    </row>
    <row r="1218" ht="15.75" customHeight="1">
      <c r="A1218" s="2" t="s">
        <v>3997</v>
      </c>
      <c r="B1218" s="2" t="s">
        <v>3998</v>
      </c>
      <c r="C1218" s="2" t="s">
        <v>979</v>
      </c>
      <c r="D1218" s="2" t="s">
        <v>968</v>
      </c>
      <c r="E1218" s="2" t="s">
        <v>971</v>
      </c>
      <c r="F1218" s="2">
        <v>660.0</v>
      </c>
      <c r="G1218" s="2">
        <v>5.41</v>
      </c>
      <c r="H1218" s="2">
        <v>122.0</v>
      </c>
      <c r="I1218" s="2" t="s">
        <v>27</v>
      </c>
    </row>
    <row r="1219" ht="15.75" customHeight="1">
      <c r="A1219" s="2" t="s">
        <v>4001</v>
      </c>
      <c r="B1219" s="2" t="s">
        <v>4002</v>
      </c>
      <c r="C1219" s="2" t="s">
        <v>979</v>
      </c>
      <c r="D1219" s="2" t="s">
        <v>847</v>
      </c>
      <c r="E1219" s="2" t="s">
        <v>848</v>
      </c>
      <c r="F1219" s="2">
        <v>283.0</v>
      </c>
      <c r="G1219" s="2">
        <v>5.46</v>
      </c>
      <c r="H1219" s="2">
        <v>51.8</v>
      </c>
      <c r="I1219" s="2" t="s">
        <v>47</v>
      </c>
    </row>
    <row r="1220" ht="15.75" customHeight="1">
      <c r="A1220" s="2" t="s">
        <v>4004</v>
      </c>
      <c r="B1220" s="2" t="s">
        <v>4006</v>
      </c>
      <c r="C1220" s="2" t="s">
        <v>979</v>
      </c>
      <c r="D1220" s="2" t="s">
        <v>780</v>
      </c>
      <c r="E1220" s="2" t="s">
        <v>782</v>
      </c>
      <c r="F1220" s="2">
        <v>351.0</v>
      </c>
      <c r="G1220" s="2">
        <v>5.62</v>
      </c>
      <c r="H1220" s="2">
        <v>62.5</v>
      </c>
      <c r="I1220" s="2" t="s">
        <v>47</v>
      </c>
    </row>
    <row r="1221" ht="15.75" customHeight="1">
      <c r="A1221" s="2" t="s">
        <v>2102</v>
      </c>
      <c r="B1221" s="2" t="s">
        <v>2104</v>
      </c>
      <c r="C1221" s="2" t="s">
        <v>979</v>
      </c>
      <c r="D1221" s="2" t="s">
        <v>850</v>
      </c>
      <c r="E1221" s="2" t="s">
        <v>852</v>
      </c>
      <c r="F1221" s="2">
        <v>945.0</v>
      </c>
      <c r="G1221" s="2">
        <v>4.86</v>
      </c>
      <c r="H1221" s="2">
        <v>194.4</v>
      </c>
      <c r="I1221" s="2" t="s">
        <v>27</v>
      </c>
    </row>
    <row r="1222" ht="15.75" customHeight="1">
      <c r="A1222" s="2" t="s">
        <v>2106</v>
      </c>
      <c r="B1222" s="2" t="s">
        <v>2108</v>
      </c>
      <c r="C1222" s="2" t="s">
        <v>979</v>
      </c>
      <c r="D1222" s="2" t="s">
        <v>1001</v>
      </c>
      <c r="E1222" s="2" t="s">
        <v>1002</v>
      </c>
      <c r="F1222" s="2">
        <v>1171.0</v>
      </c>
      <c r="G1222" s="2">
        <v>11.84</v>
      </c>
      <c r="H1222" s="2">
        <v>98.9</v>
      </c>
      <c r="I1222" s="2" t="s">
        <v>27</v>
      </c>
    </row>
    <row r="1223" ht="15.75" customHeight="1">
      <c r="A1223" s="2" t="s">
        <v>2110</v>
      </c>
      <c r="B1223" s="2" t="s">
        <v>615</v>
      </c>
      <c r="C1223" s="2" t="s">
        <v>979</v>
      </c>
      <c r="D1223" s="2" t="s">
        <v>800</v>
      </c>
      <c r="E1223" s="2" t="s">
        <v>801</v>
      </c>
      <c r="F1223" s="2">
        <v>699.0</v>
      </c>
      <c r="G1223" s="2">
        <v>2.55</v>
      </c>
      <c r="H1223" s="2">
        <v>274.1</v>
      </c>
      <c r="I1223" s="2" t="s">
        <v>27</v>
      </c>
    </row>
    <row r="1224" ht="15.75" customHeight="1">
      <c r="A1224" s="2" t="s">
        <v>2111</v>
      </c>
      <c r="B1224" s="2" t="s">
        <v>2112</v>
      </c>
      <c r="C1224" s="2" t="s">
        <v>979</v>
      </c>
      <c r="D1224" s="2" t="s">
        <v>850</v>
      </c>
      <c r="E1224" s="2" t="s">
        <v>852</v>
      </c>
      <c r="F1224" s="2">
        <v>8479.0</v>
      </c>
      <c r="G1224" s="2">
        <v>12.95</v>
      </c>
      <c r="H1224" s="2">
        <v>654.7</v>
      </c>
      <c r="I1224" s="2" t="s">
        <v>138</v>
      </c>
    </row>
    <row r="1225" ht="15.75" customHeight="1">
      <c r="A1225" s="2" t="s">
        <v>2115</v>
      </c>
      <c r="B1225" s="2" t="s">
        <v>2116</v>
      </c>
      <c r="C1225" s="2" t="s">
        <v>979</v>
      </c>
      <c r="D1225" s="2" t="s">
        <v>911</v>
      </c>
      <c r="E1225" s="2" t="s">
        <v>914</v>
      </c>
      <c r="F1225" s="2">
        <v>463.0</v>
      </c>
      <c r="G1225" s="2">
        <v>4.03</v>
      </c>
      <c r="H1225" s="2">
        <v>114.9</v>
      </c>
      <c r="I1225" s="2" t="s">
        <v>47</v>
      </c>
    </row>
    <row r="1226" ht="15.75" customHeight="1">
      <c r="A1226" s="2" t="s">
        <v>2117</v>
      </c>
      <c r="B1226" s="2" t="s">
        <v>2118</v>
      </c>
      <c r="C1226" s="2" t="s">
        <v>979</v>
      </c>
      <c r="D1226" s="2" t="s">
        <v>1045</v>
      </c>
      <c r="E1226" s="2" t="s">
        <v>1046</v>
      </c>
      <c r="F1226" s="2">
        <v>8396.0</v>
      </c>
      <c r="G1226" s="2">
        <v>10.92</v>
      </c>
      <c r="H1226" s="2">
        <v>768.9</v>
      </c>
      <c r="I1226" s="2" t="s">
        <v>138</v>
      </c>
    </row>
    <row r="1227" ht="15.75" customHeight="1">
      <c r="A1227" s="2" t="s">
        <v>4019</v>
      </c>
      <c r="B1227" s="2" t="s">
        <v>4021</v>
      </c>
      <c r="C1227" s="2" t="s">
        <v>979</v>
      </c>
      <c r="D1227" s="2" t="s">
        <v>826</v>
      </c>
      <c r="E1227" s="2" t="s">
        <v>829</v>
      </c>
      <c r="F1227" s="2">
        <v>644.0</v>
      </c>
      <c r="G1227" s="2">
        <v>17.7</v>
      </c>
      <c r="H1227" s="2">
        <v>36.4</v>
      </c>
      <c r="I1227" s="2" t="s">
        <v>27</v>
      </c>
    </row>
    <row r="1228" ht="15.75" customHeight="1">
      <c r="A1228" s="2" t="s">
        <v>2121</v>
      </c>
      <c r="B1228" s="2" t="s">
        <v>2122</v>
      </c>
      <c r="C1228" s="2" t="s">
        <v>979</v>
      </c>
      <c r="D1228" s="2" t="s">
        <v>968</v>
      </c>
      <c r="E1228" s="2" t="s">
        <v>971</v>
      </c>
      <c r="F1228" s="2">
        <v>564.0</v>
      </c>
      <c r="G1228" s="2">
        <v>3.34</v>
      </c>
      <c r="H1228" s="2">
        <v>168.9</v>
      </c>
      <c r="I1228" s="2" t="s">
        <v>27</v>
      </c>
    </row>
    <row r="1229" ht="15.75" customHeight="1">
      <c r="A1229" s="2" t="s">
        <v>2125</v>
      </c>
      <c r="B1229" s="2" t="s">
        <v>2126</v>
      </c>
      <c r="C1229" s="2" t="s">
        <v>979</v>
      </c>
      <c r="D1229" s="2" t="s">
        <v>1045</v>
      </c>
      <c r="E1229" s="2" t="s">
        <v>1046</v>
      </c>
      <c r="F1229" s="2">
        <v>6097.0</v>
      </c>
      <c r="G1229" s="2">
        <v>7.58</v>
      </c>
      <c r="H1229" s="2">
        <v>804.4</v>
      </c>
      <c r="I1229" s="2" t="s">
        <v>138</v>
      </c>
    </row>
    <row r="1230" ht="15.75" customHeight="1">
      <c r="A1230" s="2" t="s">
        <v>2127</v>
      </c>
      <c r="B1230" s="2" t="s">
        <v>2128</v>
      </c>
      <c r="C1230" s="2" t="s">
        <v>979</v>
      </c>
      <c r="D1230" s="2" t="s">
        <v>780</v>
      </c>
      <c r="E1230" s="2" t="s">
        <v>782</v>
      </c>
      <c r="F1230" s="2">
        <v>690.0</v>
      </c>
      <c r="G1230" s="2">
        <v>9.42</v>
      </c>
      <c r="H1230" s="2">
        <v>73.2</v>
      </c>
      <c r="I1230" s="2" t="s">
        <v>27</v>
      </c>
    </row>
    <row r="1231" ht="15.75" customHeight="1">
      <c r="A1231" s="2" t="s">
        <v>2129</v>
      </c>
      <c r="B1231" s="2" t="s">
        <v>2131</v>
      </c>
      <c r="C1231" s="2" t="s">
        <v>979</v>
      </c>
      <c r="D1231" s="2" t="s">
        <v>780</v>
      </c>
      <c r="E1231" s="2" t="s">
        <v>782</v>
      </c>
      <c r="F1231" s="2">
        <v>540.0</v>
      </c>
      <c r="G1231" s="2">
        <v>4.7</v>
      </c>
      <c r="H1231" s="2">
        <v>114.9</v>
      </c>
      <c r="I1231" s="2" t="s">
        <v>27</v>
      </c>
    </row>
    <row r="1232" ht="15.75" customHeight="1">
      <c r="A1232" s="2" t="s">
        <v>2133</v>
      </c>
      <c r="B1232" s="2" t="s">
        <v>2134</v>
      </c>
      <c r="C1232" s="2" t="s">
        <v>979</v>
      </c>
      <c r="D1232" s="2" t="s">
        <v>794</v>
      </c>
      <c r="E1232" s="2" t="s">
        <v>795</v>
      </c>
      <c r="F1232" s="2">
        <v>1030.0</v>
      </c>
      <c r="G1232" s="2">
        <v>7.59</v>
      </c>
      <c r="H1232" s="2">
        <v>135.7</v>
      </c>
      <c r="I1232" s="2" t="s">
        <v>27</v>
      </c>
    </row>
    <row r="1233" ht="15.75" customHeight="1">
      <c r="A1233" s="2" t="s">
        <v>2137</v>
      </c>
      <c r="B1233" s="2" t="s">
        <v>2138</v>
      </c>
      <c r="C1233" s="2" t="s">
        <v>979</v>
      </c>
      <c r="D1233" s="2" t="s">
        <v>778</v>
      </c>
      <c r="E1233" s="2" t="s">
        <v>779</v>
      </c>
      <c r="F1233" s="2">
        <v>6092.0</v>
      </c>
      <c r="G1233" s="2">
        <v>9.6</v>
      </c>
      <c r="H1233" s="2">
        <v>634.6</v>
      </c>
      <c r="I1233" s="2" t="s">
        <v>138</v>
      </c>
    </row>
    <row r="1234" ht="15.75" customHeight="1">
      <c r="A1234" s="2" t="s">
        <v>4041</v>
      </c>
      <c r="B1234" s="2" t="s">
        <v>4042</v>
      </c>
      <c r="C1234" s="2" t="s">
        <v>979</v>
      </c>
      <c r="D1234" s="2" t="s">
        <v>858</v>
      </c>
      <c r="E1234" s="2" t="s">
        <v>859</v>
      </c>
      <c r="F1234" s="2">
        <v>286.0</v>
      </c>
      <c r="G1234" s="2">
        <v>8.17</v>
      </c>
      <c r="H1234" s="2">
        <v>35.0</v>
      </c>
      <c r="I1234" s="2" t="s">
        <v>47</v>
      </c>
    </row>
    <row r="1235" ht="15.75" customHeight="1">
      <c r="A1235" s="2" t="s">
        <v>2141</v>
      </c>
      <c r="B1235" s="2" t="s">
        <v>2142</v>
      </c>
      <c r="C1235" s="2" t="s">
        <v>979</v>
      </c>
      <c r="D1235" s="2" t="s">
        <v>850</v>
      </c>
      <c r="E1235" s="2" t="s">
        <v>852</v>
      </c>
      <c r="F1235" s="2">
        <v>5054.0</v>
      </c>
      <c r="G1235" s="2">
        <v>4.52</v>
      </c>
      <c r="H1235" s="2">
        <v>1118.1</v>
      </c>
      <c r="I1235" s="2" t="s">
        <v>138</v>
      </c>
    </row>
    <row r="1236" ht="15.75" customHeight="1">
      <c r="A1236" s="2" t="s">
        <v>2145</v>
      </c>
      <c r="B1236" s="2" t="s">
        <v>2147</v>
      </c>
      <c r="C1236" s="2" t="s">
        <v>979</v>
      </c>
      <c r="D1236" s="2" t="s">
        <v>1045</v>
      </c>
      <c r="E1236" s="2" t="s">
        <v>1046</v>
      </c>
      <c r="F1236" s="2">
        <v>4847.0</v>
      </c>
      <c r="G1236" s="2">
        <v>8.0</v>
      </c>
      <c r="H1236" s="2">
        <v>605.9</v>
      </c>
      <c r="I1236" s="2" t="s">
        <v>138</v>
      </c>
    </row>
    <row r="1237" ht="15.75" customHeight="1">
      <c r="A1237" s="2" t="s">
        <v>2149</v>
      </c>
      <c r="B1237" s="2" t="s">
        <v>2150</v>
      </c>
      <c r="C1237" s="2" t="s">
        <v>979</v>
      </c>
      <c r="D1237" s="2" t="s">
        <v>911</v>
      </c>
      <c r="E1237" s="2" t="s">
        <v>914</v>
      </c>
      <c r="F1237" s="2">
        <v>1007.0</v>
      </c>
      <c r="G1237" s="2">
        <v>23.33</v>
      </c>
      <c r="H1237" s="2">
        <v>43.2</v>
      </c>
      <c r="I1237" s="2" t="s">
        <v>27</v>
      </c>
    </row>
    <row r="1238" ht="15.75" customHeight="1">
      <c r="A1238" s="2" t="s">
        <v>2151</v>
      </c>
      <c r="B1238" s="2" t="s">
        <v>2152</v>
      </c>
      <c r="C1238" s="2" t="s">
        <v>979</v>
      </c>
      <c r="D1238" s="2" t="s">
        <v>968</v>
      </c>
      <c r="E1238" s="2" t="s">
        <v>971</v>
      </c>
      <c r="F1238" s="2">
        <v>2126.0</v>
      </c>
      <c r="G1238" s="2">
        <v>8.64</v>
      </c>
      <c r="H1238" s="2">
        <v>246.1</v>
      </c>
      <c r="I1238" s="2" t="s">
        <v>138</v>
      </c>
    </row>
    <row r="1239" ht="15.75" customHeight="1">
      <c r="A1239" s="2" t="s">
        <v>2155</v>
      </c>
      <c r="B1239" s="2" t="s">
        <v>2156</v>
      </c>
      <c r="C1239" s="2" t="s">
        <v>979</v>
      </c>
      <c r="D1239" s="2" t="s">
        <v>826</v>
      </c>
      <c r="E1239" s="2" t="s">
        <v>829</v>
      </c>
      <c r="F1239" s="2">
        <v>765.0</v>
      </c>
      <c r="G1239" s="2">
        <v>6.46</v>
      </c>
      <c r="H1239" s="2">
        <v>118.4</v>
      </c>
      <c r="I1239" s="2" t="s">
        <v>27</v>
      </c>
    </row>
    <row r="1240" ht="15.75" customHeight="1">
      <c r="A1240" s="2" t="s">
        <v>2157</v>
      </c>
      <c r="B1240" s="2" t="s">
        <v>2158</v>
      </c>
      <c r="C1240" s="2" t="s">
        <v>979</v>
      </c>
      <c r="D1240" s="2" t="s">
        <v>847</v>
      </c>
      <c r="E1240" s="2" t="s">
        <v>848</v>
      </c>
      <c r="F1240" s="2">
        <v>2371.0</v>
      </c>
      <c r="G1240" s="2">
        <v>11.31</v>
      </c>
      <c r="H1240" s="2">
        <v>209.6</v>
      </c>
      <c r="I1240" s="2" t="s">
        <v>138</v>
      </c>
    </row>
    <row r="1241" ht="15.75" customHeight="1">
      <c r="A1241" s="2" t="s">
        <v>2164</v>
      </c>
      <c r="B1241" s="2" t="s">
        <v>2166</v>
      </c>
      <c r="C1241" s="2" t="s">
        <v>979</v>
      </c>
      <c r="D1241" s="2" t="s">
        <v>1045</v>
      </c>
      <c r="E1241" s="2" t="s">
        <v>1046</v>
      </c>
      <c r="F1241" s="2">
        <v>3016.0</v>
      </c>
      <c r="G1241" s="2">
        <v>2.24</v>
      </c>
      <c r="H1241" s="2">
        <v>1346.4</v>
      </c>
      <c r="I1241" s="2" t="s">
        <v>138</v>
      </c>
    </row>
    <row r="1242" ht="15.75" customHeight="1">
      <c r="A1242" s="2" t="s">
        <v>4055</v>
      </c>
      <c r="B1242" s="2" t="s">
        <v>4056</v>
      </c>
      <c r="C1242" s="2" t="s">
        <v>979</v>
      </c>
      <c r="D1242" s="2" t="s">
        <v>968</v>
      </c>
      <c r="E1242" s="2" t="s">
        <v>971</v>
      </c>
      <c r="F1242" s="2">
        <v>439.0</v>
      </c>
      <c r="G1242" s="2">
        <v>4.02</v>
      </c>
      <c r="H1242" s="2">
        <v>109.2</v>
      </c>
      <c r="I1242" s="2" t="s">
        <v>47</v>
      </c>
    </row>
    <row r="1243" ht="15.75" customHeight="1">
      <c r="A1243" s="2" t="s">
        <v>4059</v>
      </c>
      <c r="B1243" s="2" t="s">
        <v>4060</v>
      </c>
      <c r="C1243" s="2" t="s">
        <v>979</v>
      </c>
      <c r="D1243" s="2" t="s">
        <v>780</v>
      </c>
      <c r="E1243" s="2" t="s">
        <v>782</v>
      </c>
      <c r="F1243" s="2">
        <v>399.0</v>
      </c>
      <c r="G1243" s="2">
        <v>3.26</v>
      </c>
      <c r="H1243" s="2">
        <v>122.4</v>
      </c>
      <c r="I1243" s="2" t="s">
        <v>47</v>
      </c>
    </row>
    <row r="1244" ht="15.75" customHeight="1">
      <c r="A1244" s="2" t="s">
        <v>2168</v>
      </c>
      <c r="B1244" s="2" t="s">
        <v>2171</v>
      </c>
      <c r="C1244" s="2" t="s">
        <v>979</v>
      </c>
      <c r="D1244" s="2" t="s">
        <v>968</v>
      </c>
      <c r="E1244" s="2" t="s">
        <v>971</v>
      </c>
      <c r="F1244" s="2">
        <v>832.0</v>
      </c>
      <c r="G1244" s="2">
        <v>3.98</v>
      </c>
      <c r="H1244" s="2">
        <v>209.0</v>
      </c>
      <c r="I1244" s="2" t="s">
        <v>27</v>
      </c>
    </row>
    <row r="1245" ht="15.75" customHeight="1">
      <c r="A1245" s="2" t="s">
        <v>4067</v>
      </c>
      <c r="B1245" s="2" t="s">
        <v>4068</v>
      </c>
      <c r="C1245" s="2" t="s">
        <v>979</v>
      </c>
      <c r="D1245" s="2" t="s">
        <v>968</v>
      </c>
      <c r="E1245" s="2" t="s">
        <v>971</v>
      </c>
      <c r="F1245" s="2">
        <v>300.0</v>
      </c>
      <c r="G1245" s="2">
        <v>5.1</v>
      </c>
      <c r="H1245" s="2">
        <v>58.8</v>
      </c>
      <c r="I1245" s="2" t="s">
        <v>47</v>
      </c>
    </row>
    <row r="1246" ht="15.75" customHeight="1">
      <c r="A1246" s="2" t="s">
        <v>2173</v>
      </c>
      <c r="B1246" s="2" t="s">
        <v>2174</v>
      </c>
      <c r="C1246" s="2" t="s">
        <v>979</v>
      </c>
      <c r="D1246" s="2" t="s">
        <v>858</v>
      </c>
      <c r="E1246" s="2" t="s">
        <v>859</v>
      </c>
      <c r="F1246" s="2">
        <v>1000.0</v>
      </c>
      <c r="G1246" s="2">
        <v>23.11</v>
      </c>
      <c r="H1246" s="2">
        <v>43.3</v>
      </c>
      <c r="I1246" s="2" t="s">
        <v>27</v>
      </c>
    </row>
    <row r="1247" ht="15.75" customHeight="1">
      <c r="A1247" s="2" t="s">
        <v>2177</v>
      </c>
      <c r="B1247" s="2" t="s">
        <v>2179</v>
      </c>
      <c r="C1247" s="2" t="s">
        <v>979</v>
      </c>
      <c r="D1247" s="2" t="s">
        <v>850</v>
      </c>
      <c r="E1247" s="2" t="s">
        <v>852</v>
      </c>
      <c r="F1247" s="2">
        <v>2178.0</v>
      </c>
      <c r="G1247" s="2">
        <v>4.38</v>
      </c>
      <c r="H1247" s="2">
        <v>497.3</v>
      </c>
      <c r="I1247" s="2" t="s">
        <v>138</v>
      </c>
    </row>
    <row r="1248" ht="15.75" customHeight="1">
      <c r="A1248" s="2" t="s">
        <v>2181</v>
      </c>
      <c r="B1248" s="2" t="s">
        <v>2182</v>
      </c>
      <c r="C1248" s="2" t="s">
        <v>979</v>
      </c>
      <c r="D1248" s="2" t="s">
        <v>794</v>
      </c>
      <c r="E1248" s="2" t="s">
        <v>795</v>
      </c>
      <c r="F1248" s="2">
        <v>3206.0</v>
      </c>
      <c r="G1248" s="2">
        <v>6.3</v>
      </c>
      <c r="H1248" s="2">
        <v>508.9</v>
      </c>
      <c r="I1248" s="2" t="s">
        <v>138</v>
      </c>
    </row>
    <row r="1249" ht="15.75" customHeight="1">
      <c r="A1249" s="2" t="s">
        <v>2183</v>
      </c>
      <c r="B1249" s="2" t="s">
        <v>2184</v>
      </c>
      <c r="C1249" s="2" t="s">
        <v>979</v>
      </c>
      <c r="D1249" s="2" t="s">
        <v>1092</v>
      </c>
      <c r="E1249" s="2" t="s">
        <v>1093</v>
      </c>
      <c r="F1249" s="2">
        <v>4428.0</v>
      </c>
      <c r="G1249" s="2">
        <v>3.39</v>
      </c>
      <c r="H1249" s="2">
        <v>1306.2</v>
      </c>
      <c r="I1249" s="2" t="s">
        <v>138</v>
      </c>
    </row>
    <row r="1250" ht="15.75" customHeight="1">
      <c r="A1250" s="2" t="s">
        <v>2187</v>
      </c>
      <c r="B1250" s="2" t="s">
        <v>2188</v>
      </c>
      <c r="C1250" s="2" t="s">
        <v>979</v>
      </c>
      <c r="D1250" s="2" t="s">
        <v>1092</v>
      </c>
      <c r="E1250" s="2" t="s">
        <v>1093</v>
      </c>
      <c r="F1250" s="2">
        <v>2031.0</v>
      </c>
      <c r="G1250" s="2">
        <v>5.05</v>
      </c>
      <c r="H1250" s="2">
        <v>402.2</v>
      </c>
      <c r="I1250" s="2" t="s">
        <v>138</v>
      </c>
    </row>
    <row r="1251" ht="15.75" customHeight="1">
      <c r="A1251" s="2" t="s">
        <v>2191</v>
      </c>
      <c r="B1251" s="2" t="s">
        <v>2192</v>
      </c>
      <c r="C1251" s="2" t="s">
        <v>979</v>
      </c>
      <c r="D1251" s="2" t="s">
        <v>850</v>
      </c>
      <c r="E1251" s="2" t="s">
        <v>852</v>
      </c>
      <c r="F1251" s="2">
        <v>2100.0</v>
      </c>
      <c r="G1251" s="2">
        <v>6.36</v>
      </c>
      <c r="H1251" s="2">
        <v>330.2</v>
      </c>
      <c r="I1251" s="2" t="s">
        <v>138</v>
      </c>
    </row>
    <row r="1252" ht="15.75" customHeight="1">
      <c r="A1252" s="2" t="s">
        <v>2194</v>
      </c>
      <c r="B1252" s="2" t="s">
        <v>2196</v>
      </c>
      <c r="C1252" s="2" t="s">
        <v>979</v>
      </c>
      <c r="D1252" s="2" t="s">
        <v>1092</v>
      </c>
      <c r="E1252" s="2" t="s">
        <v>1093</v>
      </c>
      <c r="F1252" s="2">
        <v>8455.0</v>
      </c>
      <c r="G1252" s="2">
        <v>3.04</v>
      </c>
      <c r="H1252" s="2">
        <v>2781.2</v>
      </c>
      <c r="I1252" s="2" t="s">
        <v>138</v>
      </c>
    </row>
    <row r="1253" ht="15.75" customHeight="1">
      <c r="A1253" s="2" t="s">
        <v>2197</v>
      </c>
      <c r="B1253" s="2" t="s">
        <v>2199</v>
      </c>
      <c r="C1253" s="2" t="s">
        <v>979</v>
      </c>
      <c r="D1253" s="2" t="s">
        <v>1092</v>
      </c>
      <c r="E1253" s="2" t="s">
        <v>1093</v>
      </c>
      <c r="F1253" s="2">
        <v>1025.0</v>
      </c>
      <c r="G1253" s="2">
        <v>1.14</v>
      </c>
      <c r="H1253" s="2">
        <v>899.1</v>
      </c>
      <c r="I1253" s="2" t="s">
        <v>27</v>
      </c>
    </row>
    <row r="1254" ht="15.75" customHeight="1">
      <c r="A1254" s="2" t="s">
        <v>2201</v>
      </c>
      <c r="B1254" s="2" t="s">
        <v>2202</v>
      </c>
      <c r="C1254" s="2" t="s">
        <v>979</v>
      </c>
      <c r="D1254" s="2" t="s">
        <v>850</v>
      </c>
      <c r="E1254" s="2" t="s">
        <v>852</v>
      </c>
      <c r="F1254" s="2">
        <v>3145.0</v>
      </c>
      <c r="G1254" s="2">
        <v>12.22</v>
      </c>
      <c r="H1254" s="2">
        <v>257.4</v>
      </c>
      <c r="I1254" s="2" t="s">
        <v>138</v>
      </c>
    </row>
    <row r="1255" ht="15.75" customHeight="1">
      <c r="A1255" s="2" t="s">
        <v>2205</v>
      </c>
      <c r="B1255" s="2" t="s">
        <v>2206</v>
      </c>
      <c r="C1255" s="2" t="s">
        <v>979</v>
      </c>
      <c r="D1255" s="2" t="s">
        <v>911</v>
      </c>
      <c r="E1255" s="2" t="s">
        <v>914</v>
      </c>
      <c r="F1255" s="2">
        <v>1108.0</v>
      </c>
      <c r="G1255" s="2">
        <v>18.77</v>
      </c>
      <c r="H1255" s="2">
        <v>59.0</v>
      </c>
      <c r="I1255" s="2" t="s">
        <v>27</v>
      </c>
    </row>
    <row r="1256" ht="15.75" customHeight="1">
      <c r="A1256" s="2" t="s">
        <v>2209</v>
      </c>
      <c r="B1256" s="2" t="s">
        <v>2210</v>
      </c>
      <c r="C1256" s="2" t="s">
        <v>979</v>
      </c>
      <c r="D1256" s="2" t="s">
        <v>1092</v>
      </c>
      <c r="E1256" s="2" t="s">
        <v>1093</v>
      </c>
      <c r="F1256" s="2">
        <v>6805.0</v>
      </c>
      <c r="G1256" s="2">
        <v>14.41</v>
      </c>
      <c r="H1256" s="2">
        <v>472.2</v>
      </c>
      <c r="I1256" s="2" t="s">
        <v>138</v>
      </c>
    </row>
    <row r="1257" ht="15.75" customHeight="1">
      <c r="A1257" s="2" t="s">
        <v>4087</v>
      </c>
      <c r="B1257" s="2" t="s">
        <v>4088</v>
      </c>
      <c r="C1257" s="2" t="s">
        <v>979</v>
      </c>
      <c r="D1257" s="2" t="s">
        <v>847</v>
      </c>
      <c r="E1257" s="2" t="s">
        <v>848</v>
      </c>
      <c r="F1257" s="2">
        <v>135.0</v>
      </c>
      <c r="G1257" s="2">
        <v>4.36</v>
      </c>
      <c r="H1257" s="2">
        <v>31.0</v>
      </c>
      <c r="I1257" s="2" t="s">
        <v>47</v>
      </c>
    </row>
    <row r="1258" ht="15.75" customHeight="1">
      <c r="A1258" s="2" t="s">
        <v>2213</v>
      </c>
      <c r="B1258" s="2" t="s">
        <v>2214</v>
      </c>
      <c r="C1258" s="2" t="s">
        <v>979</v>
      </c>
      <c r="D1258" s="2" t="s">
        <v>850</v>
      </c>
      <c r="E1258" s="2" t="s">
        <v>852</v>
      </c>
      <c r="F1258" s="2">
        <v>5949.0</v>
      </c>
      <c r="G1258" s="2">
        <v>4.69</v>
      </c>
      <c r="H1258" s="2">
        <v>1268.4</v>
      </c>
      <c r="I1258" s="2" t="s">
        <v>138</v>
      </c>
    </row>
    <row r="1259" ht="15.75" customHeight="1">
      <c r="A1259" s="2" t="s">
        <v>2217</v>
      </c>
      <c r="B1259" s="2" t="s">
        <v>2218</v>
      </c>
      <c r="C1259" s="2" t="s">
        <v>979</v>
      </c>
      <c r="D1259" s="2" t="s">
        <v>826</v>
      </c>
      <c r="E1259" s="2" t="s">
        <v>829</v>
      </c>
      <c r="F1259" s="2">
        <v>1803.0</v>
      </c>
      <c r="G1259" s="2">
        <v>6.82</v>
      </c>
      <c r="H1259" s="2">
        <v>264.4</v>
      </c>
      <c r="I1259" s="2" t="s">
        <v>27</v>
      </c>
    </row>
    <row r="1260" ht="15.75" customHeight="1">
      <c r="A1260" s="2" t="s">
        <v>2220</v>
      </c>
      <c r="B1260" s="2" t="s">
        <v>2222</v>
      </c>
      <c r="C1260" s="2" t="s">
        <v>979</v>
      </c>
      <c r="D1260" s="2" t="s">
        <v>850</v>
      </c>
      <c r="E1260" s="2" t="s">
        <v>852</v>
      </c>
      <c r="F1260" s="2">
        <v>865.0</v>
      </c>
      <c r="G1260" s="2">
        <v>4.26</v>
      </c>
      <c r="H1260" s="2">
        <v>203.1</v>
      </c>
      <c r="I1260" s="2" t="s">
        <v>27</v>
      </c>
    </row>
    <row r="1261" ht="15.75" customHeight="1">
      <c r="A1261" s="2" t="s">
        <v>2223</v>
      </c>
      <c r="B1261" s="2" t="s">
        <v>2225</v>
      </c>
      <c r="C1261" s="2" t="s">
        <v>979</v>
      </c>
      <c r="D1261" s="2" t="s">
        <v>1092</v>
      </c>
      <c r="E1261" s="2" t="s">
        <v>1093</v>
      </c>
      <c r="F1261" s="2">
        <v>1410.0</v>
      </c>
      <c r="G1261" s="2">
        <v>6.83</v>
      </c>
      <c r="H1261" s="2">
        <v>206.4</v>
      </c>
      <c r="I1261" s="2" t="s">
        <v>27</v>
      </c>
    </row>
    <row r="1262" ht="15.75" customHeight="1">
      <c r="A1262" s="2" t="s">
        <v>2227</v>
      </c>
      <c r="B1262" s="2" t="s">
        <v>2228</v>
      </c>
      <c r="C1262" s="2" t="s">
        <v>979</v>
      </c>
      <c r="D1262" s="2" t="s">
        <v>794</v>
      </c>
      <c r="E1262" s="2" t="s">
        <v>795</v>
      </c>
      <c r="F1262" s="2">
        <v>2127.0</v>
      </c>
      <c r="G1262" s="2">
        <v>7.11</v>
      </c>
      <c r="H1262" s="2">
        <v>299.2</v>
      </c>
      <c r="I1262" s="2" t="s">
        <v>138</v>
      </c>
    </row>
    <row r="1263" ht="15.75" customHeight="1">
      <c r="A1263" s="2" t="s">
        <v>2231</v>
      </c>
      <c r="B1263" s="2" t="s">
        <v>2232</v>
      </c>
      <c r="C1263" s="2" t="s">
        <v>979</v>
      </c>
      <c r="D1263" s="2" t="s">
        <v>813</v>
      </c>
      <c r="E1263" s="2" t="s">
        <v>814</v>
      </c>
      <c r="F1263" s="2">
        <v>4000.0</v>
      </c>
      <c r="G1263" s="2">
        <v>11.07</v>
      </c>
      <c r="H1263" s="2">
        <v>361.3</v>
      </c>
      <c r="I1263" s="2" t="s">
        <v>138</v>
      </c>
    </row>
    <row r="1264" ht="15.75" customHeight="1">
      <c r="A1264" s="2" t="s">
        <v>4101</v>
      </c>
      <c r="B1264" s="2" t="s">
        <v>4102</v>
      </c>
      <c r="C1264" s="2" t="s">
        <v>979</v>
      </c>
      <c r="D1264" s="2" t="s">
        <v>858</v>
      </c>
      <c r="E1264" s="2" t="s">
        <v>859</v>
      </c>
      <c r="F1264" s="2">
        <v>197.0</v>
      </c>
      <c r="G1264" s="2">
        <v>6.18</v>
      </c>
      <c r="H1264" s="2">
        <v>31.9</v>
      </c>
      <c r="I1264" s="2" t="s">
        <v>47</v>
      </c>
    </row>
    <row r="1265" ht="15.75" customHeight="1">
      <c r="A1265" s="2" t="s">
        <v>2235</v>
      </c>
      <c r="B1265" s="2" t="s">
        <v>2236</v>
      </c>
      <c r="C1265" s="2" t="s">
        <v>979</v>
      </c>
      <c r="D1265" s="2" t="s">
        <v>800</v>
      </c>
      <c r="E1265" s="2" t="s">
        <v>801</v>
      </c>
      <c r="F1265" s="2">
        <v>12199.0</v>
      </c>
      <c r="G1265" s="2">
        <v>33.33</v>
      </c>
      <c r="H1265" s="2">
        <v>366.0</v>
      </c>
      <c r="I1265" s="2" t="s">
        <v>805</v>
      </c>
    </row>
    <row r="1266" ht="15.75" customHeight="1">
      <c r="A1266" s="2" t="s">
        <v>2237</v>
      </c>
      <c r="B1266" s="2" t="s">
        <v>2238</v>
      </c>
      <c r="C1266" s="2" t="s">
        <v>979</v>
      </c>
      <c r="D1266" s="2" t="s">
        <v>794</v>
      </c>
      <c r="E1266" s="2" t="s">
        <v>795</v>
      </c>
      <c r="F1266" s="2">
        <v>579.0</v>
      </c>
      <c r="G1266" s="2">
        <v>5.1</v>
      </c>
      <c r="H1266" s="2">
        <v>113.5</v>
      </c>
      <c r="I1266" s="2" t="s">
        <v>27</v>
      </c>
    </row>
    <row r="1267" ht="15.75" customHeight="1">
      <c r="A1267" s="2" t="s">
        <v>4115</v>
      </c>
      <c r="B1267" s="2" t="s">
        <v>4116</v>
      </c>
      <c r="C1267" s="2" t="s">
        <v>979</v>
      </c>
      <c r="D1267" s="2" t="s">
        <v>858</v>
      </c>
      <c r="E1267" s="2" t="s">
        <v>859</v>
      </c>
      <c r="F1267" s="2">
        <v>220.0</v>
      </c>
      <c r="G1267" s="2">
        <v>9.54</v>
      </c>
      <c r="H1267" s="2">
        <v>23.1</v>
      </c>
      <c r="I1267" s="2" t="s">
        <v>47</v>
      </c>
    </row>
    <row r="1268" ht="15.75" customHeight="1">
      <c r="A1268" s="2" t="s">
        <v>4119</v>
      </c>
      <c r="B1268" s="2" t="s">
        <v>4120</v>
      </c>
      <c r="C1268" s="2" t="s">
        <v>979</v>
      </c>
      <c r="D1268" s="2" t="s">
        <v>968</v>
      </c>
      <c r="E1268" s="2" t="s">
        <v>971</v>
      </c>
      <c r="F1268" s="2">
        <v>150.0</v>
      </c>
      <c r="G1268" s="2">
        <v>1.04</v>
      </c>
      <c r="H1268" s="2">
        <v>144.2</v>
      </c>
      <c r="I1268" s="2" t="s">
        <v>47</v>
      </c>
    </row>
    <row r="1269" ht="15.75" customHeight="1">
      <c r="A1269" s="2" t="s">
        <v>2241</v>
      </c>
      <c r="B1269" s="2" t="s">
        <v>2242</v>
      </c>
      <c r="C1269" s="2" t="s">
        <v>979</v>
      </c>
      <c r="D1269" s="2" t="s">
        <v>847</v>
      </c>
      <c r="E1269" s="2" t="s">
        <v>848</v>
      </c>
      <c r="F1269" s="2">
        <v>2338.0</v>
      </c>
      <c r="G1269" s="2">
        <v>6.14</v>
      </c>
      <c r="H1269" s="2">
        <v>380.8</v>
      </c>
      <c r="I1269" s="2" t="s">
        <v>138</v>
      </c>
    </row>
    <row r="1270" ht="15.75" customHeight="1">
      <c r="A1270" s="2" t="s">
        <v>4125</v>
      </c>
      <c r="B1270" s="2" t="s">
        <v>4126</v>
      </c>
      <c r="C1270" s="2" t="s">
        <v>979</v>
      </c>
      <c r="D1270" s="2" t="s">
        <v>826</v>
      </c>
      <c r="E1270" s="2" t="s">
        <v>829</v>
      </c>
      <c r="F1270" s="2">
        <v>241.0</v>
      </c>
      <c r="G1270" s="2">
        <v>6.35</v>
      </c>
      <c r="H1270" s="2">
        <v>38.0</v>
      </c>
      <c r="I1270" s="2" t="s">
        <v>47</v>
      </c>
    </row>
    <row r="1271" ht="15.75" customHeight="1">
      <c r="A1271" s="2" t="s">
        <v>2244</v>
      </c>
      <c r="B1271" s="2" t="s">
        <v>2246</v>
      </c>
      <c r="C1271" s="2" t="s">
        <v>979</v>
      </c>
      <c r="D1271" s="2" t="s">
        <v>780</v>
      </c>
      <c r="E1271" s="2" t="s">
        <v>782</v>
      </c>
      <c r="F1271" s="2">
        <v>2113.0</v>
      </c>
      <c r="G1271" s="2">
        <v>18.95</v>
      </c>
      <c r="H1271" s="2">
        <v>111.5</v>
      </c>
      <c r="I1271" s="2" t="s">
        <v>138</v>
      </c>
    </row>
    <row r="1272" ht="15.75" customHeight="1">
      <c r="A1272" s="2" t="s">
        <v>4131</v>
      </c>
      <c r="B1272" s="2" t="s">
        <v>4132</v>
      </c>
      <c r="C1272" s="2" t="s">
        <v>979</v>
      </c>
      <c r="D1272" s="2" t="s">
        <v>826</v>
      </c>
      <c r="E1272" s="2" t="s">
        <v>829</v>
      </c>
      <c r="F1272" s="2">
        <v>337.0</v>
      </c>
      <c r="G1272" s="2">
        <v>2.77</v>
      </c>
      <c r="H1272" s="2">
        <v>121.7</v>
      </c>
      <c r="I1272" s="2" t="s">
        <v>47</v>
      </c>
    </row>
    <row r="1273" ht="15.75" customHeight="1">
      <c r="A1273" s="2" t="s">
        <v>2247</v>
      </c>
      <c r="B1273" s="2" t="s">
        <v>2248</v>
      </c>
      <c r="C1273" s="2" t="s">
        <v>979</v>
      </c>
      <c r="D1273" s="2" t="s">
        <v>911</v>
      </c>
      <c r="E1273" s="2" t="s">
        <v>914</v>
      </c>
      <c r="F1273" s="2">
        <v>1976.0</v>
      </c>
      <c r="G1273" s="2">
        <v>13.36</v>
      </c>
      <c r="H1273" s="2">
        <v>147.9</v>
      </c>
      <c r="I1273" s="2" t="s">
        <v>27</v>
      </c>
    </row>
    <row r="1274" ht="15.75" customHeight="1">
      <c r="A1274" s="2" t="s">
        <v>2249</v>
      </c>
      <c r="B1274" s="2" t="s">
        <v>2250</v>
      </c>
      <c r="C1274" s="2" t="s">
        <v>979</v>
      </c>
      <c r="D1274" s="2" t="s">
        <v>794</v>
      </c>
      <c r="E1274" s="2" t="s">
        <v>795</v>
      </c>
      <c r="F1274" s="2">
        <v>380.0</v>
      </c>
      <c r="G1274" s="2">
        <v>8.78</v>
      </c>
      <c r="H1274" s="2">
        <v>43.3</v>
      </c>
      <c r="I1274" s="2" t="s">
        <v>47</v>
      </c>
    </row>
    <row r="1275" ht="15.75" customHeight="1">
      <c r="A1275" s="2" t="s">
        <v>2251</v>
      </c>
      <c r="B1275" s="2" t="s">
        <v>2252</v>
      </c>
      <c r="C1275" s="2" t="s">
        <v>979</v>
      </c>
      <c r="D1275" s="2" t="s">
        <v>778</v>
      </c>
      <c r="E1275" s="2" t="s">
        <v>779</v>
      </c>
      <c r="F1275" s="2">
        <v>1261.0</v>
      </c>
      <c r="G1275" s="2">
        <v>7.35</v>
      </c>
      <c r="H1275" s="2">
        <v>171.6</v>
      </c>
      <c r="I1275" s="2" t="s">
        <v>27</v>
      </c>
    </row>
    <row r="1276" ht="15.75" customHeight="1">
      <c r="A1276" s="2" t="s">
        <v>2255</v>
      </c>
      <c r="B1276" s="2" t="s">
        <v>2256</v>
      </c>
      <c r="C1276" s="2" t="s">
        <v>979</v>
      </c>
      <c r="D1276" s="2" t="s">
        <v>794</v>
      </c>
      <c r="E1276" s="2" t="s">
        <v>795</v>
      </c>
      <c r="F1276" s="2">
        <v>1425.0</v>
      </c>
      <c r="G1276" s="2">
        <v>7.63</v>
      </c>
      <c r="H1276" s="2">
        <v>186.8</v>
      </c>
      <c r="I1276" s="2" t="s">
        <v>27</v>
      </c>
    </row>
    <row r="1277" ht="15.75" customHeight="1">
      <c r="A1277" s="2" t="s">
        <v>4143</v>
      </c>
      <c r="B1277" s="2" t="s">
        <v>4144</v>
      </c>
      <c r="C1277" s="2" t="s">
        <v>979</v>
      </c>
      <c r="D1277" s="2" t="s">
        <v>968</v>
      </c>
      <c r="E1277" s="2" t="s">
        <v>971</v>
      </c>
      <c r="F1277" s="2">
        <v>201.0</v>
      </c>
      <c r="G1277" s="2">
        <v>2.32</v>
      </c>
      <c r="H1277" s="2">
        <v>86.6</v>
      </c>
      <c r="I1277" s="2" t="s">
        <v>47</v>
      </c>
    </row>
    <row r="1278" ht="15.75" customHeight="1">
      <c r="A1278" s="2" t="s">
        <v>2258</v>
      </c>
      <c r="B1278" s="2" t="s">
        <v>2260</v>
      </c>
      <c r="C1278" s="2" t="s">
        <v>979</v>
      </c>
      <c r="D1278" s="2" t="s">
        <v>850</v>
      </c>
      <c r="E1278" s="2" t="s">
        <v>852</v>
      </c>
      <c r="F1278" s="2">
        <v>741.0</v>
      </c>
      <c r="G1278" s="2">
        <v>4.79</v>
      </c>
      <c r="H1278" s="2">
        <v>154.7</v>
      </c>
      <c r="I1278" s="2" t="s">
        <v>27</v>
      </c>
    </row>
    <row r="1279" ht="15.75" customHeight="1">
      <c r="A1279" s="2" t="s">
        <v>2263</v>
      </c>
      <c r="B1279" s="2" t="s">
        <v>2264</v>
      </c>
      <c r="C1279" s="2" t="s">
        <v>979</v>
      </c>
      <c r="D1279" s="2" t="s">
        <v>990</v>
      </c>
      <c r="E1279" s="2" t="s">
        <v>991</v>
      </c>
      <c r="F1279" s="2">
        <v>471.0</v>
      </c>
      <c r="G1279" s="2">
        <v>5.99</v>
      </c>
      <c r="H1279" s="2">
        <v>78.6</v>
      </c>
      <c r="I1279" s="2" t="s">
        <v>47</v>
      </c>
    </row>
    <row r="1280" ht="15.75" customHeight="1">
      <c r="A1280" s="2" t="s">
        <v>2265</v>
      </c>
      <c r="B1280" s="2" t="s">
        <v>2266</v>
      </c>
      <c r="C1280" s="2" t="s">
        <v>979</v>
      </c>
      <c r="D1280" s="2" t="s">
        <v>1092</v>
      </c>
      <c r="E1280" s="2" t="s">
        <v>1093</v>
      </c>
      <c r="F1280" s="2">
        <v>19787.0</v>
      </c>
      <c r="G1280" s="2">
        <v>5.43</v>
      </c>
      <c r="H1280" s="2">
        <v>3644.0</v>
      </c>
      <c r="I1280" s="2" t="s">
        <v>805</v>
      </c>
    </row>
    <row r="1281" ht="15.75" customHeight="1">
      <c r="A1281" s="2" t="s">
        <v>2269</v>
      </c>
      <c r="B1281" s="2" t="s">
        <v>2270</v>
      </c>
      <c r="C1281" s="2" t="s">
        <v>979</v>
      </c>
      <c r="D1281" s="2" t="s">
        <v>1092</v>
      </c>
      <c r="E1281" s="2" t="s">
        <v>1093</v>
      </c>
      <c r="F1281" s="2">
        <v>14075.0</v>
      </c>
      <c r="G1281" s="2">
        <v>10.56</v>
      </c>
      <c r="H1281" s="2">
        <v>1332.9</v>
      </c>
      <c r="I1281" s="2" t="s">
        <v>805</v>
      </c>
    </row>
    <row r="1282" ht="15.75" customHeight="1">
      <c r="A1282" s="2" t="s">
        <v>2273</v>
      </c>
      <c r="B1282" s="2" t="s">
        <v>2274</v>
      </c>
      <c r="C1282" s="2" t="s">
        <v>979</v>
      </c>
      <c r="D1282" s="2" t="s">
        <v>813</v>
      </c>
      <c r="E1282" s="2" t="s">
        <v>814</v>
      </c>
      <c r="F1282" s="2">
        <v>5956.0</v>
      </c>
      <c r="G1282" s="2">
        <v>7.15</v>
      </c>
      <c r="H1282" s="2">
        <v>833.0</v>
      </c>
      <c r="I1282" s="2" t="s">
        <v>138</v>
      </c>
    </row>
    <row r="1283" ht="15.75" customHeight="1">
      <c r="A1283" s="2" t="s">
        <v>2277</v>
      </c>
      <c r="B1283" s="2" t="s">
        <v>2278</v>
      </c>
      <c r="C1283" s="2" t="s">
        <v>979</v>
      </c>
      <c r="D1283" s="2" t="s">
        <v>800</v>
      </c>
      <c r="E1283" s="2" t="s">
        <v>801</v>
      </c>
      <c r="F1283" s="2">
        <v>2022.0</v>
      </c>
      <c r="G1283" s="2">
        <v>8.11</v>
      </c>
      <c r="H1283" s="2">
        <v>249.3</v>
      </c>
      <c r="I1283" s="2" t="s">
        <v>138</v>
      </c>
    </row>
    <row r="1284" ht="15.75" customHeight="1">
      <c r="A1284" s="2" t="s">
        <v>2280</v>
      </c>
      <c r="B1284" s="2" t="s">
        <v>2282</v>
      </c>
      <c r="C1284" s="2" t="s">
        <v>979</v>
      </c>
      <c r="D1284" s="2" t="s">
        <v>1092</v>
      </c>
      <c r="E1284" s="2" t="s">
        <v>1093</v>
      </c>
      <c r="F1284" s="2">
        <v>98286.0</v>
      </c>
      <c r="G1284" s="2">
        <v>13.12</v>
      </c>
      <c r="H1284" s="2">
        <v>7491.3</v>
      </c>
      <c r="I1284" s="2" t="s">
        <v>3730</v>
      </c>
    </row>
    <row r="1285" ht="15.75" customHeight="1">
      <c r="A1285" s="2" t="s">
        <v>4161</v>
      </c>
      <c r="B1285" s="2" t="s">
        <v>4163</v>
      </c>
      <c r="C1285" s="2" t="s">
        <v>979</v>
      </c>
      <c r="D1285" s="2" t="s">
        <v>813</v>
      </c>
      <c r="E1285" s="2" t="s">
        <v>814</v>
      </c>
      <c r="F1285" s="2">
        <v>456.0</v>
      </c>
      <c r="G1285" s="2">
        <v>3.19</v>
      </c>
      <c r="H1285" s="2">
        <v>142.9</v>
      </c>
      <c r="I1285" s="2" t="s">
        <v>47</v>
      </c>
    </row>
    <row r="1286" ht="15.75" customHeight="1">
      <c r="A1286" s="2" t="s">
        <v>2283</v>
      </c>
      <c r="B1286" s="2" t="s">
        <v>2284</v>
      </c>
      <c r="C1286" s="2" t="s">
        <v>979</v>
      </c>
      <c r="D1286" s="2" t="s">
        <v>847</v>
      </c>
      <c r="E1286" s="2" t="s">
        <v>848</v>
      </c>
      <c r="F1286" s="2">
        <v>3980.0</v>
      </c>
      <c r="G1286" s="2">
        <v>5.78</v>
      </c>
      <c r="H1286" s="2">
        <v>688.6</v>
      </c>
      <c r="I1286" s="2" t="s">
        <v>138</v>
      </c>
    </row>
    <row r="1287" ht="15.75" customHeight="1">
      <c r="A1287" s="2" t="s">
        <v>2285</v>
      </c>
      <c r="B1287" s="2" t="s">
        <v>2287</v>
      </c>
      <c r="C1287" s="2" t="s">
        <v>979</v>
      </c>
      <c r="D1287" s="2" t="s">
        <v>850</v>
      </c>
      <c r="E1287" s="2" t="s">
        <v>852</v>
      </c>
      <c r="F1287" s="2">
        <v>655.0</v>
      </c>
      <c r="G1287" s="2">
        <v>3.26</v>
      </c>
      <c r="H1287" s="2">
        <v>200.9</v>
      </c>
      <c r="I1287" s="2" t="s">
        <v>27</v>
      </c>
    </row>
    <row r="1288" ht="15.75" customHeight="1">
      <c r="A1288" s="2" t="s">
        <v>2289</v>
      </c>
      <c r="B1288" s="2" t="s">
        <v>2290</v>
      </c>
      <c r="C1288" s="2" t="s">
        <v>979</v>
      </c>
      <c r="D1288" s="2" t="s">
        <v>780</v>
      </c>
      <c r="E1288" s="2" t="s">
        <v>782</v>
      </c>
      <c r="F1288" s="2">
        <v>899.0</v>
      </c>
      <c r="G1288" s="2">
        <v>14.97</v>
      </c>
      <c r="H1288" s="2">
        <v>60.1</v>
      </c>
      <c r="I1288" s="2" t="s">
        <v>27</v>
      </c>
    </row>
    <row r="1289" ht="15.75" customHeight="1">
      <c r="A1289" s="2" t="s">
        <v>2293</v>
      </c>
      <c r="B1289" s="2" t="s">
        <v>2294</v>
      </c>
      <c r="C1289" s="2" t="s">
        <v>979</v>
      </c>
      <c r="D1289" s="2" t="s">
        <v>968</v>
      </c>
      <c r="E1289" s="2" t="s">
        <v>971</v>
      </c>
      <c r="F1289" s="2">
        <v>448.0</v>
      </c>
      <c r="G1289" s="2">
        <v>6.76</v>
      </c>
      <c r="H1289" s="2">
        <v>66.3</v>
      </c>
      <c r="I1289" s="2" t="s">
        <v>47</v>
      </c>
    </row>
    <row r="1290" ht="15.75" customHeight="1">
      <c r="A1290" s="2" t="s">
        <v>2295</v>
      </c>
      <c r="B1290" s="2" t="s">
        <v>2297</v>
      </c>
      <c r="C1290" s="2" t="s">
        <v>979</v>
      </c>
      <c r="D1290" s="2" t="s">
        <v>800</v>
      </c>
      <c r="E1290" s="2" t="s">
        <v>801</v>
      </c>
      <c r="F1290" s="2">
        <v>1722.0</v>
      </c>
      <c r="G1290" s="2">
        <v>7.66</v>
      </c>
      <c r="H1290" s="2">
        <v>224.8</v>
      </c>
      <c r="I1290" s="2" t="s">
        <v>27</v>
      </c>
    </row>
    <row r="1291" ht="15.75" customHeight="1">
      <c r="A1291" s="2" t="s">
        <v>2299</v>
      </c>
      <c r="B1291" s="2" t="s">
        <v>2300</v>
      </c>
      <c r="C1291" s="2" t="s">
        <v>979</v>
      </c>
      <c r="D1291" s="2" t="s">
        <v>794</v>
      </c>
      <c r="E1291" s="2" t="s">
        <v>795</v>
      </c>
      <c r="F1291" s="2">
        <v>1431.0</v>
      </c>
      <c r="G1291" s="2">
        <v>6.68</v>
      </c>
      <c r="H1291" s="2">
        <v>214.2</v>
      </c>
      <c r="I1291" s="2" t="s">
        <v>27</v>
      </c>
    </row>
    <row r="1292" ht="15.75" customHeight="1">
      <c r="A1292" s="2" t="s">
        <v>2301</v>
      </c>
      <c r="B1292" s="2" t="s">
        <v>2302</v>
      </c>
      <c r="C1292" s="2" t="s">
        <v>979</v>
      </c>
      <c r="D1292" s="2" t="s">
        <v>813</v>
      </c>
      <c r="E1292" s="2" t="s">
        <v>814</v>
      </c>
      <c r="F1292" s="2">
        <v>2672.0</v>
      </c>
      <c r="G1292" s="2">
        <v>4.85</v>
      </c>
      <c r="H1292" s="2">
        <v>550.9</v>
      </c>
      <c r="I1292" s="2" t="s">
        <v>138</v>
      </c>
    </row>
    <row r="1293" ht="15.75" customHeight="1">
      <c r="A1293" s="2" t="s">
        <v>2305</v>
      </c>
      <c r="B1293" s="2" t="s">
        <v>2306</v>
      </c>
      <c r="C1293" s="2" t="s">
        <v>979</v>
      </c>
      <c r="D1293" s="2" t="s">
        <v>800</v>
      </c>
      <c r="E1293" s="2" t="s">
        <v>801</v>
      </c>
      <c r="F1293" s="2">
        <v>3743.0</v>
      </c>
      <c r="G1293" s="2">
        <v>4.05</v>
      </c>
      <c r="H1293" s="2">
        <v>924.2</v>
      </c>
      <c r="I1293" s="2" t="s">
        <v>138</v>
      </c>
    </row>
    <row r="1294" ht="15.75" customHeight="1">
      <c r="A1294" s="2" t="s">
        <v>2309</v>
      </c>
      <c r="B1294" s="2" t="s">
        <v>2310</v>
      </c>
      <c r="C1294" s="2" t="s">
        <v>979</v>
      </c>
      <c r="D1294" s="2" t="s">
        <v>794</v>
      </c>
      <c r="E1294" s="2" t="s">
        <v>795</v>
      </c>
      <c r="F1294" s="2">
        <v>409.0</v>
      </c>
      <c r="G1294" s="2">
        <v>3.27</v>
      </c>
      <c r="H1294" s="2">
        <v>125.1</v>
      </c>
      <c r="I1294" s="2" t="s">
        <v>47</v>
      </c>
    </row>
    <row r="1295" ht="15.75" customHeight="1">
      <c r="A1295" s="2" t="s">
        <v>2312</v>
      </c>
      <c r="B1295" s="2" t="s">
        <v>2314</v>
      </c>
      <c r="C1295" s="2" t="s">
        <v>979</v>
      </c>
      <c r="D1295" s="2" t="s">
        <v>1092</v>
      </c>
      <c r="E1295" s="2" t="s">
        <v>1093</v>
      </c>
      <c r="F1295" s="2">
        <v>1923.0</v>
      </c>
      <c r="G1295" s="2">
        <v>4.43</v>
      </c>
      <c r="H1295" s="2">
        <v>434.1</v>
      </c>
      <c r="I1295" s="2" t="s">
        <v>27</v>
      </c>
    </row>
    <row r="1296" ht="15.75" customHeight="1">
      <c r="A1296" s="2" t="s">
        <v>2316</v>
      </c>
      <c r="B1296" s="2" t="s">
        <v>2318</v>
      </c>
      <c r="C1296" s="2" t="s">
        <v>979</v>
      </c>
      <c r="D1296" s="2" t="s">
        <v>1092</v>
      </c>
      <c r="E1296" s="2" t="s">
        <v>1093</v>
      </c>
      <c r="F1296" s="2">
        <v>2840.0</v>
      </c>
      <c r="G1296" s="2">
        <v>10.53</v>
      </c>
      <c r="H1296" s="2">
        <v>269.7</v>
      </c>
      <c r="I1296" s="2" t="s">
        <v>138</v>
      </c>
    </row>
    <row r="1297" ht="15.75" customHeight="1">
      <c r="A1297" s="2" t="s">
        <v>2319</v>
      </c>
      <c r="B1297" s="2" t="s">
        <v>2320</v>
      </c>
      <c r="C1297" s="2" t="s">
        <v>979</v>
      </c>
      <c r="D1297" s="2" t="s">
        <v>1092</v>
      </c>
      <c r="E1297" s="2" t="s">
        <v>1093</v>
      </c>
      <c r="F1297" s="2">
        <v>5638.0</v>
      </c>
      <c r="G1297" s="2">
        <v>7.8</v>
      </c>
      <c r="H1297" s="2">
        <v>722.8</v>
      </c>
      <c r="I1297" s="2" t="s">
        <v>138</v>
      </c>
    </row>
    <row r="1298" ht="15.75" customHeight="1">
      <c r="A1298" s="2" t="s">
        <v>2321</v>
      </c>
      <c r="B1298" s="2" t="s">
        <v>2322</v>
      </c>
      <c r="C1298" s="2" t="s">
        <v>979</v>
      </c>
      <c r="D1298" s="2" t="s">
        <v>858</v>
      </c>
      <c r="E1298" s="2" t="s">
        <v>859</v>
      </c>
      <c r="F1298" s="2">
        <v>2755.0</v>
      </c>
      <c r="G1298" s="2">
        <v>16.02</v>
      </c>
      <c r="H1298" s="2">
        <v>172.0</v>
      </c>
      <c r="I1298" s="2" t="s">
        <v>138</v>
      </c>
    </row>
    <row r="1299" ht="15.75" customHeight="1">
      <c r="A1299" s="2" t="s">
        <v>2325</v>
      </c>
      <c r="B1299" s="2" t="s">
        <v>2326</v>
      </c>
      <c r="C1299" s="2" t="s">
        <v>979</v>
      </c>
      <c r="D1299" s="2" t="s">
        <v>800</v>
      </c>
      <c r="E1299" s="2" t="s">
        <v>801</v>
      </c>
      <c r="F1299" s="2">
        <v>15974.0</v>
      </c>
      <c r="G1299" s="2">
        <v>33.94</v>
      </c>
      <c r="H1299" s="2">
        <v>470.7</v>
      </c>
      <c r="I1299" s="2" t="s">
        <v>805</v>
      </c>
    </row>
    <row r="1300" ht="15.75" customHeight="1">
      <c r="A1300" s="2" t="s">
        <v>2327</v>
      </c>
      <c r="B1300" s="2" t="s">
        <v>2328</v>
      </c>
      <c r="C1300" s="2" t="s">
        <v>979</v>
      </c>
      <c r="D1300" s="2" t="s">
        <v>1092</v>
      </c>
      <c r="E1300" s="2" t="s">
        <v>1093</v>
      </c>
      <c r="F1300" s="2">
        <v>13233.0</v>
      </c>
      <c r="G1300" s="2">
        <v>3.16</v>
      </c>
      <c r="H1300" s="2">
        <v>4187.7</v>
      </c>
      <c r="I1300" s="2" t="s">
        <v>805</v>
      </c>
    </row>
    <row r="1301" ht="15.75" customHeight="1">
      <c r="A1301" s="2" t="s">
        <v>2330</v>
      </c>
      <c r="B1301" s="2" t="s">
        <v>2332</v>
      </c>
      <c r="C1301" s="2" t="s">
        <v>979</v>
      </c>
      <c r="D1301" s="2" t="s">
        <v>826</v>
      </c>
      <c r="E1301" s="2" t="s">
        <v>829</v>
      </c>
      <c r="F1301" s="2">
        <v>1570.0</v>
      </c>
      <c r="G1301" s="2">
        <v>8.1</v>
      </c>
      <c r="H1301" s="2">
        <v>193.8</v>
      </c>
      <c r="I1301" s="2" t="s">
        <v>27</v>
      </c>
    </row>
    <row r="1302" ht="15.75" customHeight="1">
      <c r="A1302" s="2" t="s">
        <v>4193</v>
      </c>
      <c r="B1302" s="2" t="s">
        <v>2508</v>
      </c>
      <c r="C1302" s="2" t="s">
        <v>979</v>
      </c>
      <c r="D1302" s="2" t="s">
        <v>858</v>
      </c>
      <c r="E1302" s="2" t="s">
        <v>859</v>
      </c>
      <c r="F1302" s="2">
        <v>328.0</v>
      </c>
      <c r="G1302" s="2">
        <v>10.14</v>
      </c>
      <c r="H1302" s="2">
        <v>32.3</v>
      </c>
      <c r="I1302" s="2" t="s">
        <v>47</v>
      </c>
    </row>
    <row r="1303" ht="15.75" customHeight="1">
      <c r="A1303" s="2" t="s">
        <v>4196</v>
      </c>
      <c r="B1303" s="2" t="s">
        <v>4197</v>
      </c>
      <c r="C1303" s="2" t="s">
        <v>979</v>
      </c>
      <c r="D1303" s="2" t="s">
        <v>850</v>
      </c>
      <c r="E1303" s="2" t="s">
        <v>852</v>
      </c>
      <c r="F1303" s="2">
        <v>328.0</v>
      </c>
      <c r="G1303" s="2">
        <v>4.18</v>
      </c>
      <c r="H1303" s="2">
        <v>78.5</v>
      </c>
      <c r="I1303" s="2" t="s">
        <v>47</v>
      </c>
    </row>
    <row r="1304" ht="15.75" customHeight="1">
      <c r="A1304" s="2" t="s">
        <v>2333</v>
      </c>
      <c r="B1304" s="2" t="s">
        <v>2335</v>
      </c>
      <c r="C1304" s="2" t="s">
        <v>979</v>
      </c>
      <c r="D1304" s="2" t="s">
        <v>826</v>
      </c>
      <c r="E1304" s="2" t="s">
        <v>829</v>
      </c>
      <c r="F1304" s="2">
        <v>343.0</v>
      </c>
      <c r="G1304" s="2">
        <v>4.66</v>
      </c>
      <c r="H1304" s="2">
        <v>73.6</v>
      </c>
      <c r="I1304" s="2" t="s">
        <v>47</v>
      </c>
    </row>
    <row r="1305" ht="15.75" customHeight="1">
      <c r="A1305" s="2" t="s">
        <v>4202</v>
      </c>
      <c r="B1305" s="2" t="s">
        <v>4203</v>
      </c>
      <c r="C1305" s="2" t="s">
        <v>979</v>
      </c>
      <c r="D1305" s="2" t="s">
        <v>1086</v>
      </c>
      <c r="E1305" s="2" t="s">
        <v>1087</v>
      </c>
      <c r="F1305" s="2">
        <v>287.0</v>
      </c>
      <c r="G1305" s="2">
        <v>8.09</v>
      </c>
      <c r="H1305" s="2">
        <v>35.5</v>
      </c>
      <c r="I1305" s="2" t="s">
        <v>47</v>
      </c>
    </row>
    <row r="1306" ht="15.75" customHeight="1">
      <c r="A1306" s="2" t="s">
        <v>2338</v>
      </c>
      <c r="B1306" s="2" t="s">
        <v>2340</v>
      </c>
      <c r="C1306" s="2" t="s">
        <v>979</v>
      </c>
      <c r="D1306" s="2" t="s">
        <v>826</v>
      </c>
      <c r="E1306" s="2" t="s">
        <v>829</v>
      </c>
      <c r="F1306" s="2">
        <v>1558.0</v>
      </c>
      <c r="G1306" s="2">
        <v>6.52</v>
      </c>
      <c r="H1306" s="2">
        <v>239.0</v>
      </c>
      <c r="I1306" s="2" t="s">
        <v>27</v>
      </c>
    </row>
    <row r="1307" ht="15.75" customHeight="1">
      <c r="A1307" s="2" t="s">
        <v>2343</v>
      </c>
      <c r="B1307" s="2" t="s">
        <v>2344</v>
      </c>
      <c r="C1307" s="2" t="s">
        <v>979</v>
      </c>
      <c r="D1307" s="2" t="s">
        <v>858</v>
      </c>
      <c r="E1307" s="2" t="s">
        <v>859</v>
      </c>
      <c r="F1307" s="2">
        <v>733.0</v>
      </c>
      <c r="G1307" s="2">
        <v>15.44</v>
      </c>
      <c r="H1307" s="2">
        <v>47.5</v>
      </c>
      <c r="I1307" s="2" t="s">
        <v>27</v>
      </c>
    </row>
    <row r="1308" ht="15.75" customHeight="1">
      <c r="A1308" s="2" t="s">
        <v>2347</v>
      </c>
      <c r="B1308" s="2" t="s">
        <v>2348</v>
      </c>
      <c r="C1308" s="2" t="s">
        <v>979</v>
      </c>
      <c r="D1308" s="2" t="s">
        <v>780</v>
      </c>
      <c r="E1308" s="2" t="s">
        <v>782</v>
      </c>
      <c r="F1308" s="2">
        <v>1598.0</v>
      </c>
      <c r="G1308" s="2">
        <v>7.96</v>
      </c>
      <c r="H1308" s="2">
        <v>200.8</v>
      </c>
      <c r="I1308" s="2" t="s">
        <v>27</v>
      </c>
    </row>
    <row r="1309" ht="15.75" customHeight="1">
      <c r="A1309" s="2" t="s">
        <v>2351</v>
      </c>
      <c r="B1309" s="2" t="s">
        <v>2352</v>
      </c>
      <c r="C1309" s="2" t="s">
        <v>979</v>
      </c>
      <c r="D1309" s="2" t="s">
        <v>990</v>
      </c>
      <c r="E1309" s="2" t="s">
        <v>991</v>
      </c>
      <c r="F1309" s="2">
        <v>483.0</v>
      </c>
      <c r="G1309" s="2">
        <v>5.28</v>
      </c>
      <c r="H1309" s="2">
        <v>91.5</v>
      </c>
      <c r="I1309" s="2" t="s">
        <v>47</v>
      </c>
    </row>
    <row r="1310" ht="15.75" customHeight="1">
      <c r="A1310" s="2" t="s">
        <v>4214</v>
      </c>
      <c r="B1310" s="2" t="s">
        <v>4216</v>
      </c>
      <c r="C1310" s="2" t="s">
        <v>979</v>
      </c>
      <c r="D1310" s="2" t="s">
        <v>911</v>
      </c>
      <c r="E1310" s="2" t="s">
        <v>914</v>
      </c>
      <c r="F1310" s="2">
        <v>410.0</v>
      </c>
      <c r="G1310" s="2">
        <v>6.0</v>
      </c>
      <c r="H1310" s="2">
        <v>68.3</v>
      </c>
      <c r="I1310" s="2" t="s">
        <v>47</v>
      </c>
    </row>
    <row r="1311" ht="15.75" customHeight="1">
      <c r="A1311" s="2" t="s">
        <v>2354</v>
      </c>
      <c r="B1311" s="2" t="s">
        <v>2356</v>
      </c>
      <c r="C1311" s="2" t="s">
        <v>979</v>
      </c>
      <c r="D1311" s="2" t="s">
        <v>911</v>
      </c>
      <c r="E1311" s="2" t="s">
        <v>914</v>
      </c>
      <c r="F1311" s="2">
        <v>989.0</v>
      </c>
      <c r="G1311" s="2">
        <v>8.84</v>
      </c>
      <c r="H1311" s="2">
        <v>111.9</v>
      </c>
      <c r="I1311" s="2" t="s">
        <v>27</v>
      </c>
    </row>
    <row r="1312" ht="15.75" customHeight="1">
      <c r="A1312" s="2" t="s">
        <v>2358</v>
      </c>
      <c r="B1312" s="2" t="s">
        <v>2360</v>
      </c>
      <c r="C1312" s="2" t="s">
        <v>979</v>
      </c>
      <c r="D1312" s="2" t="s">
        <v>990</v>
      </c>
      <c r="E1312" s="2" t="s">
        <v>991</v>
      </c>
      <c r="F1312" s="2">
        <v>978.0</v>
      </c>
      <c r="G1312" s="2">
        <v>7.42</v>
      </c>
      <c r="H1312" s="2">
        <v>131.8</v>
      </c>
      <c r="I1312" s="2" t="s">
        <v>27</v>
      </c>
    </row>
    <row r="1313" ht="15.75" customHeight="1">
      <c r="A1313" s="2" t="s">
        <v>2362</v>
      </c>
      <c r="B1313" s="2" t="s">
        <v>2363</v>
      </c>
      <c r="C1313" s="2" t="s">
        <v>979</v>
      </c>
      <c r="D1313" s="2" t="s">
        <v>847</v>
      </c>
      <c r="E1313" s="2" t="s">
        <v>848</v>
      </c>
      <c r="F1313" s="2">
        <v>469.0</v>
      </c>
      <c r="G1313" s="2">
        <v>5.18</v>
      </c>
      <c r="H1313" s="2">
        <v>90.5</v>
      </c>
      <c r="I1313" s="2" t="s">
        <v>47</v>
      </c>
    </row>
    <row r="1314" ht="15.75" customHeight="1">
      <c r="A1314" s="2" t="s">
        <v>2365</v>
      </c>
      <c r="B1314" s="2" t="s">
        <v>2366</v>
      </c>
      <c r="C1314" s="2" t="s">
        <v>979</v>
      </c>
      <c r="D1314" s="2" t="s">
        <v>847</v>
      </c>
      <c r="E1314" s="2" t="s">
        <v>848</v>
      </c>
      <c r="F1314" s="2">
        <v>1054.0</v>
      </c>
      <c r="G1314" s="2">
        <v>5.95</v>
      </c>
      <c r="H1314" s="2">
        <v>177.1</v>
      </c>
      <c r="I1314" s="2" t="s">
        <v>27</v>
      </c>
    </row>
    <row r="1315" ht="15.75" customHeight="1">
      <c r="A1315" s="2" t="s">
        <v>2369</v>
      </c>
      <c r="B1315" s="2" t="s">
        <v>2370</v>
      </c>
      <c r="C1315" s="2" t="s">
        <v>979</v>
      </c>
      <c r="D1315" s="2" t="s">
        <v>850</v>
      </c>
      <c r="E1315" s="2" t="s">
        <v>852</v>
      </c>
      <c r="F1315" s="2">
        <v>10947.0</v>
      </c>
      <c r="G1315" s="2">
        <v>12.04</v>
      </c>
      <c r="H1315" s="2">
        <v>909.2</v>
      </c>
      <c r="I1315" s="2" t="s">
        <v>805</v>
      </c>
    </row>
    <row r="1316" ht="15.75" customHeight="1">
      <c r="A1316" s="2" t="s">
        <v>2371</v>
      </c>
      <c r="B1316" s="2" t="s">
        <v>2372</v>
      </c>
      <c r="C1316" s="2" t="s">
        <v>979</v>
      </c>
      <c r="D1316" s="2" t="s">
        <v>826</v>
      </c>
      <c r="E1316" s="2" t="s">
        <v>829</v>
      </c>
      <c r="F1316" s="2">
        <v>1191.0</v>
      </c>
      <c r="G1316" s="2">
        <v>12.66</v>
      </c>
      <c r="H1316" s="2">
        <v>94.1</v>
      </c>
      <c r="I1316" s="2" t="s">
        <v>27</v>
      </c>
    </row>
    <row r="1317" ht="15.75" customHeight="1">
      <c r="A1317" s="2" t="s">
        <v>2375</v>
      </c>
      <c r="B1317" s="2" t="s">
        <v>2376</v>
      </c>
      <c r="C1317" s="2" t="s">
        <v>979</v>
      </c>
      <c r="D1317" s="2" t="s">
        <v>780</v>
      </c>
      <c r="E1317" s="2" t="s">
        <v>782</v>
      </c>
      <c r="F1317" s="2">
        <v>1144.0</v>
      </c>
      <c r="G1317" s="2">
        <v>8.12</v>
      </c>
      <c r="H1317" s="2">
        <v>140.9</v>
      </c>
      <c r="I1317" s="2" t="s">
        <v>27</v>
      </c>
    </row>
    <row r="1318" ht="15.75" customHeight="1">
      <c r="A1318" s="2" t="s">
        <v>2379</v>
      </c>
      <c r="B1318" s="2" t="s">
        <v>2380</v>
      </c>
      <c r="C1318" s="2" t="s">
        <v>979</v>
      </c>
      <c r="D1318" s="2" t="s">
        <v>826</v>
      </c>
      <c r="E1318" s="2" t="s">
        <v>829</v>
      </c>
      <c r="F1318" s="2">
        <v>871.0</v>
      </c>
      <c r="G1318" s="2">
        <v>4.38</v>
      </c>
      <c r="H1318" s="2">
        <v>198.9</v>
      </c>
      <c r="I1318" s="2" t="s">
        <v>27</v>
      </c>
    </row>
    <row r="1319" ht="15.75" customHeight="1">
      <c r="A1319" s="2" t="s">
        <v>2383</v>
      </c>
      <c r="B1319" s="2" t="s">
        <v>2384</v>
      </c>
      <c r="C1319" s="2" t="s">
        <v>979</v>
      </c>
      <c r="D1319" s="2" t="s">
        <v>968</v>
      </c>
      <c r="E1319" s="2" t="s">
        <v>971</v>
      </c>
      <c r="F1319" s="2">
        <v>686.0</v>
      </c>
      <c r="G1319" s="2">
        <v>5.87</v>
      </c>
      <c r="H1319" s="2">
        <v>116.9</v>
      </c>
      <c r="I1319" s="2" t="s">
        <v>27</v>
      </c>
    </row>
    <row r="1320" ht="15.75" customHeight="1">
      <c r="A1320" s="2" t="s">
        <v>2387</v>
      </c>
      <c r="B1320" s="2" t="s">
        <v>2388</v>
      </c>
      <c r="C1320" s="2" t="s">
        <v>979</v>
      </c>
      <c r="D1320" s="2" t="s">
        <v>780</v>
      </c>
      <c r="E1320" s="2" t="s">
        <v>782</v>
      </c>
      <c r="F1320" s="2">
        <v>825.0</v>
      </c>
      <c r="G1320" s="2">
        <v>7.55</v>
      </c>
      <c r="H1320" s="2">
        <v>109.3</v>
      </c>
      <c r="I1320" s="2" t="s">
        <v>27</v>
      </c>
    </row>
    <row r="1321" ht="15.75" customHeight="1">
      <c r="A1321" s="2" t="s">
        <v>4232</v>
      </c>
      <c r="B1321" s="2" t="s">
        <v>4235</v>
      </c>
      <c r="C1321" s="2" t="s">
        <v>979</v>
      </c>
      <c r="D1321" s="2" t="s">
        <v>968</v>
      </c>
      <c r="E1321" s="2" t="s">
        <v>971</v>
      </c>
      <c r="F1321" s="2">
        <v>327.0</v>
      </c>
      <c r="G1321" s="2">
        <v>4.58</v>
      </c>
      <c r="H1321" s="2">
        <v>71.4</v>
      </c>
      <c r="I1321" s="2" t="s">
        <v>47</v>
      </c>
    </row>
    <row r="1322" ht="15.75" customHeight="1">
      <c r="A1322" s="2" t="s">
        <v>2391</v>
      </c>
      <c r="B1322" s="2" t="s">
        <v>2392</v>
      </c>
      <c r="C1322" s="2" t="s">
        <v>979</v>
      </c>
      <c r="D1322" s="2" t="s">
        <v>1092</v>
      </c>
      <c r="E1322" s="2" t="s">
        <v>1093</v>
      </c>
      <c r="F1322" s="2">
        <v>3182.0</v>
      </c>
      <c r="G1322" s="2">
        <v>5.3</v>
      </c>
      <c r="H1322" s="2">
        <v>600.4</v>
      </c>
      <c r="I1322" s="2" t="s">
        <v>138</v>
      </c>
    </row>
    <row r="1323" ht="15.75" customHeight="1">
      <c r="A1323" s="2" t="s">
        <v>2393</v>
      </c>
      <c r="B1323" s="2" t="s">
        <v>2394</v>
      </c>
      <c r="C1323" s="2" t="s">
        <v>979</v>
      </c>
      <c r="D1323" s="2" t="s">
        <v>1045</v>
      </c>
      <c r="E1323" s="2" t="s">
        <v>1046</v>
      </c>
      <c r="F1323" s="2">
        <v>1704.0</v>
      </c>
      <c r="G1323" s="2">
        <v>8.83</v>
      </c>
      <c r="H1323" s="2">
        <v>193.0</v>
      </c>
      <c r="I1323" s="2" t="s">
        <v>27</v>
      </c>
    </row>
    <row r="1324" ht="15.75" customHeight="1">
      <c r="A1324" s="2" t="s">
        <v>4240</v>
      </c>
      <c r="B1324" s="2" t="s">
        <v>4241</v>
      </c>
      <c r="C1324" s="2" t="s">
        <v>979</v>
      </c>
      <c r="D1324" s="2" t="s">
        <v>794</v>
      </c>
      <c r="E1324" s="2" t="s">
        <v>795</v>
      </c>
      <c r="F1324" s="2">
        <v>190.0</v>
      </c>
      <c r="G1324" s="2">
        <v>3.94</v>
      </c>
      <c r="H1324" s="2">
        <v>48.2</v>
      </c>
      <c r="I1324" s="2" t="s">
        <v>47</v>
      </c>
    </row>
    <row r="1325" ht="15.75" customHeight="1">
      <c r="A1325" s="2" t="s">
        <v>2395</v>
      </c>
      <c r="B1325" s="2" t="s">
        <v>2396</v>
      </c>
      <c r="C1325" s="2" t="s">
        <v>979</v>
      </c>
      <c r="D1325" s="2" t="s">
        <v>1092</v>
      </c>
      <c r="E1325" s="2" t="s">
        <v>1093</v>
      </c>
      <c r="F1325" s="2">
        <v>5652.0</v>
      </c>
      <c r="G1325" s="2">
        <v>7.54</v>
      </c>
      <c r="H1325" s="2">
        <v>749.6</v>
      </c>
      <c r="I1325" s="2" t="s">
        <v>138</v>
      </c>
    </row>
    <row r="1326" ht="15.75" customHeight="1">
      <c r="A1326" s="2" t="s">
        <v>2399</v>
      </c>
      <c r="B1326" s="2" t="s">
        <v>2400</v>
      </c>
      <c r="C1326" s="2" t="s">
        <v>979</v>
      </c>
      <c r="D1326" s="2" t="s">
        <v>858</v>
      </c>
      <c r="E1326" s="2" t="s">
        <v>859</v>
      </c>
      <c r="F1326" s="2">
        <v>1402.0</v>
      </c>
      <c r="G1326" s="2">
        <v>7.83</v>
      </c>
      <c r="H1326" s="2">
        <v>179.1</v>
      </c>
      <c r="I1326" s="2" t="s">
        <v>27</v>
      </c>
    </row>
    <row r="1327" ht="15.75" customHeight="1">
      <c r="A1327" s="2" t="s">
        <v>2403</v>
      </c>
      <c r="B1327" s="2" t="s">
        <v>2404</v>
      </c>
      <c r="C1327" s="2" t="s">
        <v>979</v>
      </c>
      <c r="D1327" s="2" t="s">
        <v>800</v>
      </c>
      <c r="E1327" s="2" t="s">
        <v>801</v>
      </c>
      <c r="F1327" s="2">
        <v>620.0</v>
      </c>
      <c r="G1327" s="2">
        <v>2.58</v>
      </c>
      <c r="H1327" s="2">
        <v>240.3</v>
      </c>
      <c r="I1327" s="2" t="s">
        <v>27</v>
      </c>
    </row>
    <row r="1328" ht="15.75" customHeight="1">
      <c r="A1328" s="2" t="s">
        <v>4248</v>
      </c>
      <c r="B1328" s="2" t="s">
        <v>4249</v>
      </c>
      <c r="C1328" s="2" t="s">
        <v>979</v>
      </c>
      <c r="D1328" s="2" t="s">
        <v>847</v>
      </c>
      <c r="E1328" s="2" t="s">
        <v>848</v>
      </c>
      <c r="F1328" s="2">
        <v>260.0</v>
      </c>
      <c r="G1328" s="2">
        <v>4.16</v>
      </c>
      <c r="H1328" s="2">
        <v>62.5</v>
      </c>
      <c r="I1328" s="2" t="s">
        <v>47</v>
      </c>
    </row>
    <row r="1329" ht="15.75" customHeight="1">
      <c r="A1329" s="2" t="s">
        <v>2407</v>
      </c>
      <c r="B1329" s="2" t="s">
        <v>2408</v>
      </c>
      <c r="C1329" s="2" t="s">
        <v>979</v>
      </c>
      <c r="D1329" s="2" t="s">
        <v>850</v>
      </c>
      <c r="E1329" s="2" t="s">
        <v>852</v>
      </c>
      <c r="F1329" s="2">
        <v>2499.0</v>
      </c>
      <c r="G1329" s="2">
        <v>6.44</v>
      </c>
      <c r="H1329" s="2">
        <v>388.0</v>
      </c>
      <c r="I1329" s="2" t="s">
        <v>138</v>
      </c>
    </row>
    <row r="1330" ht="15.75" customHeight="1">
      <c r="A1330" s="2" t="s">
        <v>2409</v>
      </c>
      <c r="B1330" s="2" t="s">
        <v>2410</v>
      </c>
      <c r="C1330" s="2" t="s">
        <v>979</v>
      </c>
      <c r="D1330" s="2" t="s">
        <v>990</v>
      </c>
      <c r="E1330" s="2" t="s">
        <v>991</v>
      </c>
      <c r="F1330" s="2">
        <v>1672.0</v>
      </c>
      <c r="G1330" s="2">
        <v>10.08</v>
      </c>
      <c r="H1330" s="2">
        <v>165.9</v>
      </c>
      <c r="I1330" s="2" t="s">
        <v>27</v>
      </c>
    </row>
    <row r="1331" ht="15.75" customHeight="1">
      <c r="A1331" s="2" t="s">
        <v>2411</v>
      </c>
      <c r="B1331" s="2" t="s">
        <v>2412</v>
      </c>
      <c r="C1331" s="2" t="s">
        <v>979</v>
      </c>
      <c r="D1331" s="2" t="s">
        <v>850</v>
      </c>
      <c r="E1331" s="2" t="s">
        <v>852</v>
      </c>
      <c r="F1331" s="2">
        <v>1967.0</v>
      </c>
      <c r="G1331" s="2">
        <v>14.18</v>
      </c>
      <c r="H1331" s="2">
        <v>138.7</v>
      </c>
      <c r="I1331" s="2" t="s">
        <v>27</v>
      </c>
    </row>
    <row r="1332" ht="15.75" customHeight="1">
      <c r="A1332" s="2" t="s">
        <v>2413</v>
      </c>
      <c r="B1332" s="2" t="s">
        <v>2414</v>
      </c>
      <c r="C1332" s="2" t="s">
        <v>979</v>
      </c>
      <c r="D1332" s="2" t="s">
        <v>1092</v>
      </c>
      <c r="E1332" s="2" t="s">
        <v>1093</v>
      </c>
      <c r="F1332" s="2">
        <v>13261.0</v>
      </c>
      <c r="G1332" s="2">
        <v>17.42</v>
      </c>
      <c r="H1332" s="2">
        <v>761.3</v>
      </c>
      <c r="I1332" s="2" t="s">
        <v>805</v>
      </c>
    </row>
    <row r="1333" ht="15.75" customHeight="1">
      <c r="A1333" s="2" t="s">
        <v>4260</v>
      </c>
      <c r="B1333" s="2" t="s">
        <v>4261</v>
      </c>
      <c r="C1333" s="2" t="s">
        <v>979</v>
      </c>
      <c r="D1333" s="2" t="s">
        <v>858</v>
      </c>
      <c r="E1333" s="2" t="s">
        <v>859</v>
      </c>
      <c r="F1333" s="2">
        <v>227.0</v>
      </c>
      <c r="G1333" s="2">
        <v>3.07</v>
      </c>
      <c r="H1333" s="2">
        <v>73.9</v>
      </c>
      <c r="I1333" s="2" t="s">
        <v>47</v>
      </c>
    </row>
    <row r="1334" ht="15.75" customHeight="1">
      <c r="A1334" s="2" t="s">
        <v>2416</v>
      </c>
      <c r="B1334" s="2" t="s">
        <v>2417</v>
      </c>
      <c r="C1334" s="2" t="s">
        <v>979</v>
      </c>
      <c r="D1334" s="2" t="s">
        <v>968</v>
      </c>
      <c r="E1334" s="2" t="s">
        <v>971</v>
      </c>
      <c r="F1334" s="2">
        <v>640.0</v>
      </c>
      <c r="G1334" s="2">
        <v>5.97</v>
      </c>
      <c r="H1334" s="2">
        <v>107.2</v>
      </c>
      <c r="I1334" s="2" t="s">
        <v>27</v>
      </c>
    </row>
    <row r="1335" ht="15.75" customHeight="1">
      <c r="A1335" s="2" t="s">
        <v>2419</v>
      </c>
      <c r="B1335" s="2" t="s">
        <v>2421</v>
      </c>
      <c r="C1335" s="2" t="s">
        <v>979</v>
      </c>
      <c r="D1335" s="2" t="s">
        <v>1092</v>
      </c>
      <c r="E1335" s="2" t="s">
        <v>1093</v>
      </c>
      <c r="F1335" s="2">
        <v>4675.0</v>
      </c>
      <c r="G1335" s="2">
        <v>3.97</v>
      </c>
      <c r="H1335" s="2">
        <v>1177.6</v>
      </c>
      <c r="I1335" s="2" t="s">
        <v>138</v>
      </c>
    </row>
    <row r="1336" ht="15.75" customHeight="1">
      <c r="A1336" s="2" t="s">
        <v>4272</v>
      </c>
      <c r="B1336" s="2" t="s">
        <v>4273</v>
      </c>
      <c r="C1336" s="2" t="s">
        <v>979</v>
      </c>
      <c r="D1336" s="2" t="s">
        <v>780</v>
      </c>
      <c r="E1336" s="2" t="s">
        <v>782</v>
      </c>
      <c r="F1336" s="2">
        <v>486.0</v>
      </c>
      <c r="G1336" s="2">
        <v>4.96</v>
      </c>
      <c r="H1336" s="2">
        <v>98.0</v>
      </c>
      <c r="I1336" s="2" t="s">
        <v>47</v>
      </c>
    </row>
    <row r="1337" ht="15.75" customHeight="1">
      <c r="A1337" s="2" t="s">
        <v>2423</v>
      </c>
      <c r="B1337" s="2" t="s">
        <v>2424</v>
      </c>
      <c r="C1337" s="2" t="s">
        <v>979</v>
      </c>
      <c r="D1337" s="2" t="s">
        <v>813</v>
      </c>
      <c r="E1337" s="2" t="s">
        <v>814</v>
      </c>
      <c r="F1337" s="2">
        <v>16076.0</v>
      </c>
      <c r="G1337" s="2">
        <v>11.51</v>
      </c>
      <c r="H1337" s="2">
        <v>1396.7</v>
      </c>
      <c r="I1337" s="2" t="s">
        <v>805</v>
      </c>
    </row>
    <row r="1338" ht="15.75" customHeight="1">
      <c r="A1338" s="2" t="s">
        <v>2427</v>
      </c>
      <c r="B1338" s="2" t="s">
        <v>2428</v>
      </c>
      <c r="C1338" s="2" t="s">
        <v>979</v>
      </c>
      <c r="D1338" s="2" t="s">
        <v>911</v>
      </c>
      <c r="E1338" s="2" t="s">
        <v>914</v>
      </c>
      <c r="F1338" s="2">
        <v>869.0</v>
      </c>
      <c r="G1338" s="2">
        <v>8.02</v>
      </c>
      <c r="H1338" s="2">
        <v>108.4</v>
      </c>
      <c r="I1338" s="2" t="s">
        <v>27</v>
      </c>
    </row>
    <row r="1339" ht="15.75" customHeight="1">
      <c r="A1339" s="2" t="s">
        <v>2431</v>
      </c>
      <c r="B1339" s="2" t="s">
        <v>2432</v>
      </c>
      <c r="C1339" s="2" t="s">
        <v>979</v>
      </c>
      <c r="D1339" s="2" t="s">
        <v>990</v>
      </c>
      <c r="E1339" s="2" t="s">
        <v>991</v>
      </c>
      <c r="F1339" s="2">
        <v>4142.0</v>
      </c>
      <c r="G1339" s="2">
        <v>23.19</v>
      </c>
      <c r="H1339" s="2">
        <v>178.6</v>
      </c>
      <c r="I1339" s="2" t="s">
        <v>138</v>
      </c>
    </row>
    <row r="1340" ht="15.75" customHeight="1">
      <c r="A1340" s="2" t="s">
        <v>2435</v>
      </c>
      <c r="B1340" s="2" t="s">
        <v>2436</v>
      </c>
      <c r="C1340" s="2" t="s">
        <v>979</v>
      </c>
      <c r="D1340" s="2" t="s">
        <v>858</v>
      </c>
      <c r="E1340" s="2" t="s">
        <v>859</v>
      </c>
      <c r="F1340" s="2">
        <v>1796.0</v>
      </c>
      <c r="G1340" s="2">
        <v>13.74</v>
      </c>
      <c r="H1340" s="2">
        <v>130.7</v>
      </c>
      <c r="I1340" s="2" t="s">
        <v>27</v>
      </c>
    </row>
    <row r="1341" ht="15.75" customHeight="1">
      <c r="A1341" s="2" t="s">
        <v>4282</v>
      </c>
      <c r="B1341" s="2" t="s">
        <v>4283</v>
      </c>
      <c r="C1341" s="2" t="s">
        <v>979</v>
      </c>
      <c r="D1341" s="2" t="s">
        <v>858</v>
      </c>
      <c r="E1341" s="2" t="s">
        <v>859</v>
      </c>
      <c r="F1341" s="2">
        <v>142.0</v>
      </c>
      <c r="G1341" s="2">
        <v>5.4</v>
      </c>
      <c r="H1341" s="2">
        <v>26.3</v>
      </c>
      <c r="I1341" s="2" t="s">
        <v>47</v>
      </c>
    </row>
    <row r="1342" ht="15.75" customHeight="1">
      <c r="A1342" s="2" t="s">
        <v>2439</v>
      </c>
      <c r="B1342" s="2" t="s">
        <v>2440</v>
      </c>
      <c r="C1342" s="2" t="s">
        <v>979</v>
      </c>
      <c r="D1342" s="2" t="s">
        <v>778</v>
      </c>
      <c r="E1342" s="2" t="s">
        <v>779</v>
      </c>
      <c r="F1342" s="2">
        <v>11766.0</v>
      </c>
      <c r="G1342" s="2">
        <v>12.28</v>
      </c>
      <c r="H1342" s="2">
        <v>958.1</v>
      </c>
      <c r="I1342" s="2" t="s">
        <v>805</v>
      </c>
    </row>
    <row r="1343" ht="15.75" customHeight="1">
      <c r="A1343" s="2" t="s">
        <v>4287</v>
      </c>
      <c r="B1343" s="2" t="s">
        <v>4288</v>
      </c>
      <c r="C1343" s="2" t="s">
        <v>979</v>
      </c>
      <c r="D1343" s="2" t="s">
        <v>990</v>
      </c>
      <c r="E1343" s="2" t="s">
        <v>991</v>
      </c>
      <c r="F1343" s="2">
        <v>397.0</v>
      </c>
      <c r="G1343" s="2">
        <v>3.59</v>
      </c>
      <c r="H1343" s="2">
        <v>110.6</v>
      </c>
      <c r="I1343" s="2" t="s">
        <v>47</v>
      </c>
    </row>
    <row r="1344" ht="15.75" customHeight="1">
      <c r="A1344" s="2" t="s">
        <v>2442</v>
      </c>
      <c r="B1344" s="2" t="s">
        <v>2444</v>
      </c>
      <c r="C1344" s="2" t="s">
        <v>979</v>
      </c>
      <c r="D1344" s="2" t="s">
        <v>1086</v>
      </c>
      <c r="E1344" s="2" t="s">
        <v>1087</v>
      </c>
      <c r="F1344" s="2">
        <v>1718.0</v>
      </c>
      <c r="G1344" s="2">
        <v>9.46</v>
      </c>
      <c r="H1344" s="2">
        <v>181.6</v>
      </c>
      <c r="I1344" s="2" t="s">
        <v>27</v>
      </c>
    </row>
    <row r="1345" ht="15.75" customHeight="1">
      <c r="A1345" s="2" t="s">
        <v>2445</v>
      </c>
      <c r="B1345" s="2" t="s">
        <v>2446</v>
      </c>
      <c r="C1345" s="2" t="s">
        <v>979</v>
      </c>
      <c r="D1345" s="2" t="s">
        <v>780</v>
      </c>
      <c r="E1345" s="2" t="s">
        <v>782</v>
      </c>
      <c r="F1345" s="2">
        <v>756.0</v>
      </c>
      <c r="G1345" s="2">
        <v>9.98</v>
      </c>
      <c r="H1345" s="2">
        <v>75.8</v>
      </c>
      <c r="I1345" s="2" t="s">
        <v>27</v>
      </c>
    </row>
    <row r="1346" ht="15.75" customHeight="1">
      <c r="A1346" s="2" t="s">
        <v>2448</v>
      </c>
      <c r="B1346" s="2" t="s">
        <v>2450</v>
      </c>
      <c r="C1346" s="2" t="s">
        <v>979</v>
      </c>
      <c r="D1346" s="2" t="s">
        <v>780</v>
      </c>
      <c r="E1346" s="2" t="s">
        <v>782</v>
      </c>
      <c r="F1346" s="2">
        <v>1602.0</v>
      </c>
      <c r="G1346" s="2">
        <v>11.97</v>
      </c>
      <c r="H1346" s="2">
        <v>133.8</v>
      </c>
      <c r="I1346" s="2" t="s">
        <v>27</v>
      </c>
    </row>
    <row r="1347" ht="15.75" customHeight="1">
      <c r="A1347" s="2" t="s">
        <v>2452</v>
      </c>
      <c r="B1347" s="2" t="s">
        <v>2453</v>
      </c>
      <c r="C1347" s="2" t="s">
        <v>979</v>
      </c>
      <c r="D1347" s="2" t="s">
        <v>911</v>
      </c>
      <c r="E1347" s="2" t="s">
        <v>914</v>
      </c>
      <c r="F1347" s="2">
        <v>1405.0</v>
      </c>
      <c r="G1347" s="2">
        <v>10.3</v>
      </c>
      <c r="H1347" s="2">
        <v>136.4</v>
      </c>
      <c r="I1347" s="2" t="s">
        <v>27</v>
      </c>
    </row>
    <row r="1348" ht="15.75" customHeight="1">
      <c r="A1348" s="2" t="s">
        <v>2456</v>
      </c>
      <c r="B1348" s="2" t="s">
        <v>2458</v>
      </c>
      <c r="C1348" s="2" t="s">
        <v>979</v>
      </c>
      <c r="D1348" s="2" t="s">
        <v>780</v>
      </c>
      <c r="E1348" s="2" t="s">
        <v>782</v>
      </c>
      <c r="F1348" s="2">
        <v>4332.0</v>
      </c>
      <c r="G1348" s="2">
        <v>30.12</v>
      </c>
      <c r="H1348" s="2">
        <v>143.8</v>
      </c>
      <c r="I1348" s="2" t="s">
        <v>138</v>
      </c>
    </row>
    <row r="1349" ht="15.75" customHeight="1">
      <c r="A1349" s="2" t="s">
        <v>2459</v>
      </c>
      <c r="B1349" s="2" t="s">
        <v>2460</v>
      </c>
      <c r="C1349" s="2" t="s">
        <v>979</v>
      </c>
      <c r="D1349" s="2" t="s">
        <v>780</v>
      </c>
      <c r="E1349" s="2" t="s">
        <v>782</v>
      </c>
      <c r="F1349" s="2">
        <v>3450.0</v>
      </c>
      <c r="G1349" s="2">
        <v>27.48</v>
      </c>
      <c r="H1349" s="2">
        <v>125.5</v>
      </c>
      <c r="I1349" s="2" t="s">
        <v>138</v>
      </c>
    </row>
    <row r="1350" ht="15.75" customHeight="1">
      <c r="A1350" s="2" t="s">
        <v>2461</v>
      </c>
      <c r="B1350" s="2" t="s">
        <v>2462</v>
      </c>
      <c r="C1350" s="2" t="s">
        <v>979</v>
      </c>
      <c r="D1350" s="2" t="s">
        <v>780</v>
      </c>
      <c r="E1350" s="2" t="s">
        <v>782</v>
      </c>
      <c r="F1350" s="2">
        <v>942.0</v>
      </c>
      <c r="G1350" s="2">
        <v>4.7</v>
      </c>
      <c r="H1350" s="2">
        <v>200.4</v>
      </c>
      <c r="I1350" s="2" t="s">
        <v>27</v>
      </c>
    </row>
    <row r="1351" ht="15.75" customHeight="1">
      <c r="A1351" s="2" t="s">
        <v>2465</v>
      </c>
      <c r="B1351" s="2" t="s">
        <v>2466</v>
      </c>
      <c r="C1351" s="2" t="s">
        <v>979</v>
      </c>
      <c r="D1351" s="2" t="s">
        <v>858</v>
      </c>
      <c r="E1351" s="2" t="s">
        <v>859</v>
      </c>
      <c r="F1351" s="2">
        <v>520.0</v>
      </c>
      <c r="G1351" s="2">
        <v>13.48</v>
      </c>
      <c r="H1351" s="2">
        <v>38.6</v>
      </c>
      <c r="I1351" s="2" t="s">
        <v>27</v>
      </c>
    </row>
    <row r="1352" ht="15.75" customHeight="1">
      <c r="A1352" s="2" t="s">
        <v>4268</v>
      </c>
      <c r="B1352" s="2" t="s">
        <v>4269</v>
      </c>
      <c r="C1352" s="2" t="s">
        <v>979</v>
      </c>
      <c r="D1352" s="2" t="s">
        <v>794</v>
      </c>
      <c r="E1352" s="2" t="s">
        <v>795</v>
      </c>
      <c r="F1352" s="2">
        <v>416.0</v>
      </c>
      <c r="G1352" s="2">
        <v>7.28</v>
      </c>
      <c r="H1352" s="2">
        <v>57.1</v>
      </c>
      <c r="I1352" s="2" t="s">
        <v>47</v>
      </c>
    </row>
    <row r="1353" ht="15.75" customHeight="1">
      <c r="A1353" s="2" t="s">
        <v>2469</v>
      </c>
      <c r="B1353" s="2" t="s">
        <v>2470</v>
      </c>
      <c r="C1353" s="2" t="s">
        <v>979</v>
      </c>
      <c r="D1353" s="2" t="s">
        <v>858</v>
      </c>
      <c r="E1353" s="2" t="s">
        <v>859</v>
      </c>
      <c r="F1353" s="2">
        <v>475.0</v>
      </c>
      <c r="G1353" s="2">
        <v>8.53</v>
      </c>
      <c r="H1353" s="2">
        <v>55.7</v>
      </c>
      <c r="I1353" s="2" t="s">
        <v>47</v>
      </c>
    </row>
    <row r="1354" ht="15.75" customHeight="1">
      <c r="A1354" s="2" t="s">
        <v>2471</v>
      </c>
      <c r="B1354" s="2" t="s">
        <v>2472</v>
      </c>
      <c r="C1354" s="2" t="s">
        <v>979</v>
      </c>
      <c r="D1354" s="2" t="s">
        <v>968</v>
      </c>
      <c r="E1354" s="2" t="s">
        <v>971</v>
      </c>
      <c r="F1354" s="2">
        <v>963.0</v>
      </c>
      <c r="G1354" s="2">
        <v>16.18</v>
      </c>
      <c r="H1354" s="2">
        <v>59.5</v>
      </c>
      <c r="I1354" s="2" t="s">
        <v>27</v>
      </c>
    </row>
    <row r="1355" ht="15.75" customHeight="1">
      <c r="A1355" s="2" t="s">
        <v>2474</v>
      </c>
      <c r="B1355" s="2" t="s">
        <v>2476</v>
      </c>
      <c r="C1355" s="2" t="s">
        <v>979</v>
      </c>
      <c r="D1355" s="2" t="s">
        <v>1092</v>
      </c>
      <c r="E1355" s="2" t="s">
        <v>1093</v>
      </c>
      <c r="F1355" s="2">
        <v>3669.0</v>
      </c>
      <c r="G1355" s="2">
        <v>4.6</v>
      </c>
      <c r="H1355" s="2">
        <v>797.6</v>
      </c>
      <c r="I1355" s="2" t="s">
        <v>138</v>
      </c>
    </row>
    <row r="1356" ht="15.75" customHeight="1">
      <c r="A1356" s="2" t="s">
        <v>2479</v>
      </c>
      <c r="B1356" s="2" t="s">
        <v>2480</v>
      </c>
      <c r="C1356" s="2" t="s">
        <v>979</v>
      </c>
      <c r="D1356" s="2" t="s">
        <v>1045</v>
      </c>
      <c r="E1356" s="2" t="s">
        <v>1046</v>
      </c>
      <c r="F1356" s="2">
        <v>7202.0</v>
      </c>
      <c r="G1356" s="2">
        <v>15.85</v>
      </c>
      <c r="H1356" s="2">
        <v>454.4</v>
      </c>
      <c r="I1356" s="2" t="s">
        <v>138</v>
      </c>
    </row>
    <row r="1357" ht="15.75" customHeight="1">
      <c r="A1357" s="2" t="s">
        <v>4310</v>
      </c>
      <c r="B1357" s="2" t="s">
        <v>4311</v>
      </c>
      <c r="C1357" s="2" t="s">
        <v>979</v>
      </c>
      <c r="D1357" s="2" t="s">
        <v>780</v>
      </c>
      <c r="E1357" s="2" t="s">
        <v>782</v>
      </c>
      <c r="F1357" s="2">
        <v>519.0</v>
      </c>
      <c r="G1357" s="2">
        <v>8.9</v>
      </c>
      <c r="H1357" s="2">
        <v>58.3</v>
      </c>
      <c r="I1357" s="2" t="s">
        <v>27</v>
      </c>
    </row>
    <row r="1358" ht="15.75" customHeight="1">
      <c r="A1358" s="2" t="s">
        <v>2481</v>
      </c>
      <c r="B1358" s="2" t="s">
        <v>2482</v>
      </c>
      <c r="C1358" s="2" t="s">
        <v>979</v>
      </c>
      <c r="D1358" s="2" t="s">
        <v>800</v>
      </c>
      <c r="E1358" s="2" t="s">
        <v>801</v>
      </c>
      <c r="F1358" s="2">
        <v>2914.0</v>
      </c>
      <c r="G1358" s="2">
        <v>8.38</v>
      </c>
      <c r="H1358" s="2">
        <v>347.7</v>
      </c>
      <c r="I1358" s="2" t="s">
        <v>138</v>
      </c>
    </row>
    <row r="1359" ht="15.75" customHeight="1">
      <c r="A1359" s="2" t="s">
        <v>4319</v>
      </c>
      <c r="B1359" s="2" t="s">
        <v>4320</v>
      </c>
      <c r="C1359" s="2" t="s">
        <v>979</v>
      </c>
      <c r="D1359" s="2" t="s">
        <v>780</v>
      </c>
      <c r="E1359" s="2" t="s">
        <v>782</v>
      </c>
      <c r="F1359" s="2">
        <v>920.0</v>
      </c>
      <c r="G1359" s="2">
        <v>7.55</v>
      </c>
      <c r="H1359" s="2">
        <v>121.9</v>
      </c>
      <c r="I1359" s="2" t="s">
        <v>27</v>
      </c>
    </row>
    <row r="1360" ht="15.75" customHeight="1">
      <c r="A1360" s="2" t="s">
        <v>4323</v>
      </c>
      <c r="B1360" s="2" t="s">
        <v>4324</v>
      </c>
      <c r="C1360" s="2" t="s">
        <v>979</v>
      </c>
      <c r="D1360" s="2" t="s">
        <v>850</v>
      </c>
      <c r="E1360" s="2" t="s">
        <v>852</v>
      </c>
      <c r="F1360" s="2">
        <v>817.0</v>
      </c>
      <c r="G1360" s="2">
        <v>4.0</v>
      </c>
      <c r="H1360" s="2">
        <v>204.2</v>
      </c>
      <c r="I1360" s="2" t="s">
        <v>27</v>
      </c>
    </row>
    <row r="1361" ht="15.75" customHeight="1">
      <c r="A1361" s="2" t="s">
        <v>2483</v>
      </c>
      <c r="B1361" s="2" t="s">
        <v>2484</v>
      </c>
      <c r="C1361" s="2" t="s">
        <v>979</v>
      </c>
      <c r="D1361" s="2" t="s">
        <v>1045</v>
      </c>
      <c r="E1361" s="2" t="s">
        <v>1046</v>
      </c>
      <c r="F1361" s="2">
        <v>4170.0</v>
      </c>
      <c r="G1361" s="2">
        <v>7.06</v>
      </c>
      <c r="H1361" s="2">
        <v>590.7</v>
      </c>
      <c r="I1361" s="2" t="s">
        <v>138</v>
      </c>
    </row>
    <row r="1362" ht="15.75" customHeight="1">
      <c r="A1362" s="2" t="s">
        <v>2487</v>
      </c>
      <c r="B1362" s="2" t="s">
        <v>2488</v>
      </c>
      <c r="C1362" s="2" t="s">
        <v>979</v>
      </c>
      <c r="D1362" s="2" t="s">
        <v>800</v>
      </c>
      <c r="E1362" s="2" t="s">
        <v>801</v>
      </c>
      <c r="F1362" s="2">
        <v>1106.0</v>
      </c>
      <c r="G1362" s="2">
        <v>3.69</v>
      </c>
      <c r="H1362" s="2">
        <v>299.7</v>
      </c>
      <c r="I1362" s="2" t="s">
        <v>27</v>
      </c>
    </row>
    <row r="1363" ht="15.75" customHeight="1">
      <c r="A1363" s="2" t="s">
        <v>2491</v>
      </c>
      <c r="B1363" s="2" t="s">
        <v>2492</v>
      </c>
      <c r="C1363" s="2" t="s">
        <v>979</v>
      </c>
      <c r="D1363" s="2" t="s">
        <v>794</v>
      </c>
      <c r="E1363" s="2" t="s">
        <v>795</v>
      </c>
      <c r="F1363" s="2">
        <v>543.0</v>
      </c>
      <c r="G1363" s="2">
        <v>6.0</v>
      </c>
      <c r="H1363" s="2">
        <v>90.5</v>
      </c>
      <c r="I1363" s="2" t="s">
        <v>27</v>
      </c>
    </row>
    <row r="1364" ht="15.75" customHeight="1">
      <c r="A1364" s="2" t="s">
        <v>2493</v>
      </c>
      <c r="B1364" s="2" t="s">
        <v>2494</v>
      </c>
      <c r="C1364" s="2" t="s">
        <v>979</v>
      </c>
      <c r="D1364" s="2" t="s">
        <v>794</v>
      </c>
      <c r="E1364" s="2" t="s">
        <v>795</v>
      </c>
      <c r="F1364" s="2">
        <v>788.0</v>
      </c>
      <c r="G1364" s="2">
        <v>5.69</v>
      </c>
      <c r="H1364" s="2">
        <v>138.5</v>
      </c>
      <c r="I1364" s="2" t="s">
        <v>27</v>
      </c>
    </row>
    <row r="1365" ht="15.75" customHeight="1">
      <c r="A1365" s="2" t="s">
        <v>4339</v>
      </c>
      <c r="B1365" s="2" t="s">
        <v>4341</v>
      </c>
      <c r="C1365" s="2" t="s">
        <v>979</v>
      </c>
      <c r="D1365" s="2" t="s">
        <v>794</v>
      </c>
      <c r="E1365" s="2" t="s">
        <v>795</v>
      </c>
      <c r="F1365" s="2">
        <v>695.0</v>
      </c>
      <c r="G1365" s="2">
        <v>3.28</v>
      </c>
      <c r="H1365" s="2">
        <v>211.9</v>
      </c>
      <c r="I1365" s="2" t="s">
        <v>27</v>
      </c>
    </row>
    <row r="1366" ht="15.75" customHeight="1">
      <c r="A1366" s="2" t="s">
        <v>4335</v>
      </c>
      <c r="B1366" s="2" t="s">
        <v>4336</v>
      </c>
      <c r="C1366" s="2" t="s">
        <v>979</v>
      </c>
      <c r="D1366" s="2" t="s">
        <v>778</v>
      </c>
      <c r="E1366" s="2" t="s">
        <v>779</v>
      </c>
      <c r="F1366" s="2">
        <v>536.0</v>
      </c>
      <c r="G1366" s="2">
        <v>5.5</v>
      </c>
      <c r="H1366" s="2">
        <v>97.5</v>
      </c>
      <c r="I1366" s="2" t="s">
        <v>27</v>
      </c>
    </row>
    <row r="1367" ht="15.75" customHeight="1">
      <c r="A1367" s="2" t="s">
        <v>2495</v>
      </c>
      <c r="B1367" s="2" t="s">
        <v>2496</v>
      </c>
      <c r="C1367" s="2" t="s">
        <v>979</v>
      </c>
      <c r="D1367" s="2" t="s">
        <v>1092</v>
      </c>
      <c r="E1367" s="2" t="s">
        <v>1093</v>
      </c>
      <c r="F1367" s="2">
        <v>3957.0</v>
      </c>
      <c r="G1367" s="2">
        <v>2.39</v>
      </c>
      <c r="H1367" s="2">
        <v>1655.6</v>
      </c>
      <c r="I1367" s="2" t="s">
        <v>138</v>
      </c>
    </row>
    <row r="1368" ht="15.75" customHeight="1">
      <c r="A1368" s="2" t="s">
        <v>2499</v>
      </c>
      <c r="B1368" s="2" t="s">
        <v>2500</v>
      </c>
      <c r="C1368" s="2" t="s">
        <v>979</v>
      </c>
      <c r="D1368" s="2" t="s">
        <v>1092</v>
      </c>
      <c r="E1368" s="2" t="s">
        <v>1093</v>
      </c>
      <c r="F1368" s="2">
        <v>98772.0</v>
      </c>
      <c r="G1368" s="2">
        <v>15.13</v>
      </c>
      <c r="H1368" s="2">
        <v>6528.2</v>
      </c>
      <c r="I1368" s="2" t="s">
        <v>3730</v>
      </c>
    </row>
    <row r="1369" ht="15.75" customHeight="1">
      <c r="A1369" s="2" t="s">
        <v>2501</v>
      </c>
      <c r="B1369" s="2" t="s">
        <v>2502</v>
      </c>
      <c r="C1369" s="2" t="s">
        <v>979</v>
      </c>
      <c r="D1369" s="2" t="s">
        <v>1045</v>
      </c>
      <c r="E1369" s="2" t="s">
        <v>1046</v>
      </c>
      <c r="F1369" s="2">
        <v>936.0</v>
      </c>
      <c r="G1369" s="2">
        <v>2.06</v>
      </c>
      <c r="H1369" s="2">
        <v>454.4</v>
      </c>
      <c r="I1369" s="2" t="s">
        <v>27</v>
      </c>
    </row>
    <row r="1370" ht="15.75" customHeight="1">
      <c r="A1370" s="2" t="s">
        <v>2505</v>
      </c>
      <c r="B1370" s="2" t="s">
        <v>2506</v>
      </c>
      <c r="C1370" s="2" t="s">
        <v>979</v>
      </c>
      <c r="D1370" s="2" t="s">
        <v>1092</v>
      </c>
      <c r="E1370" s="2" t="s">
        <v>1093</v>
      </c>
      <c r="F1370" s="2">
        <v>1386.0</v>
      </c>
      <c r="G1370" s="2">
        <v>1.9</v>
      </c>
      <c r="H1370" s="2">
        <v>729.5</v>
      </c>
      <c r="I1370" s="2" t="s">
        <v>27</v>
      </c>
    </row>
    <row r="1371" ht="15.75" customHeight="1">
      <c r="A1371" s="2" t="s">
        <v>2509</v>
      </c>
      <c r="B1371" s="2" t="s">
        <v>2510</v>
      </c>
      <c r="C1371" s="2" t="s">
        <v>979</v>
      </c>
      <c r="D1371" s="2" t="s">
        <v>800</v>
      </c>
      <c r="E1371" s="2" t="s">
        <v>801</v>
      </c>
      <c r="F1371" s="2">
        <v>6019.0</v>
      </c>
      <c r="G1371" s="2">
        <v>6.87</v>
      </c>
      <c r="H1371" s="2">
        <v>876.1</v>
      </c>
      <c r="I1371" s="2" t="s">
        <v>138</v>
      </c>
    </row>
    <row r="1372" ht="15.75" customHeight="1">
      <c r="A1372" s="2" t="s">
        <v>2513</v>
      </c>
      <c r="B1372" s="2" t="s">
        <v>2514</v>
      </c>
      <c r="C1372" s="2" t="s">
        <v>979</v>
      </c>
      <c r="D1372" s="2" t="s">
        <v>826</v>
      </c>
      <c r="E1372" s="2" t="s">
        <v>829</v>
      </c>
      <c r="F1372" s="2">
        <v>805.0</v>
      </c>
      <c r="G1372" s="2">
        <v>8.46</v>
      </c>
      <c r="H1372" s="2">
        <v>95.2</v>
      </c>
      <c r="I1372" s="2" t="s">
        <v>27</v>
      </c>
    </row>
    <row r="1373" ht="15.75" customHeight="1">
      <c r="A1373" s="2" t="s">
        <v>2515</v>
      </c>
      <c r="B1373" s="2" t="s">
        <v>2516</v>
      </c>
      <c r="C1373" s="2" t="s">
        <v>979</v>
      </c>
      <c r="D1373" s="2" t="s">
        <v>1001</v>
      </c>
      <c r="E1373" s="2" t="s">
        <v>1002</v>
      </c>
      <c r="F1373" s="2">
        <v>2604.0</v>
      </c>
      <c r="G1373" s="2">
        <v>39.13</v>
      </c>
      <c r="H1373" s="2">
        <v>66.5</v>
      </c>
      <c r="I1373" s="2" t="s">
        <v>138</v>
      </c>
    </row>
    <row r="1374" ht="15.75" customHeight="1">
      <c r="A1374" s="2" t="s">
        <v>2519</v>
      </c>
      <c r="B1374" s="2" t="s">
        <v>2520</v>
      </c>
      <c r="C1374" s="2" t="s">
        <v>979</v>
      </c>
      <c r="D1374" s="2" t="s">
        <v>1086</v>
      </c>
      <c r="E1374" s="2" t="s">
        <v>1087</v>
      </c>
      <c r="F1374" s="2">
        <v>8247.0</v>
      </c>
      <c r="G1374" s="2">
        <v>30.62</v>
      </c>
      <c r="H1374" s="2">
        <v>269.3</v>
      </c>
      <c r="I1374" s="2" t="s">
        <v>138</v>
      </c>
    </row>
    <row r="1375" ht="15.75" customHeight="1">
      <c r="A1375" s="2" t="s">
        <v>2521</v>
      </c>
      <c r="B1375" s="2" t="s">
        <v>2523</v>
      </c>
      <c r="C1375" s="2" t="s">
        <v>979</v>
      </c>
      <c r="D1375" s="2" t="s">
        <v>911</v>
      </c>
      <c r="E1375" s="2" t="s">
        <v>914</v>
      </c>
      <c r="F1375" s="2">
        <v>1518.0</v>
      </c>
      <c r="G1375" s="2">
        <v>8.03</v>
      </c>
      <c r="H1375" s="2">
        <v>189.0</v>
      </c>
      <c r="I1375" s="2" t="s">
        <v>27</v>
      </c>
    </row>
    <row r="1376" ht="15.75" customHeight="1">
      <c r="A1376" s="2" t="s">
        <v>2525</v>
      </c>
      <c r="B1376" s="2" t="s">
        <v>2526</v>
      </c>
      <c r="C1376" s="2" t="s">
        <v>979</v>
      </c>
      <c r="D1376" s="2" t="s">
        <v>850</v>
      </c>
      <c r="E1376" s="2" t="s">
        <v>852</v>
      </c>
      <c r="F1376" s="2">
        <v>43468.0</v>
      </c>
      <c r="G1376" s="2">
        <v>13.82</v>
      </c>
      <c r="H1376" s="2">
        <v>3145.3</v>
      </c>
      <c r="I1376" s="2" t="s">
        <v>805</v>
      </c>
    </row>
    <row r="1377" ht="15.75" customHeight="1">
      <c r="A1377" s="2" t="s">
        <v>4362</v>
      </c>
      <c r="B1377" s="2" t="s">
        <v>4364</v>
      </c>
      <c r="C1377" s="2" t="s">
        <v>979</v>
      </c>
      <c r="D1377" s="2" t="s">
        <v>968</v>
      </c>
      <c r="E1377" s="2" t="s">
        <v>971</v>
      </c>
      <c r="F1377" s="2">
        <v>482.0</v>
      </c>
      <c r="G1377" s="2">
        <v>9.94</v>
      </c>
      <c r="H1377" s="2">
        <v>48.5</v>
      </c>
      <c r="I1377" s="2" t="s">
        <v>47</v>
      </c>
    </row>
    <row r="1378" ht="15.75" customHeight="1">
      <c r="A1378" s="2" t="s">
        <v>2527</v>
      </c>
      <c r="B1378" s="2" t="s">
        <v>2528</v>
      </c>
      <c r="C1378" s="2" t="s">
        <v>979</v>
      </c>
      <c r="D1378" s="2" t="s">
        <v>990</v>
      </c>
      <c r="E1378" s="2" t="s">
        <v>991</v>
      </c>
      <c r="F1378" s="2">
        <v>1123.0</v>
      </c>
      <c r="G1378" s="2">
        <v>6.55</v>
      </c>
      <c r="H1378" s="2">
        <v>171.5</v>
      </c>
      <c r="I1378" s="2" t="s">
        <v>27</v>
      </c>
    </row>
    <row r="1379" ht="15.75" customHeight="1">
      <c r="A1379" s="2" t="s">
        <v>2531</v>
      </c>
      <c r="B1379" s="2" t="s">
        <v>2532</v>
      </c>
      <c r="C1379" s="2" t="s">
        <v>979</v>
      </c>
      <c r="D1379" s="2" t="s">
        <v>1092</v>
      </c>
      <c r="E1379" s="2" t="s">
        <v>1093</v>
      </c>
      <c r="F1379" s="2">
        <v>1654.0</v>
      </c>
      <c r="G1379" s="2">
        <v>2.56</v>
      </c>
      <c r="H1379" s="2">
        <v>646.1</v>
      </c>
      <c r="I1379" s="2" t="s">
        <v>27</v>
      </c>
    </row>
    <row r="1380" ht="15.75" customHeight="1">
      <c r="A1380" s="2" t="s">
        <v>2535</v>
      </c>
      <c r="B1380" s="2" t="s">
        <v>2536</v>
      </c>
      <c r="C1380" s="2" t="s">
        <v>979</v>
      </c>
      <c r="D1380" s="2" t="s">
        <v>850</v>
      </c>
      <c r="E1380" s="2" t="s">
        <v>852</v>
      </c>
      <c r="F1380" s="2">
        <v>1103.0</v>
      </c>
      <c r="G1380" s="2">
        <v>9.61</v>
      </c>
      <c r="H1380" s="2">
        <v>114.8</v>
      </c>
      <c r="I1380" s="2" t="s">
        <v>27</v>
      </c>
    </row>
    <row r="1381" ht="15.75" customHeight="1">
      <c r="A1381" s="2" t="s">
        <v>2539</v>
      </c>
      <c r="B1381" s="2" t="s">
        <v>2540</v>
      </c>
      <c r="C1381" s="2" t="s">
        <v>979</v>
      </c>
      <c r="D1381" s="2" t="s">
        <v>1092</v>
      </c>
      <c r="E1381" s="2" t="s">
        <v>1093</v>
      </c>
      <c r="F1381" s="2">
        <v>2682.0</v>
      </c>
      <c r="G1381" s="2">
        <v>10.08</v>
      </c>
      <c r="H1381" s="2">
        <v>266.1</v>
      </c>
      <c r="I1381" s="2" t="s">
        <v>138</v>
      </c>
    </row>
    <row r="1382" ht="15.75" customHeight="1">
      <c r="A1382" s="2" t="s">
        <v>2541</v>
      </c>
      <c r="B1382" s="2" t="s">
        <v>2542</v>
      </c>
      <c r="C1382" s="2" t="s">
        <v>979</v>
      </c>
      <c r="D1382" s="2" t="s">
        <v>990</v>
      </c>
      <c r="E1382" s="2" t="s">
        <v>991</v>
      </c>
      <c r="F1382" s="2">
        <v>535.0</v>
      </c>
      <c r="G1382" s="2">
        <v>5.79</v>
      </c>
      <c r="H1382" s="2">
        <v>92.4</v>
      </c>
      <c r="I1382" s="2" t="s">
        <v>27</v>
      </c>
    </row>
    <row r="1383" ht="15.75" customHeight="1">
      <c r="A1383" s="2" t="s">
        <v>2544</v>
      </c>
      <c r="B1383" s="2" t="s">
        <v>2546</v>
      </c>
      <c r="C1383" s="2" t="s">
        <v>979</v>
      </c>
      <c r="D1383" s="2" t="s">
        <v>850</v>
      </c>
      <c r="E1383" s="2" t="s">
        <v>852</v>
      </c>
      <c r="F1383" s="2">
        <v>1464.0</v>
      </c>
      <c r="G1383" s="2">
        <v>4.0</v>
      </c>
      <c r="H1383" s="2">
        <v>366.0</v>
      </c>
      <c r="I1383" s="2" t="s">
        <v>27</v>
      </c>
    </row>
    <row r="1384" ht="15.75" customHeight="1">
      <c r="A1384" s="2" t="s">
        <v>2548</v>
      </c>
      <c r="B1384" s="2" t="s">
        <v>2550</v>
      </c>
      <c r="C1384" s="2" t="s">
        <v>979</v>
      </c>
      <c r="D1384" s="2" t="s">
        <v>990</v>
      </c>
      <c r="E1384" s="2" t="s">
        <v>991</v>
      </c>
      <c r="F1384" s="2">
        <v>1364.0</v>
      </c>
      <c r="G1384" s="2">
        <v>10.62</v>
      </c>
      <c r="H1384" s="2">
        <v>128.4</v>
      </c>
      <c r="I1384" s="2" t="s">
        <v>27</v>
      </c>
    </row>
    <row r="1385" ht="15.75" customHeight="1">
      <c r="A1385" s="2" t="s">
        <v>2552</v>
      </c>
      <c r="B1385" s="2" t="s">
        <v>2553</v>
      </c>
      <c r="C1385" s="2" t="s">
        <v>979</v>
      </c>
      <c r="D1385" s="2" t="s">
        <v>780</v>
      </c>
      <c r="E1385" s="2" t="s">
        <v>782</v>
      </c>
      <c r="F1385" s="2">
        <v>2628.0</v>
      </c>
      <c r="G1385" s="2">
        <v>25.98</v>
      </c>
      <c r="H1385" s="2">
        <v>101.2</v>
      </c>
      <c r="I1385" s="2" t="s">
        <v>138</v>
      </c>
    </row>
    <row r="1386" ht="15.75" customHeight="1">
      <c r="A1386" s="2" t="s">
        <v>2555</v>
      </c>
      <c r="B1386" s="2" t="s">
        <v>2556</v>
      </c>
      <c r="C1386" s="2" t="s">
        <v>979</v>
      </c>
      <c r="D1386" s="2" t="s">
        <v>850</v>
      </c>
      <c r="E1386" s="2" t="s">
        <v>852</v>
      </c>
      <c r="F1386" s="2">
        <v>10617.0</v>
      </c>
      <c r="G1386" s="2">
        <v>11.02</v>
      </c>
      <c r="H1386" s="2">
        <v>963.4</v>
      </c>
      <c r="I1386" s="2" t="s">
        <v>805</v>
      </c>
    </row>
    <row r="1387" ht="15.75" customHeight="1">
      <c r="A1387" s="2" t="s">
        <v>2559</v>
      </c>
      <c r="B1387" s="2" t="s">
        <v>2560</v>
      </c>
      <c r="C1387" s="2" t="s">
        <v>979</v>
      </c>
      <c r="D1387" s="2" t="s">
        <v>847</v>
      </c>
      <c r="E1387" s="2" t="s">
        <v>848</v>
      </c>
      <c r="F1387" s="2">
        <v>641.0</v>
      </c>
      <c r="G1387" s="2">
        <v>5.94</v>
      </c>
      <c r="H1387" s="2">
        <v>107.9</v>
      </c>
      <c r="I1387" s="2" t="s">
        <v>27</v>
      </c>
    </row>
    <row r="1388" ht="15.75" customHeight="1">
      <c r="A1388" s="2" t="s">
        <v>2563</v>
      </c>
      <c r="B1388" s="2" t="s">
        <v>2564</v>
      </c>
      <c r="C1388" s="2" t="s">
        <v>979</v>
      </c>
      <c r="D1388" s="2" t="s">
        <v>847</v>
      </c>
      <c r="E1388" s="2" t="s">
        <v>848</v>
      </c>
      <c r="F1388" s="2">
        <v>938.0</v>
      </c>
      <c r="G1388" s="2">
        <v>11.69</v>
      </c>
      <c r="H1388" s="2">
        <v>80.2</v>
      </c>
      <c r="I1388" s="2" t="s">
        <v>27</v>
      </c>
    </row>
    <row r="1389" ht="15.75" customHeight="1">
      <c r="A1389" s="2" t="s">
        <v>2567</v>
      </c>
      <c r="B1389" s="2" t="s">
        <v>2568</v>
      </c>
      <c r="C1389" s="2" t="s">
        <v>979</v>
      </c>
      <c r="D1389" s="2" t="s">
        <v>1092</v>
      </c>
      <c r="E1389" s="2" t="s">
        <v>1093</v>
      </c>
      <c r="F1389" s="2">
        <v>62868.0</v>
      </c>
      <c r="G1389" s="2">
        <v>27.45</v>
      </c>
      <c r="H1389" s="2">
        <v>2290.3</v>
      </c>
      <c r="I1389" s="2" t="s">
        <v>3730</v>
      </c>
    </row>
    <row r="1390" ht="15.75" customHeight="1">
      <c r="A1390" s="2" t="s">
        <v>4399</v>
      </c>
      <c r="B1390" s="2" t="s">
        <v>4401</v>
      </c>
      <c r="C1390" s="2" t="s">
        <v>979</v>
      </c>
      <c r="D1390" s="2" t="s">
        <v>968</v>
      </c>
      <c r="E1390" s="2" t="s">
        <v>971</v>
      </c>
      <c r="F1390" s="2">
        <v>1084.0</v>
      </c>
      <c r="G1390" s="2">
        <v>5.72</v>
      </c>
      <c r="H1390" s="2">
        <v>189.5</v>
      </c>
      <c r="I1390" s="2" t="s">
        <v>27</v>
      </c>
    </row>
    <row r="1391" ht="15.75" customHeight="1">
      <c r="A1391" s="2" t="s">
        <v>2570</v>
      </c>
      <c r="B1391" s="2" t="s">
        <v>2572</v>
      </c>
      <c r="C1391" s="2" t="s">
        <v>979</v>
      </c>
      <c r="D1391" s="2" t="s">
        <v>794</v>
      </c>
      <c r="E1391" s="2" t="s">
        <v>795</v>
      </c>
      <c r="F1391" s="2">
        <v>684.0</v>
      </c>
      <c r="G1391" s="2">
        <v>11.3</v>
      </c>
      <c r="H1391" s="2">
        <v>60.5</v>
      </c>
      <c r="I1391" s="2" t="s">
        <v>27</v>
      </c>
    </row>
    <row r="1392" ht="15.75" customHeight="1">
      <c r="A1392" s="2" t="s">
        <v>2574</v>
      </c>
      <c r="B1392" s="2" t="s">
        <v>2576</v>
      </c>
      <c r="C1392" s="2" t="s">
        <v>979</v>
      </c>
      <c r="D1392" s="2" t="s">
        <v>826</v>
      </c>
      <c r="E1392" s="2" t="s">
        <v>829</v>
      </c>
      <c r="F1392" s="2">
        <v>2117.0</v>
      </c>
      <c r="G1392" s="2">
        <v>7.09</v>
      </c>
      <c r="H1392" s="2">
        <v>298.6</v>
      </c>
      <c r="I1392" s="2" t="s">
        <v>138</v>
      </c>
    </row>
    <row r="1393" ht="15.75" customHeight="1">
      <c r="A1393" s="2" t="s">
        <v>2578</v>
      </c>
      <c r="B1393" s="2" t="s">
        <v>2580</v>
      </c>
      <c r="C1393" s="2" t="s">
        <v>979</v>
      </c>
      <c r="D1393" s="2" t="s">
        <v>794</v>
      </c>
      <c r="E1393" s="2" t="s">
        <v>795</v>
      </c>
      <c r="F1393" s="2">
        <v>390.0</v>
      </c>
      <c r="G1393" s="2">
        <v>11.0</v>
      </c>
      <c r="H1393" s="2">
        <v>35.5</v>
      </c>
      <c r="I1393" s="2" t="s">
        <v>47</v>
      </c>
    </row>
    <row r="1394" ht="15.75" customHeight="1">
      <c r="A1394" s="2" t="s">
        <v>2581</v>
      </c>
      <c r="B1394" s="2" t="s">
        <v>2582</v>
      </c>
      <c r="C1394" s="2" t="s">
        <v>979</v>
      </c>
      <c r="D1394" s="2" t="s">
        <v>968</v>
      </c>
      <c r="E1394" s="2" t="s">
        <v>971</v>
      </c>
      <c r="F1394" s="2">
        <v>1197.0</v>
      </c>
      <c r="G1394" s="2">
        <v>12.15</v>
      </c>
      <c r="H1394" s="2">
        <v>98.5</v>
      </c>
      <c r="I1394" s="2" t="s">
        <v>27</v>
      </c>
    </row>
    <row r="1395" ht="15.75" customHeight="1">
      <c r="A1395" s="2" t="s">
        <v>2585</v>
      </c>
      <c r="B1395" s="2" t="s">
        <v>2586</v>
      </c>
      <c r="C1395" s="2" t="s">
        <v>979</v>
      </c>
      <c r="D1395" s="2" t="s">
        <v>847</v>
      </c>
      <c r="E1395" s="2" t="s">
        <v>848</v>
      </c>
      <c r="F1395" s="2">
        <v>1009.0</v>
      </c>
      <c r="G1395" s="2">
        <v>8.5</v>
      </c>
      <c r="H1395" s="2">
        <v>118.7</v>
      </c>
      <c r="I1395" s="2" t="s">
        <v>27</v>
      </c>
    </row>
    <row r="1396" ht="15.75" customHeight="1">
      <c r="A1396" s="2" t="s">
        <v>4403</v>
      </c>
      <c r="B1396" s="2" t="s">
        <v>4404</v>
      </c>
      <c r="C1396" s="2" t="s">
        <v>979</v>
      </c>
      <c r="D1396" s="2" t="s">
        <v>813</v>
      </c>
      <c r="E1396" s="2" t="s">
        <v>814</v>
      </c>
      <c r="F1396" s="2">
        <v>670.0</v>
      </c>
      <c r="G1396" s="2">
        <v>4.56</v>
      </c>
      <c r="H1396" s="2">
        <v>146.9</v>
      </c>
      <c r="I1396" s="2" t="s">
        <v>27</v>
      </c>
    </row>
    <row r="1397" ht="15.75" customHeight="1">
      <c r="A1397" s="2" t="s">
        <v>2587</v>
      </c>
      <c r="B1397" s="2" t="s">
        <v>2588</v>
      </c>
      <c r="C1397" s="2" t="s">
        <v>979</v>
      </c>
      <c r="D1397" s="2" t="s">
        <v>794</v>
      </c>
      <c r="E1397" s="2" t="s">
        <v>795</v>
      </c>
      <c r="F1397" s="2">
        <v>1151.0</v>
      </c>
      <c r="G1397" s="2">
        <v>8.94</v>
      </c>
      <c r="H1397" s="2">
        <v>128.7</v>
      </c>
      <c r="I1397" s="2" t="s">
        <v>27</v>
      </c>
    </row>
    <row r="1398" ht="15.75" customHeight="1">
      <c r="A1398" s="2" t="s">
        <v>2591</v>
      </c>
      <c r="B1398" s="2" t="s">
        <v>2592</v>
      </c>
      <c r="C1398" s="2" t="s">
        <v>979</v>
      </c>
      <c r="D1398" s="2" t="s">
        <v>911</v>
      </c>
      <c r="E1398" s="2" t="s">
        <v>914</v>
      </c>
      <c r="F1398" s="2">
        <v>573.0</v>
      </c>
      <c r="G1398" s="2">
        <v>9.92</v>
      </c>
      <c r="H1398" s="2">
        <v>57.8</v>
      </c>
      <c r="I1398" s="2" t="s">
        <v>27</v>
      </c>
    </row>
    <row r="1399" ht="15.75" customHeight="1">
      <c r="A1399" s="2" t="s">
        <v>2597</v>
      </c>
      <c r="B1399" s="2" t="s">
        <v>2598</v>
      </c>
      <c r="C1399" s="2" t="s">
        <v>979</v>
      </c>
      <c r="D1399" s="2" t="s">
        <v>778</v>
      </c>
      <c r="E1399" s="2" t="s">
        <v>779</v>
      </c>
      <c r="F1399" s="2">
        <v>1302.0</v>
      </c>
      <c r="G1399" s="2">
        <v>3.43</v>
      </c>
      <c r="H1399" s="2">
        <v>379.6</v>
      </c>
      <c r="I1399" s="2" t="s">
        <v>27</v>
      </c>
    </row>
    <row r="1400" ht="15.75" customHeight="1">
      <c r="A1400" s="2" t="s">
        <v>2600</v>
      </c>
      <c r="B1400" s="2" t="s">
        <v>2601</v>
      </c>
      <c r="C1400" s="2" t="s">
        <v>979</v>
      </c>
      <c r="D1400" s="2" t="s">
        <v>1045</v>
      </c>
      <c r="E1400" s="2" t="s">
        <v>1046</v>
      </c>
      <c r="F1400" s="2">
        <v>2613.0</v>
      </c>
      <c r="G1400" s="2">
        <v>5.69</v>
      </c>
      <c r="H1400" s="2">
        <v>459.2</v>
      </c>
      <c r="I1400" s="2" t="s">
        <v>138</v>
      </c>
    </row>
    <row r="1401" ht="15.75" customHeight="1">
      <c r="A1401" s="2" t="s">
        <v>2603</v>
      </c>
      <c r="B1401" s="2" t="s">
        <v>2604</v>
      </c>
      <c r="C1401" s="2" t="s">
        <v>979</v>
      </c>
      <c r="D1401" s="2" t="s">
        <v>826</v>
      </c>
      <c r="E1401" s="2" t="s">
        <v>829</v>
      </c>
      <c r="F1401" s="2">
        <v>2081.0</v>
      </c>
      <c r="G1401" s="2">
        <v>15.12</v>
      </c>
      <c r="H1401" s="2">
        <v>137.6</v>
      </c>
      <c r="I1401" s="2" t="s">
        <v>138</v>
      </c>
    </row>
    <row r="1402" ht="15.75" customHeight="1">
      <c r="A1402" s="2" t="s">
        <v>2605</v>
      </c>
      <c r="B1402" s="2" t="s">
        <v>2606</v>
      </c>
      <c r="C1402" s="2" t="s">
        <v>979</v>
      </c>
      <c r="D1402" s="2" t="s">
        <v>800</v>
      </c>
      <c r="E1402" s="2" t="s">
        <v>801</v>
      </c>
      <c r="F1402" s="2">
        <v>5633.0</v>
      </c>
      <c r="G1402" s="2">
        <v>21.0</v>
      </c>
      <c r="H1402" s="2">
        <v>268.2</v>
      </c>
      <c r="I1402" s="2" t="s">
        <v>138</v>
      </c>
    </row>
    <row r="1403" ht="15.75" customHeight="1">
      <c r="A1403" s="2" t="s">
        <v>4621</v>
      </c>
      <c r="B1403" s="2" t="s">
        <v>4623</v>
      </c>
      <c r="C1403" s="2" t="s">
        <v>979</v>
      </c>
      <c r="D1403" s="2" t="s">
        <v>1001</v>
      </c>
      <c r="E1403" s="2" t="s">
        <v>1002</v>
      </c>
      <c r="F1403" s="2">
        <v>284.0</v>
      </c>
      <c r="G1403" s="2">
        <v>7.78</v>
      </c>
      <c r="H1403" s="2">
        <v>36.5</v>
      </c>
      <c r="I1403" s="2" t="s">
        <v>47</v>
      </c>
    </row>
    <row r="1404" ht="15.75" customHeight="1">
      <c r="A1404" s="2" t="s">
        <v>2609</v>
      </c>
      <c r="B1404" s="2" t="s">
        <v>2610</v>
      </c>
      <c r="C1404" s="2" t="s">
        <v>979</v>
      </c>
      <c r="D1404" s="2" t="s">
        <v>780</v>
      </c>
      <c r="E1404" s="2" t="s">
        <v>782</v>
      </c>
      <c r="F1404" s="2">
        <v>808.0</v>
      </c>
      <c r="G1404" s="2">
        <v>5.45</v>
      </c>
      <c r="H1404" s="2">
        <v>148.3</v>
      </c>
      <c r="I1404" s="2" t="s">
        <v>27</v>
      </c>
    </row>
    <row r="1405" ht="15.75" customHeight="1">
      <c r="A1405" s="2" t="s">
        <v>2611</v>
      </c>
      <c r="B1405" s="2" t="s">
        <v>2612</v>
      </c>
      <c r="C1405" s="2" t="s">
        <v>979</v>
      </c>
      <c r="D1405" s="2" t="s">
        <v>794</v>
      </c>
      <c r="E1405" s="2" t="s">
        <v>795</v>
      </c>
      <c r="F1405" s="2">
        <v>381.0</v>
      </c>
      <c r="G1405" s="2">
        <v>6.23</v>
      </c>
      <c r="H1405" s="2">
        <v>61.2</v>
      </c>
      <c r="I1405" s="2" t="s">
        <v>47</v>
      </c>
    </row>
    <row r="1406" ht="15.75" customHeight="1">
      <c r="A1406" s="2" t="s">
        <v>2614</v>
      </c>
      <c r="B1406" s="2" t="s">
        <v>2616</v>
      </c>
      <c r="C1406" s="2" t="s">
        <v>979</v>
      </c>
      <c r="D1406" s="2" t="s">
        <v>1092</v>
      </c>
      <c r="E1406" s="2" t="s">
        <v>1093</v>
      </c>
      <c r="F1406" s="2">
        <v>11012.0</v>
      </c>
      <c r="G1406" s="2">
        <v>15.46</v>
      </c>
      <c r="H1406" s="2">
        <v>712.3</v>
      </c>
      <c r="I1406" s="2" t="s">
        <v>805</v>
      </c>
    </row>
    <row r="1407" ht="15.75" customHeight="1">
      <c r="A1407" s="2" t="s">
        <v>2617</v>
      </c>
      <c r="B1407" s="2" t="s">
        <v>2618</v>
      </c>
      <c r="C1407" s="2" t="s">
        <v>979</v>
      </c>
      <c r="D1407" s="2" t="s">
        <v>778</v>
      </c>
      <c r="E1407" s="2" t="s">
        <v>779</v>
      </c>
      <c r="F1407" s="2">
        <v>1301.0</v>
      </c>
      <c r="G1407" s="2">
        <v>6.27</v>
      </c>
      <c r="H1407" s="2">
        <v>207.5</v>
      </c>
      <c r="I1407" s="2" t="s">
        <v>27</v>
      </c>
    </row>
    <row r="1408" ht="15.75" customHeight="1">
      <c r="A1408" s="2" t="s">
        <v>2619</v>
      </c>
      <c r="B1408" s="2" t="s">
        <v>2620</v>
      </c>
      <c r="C1408" s="2" t="s">
        <v>979</v>
      </c>
      <c r="D1408" s="2" t="s">
        <v>1045</v>
      </c>
      <c r="E1408" s="2" t="s">
        <v>1046</v>
      </c>
      <c r="F1408" s="2">
        <v>1338.0</v>
      </c>
      <c r="G1408" s="2">
        <v>3.72</v>
      </c>
      <c r="H1408" s="2">
        <v>359.7</v>
      </c>
      <c r="I1408" s="2" t="s">
        <v>27</v>
      </c>
    </row>
    <row r="1409" ht="15.75" customHeight="1">
      <c r="A1409" s="2" t="s">
        <v>2621</v>
      </c>
      <c r="B1409" s="2" t="s">
        <v>2622</v>
      </c>
      <c r="C1409" s="2" t="s">
        <v>979</v>
      </c>
      <c r="D1409" s="2" t="s">
        <v>968</v>
      </c>
      <c r="E1409" s="2" t="s">
        <v>971</v>
      </c>
      <c r="F1409" s="2">
        <v>1125.0</v>
      </c>
      <c r="G1409" s="2">
        <v>5.68</v>
      </c>
      <c r="H1409" s="2">
        <v>198.1</v>
      </c>
      <c r="I1409" s="2" t="s">
        <v>27</v>
      </c>
    </row>
    <row r="1410" ht="15.75" customHeight="1">
      <c r="A1410" s="2" t="s">
        <v>2625</v>
      </c>
      <c r="B1410" s="2" t="s">
        <v>2626</v>
      </c>
      <c r="C1410" s="2" t="s">
        <v>979</v>
      </c>
      <c r="D1410" s="2" t="s">
        <v>968</v>
      </c>
      <c r="E1410" s="2" t="s">
        <v>971</v>
      </c>
      <c r="F1410" s="2">
        <v>771.0</v>
      </c>
      <c r="G1410" s="2">
        <v>5.21</v>
      </c>
      <c r="H1410" s="2">
        <v>148.0</v>
      </c>
      <c r="I1410" s="2" t="s">
        <v>27</v>
      </c>
    </row>
    <row r="1411" ht="15.75" customHeight="1">
      <c r="A1411" s="2" t="s">
        <v>2629</v>
      </c>
      <c r="B1411" s="2" t="s">
        <v>2630</v>
      </c>
      <c r="C1411" s="2" t="s">
        <v>979</v>
      </c>
      <c r="D1411" s="2" t="s">
        <v>911</v>
      </c>
      <c r="E1411" s="2" t="s">
        <v>914</v>
      </c>
      <c r="F1411" s="2">
        <v>2020.0</v>
      </c>
      <c r="G1411" s="2">
        <v>27.76</v>
      </c>
      <c r="H1411" s="2">
        <v>72.8</v>
      </c>
      <c r="I1411" s="2" t="s">
        <v>138</v>
      </c>
    </row>
    <row r="1412" ht="15.75" customHeight="1">
      <c r="A1412" s="2" t="s">
        <v>4639</v>
      </c>
      <c r="B1412" s="2" t="s">
        <v>4640</v>
      </c>
      <c r="C1412" s="2" t="s">
        <v>979</v>
      </c>
      <c r="D1412" s="2" t="s">
        <v>778</v>
      </c>
      <c r="E1412" s="2" t="s">
        <v>779</v>
      </c>
      <c r="F1412" s="2">
        <v>603.0</v>
      </c>
      <c r="G1412" s="2">
        <v>3.94</v>
      </c>
      <c r="H1412" s="2">
        <v>153.0</v>
      </c>
      <c r="I1412" s="2" t="s">
        <v>27</v>
      </c>
    </row>
    <row r="1413" ht="15.75" customHeight="1">
      <c r="A1413" s="2" t="s">
        <v>4643</v>
      </c>
      <c r="B1413" s="2" t="s">
        <v>4644</v>
      </c>
      <c r="C1413" s="2" t="s">
        <v>979</v>
      </c>
      <c r="D1413" s="2" t="s">
        <v>1092</v>
      </c>
      <c r="E1413" s="2" t="s">
        <v>1093</v>
      </c>
      <c r="F1413" s="2">
        <v>231.0</v>
      </c>
      <c r="G1413" s="2">
        <v>4.18</v>
      </c>
      <c r="H1413" s="2">
        <v>55.3</v>
      </c>
      <c r="I1413" s="2" t="s">
        <v>47</v>
      </c>
    </row>
    <row r="1414" ht="15.75" customHeight="1">
      <c r="A1414" s="2" t="s">
        <v>2632</v>
      </c>
      <c r="B1414" s="2" t="s">
        <v>2634</v>
      </c>
      <c r="C1414" s="2" t="s">
        <v>979</v>
      </c>
      <c r="D1414" s="2" t="s">
        <v>800</v>
      </c>
      <c r="E1414" s="2" t="s">
        <v>801</v>
      </c>
      <c r="F1414" s="2">
        <v>604.0</v>
      </c>
      <c r="G1414" s="2">
        <v>5.22</v>
      </c>
      <c r="H1414" s="2">
        <v>115.7</v>
      </c>
      <c r="I1414" s="2" t="s">
        <v>27</v>
      </c>
    </row>
    <row r="1415" ht="15.75" customHeight="1">
      <c r="A1415" s="2" t="s">
        <v>2636</v>
      </c>
      <c r="B1415" s="2" t="s">
        <v>2637</v>
      </c>
      <c r="C1415" s="2" t="s">
        <v>979</v>
      </c>
      <c r="D1415" s="2" t="s">
        <v>1092</v>
      </c>
      <c r="E1415" s="2" t="s">
        <v>1093</v>
      </c>
      <c r="F1415" s="2">
        <v>20726.0</v>
      </c>
      <c r="G1415" s="2">
        <v>6.87</v>
      </c>
      <c r="H1415" s="2">
        <v>3016.9</v>
      </c>
      <c r="I1415" s="2" t="s">
        <v>805</v>
      </c>
    </row>
    <row r="1416" ht="15.75" customHeight="1">
      <c r="A1416" s="2" t="s">
        <v>2640</v>
      </c>
      <c r="B1416" s="2" t="s">
        <v>2642</v>
      </c>
      <c r="C1416" s="2" t="s">
        <v>979</v>
      </c>
      <c r="D1416" s="2" t="s">
        <v>911</v>
      </c>
      <c r="E1416" s="2" t="s">
        <v>914</v>
      </c>
      <c r="F1416" s="2">
        <v>2564.0</v>
      </c>
      <c r="G1416" s="2">
        <v>7.77</v>
      </c>
      <c r="H1416" s="2">
        <v>330.0</v>
      </c>
      <c r="I1416" s="2" t="s">
        <v>138</v>
      </c>
    </row>
    <row r="1417" ht="15.75" customHeight="1">
      <c r="A1417" s="2" t="s">
        <v>2644</v>
      </c>
      <c r="B1417" s="2" t="s">
        <v>2646</v>
      </c>
      <c r="C1417" s="2" t="s">
        <v>979</v>
      </c>
      <c r="D1417" s="2" t="s">
        <v>1092</v>
      </c>
      <c r="E1417" s="2" t="s">
        <v>1093</v>
      </c>
      <c r="F1417" s="2">
        <v>15525.0</v>
      </c>
      <c r="G1417" s="2">
        <v>6.3</v>
      </c>
      <c r="H1417" s="2">
        <v>2464.3</v>
      </c>
      <c r="I1417" s="2" t="s">
        <v>805</v>
      </c>
    </row>
    <row r="1418" ht="15.75" customHeight="1">
      <c r="A1418" s="2" t="s">
        <v>4657</v>
      </c>
      <c r="B1418" s="2" t="s">
        <v>4659</v>
      </c>
      <c r="C1418" s="2" t="s">
        <v>979</v>
      </c>
      <c r="D1418" s="2" t="s">
        <v>858</v>
      </c>
      <c r="E1418" s="2" t="s">
        <v>859</v>
      </c>
      <c r="F1418" s="2">
        <v>240.0</v>
      </c>
      <c r="G1418" s="2">
        <v>6.33</v>
      </c>
      <c r="H1418" s="2">
        <v>37.9</v>
      </c>
      <c r="I1418" s="2" t="s">
        <v>47</v>
      </c>
    </row>
    <row r="1419" ht="15.75" customHeight="1">
      <c r="A1419" s="2" t="s">
        <v>2647</v>
      </c>
      <c r="B1419" s="2" t="s">
        <v>2648</v>
      </c>
      <c r="C1419" s="2" t="s">
        <v>979</v>
      </c>
      <c r="D1419" s="2" t="s">
        <v>1092</v>
      </c>
      <c r="E1419" s="2" t="s">
        <v>1093</v>
      </c>
      <c r="F1419" s="2">
        <v>40847.0</v>
      </c>
      <c r="G1419" s="2">
        <v>13.66</v>
      </c>
      <c r="H1419" s="2">
        <v>2990.3</v>
      </c>
      <c r="I1419" s="2" t="s">
        <v>805</v>
      </c>
    </row>
    <row r="1420" ht="15.75" customHeight="1">
      <c r="A1420" s="2" t="s">
        <v>2651</v>
      </c>
      <c r="B1420" s="2" t="s">
        <v>2652</v>
      </c>
      <c r="C1420" s="2" t="s">
        <v>979</v>
      </c>
      <c r="D1420" s="2" t="s">
        <v>800</v>
      </c>
      <c r="E1420" s="2" t="s">
        <v>801</v>
      </c>
      <c r="F1420" s="2">
        <v>1599.0</v>
      </c>
      <c r="G1420" s="2">
        <v>2.37</v>
      </c>
      <c r="H1420" s="2">
        <v>674.7</v>
      </c>
      <c r="I1420" s="2" t="s">
        <v>27</v>
      </c>
    </row>
    <row r="1421" ht="15.75" customHeight="1">
      <c r="A1421" s="2" t="s">
        <v>4666</v>
      </c>
      <c r="B1421" s="2" t="s">
        <v>4668</v>
      </c>
      <c r="C1421" s="2" t="s">
        <v>979</v>
      </c>
      <c r="D1421" s="2" t="s">
        <v>800</v>
      </c>
      <c r="E1421" s="2" t="s">
        <v>801</v>
      </c>
      <c r="F1421" s="2">
        <v>440.0</v>
      </c>
      <c r="G1421" s="2">
        <v>3.82</v>
      </c>
      <c r="H1421" s="2">
        <v>115.2</v>
      </c>
      <c r="I1421" s="2" t="s">
        <v>47</v>
      </c>
    </row>
    <row r="1422" ht="15.75" customHeight="1">
      <c r="A1422" s="2" t="s">
        <v>2654</v>
      </c>
      <c r="B1422" s="2" t="s">
        <v>2655</v>
      </c>
      <c r="C1422" s="2" t="s">
        <v>979</v>
      </c>
      <c r="D1422" s="2" t="s">
        <v>1092</v>
      </c>
      <c r="E1422" s="2" t="s">
        <v>1093</v>
      </c>
      <c r="F1422" s="2">
        <v>7758.0</v>
      </c>
      <c r="G1422" s="2">
        <v>13.59</v>
      </c>
      <c r="H1422" s="2">
        <v>570.9</v>
      </c>
      <c r="I1422" s="2" t="s">
        <v>138</v>
      </c>
    </row>
    <row r="1423" ht="15.75" customHeight="1">
      <c r="A1423" s="2" t="s">
        <v>2657</v>
      </c>
      <c r="B1423" s="2" t="s">
        <v>2659</v>
      </c>
      <c r="C1423" s="2" t="s">
        <v>979</v>
      </c>
      <c r="D1423" s="2" t="s">
        <v>813</v>
      </c>
      <c r="E1423" s="2" t="s">
        <v>814</v>
      </c>
      <c r="F1423" s="2">
        <v>7266.0</v>
      </c>
      <c r="G1423" s="2">
        <v>4.33</v>
      </c>
      <c r="H1423" s="2">
        <v>1678.1</v>
      </c>
      <c r="I1423" s="2" t="s">
        <v>138</v>
      </c>
    </row>
    <row r="1424" ht="15.75" customHeight="1">
      <c r="A1424" s="2" t="s">
        <v>4674</v>
      </c>
      <c r="B1424" s="2" t="s">
        <v>4675</v>
      </c>
      <c r="C1424" s="2" t="s">
        <v>979</v>
      </c>
      <c r="D1424" s="2" t="s">
        <v>780</v>
      </c>
      <c r="E1424" s="2" t="s">
        <v>782</v>
      </c>
      <c r="F1424" s="2">
        <v>225.0</v>
      </c>
      <c r="G1424" s="2">
        <v>4.16</v>
      </c>
      <c r="H1424" s="2">
        <v>54.1</v>
      </c>
      <c r="I1424" s="2" t="s">
        <v>47</v>
      </c>
    </row>
    <row r="1425" ht="15.75" customHeight="1">
      <c r="A1425" s="2" t="s">
        <v>2661</v>
      </c>
      <c r="B1425" s="2" t="s">
        <v>2663</v>
      </c>
      <c r="C1425" s="2" t="s">
        <v>979</v>
      </c>
      <c r="D1425" s="2" t="s">
        <v>1092</v>
      </c>
      <c r="E1425" s="2" t="s">
        <v>1093</v>
      </c>
      <c r="F1425" s="2">
        <v>5426.0</v>
      </c>
      <c r="G1425" s="2">
        <v>5.09</v>
      </c>
      <c r="H1425" s="2">
        <v>1066.0</v>
      </c>
      <c r="I1425" s="2" t="s">
        <v>138</v>
      </c>
    </row>
    <row r="1426" ht="15.75" customHeight="1">
      <c r="A1426" s="2" t="s">
        <v>2665</v>
      </c>
      <c r="B1426" s="2" t="s">
        <v>2666</v>
      </c>
      <c r="C1426" s="2" t="s">
        <v>979</v>
      </c>
      <c r="D1426" s="2" t="s">
        <v>911</v>
      </c>
      <c r="E1426" s="2" t="s">
        <v>914</v>
      </c>
      <c r="F1426" s="2">
        <v>644.0</v>
      </c>
      <c r="G1426" s="2">
        <v>7.63</v>
      </c>
      <c r="H1426" s="2">
        <v>84.4</v>
      </c>
      <c r="I1426" s="2" t="s">
        <v>27</v>
      </c>
    </row>
    <row r="1427" ht="15.75" customHeight="1">
      <c r="A1427" s="2" t="s">
        <v>2667</v>
      </c>
      <c r="B1427" s="2" t="s">
        <v>2668</v>
      </c>
      <c r="C1427" s="2" t="s">
        <v>979</v>
      </c>
      <c r="D1427" s="2" t="s">
        <v>1092</v>
      </c>
      <c r="E1427" s="2" t="s">
        <v>1093</v>
      </c>
      <c r="F1427" s="2">
        <v>581.0</v>
      </c>
      <c r="G1427" s="2">
        <v>2.81</v>
      </c>
      <c r="H1427" s="2">
        <v>206.8</v>
      </c>
      <c r="I1427" s="2" t="s">
        <v>27</v>
      </c>
    </row>
    <row r="1428" ht="15.75" customHeight="1">
      <c r="A1428" s="2" t="s">
        <v>2671</v>
      </c>
      <c r="B1428" s="2" t="s">
        <v>2672</v>
      </c>
      <c r="C1428" s="2" t="s">
        <v>979</v>
      </c>
      <c r="D1428" s="2" t="s">
        <v>1001</v>
      </c>
      <c r="E1428" s="2" t="s">
        <v>1002</v>
      </c>
      <c r="F1428" s="2">
        <v>2804.0</v>
      </c>
      <c r="G1428" s="2">
        <v>13.89</v>
      </c>
      <c r="H1428" s="2">
        <v>201.9</v>
      </c>
      <c r="I1428" s="2" t="s">
        <v>138</v>
      </c>
    </row>
    <row r="1429" ht="15.75" customHeight="1">
      <c r="A1429" s="2" t="s">
        <v>2673</v>
      </c>
      <c r="B1429" s="2" t="s">
        <v>2674</v>
      </c>
      <c r="C1429" s="2" t="s">
        <v>979</v>
      </c>
      <c r="D1429" s="2" t="s">
        <v>1092</v>
      </c>
      <c r="E1429" s="2" t="s">
        <v>1093</v>
      </c>
      <c r="F1429" s="2">
        <v>2941.0</v>
      </c>
      <c r="G1429" s="2">
        <v>5.81</v>
      </c>
      <c r="H1429" s="2">
        <v>506.2</v>
      </c>
      <c r="I1429" s="2" t="s">
        <v>138</v>
      </c>
    </row>
    <row r="1430" ht="15.75" customHeight="1">
      <c r="A1430" s="2" t="s">
        <v>4688</v>
      </c>
      <c r="B1430" s="2" t="s">
        <v>4689</v>
      </c>
      <c r="C1430" s="2" t="s">
        <v>979</v>
      </c>
      <c r="D1430" s="2" t="s">
        <v>1001</v>
      </c>
      <c r="E1430" s="2" t="s">
        <v>1002</v>
      </c>
      <c r="F1430" s="2">
        <v>128.0</v>
      </c>
      <c r="G1430" s="2">
        <v>4.12</v>
      </c>
      <c r="H1430" s="2">
        <v>31.1</v>
      </c>
      <c r="I1430" s="2" t="s">
        <v>47</v>
      </c>
    </row>
    <row r="1431" ht="15.75" customHeight="1">
      <c r="A1431" s="2" t="s">
        <v>2675</v>
      </c>
      <c r="B1431" s="2" t="s">
        <v>2676</v>
      </c>
      <c r="C1431" s="2" t="s">
        <v>979</v>
      </c>
      <c r="D1431" s="2" t="s">
        <v>780</v>
      </c>
      <c r="E1431" s="2" t="s">
        <v>782</v>
      </c>
      <c r="F1431" s="2">
        <v>1261.0</v>
      </c>
      <c r="G1431" s="2">
        <v>15.73</v>
      </c>
      <c r="H1431" s="2">
        <v>80.2</v>
      </c>
      <c r="I1431" s="2" t="s">
        <v>27</v>
      </c>
    </row>
    <row r="1432" ht="15.75" customHeight="1">
      <c r="A1432" s="2" t="s">
        <v>2677</v>
      </c>
      <c r="B1432" s="2" t="s">
        <v>2678</v>
      </c>
      <c r="C1432" s="2" t="s">
        <v>979</v>
      </c>
      <c r="D1432" s="2" t="s">
        <v>911</v>
      </c>
      <c r="E1432" s="2" t="s">
        <v>914</v>
      </c>
      <c r="F1432" s="2">
        <v>5584.0</v>
      </c>
      <c r="G1432" s="2">
        <v>27.37</v>
      </c>
      <c r="H1432" s="2">
        <v>204.0</v>
      </c>
      <c r="I1432" s="2" t="s">
        <v>138</v>
      </c>
    </row>
    <row r="1433" ht="15.75" customHeight="1">
      <c r="A1433" s="2" t="s">
        <v>4695</v>
      </c>
      <c r="B1433" s="2" t="s">
        <v>4697</v>
      </c>
      <c r="C1433" s="2" t="s">
        <v>979</v>
      </c>
      <c r="D1433" s="2" t="s">
        <v>911</v>
      </c>
      <c r="E1433" s="2" t="s">
        <v>914</v>
      </c>
      <c r="F1433" s="2">
        <v>334.0</v>
      </c>
      <c r="G1433" s="2">
        <v>2.92</v>
      </c>
      <c r="H1433" s="2">
        <v>114.4</v>
      </c>
      <c r="I1433" s="2" t="s">
        <v>47</v>
      </c>
    </row>
    <row r="1434" ht="15.75" customHeight="1">
      <c r="A1434" s="2" t="s">
        <v>4699</v>
      </c>
      <c r="B1434" s="2" t="s">
        <v>4700</v>
      </c>
      <c r="C1434" s="2" t="s">
        <v>979</v>
      </c>
      <c r="D1434" s="2" t="s">
        <v>911</v>
      </c>
      <c r="E1434" s="2" t="s">
        <v>914</v>
      </c>
      <c r="F1434" s="2">
        <v>298.0</v>
      </c>
      <c r="G1434" s="2">
        <v>2.56</v>
      </c>
      <c r="H1434" s="2">
        <v>116.4</v>
      </c>
      <c r="I1434" s="2" t="s">
        <v>47</v>
      </c>
    </row>
    <row r="1435" ht="15.75" customHeight="1">
      <c r="A1435" s="2" t="s">
        <v>2679</v>
      </c>
      <c r="B1435" s="2" t="s">
        <v>2680</v>
      </c>
      <c r="C1435" s="2" t="s">
        <v>979</v>
      </c>
      <c r="D1435" s="2" t="s">
        <v>911</v>
      </c>
      <c r="E1435" s="2" t="s">
        <v>914</v>
      </c>
      <c r="F1435" s="2">
        <v>1562.0</v>
      </c>
      <c r="G1435" s="2">
        <v>17.48</v>
      </c>
      <c r="H1435" s="2">
        <v>89.4</v>
      </c>
      <c r="I1435" s="2" t="s">
        <v>27</v>
      </c>
    </row>
    <row r="1436" ht="15.75" customHeight="1">
      <c r="A1436" s="2" t="s">
        <v>4703</v>
      </c>
      <c r="B1436" s="2" t="s">
        <v>4704</v>
      </c>
      <c r="C1436" s="2" t="s">
        <v>979</v>
      </c>
      <c r="D1436" s="2" t="s">
        <v>780</v>
      </c>
      <c r="E1436" s="2" t="s">
        <v>782</v>
      </c>
      <c r="F1436" s="2">
        <v>252.0</v>
      </c>
      <c r="G1436" s="2">
        <v>4.93</v>
      </c>
      <c r="H1436" s="2">
        <v>51.1</v>
      </c>
      <c r="I1436" s="2" t="s">
        <v>47</v>
      </c>
    </row>
    <row r="1437" ht="15.75" customHeight="1">
      <c r="A1437" s="2" t="s">
        <v>2681</v>
      </c>
      <c r="B1437" s="2" t="s">
        <v>2682</v>
      </c>
      <c r="C1437" s="2" t="s">
        <v>979</v>
      </c>
      <c r="D1437" s="2" t="s">
        <v>1086</v>
      </c>
      <c r="E1437" s="2" t="s">
        <v>1087</v>
      </c>
      <c r="F1437" s="2">
        <v>1630.0</v>
      </c>
      <c r="G1437" s="2">
        <v>2.6</v>
      </c>
      <c r="H1437" s="2">
        <v>626.9</v>
      </c>
      <c r="I1437" s="2" t="s">
        <v>27</v>
      </c>
    </row>
    <row r="1438" ht="15.75" customHeight="1">
      <c r="A1438" s="2" t="s">
        <v>4710</v>
      </c>
      <c r="B1438" s="2" t="s">
        <v>4711</v>
      </c>
      <c r="C1438" s="2" t="s">
        <v>979</v>
      </c>
      <c r="D1438" s="2" t="s">
        <v>780</v>
      </c>
      <c r="E1438" s="2" t="s">
        <v>782</v>
      </c>
      <c r="F1438" s="2">
        <v>557.0</v>
      </c>
      <c r="G1438" s="2">
        <v>11.86</v>
      </c>
      <c r="H1438" s="2">
        <v>47.0</v>
      </c>
      <c r="I1438" s="2" t="s">
        <v>27</v>
      </c>
    </row>
    <row r="1439" ht="15.75" customHeight="1">
      <c r="A1439" s="2" t="s">
        <v>2684</v>
      </c>
      <c r="B1439" s="2" t="s">
        <v>2686</v>
      </c>
      <c r="C1439" s="2" t="s">
        <v>979</v>
      </c>
      <c r="D1439" s="2" t="s">
        <v>778</v>
      </c>
      <c r="E1439" s="2" t="s">
        <v>779</v>
      </c>
      <c r="F1439" s="2">
        <v>1869.0</v>
      </c>
      <c r="G1439" s="2">
        <v>4.01</v>
      </c>
      <c r="H1439" s="2">
        <v>466.1</v>
      </c>
      <c r="I1439" s="2" t="s">
        <v>27</v>
      </c>
    </row>
    <row r="1440" ht="15.75" customHeight="1">
      <c r="A1440" s="2" t="s">
        <v>3464</v>
      </c>
      <c r="B1440" s="2" t="s">
        <v>3465</v>
      </c>
      <c r="C1440" s="2" t="s">
        <v>979</v>
      </c>
      <c r="D1440" s="2" t="s">
        <v>847</v>
      </c>
      <c r="E1440" s="2" t="s">
        <v>848</v>
      </c>
      <c r="F1440" s="2">
        <v>269.0</v>
      </c>
      <c r="G1440" s="2">
        <v>4.87</v>
      </c>
      <c r="H1440" s="2">
        <v>55.2</v>
      </c>
      <c r="I1440" s="2" t="s">
        <v>47</v>
      </c>
    </row>
    <row r="1441" ht="15.75" customHeight="1">
      <c r="A1441" s="2" t="s">
        <v>3468</v>
      </c>
      <c r="B1441" s="2" t="s">
        <v>3469</v>
      </c>
      <c r="C1441" s="2" t="s">
        <v>979</v>
      </c>
      <c r="D1441" s="2" t="s">
        <v>847</v>
      </c>
      <c r="E1441" s="2" t="s">
        <v>848</v>
      </c>
      <c r="F1441" s="2">
        <v>145.0</v>
      </c>
      <c r="G1441" s="2">
        <v>3.38</v>
      </c>
      <c r="H1441" s="2">
        <v>42.9</v>
      </c>
      <c r="I1441" s="2" t="s">
        <v>47</v>
      </c>
    </row>
    <row r="1442" ht="15.75" customHeight="1">
      <c r="A1442" s="2" t="s">
        <v>2687</v>
      </c>
      <c r="B1442" s="2" t="s">
        <v>2689</v>
      </c>
      <c r="C1442" s="2" t="s">
        <v>979</v>
      </c>
      <c r="D1442" s="2" t="s">
        <v>847</v>
      </c>
      <c r="E1442" s="2" t="s">
        <v>848</v>
      </c>
      <c r="F1442" s="2">
        <v>1013.0</v>
      </c>
      <c r="G1442" s="2">
        <v>6.26</v>
      </c>
      <c r="H1442" s="2">
        <v>161.8</v>
      </c>
      <c r="I1442" s="2" t="s">
        <v>27</v>
      </c>
    </row>
    <row r="1443" ht="15.75" customHeight="1">
      <c r="A1443" s="2" t="s">
        <v>2691</v>
      </c>
      <c r="B1443" s="2" t="s">
        <v>2692</v>
      </c>
      <c r="C1443" s="2" t="s">
        <v>979</v>
      </c>
      <c r="D1443" s="2" t="s">
        <v>826</v>
      </c>
      <c r="E1443" s="2" t="s">
        <v>829</v>
      </c>
      <c r="F1443" s="2">
        <v>606.0</v>
      </c>
      <c r="G1443" s="2">
        <v>8.35</v>
      </c>
      <c r="H1443" s="2">
        <v>72.6</v>
      </c>
      <c r="I1443" s="2" t="s">
        <v>27</v>
      </c>
    </row>
    <row r="1444" ht="15.75" customHeight="1">
      <c r="A1444" s="2" t="s">
        <v>2694</v>
      </c>
      <c r="B1444" s="2" t="s">
        <v>2696</v>
      </c>
      <c r="C1444" s="2" t="s">
        <v>979</v>
      </c>
      <c r="D1444" s="2" t="s">
        <v>800</v>
      </c>
      <c r="E1444" s="2" t="s">
        <v>801</v>
      </c>
      <c r="F1444" s="2">
        <v>804.0</v>
      </c>
      <c r="G1444" s="2">
        <v>5.14</v>
      </c>
      <c r="H1444" s="2">
        <v>156.4</v>
      </c>
      <c r="I1444" s="2" t="s">
        <v>27</v>
      </c>
    </row>
    <row r="1445" ht="15.75" customHeight="1">
      <c r="A1445" s="2" t="s">
        <v>2697</v>
      </c>
      <c r="B1445" s="2" t="s">
        <v>2699</v>
      </c>
      <c r="C1445" s="2" t="s">
        <v>979</v>
      </c>
      <c r="D1445" s="2" t="s">
        <v>858</v>
      </c>
      <c r="E1445" s="2" t="s">
        <v>859</v>
      </c>
      <c r="F1445" s="2">
        <v>1233.0</v>
      </c>
      <c r="G1445" s="2">
        <v>25.15</v>
      </c>
      <c r="H1445" s="2">
        <v>49.0</v>
      </c>
      <c r="I1445" s="2" t="s">
        <v>27</v>
      </c>
    </row>
    <row r="1446" ht="15.75" customHeight="1">
      <c r="A1446" s="2" t="s">
        <v>2701</v>
      </c>
      <c r="B1446" s="2" t="s">
        <v>2702</v>
      </c>
      <c r="C1446" s="2" t="s">
        <v>2703</v>
      </c>
      <c r="D1446" s="2" t="s">
        <v>883</v>
      </c>
      <c r="E1446" s="2" t="s">
        <v>885</v>
      </c>
      <c r="F1446" s="2">
        <v>569.0</v>
      </c>
      <c r="G1446" s="2">
        <v>5.98</v>
      </c>
      <c r="H1446" s="2">
        <v>95.2</v>
      </c>
      <c r="I1446" s="2" t="s">
        <v>27</v>
      </c>
    </row>
    <row r="1447" ht="15.75" customHeight="1">
      <c r="A1447" s="2" t="s">
        <v>2706</v>
      </c>
      <c r="B1447" s="2" t="s">
        <v>2707</v>
      </c>
      <c r="C1447" s="2" t="s">
        <v>2703</v>
      </c>
      <c r="D1447" s="2" t="s">
        <v>1076</v>
      </c>
      <c r="E1447" s="2" t="s">
        <v>1078</v>
      </c>
      <c r="F1447" s="2">
        <v>879.0</v>
      </c>
      <c r="G1447" s="2">
        <v>7.46</v>
      </c>
      <c r="H1447" s="2">
        <v>117.8</v>
      </c>
      <c r="I1447" s="2" t="s">
        <v>27</v>
      </c>
    </row>
    <row r="1448" ht="15.75" customHeight="1">
      <c r="A1448" s="2" t="s">
        <v>4720</v>
      </c>
      <c r="B1448" s="2" t="s">
        <v>4722</v>
      </c>
      <c r="C1448" s="2" t="s">
        <v>2703</v>
      </c>
      <c r="D1448" s="2" t="s">
        <v>873</v>
      </c>
      <c r="E1448" s="2" t="s">
        <v>876</v>
      </c>
      <c r="F1448" s="2">
        <v>499.0</v>
      </c>
      <c r="G1448" s="2">
        <v>5.26</v>
      </c>
      <c r="H1448" s="2">
        <v>94.9</v>
      </c>
      <c r="I1448" s="2" t="s">
        <v>47</v>
      </c>
    </row>
    <row r="1449" ht="15.75" customHeight="1">
      <c r="A1449" s="2" t="s">
        <v>4726</v>
      </c>
      <c r="B1449" s="2" t="s">
        <v>4727</v>
      </c>
      <c r="C1449" s="2" t="s">
        <v>2703</v>
      </c>
      <c r="D1449" s="2" t="s">
        <v>883</v>
      </c>
      <c r="E1449" s="2" t="s">
        <v>885</v>
      </c>
      <c r="F1449" s="2">
        <v>408.0</v>
      </c>
      <c r="G1449" s="2">
        <v>12.73</v>
      </c>
      <c r="H1449" s="2">
        <v>32.1</v>
      </c>
      <c r="I1449" s="2" t="s">
        <v>47</v>
      </c>
    </row>
    <row r="1450" ht="15.75" customHeight="1">
      <c r="A1450" s="2" t="s">
        <v>2708</v>
      </c>
      <c r="B1450" s="2" t="s">
        <v>2709</v>
      </c>
      <c r="C1450" s="2" t="s">
        <v>2703</v>
      </c>
      <c r="D1450" s="2" t="s">
        <v>973</v>
      </c>
      <c r="E1450" s="2" t="s">
        <v>974</v>
      </c>
      <c r="F1450" s="2">
        <v>821.0</v>
      </c>
      <c r="G1450" s="2">
        <v>11.45</v>
      </c>
      <c r="H1450" s="2">
        <v>71.7</v>
      </c>
      <c r="I1450" s="2" t="s">
        <v>27</v>
      </c>
    </row>
    <row r="1451" ht="15.75" customHeight="1">
      <c r="A1451" s="2" t="s">
        <v>2712</v>
      </c>
      <c r="B1451" s="2" t="s">
        <v>2715</v>
      </c>
      <c r="C1451" s="2" t="s">
        <v>2703</v>
      </c>
      <c r="D1451" s="2" t="s">
        <v>943</v>
      </c>
      <c r="E1451" s="2" t="s">
        <v>945</v>
      </c>
      <c r="F1451" s="2">
        <v>3058.0</v>
      </c>
      <c r="G1451" s="2">
        <v>13.28</v>
      </c>
      <c r="H1451" s="2">
        <v>230.3</v>
      </c>
      <c r="I1451" s="2" t="s">
        <v>138</v>
      </c>
    </row>
    <row r="1452" ht="15.75" customHeight="1">
      <c r="A1452" s="2" t="s">
        <v>2717</v>
      </c>
      <c r="B1452" s="2" t="s">
        <v>2718</v>
      </c>
      <c r="C1452" s="2" t="s">
        <v>2703</v>
      </c>
      <c r="D1452" s="2" t="s">
        <v>993</v>
      </c>
      <c r="E1452" s="2" t="s">
        <v>994</v>
      </c>
      <c r="F1452" s="2">
        <v>409.0</v>
      </c>
      <c r="G1452" s="2">
        <v>6.82</v>
      </c>
      <c r="H1452" s="2">
        <v>60.0</v>
      </c>
      <c r="I1452" s="2" t="s">
        <v>47</v>
      </c>
    </row>
    <row r="1453" ht="15.75" customHeight="1">
      <c r="A1453" s="2" t="s">
        <v>2720</v>
      </c>
      <c r="B1453" s="2" t="s">
        <v>2721</v>
      </c>
      <c r="C1453" s="2" t="s">
        <v>2703</v>
      </c>
      <c r="D1453" s="2" t="s">
        <v>817</v>
      </c>
      <c r="E1453" s="2" t="s">
        <v>818</v>
      </c>
      <c r="F1453" s="2">
        <v>1767.0</v>
      </c>
      <c r="G1453" s="2">
        <v>15.37</v>
      </c>
      <c r="H1453" s="2">
        <v>115.0</v>
      </c>
      <c r="I1453" s="2" t="s">
        <v>27</v>
      </c>
    </row>
    <row r="1454" ht="15.75" customHeight="1">
      <c r="A1454" s="2" t="s">
        <v>2722</v>
      </c>
      <c r="B1454" s="2" t="s">
        <v>2723</v>
      </c>
      <c r="C1454" s="2" t="s">
        <v>2703</v>
      </c>
      <c r="D1454" s="2" t="s">
        <v>927</v>
      </c>
      <c r="E1454" s="2" t="s">
        <v>928</v>
      </c>
      <c r="F1454" s="2">
        <v>1805.0</v>
      </c>
      <c r="G1454" s="2">
        <v>20.99</v>
      </c>
      <c r="H1454" s="2">
        <v>86.0</v>
      </c>
      <c r="I1454" s="2" t="s">
        <v>27</v>
      </c>
    </row>
    <row r="1455" ht="15.75" customHeight="1">
      <c r="A1455" s="2" t="s">
        <v>2726</v>
      </c>
      <c r="B1455" s="2" t="s">
        <v>2727</v>
      </c>
      <c r="C1455" s="2" t="s">
        <v>2703</v>
      </c>
      <c r="D1455" s="2" t="s">
        <v>977</v>
      </c>
      <c r="E1455" s="2" t="s">
        <v>978</v>
      </c>
      <c r="F1455" s="2">
        <v>419.0</v>
      </c>
      <c r="G1455" s="2">
        <v>12.64</v>
      </c>
      <c r="H1455" s="2">
        <v>33.1</v>
      </c>
      <c r="I1455" s="2" t="s">
        <v>47</v>
      </c>
    </row>
    <row r="1456" ht="15.75" customHeight="1">
      <c r="A1456" s="2" t="s">
        <v>2729</v>
      </c>
      <c r="B1456" s="2" t="s">
        <v>2731</v>
      </c>
      <c r="C1456" s="2" t="s">
        <v>2703</v>
      </c>
      <c r="D1456" s="2" t="s">
        <v>927</v>
      </c>
      <c r="E1456" s="2" t="s">
        <v>928</v>
      </c>
      <c r="F1456" s="2">
        <v>3434.0</v>
      </c>
      <c r="G1456" s="2">
        <v>4.21</v>
      </c>
      <c r="H1456" s="2">
        <v>815.7</v>
      </c>
      <c r="I1456" s="2" t="s">
        <v>138</v>
      </c>
    </row>
    <row r="1457" ht="15.75" customHeight="1">
      <c r="A1457" s="2" t="s">
        <v>2732</v>
      </c>
      <c r="B1457" s="2" t="s">
        <v>2734</v>
      </c>
      <c r="C1457" s="2" t="s">
        <v>2703</v>
      </c>
      <c r="D1457" s="2" t="s">
        <v>921</v>
      </c>
      <c r="E1457" s="2" t="s">
        <v>924</v>
      </c>
      <c r="F1457" s="2">
        <v>1345.0</v>
      </c>
      <c r="G1457" s="2">
        <v>4.96</v>
      </c>
      <c r="H1457" s="2">
        <v>271.2</v>
      </c>
      <c r="I1457" s="2" t="s">
        <v>27</v>
      </c>
    </row>
    <row r="1458" ht="15.75" customHeight="1">
      <c r="A1458" s="2" t="s">
        <v>4754</v>
      </c>
      <c r="B1458" s="2" t="s">
        <v>4755</v>
      </c>
      <c r="C1458" s="2" t="s">
        <v>2703</v>
      </c>
      <c r="D1458" s="2" t="s">
        <v>993</v>
      </c>
      <c r="E1458" s="2" t="s">
        <v>994</v>
      </c>
      <c r="F1458" s="2">
        <v>155.0</v>
      </c>
      <c r="G1458" s="2">
        <v>6.25</v>
      </c>
      <c r="H1458" s="2">
        <v>24.8</v>
      </c>
      <c r="I1458" s="2" t="s">
        <v>47</v>
      </c>
    </row>
    <row r="1459" ht="15.75" customHeight="1">
      <c r="A1459" s="2" t="s">
        <v>2736</v>
      </c>
      <c r="B1459" s="2" t="s">
        <v>2738</v>
      </c>
      <c r="C1459" s="2" t="s">
        <v>2703</v>
      </c>
      <c r="D1459" s="2" t="s">
        <v>1076</v>
      </c>
      <c r="E1459" s="2" t="s">
        <v>1078</v>
      </c>
      <c r="F1459" s="2">
        <v>1124.0</v>
      </c>
      <c r="G1459" s="2">
        <v>3.58</v>
      </c>
      <c r="H1459" s="2">
        <v>314.0</v>
      </c>
      <c r="I1459" s="2" t="s">
        <v>27</v>
      </c>
    </row>
    <row r="1460" ht="15.75" customHeight="1">
      <c r="A1460" s="2" t="s">
        <v>4763</v>
      </c>
      <c r="B1460" s="2" t="s">
        <v>4764</v>
      </c>
      <c r="C1460" s="2" t="s">
        <v>2703</v>
      </c>
      <c r="D1460" s="2" t="s">
        <v>1076</v>
      </c>
      <c r="E1460" s="2" t="s">
        <v>1078</v>
      </c>
      <c r="F1460" s="2">
        <v>273.0</v>
      </c>
      <c r="G1460" s="2">
        <v>8.41</v>
      </c>
      <c r="H1460" s="2">
        <v>32.5</v>
      </c>
      <c r="I1460" s="2" t="s">
        <v>47</v>
      </c>
    </row>
    <row r="1461" ht="15.75" customHeight="1">
      <c r="A1461" s="2" t="s">
        <v>2740</v>
      </c>
      <c r="B1461" s="2" t="s">
        <v>2741</v>
      </c>
      <c r="C1461" s="2" t="s">
        <v>2703</v>
      </c>
      <c r="D1461" s="2" t="s">
        <v>873</v>
      </c>
      <c r="E1461" s="2" t="s">
        <v>876</v>
      </c>
      <c r="F1461" s="2">
        <v>1134.0</v>
      </c>
      <c r="G1461" s="2">
        <v>7.05</v>
      </c>
      <c r="H1461" s="2">
        <v>160.9</v>
      </c>
      <c r="I1461" s="2" t="s">
        <v>27</v>
      </c>
    </row>
    <row r="1462" ht="15.75" customHeight="1">
      <c r="A1462" s="2" t="s">
        <v>4767</v>
      </c>
      <c r="B1462" s="2" t="s">
        <v>4768</v>
      </c>
      <c r="C1462" s="2" t="s">
        <v>2703</v>
      </c>
      <c r="D1462" s="2" t="s">
        <v>977</v>
      </c>
      <c r="E1462" s="2" t="s">
        <v>978</v>
      </c>
      <c r="F1462" s="2">
        <v>408.0</v>
      </c>
      <c r="G1462" s="2">
        <v>10.81</v>
      </c>
      <c r="H1462" s="2">
        <v>37.7</v>
      </c>
      <c r="I1462" s="2" t="s">
        <v>47</v>
      </c>
    </row>
    <row r="1463" ht="15.75" customHeight="1">
      <c r="A1463" s="2" t="s">
        <v>4769</v>
      </c>
      <c r="B1463" s="2" t="s">
        <v>4770</v>
      </c>
      <c r="C1463" s="2" t="s">
        <v>2703</v>
      </c>
      <c r="D1463" s="2" t="s">
        <v>973</v>
      </c>
      <c r="E1463" s="2" t="s">
        <v>974</v>
      </c>
      <c r="F1463" s="2">
        <v>273.0</v>
      </c>
      <c r="G1463" s="2">
        <v>3.66</v>
      </c>
      <c r="H1463" s="2">
        <v>74.6</v>
      </c>
      <c r="I1463" s="2" t="s">
        <v>47</v>
      </c>
    </row>
    <row r="1464" ht="15.75" customHeight="1">
      <c r="A1464" s="2" t="s">
        <v>2742</v>
      </c>
      <c r="B1464" s="2" t="s">
        <v>2743</v>
      </c>
      <c r="C1464" s="2" t="s">
        <v>2703</v>
      </c>
      <c r="D1464" s="2" t="s">
        <v>985</v>
      </c>
      <c r="E1464" s="2" t="s">
        <v>988</v>
      </c>
      <c r="F1464" s="2">
        <v>498.0</v>
      </c>
      <c r="G1464" s="2">
        <v>4.47</v>
      </c>
      <c r="H1464" s="2">
        <v>111.4</v>
      </c>
      <c r="I1464" s="2" t="s">
        <v>47</v>
      </c>
    </row>
    <row r="1465" ht="15.75" customHeight="1">
      <c r="A1465" s="2" t="s">
        <v>2744</v>
      </c>
      <c r="B1465" s="2" t="s">
        <v>2745</v>
      </c>
      <c r="C1465" s="2" t="s">
        <v>2703</v>
      </c>
      <c r="D1465" s="2" t="s">
        <v>865</v>
      </c>
      <c r="E1465" s="2" t="s">
        <v>866</v>
      </c>
      <c r="F1465" s="2">
        <v>636.0</v>
      </c>
      <c r="G1465" s="2">
        <v>13.69</v>
      </c>
      <c r="H1465" s="2">
        <v>46.5</v>
      </c>
      <c r="I1465" s="2" t="s">
        <v>27</v>
      </c>
    </row>
    <row r="1466" ht="15.75" customHeight="1">
      <c r="A1466" s="2" t="s">
        <v>4773</v>
      </c>
      <c r="B1466" s="2" t="s">
        <v>4774</v>
      </c>
      <c r="C1466" s="2" t="s">
        <v>2703</v>
      </c>
      <c r="D1466" s="2" t="s">
        <v>804</v>
      </c>
      <c r="E1466" s="2" t="s">
        <v>806</v>
      </c>
      <c r="F1466" s="2">
        <v>548.0</v>
      </c>
      <c r="G1466" s="2">
        <v>2.05</v>
      </c>
      <c r="H1466" s="2">
        <v>267.3</v>
      </c>
      <c r="I1466" s="2" t="s">
        <v>27</v>
      </c>
    </row>
    <row r="1467" ht="15.75" customHeight="1">
      <c r="A1467" s="2" t="s">
        <v>2748</v>
      </c>
      <c r="B1467" s="2" t="s">
        <v>2749</v>
      </c>
      <c r="C1467" s="2" t="s">
        <v>2703</v>
      </c>
      <c r="D1467" s="2" t="s">
        <v>886</v>
      </c>
      <c r="E1467" s="2" t="s">
        <v>887</v>
      </c>
      <c r="F1467" s="2">
        <v>832.0</v>
      </c>
      <c r="G1467" s="2">
        <v>7.35</v>
      </c>
      <c r="H1467" s="2">
        <v>113.2</v>
      </c>
      <c r="I1467" s="2" t="s">
        <v>27</v>
      </c>
    </row>
    <row r="1468" ht="15.75" customHeight="1">
      <c r="A1468" s="2" t="s">
        <v>2752</v>
      </c>
      <c r="B1468" s="2" t="s">
        <v>2753</v>
      </c>
      <c r="C1468" s="2" t="s">
        <v>2703</v>
      </c>
      <c r="D1468" s="2" t="s">
        <v>917</v>
      </c>
      <c r="E1468" s="2" t="s">
        <v>918</v>
      </c>
      <c r="F1468" s="2">
        <v>1857.0</v>
      </c>
      <c r="G1468" s="2">
        <v>14.77</v>
      </c>
      <c r="H1468" s="2">
        <v>125.7</v>
      </c>
      <c r="I1468" s="2" t="s">
        <v>27</v>
      </c>
    </row>
    <row r="1469" ht="15.75" customHeight="1">
      <c r="A1469" s="2" t="s">
        <v>4780</v>
      </c>
      <c r="B1469" s="2" t="s">
        <v>4781</v>
      </c>
      <c r="C1469" s="2" t="s">
        <v>2703</v>
      </c>
      <c r="D1469" s="2" t="s">
        <v>817</v>
      </c>
      <c r="E1469" s="2" t="s">
        <v>818</v>
      </c>
      <c r="F1469" s="2">
        <v>562.0</v>
      </c>
      <c r="G1469" s="2">
        <v>8.04</v>
      </c>
      <c r="H1469" s="2">
        <v>69.9</v>
      </c>
      <c r="I1469" s="2" t="s">
        <v>27</v>
      </c>
    </row>
    <row r="1470" ht="15.75" customHeight="1">
      <c r="A1470" s="2" t="s">
        <v>2754</v>
      </c>
      <c r="B1470" s="2" t="s">
        <v>2755</v>
      </c>
      <c r="C1470" s="2" t="s">
        <v>2703</v>
      </c>
      <c r="D1470" s="2" t="s">
        <v>973</v>
      </c>
      <c r="E1470" s="2" t="s">
        <v>974</v>
      </c>
      <c r="F1470" s="2">
        <v>515.0</v>
      </c>
      <c r="G1470" s="2">
        <v>14.16</v>
      </c>
      <c r="H1470" s="2">
        <v>36.4</v>
      </c>
      <c r="I1470" s="2" t="s">
        <v>27</v>
      </c>
    </row>
    <row r="1471" ht="15.75" customHeight="1">
      <c r="A1471" s="2" t="s">
        <v>4784</v>
      </c>
      <c r="B1471" s="2" t="s">
        <v>4785</v>
      </c>
      <c r="C1471" s="2" t="s">
        <v>2703</v>
      </c>
      <c r="D1471" s="2" t="s">
        <v>1060</v>
      </c>
      <c r="E1471" s="2" t="s">
        <v>1062</v>
      </c>
      <c r="F1471" s="2">
        <v>567.0</v>
      </c>
      <c r="G1471" s="2">
        <v>6.83</v>
      </c>
      <c r="H1471" s="2">
        <v>83.0</v>
      </c>
      <c r="I1471" s="2" t="s">
        <v>27</v>
      </c>
    </row>
    <row r="1472" ht="15.75" customHeight="1">
      <c r="A1472" s="2" t="s">
        <v>2757</v>
      </c>
      <c r="B1472" s="2" t="s">
        <v>2759</v>
      </c>
      <c r="C1472" s="2" t="s">
        <v>2703</v>
      </c>
      <c r="D1472" s="2" t="s">
        <v>817</v>
      </c>
      <c r="E1472" s="2" t="s">
        <v>818</v>
      </c>
      <c r="F1472" s="2">
        <v>2898.0</v>
      </c>
      <c r="G1472" s="2">
        <v>27.57</v>
      </c>
      <c r="H1472" s="2">
        <v>105.1</v>
      </c>
      <c r="I1472" s="2" t="s">
        <v>138</v>
      </c>
    </row>
    <row r="1473" ht="15.75" customHeight="1">
      <c r="A1473" s="2" t="s">
        <v>2760</v>
      </c>
      <c r="B1473" s="2" t="s">
        <v>2761</v>
      </c>
      <c r="C1473" s="2" t="s">
        <v>2703</v>
      </c>
      <c r="D1473" s="2" t="s">
        <v>817</v>
      </c>
      <c r="E1473" s="2" t="s">
        <v>818</v>
      </c>
      <c r="F1473" s="2">
        <v>554.0</v>
      </c>
      <c r="G1473" s="2">
        <v>12.13</v>
      </c>
      <c r="H1473" s="2">
        <v>45.7</v>
      </c>
      <c r="I1473" s="2" t="s">
        <v>27</v>
      </c>
    </row>
    <row r="1474" ht="15.75" customHeight="1">
      <c r="A1474" s="2" t="s">
        <v>4792</v>
      </c>
      <c r="B1474" s="2" t="s">
        <v>4793</v>
      </c>
      <c r="C1474" s="2" t="s">
        <v>2703</v>
      </c>
      <c r="D1474" s="2" t="s">
        <v>973</v>
      </c>
      <c r="E1474" s="2" t="s">
        <v>974</v>
      </c>
      <c r="F1474" s="2">
        <v>265.0</v>
      </c>
      <c r="G1474" s="2">
        <v>9.29</v>
      </c>
      <c r="H1474" s="2">
        <v>28.5</v>
      </c>
      <c r="I1474" s="2" t="s">
        <v>47</v>
      </c>
    </row>
    <row r="1475" ht="15.75" customHeight="1">
      <c r="A1475" s="2" t="s">
        <v>2762</v>
      </c>
      <c r="B1475" s="2" t="s">
        <v>2764</v>
      </c>
      <c r="C1475" s="2" t="s">
        <v>2703</v>
      </c>
      <c r="D1475" s="2" t="s">
        <v>917</v>
      </c>
      <c r="E1475" s="2" t="s">
        <v>918</v>
      </c>
      <c r="F1475" s="2">
        <v>738.0</v>
      </c>
      <c r="G1475" s="2">
        <v>13.03</v>
      </c>
      <c r="H1475" s="2">
        <v>56.6</v>
      </c>
      <c r="I1475" s="2" t="s">
        <v>27</v>
      </c>
    </row>
    <row r="1476" ht="15.75" customHeight="1">
      <c r="A1476" s="2" t="s">
        <v>2766</v>
      </c>
      <c r="B1476" s="2" t="s">
        <v>2767</v>
      </c>
      <c r="C1476" s="2" t="s">
        <v>2703</v>
      </c>
      <c r="D1476" s="2" t="s">
        <v>817</v>
      </c>
      <c r="E1476" s="2" t="s">
        <v>818</v>
      </c>
      <c r="F1476" s="2">
        <v>921.0</v>
      </c>
      <c r="G1476" s="2">
        <v>5.69</v>
      </c>
      <c r="H1476" s="2">
        <v>161.9</v>
      </c>
      <c r="I1476" s="2" t="s">
        <v>27</v>
      </c>
    </row>
    <row r="1477" ht="15.75" customHeight="1">
      <c r="A1477" s="2" t="s">
        <v>2770</v>
      </c>
      <c r="B1477" s="2" t="s">
        <v>2771</v>
      </c>
      <c r="C1477" s="2" t="s">
        <v>2703</v>
      </c>
      <c r="D1477" s="2" t="s">
        <v>865</v>
      </c>
      <c r="E1477" s="2" t="s">
        <v>866</v>
      </c>
      <c r="F1477" s="2">
        <v>852.0</v>
      </c>
      <c r="G1477" s="2">
        <v>12.19</v>
      </c>
      <c r="H1477" s="2">
        <v>69.9</v>
      </c>
      <c r="I1477" s="2" t="s">
        <v>27</v>
      </c>
    </row>
    <row r="1478" ht="15.75" customHeight="1">
      <c r="A1478" s="2" t="s">
        <v>2772</v>
      </c>
      <c r="B1478" s="2" t="s">
        <v>2773</v>
      </c>
      <c r="C1478" s="2" t="s">
        <v>2703</v>
      </c>
      <c r="D1478" s="2" t="s">
        <v>993</v>
      </c>
      <c r="E1478" s="2" t="s">
        <v>994</v>
      </c>
      <c r="F1478" s="2">
        <v>1147.0</v>
      </c>
      <c r="G1478" s="2">
        <v>12.52</v>
      </c>
      <c r="H1478" s="2">
        <v>91.6</v>
      </c>
      <c r="I1478" s="2" t="s">
        <v>27</v>
      </c>
    </row>
    <row r="1479" ht="15.75" customHeight="1">
      <c r="A1479" s="2" t="s">
        <v>4806</v>
      </c>
      <c r="B1479" s="2" t="s">
        <v>4807</v>
      </c>
      <c r="C1479" s="2" t="s">
        <v>2703</v>
      </c>
      <c r="D1479" s="2" t="s">
        <v>977</v>
      </c>
      <c r="E1479" s="2" t="s">
        <v>978</v>
      </c>
      <c r="F1479" s="2">
        <v>232.0</v>
      </c>
      <c r="G1479" s="2">
        <v>7.06</v>
      </c>
      <c r="H1479" s="2">
        <v>32.9</v>
      </c>
      <c r="I1479" s="2" t="s">
        <v>47</v>
      </c>
    </row>
    <row r="1480" ht="15.75" customHeight="1">
      <c r="A1480" s="2" t="s">
        <v>2775</v>
      </c>
      <c r="B1480" s="2" t="s">
        <v>2777</v>
      </c>
      <c r="C1480" s="2" t="s">
        <v>2703</v>
      </c>
      <c r="D1480" s="2" t="s">
        <v>886</v>
      </c>
      <c r="E1480" s="2" t="s">
        <v>887</v>
      </c>
      <c r="F1480" s="2">
        <v>404.0</v>
      </c>
      <c r="G1480" s="2">
        <v>6.09</v>
      </c>
      <c r="H1480" s="2">
        <v>66.3</v>
      </c>
      <c r="I1480" s="2" t="s">
        <v>47</v>
      </c>
    </row>
    <row r="1481" ht="15.75" customHeight="1">
      <c r="A1481" s="2" t="s">
        <v>2778</v>
      </c>
      <c r="B1481" s="2" t="s">
        <v>2779</v>
      </c>
      <c r="C1481" s="2" t="s">
        <v>2703</v>
      </c>
      <c r="D1481" s="2" t="s">
        <v>985</v>
      </c>
      <c r="E1481" s="2" t="s">
        <v>988</v>
      </c>
      <c r="F1481" s="2">
        <v>508.0</v>
      </c>
      <c r="G1481" s="2">
        <v>7.23</v>
      </c>
      <c r="H1481" s="2">
        <v>70.3</v>
      </c>
      <c r="I1481" s="2" t="s">
        <v>27</v>
      </c>
    </row>
    <row r="1482" ht="15.75" customHeight="1">
      <c r="A1482" s="2" t="s">
        <v>4812</v>
      </c>
      <c r="B1482" s="2" t="s">
        <v>4813</v>
      </c>
      <c r="C1482" s="2" t="s">
        <v>2703</v>
      </c>
      <c r="D1482" s="2" t="s">
        <v>873</v>
      </c>
      <c r="E1482" s="2" t="s">
        <v>876</v>
      </c>
      <c r="F1482" s="2">
        <v>477.0</v>
      </c>
      <c r="G1482" s="2">
        <v>5.61</v>
      </c>
      <c r="H1482" s="2">
        <v>85.0</v>
      </c>
      <c r="I1482" s="2" t="s">
        <v>47</v>
      </c>
    </row>
    <row r="1483" ht="15.75" customHeight="1">
      <c r="A1483" s="2" t="s">
        <v>2780</v>
      </c>
      <c r="B1483" s="2" t="s">
        <v>2782</v>
      </c>
      <c r="C1483" s="2" t="s">
        <v>2703</v>
      </c>
      <c r="D1483" s="2" t="s">
        <v>886</v>
      </c>
      <c r="E1483" s="2" t="s">
        <v>887</v>
      </c>
      <c r="F1483" s="2">
        <v>645.0</v>
      </c>
      <c r="G1483" s="2">
        <v>14.38</v>
      </c>
      <c r="H1483" s="2">
        <v>44.9</v>
      </c>
      <c r="I1483" s="2" t="s">
        <v>27</v>
      </c>
    </row>
    <row r="1484" ht="15.75" customHeight="1">
      <c r="A1484" s="2" t="s">
        <v>2784</v>
      </c>
      <c r="B1484" s="2" t="s">
        <v>2785</v>
      </c>
      <c r="C1484" s="2" t="s">
        <v>2703</v>
      </c>
      <c r="D1484" s="2" t="s">
        <v>817</v>
      </c>
      <c r="E1484" s="2" t="s">
        <v>818</v>
      </c>
      <c r="F1484" s="2">
        <v>2330.0</v>
      </c>
      <c r="G1484" s="2">
        <v>9.58</v>
      </c>
      <c r="H1484" s="2">
        <v>243.2</v>
      </c>
      <c r="I1484" s="2" t="s">
        <v>138</v>
      </c>
    </row>
    <row r="1485" ht="15.75" customHeight="1">
      <c r="A1485" s="2" t="s">
        <v>2786</v>
      </c>
      <c r="B1485" s="2" t="s">
        <v>2787</v>
      </c>
      <c r="C1485" s="2" t="s">
        <v>2703</v>
      </c>
      <c r="D1485" s="2" t="s">
        <v>955</v>
      </c>
      <c r="E1485" s="2" t="s">
        <v>956</v>
      </c>
      <c r="F1485" s="2">
        <v>1483.0</v>
      </c>
      <c r="G1485" s="2">
        <v>8.02</v>
      </c>
      <c r="H1485" s="2">
        <v>184.9</v>
      </c>
      <c r="I1485" s="2" t="s">
        <v>27</v>
      </c>
    </row>
    <row r="1486" ht="15.75" customHeight="1">
      <c r="A1486" s="2" t="s">
        <v>2790</v>
      </c>
      <c r="B1486" s="2" t="s">
        <v>2791</v>
      </c>
      <c r="C1486" s="2" t="s">
        <v>2703</v>
      </c>
      <c r="D1486" s="2" t="s">
        <v>907</v>
      </c>
      <c r="E1486" s="2" t="s">
        <v>909</v>
      </c>
      <c r="F1486" s="2">
        <v>599.0</v>
      </c>
      <c r="G1486" s="2">
        <v>4.28</v>
      </c>
      <c r="H1486" s="2">
        <v>140.0</v>
      </c>
      <c r="I1486" s="2" t="s">
        <v>27</v>
      </c>
    </row>
    <row r="1487" ht="15.75" customHeight="1">
      <c r="A1487" s="2" t="s">
        <v>2792</v>
      </c>
      <c r="B1487" s="2" t="s">
        <v>2793</v>
      </c>
      <c r="C1487" s="2" t="s">
        <v>2703</v>
      </c>
      <c r="D1487" s="2" t="s">
        <v>1076</v>
      </c>
      <c r="E1487" s="2" t="s">
        <v>1078</v>
      </c>
      <c r="F1487" s="2">
        <v>1628.0</v>
      </c>
      <c r="G1487" s="2">
        <v>6.81</v>
      </c>
      <c r="H1487" s="2">
        <v>239.1</v>
      </c>
      <c r="I1487" s="2" t="s">
        <v>27</v>
      </c>
    </row>
    <row r="1488" ht="15.75" customHeight="1">
      <c r="A1488" s="2" t="s">
        <v>4822</v>
      </c>
      <c r="B1488" s="2" t="s">
        <v>4825</v>
      </c>
      <c r="C1488" s="2" t="s">
        <v>2703</v>
      </c>
      <c r="D1488" s="2" t="s">
        <v>1060</v>
      </c>
      <c r="E1488" s="2" t="s">
        <v>1062</v>
      </c>
      <c r="F1488" s="2">
        <v>528.0</v>
      </c>
      <c r="G1488" s="2">
        <v>7.63</v>
      </c>
      <c r="H1488" s="2">
        <v>69.2</v>
      </c>
      <c r="I1488" s="2" t="s">
        <v>27</v>
      </c>
    </row>
    <row r="1489" ht="15.75" customHeight="1">
      <c r="A1489" s="2" t="s">
        <v>4827</v>
      </c>
      <c r="B1489" s="2" t="s">
        <v>4829</v>
      </c>
      <c r="C1489" s="2" t="s">
        <v>2703</v>
      </c>
      <c r="D1489" s="2" t="s">
        <v>973</v>
      </c>
      <c r="E1489" s="2" t="s">
        <v>974</v>
      </c>
      <c r="F1489" s="2">
        <v>324.0</v>
      </c>
      <c r="G1489" s="2">
        <v>7.6</v>
      </c>
      <c r="H1489" s="2">
        <v>42.6</v>
      </c>
      <c r="I1489" s="2" t="s">
        <v>47</v>
      </c>
    </row>
    <row r="1490" ht="15.75" customHeight="1">
      <c r="A1490" s="2" t="s">
        <v>2794</v>
      </c>
      <c r="B1490" s="2" t="s">
        <v>2795</v>
      </c>
      <c r="C1490" s="2" t="s">
        <v>2703</v>
      </c>
      <c r="D1490" s="2" t="s">
        <v>973</v>
      </c>
      <c r="E1490" s="2" t="s">
        <v>974</v>
      </c>
      <c r="F1490" s="2">
        <v>729.0</v>
      </c>
      <c r="G1490" s="2">
        <v>21.63</v>
      </c>
      <c r="H1490" s="2">
        <v>33.7</v>
      </c>
      <c r="I1490" s="2" t="s">
        <v>27</v>
      </c>
    </row>
    <row r="1491" ht="15.75" customHeight="1">
      <c r="A1491" s="2" t="s">
        <v>4832</v>
      </c>
      <c r="B1491" s="2" t="s">
        <v>4835</v>
      </c>
      <c r="C1491" s="2" t="s">
        <v>2703</v>
      </c>
      <c r="D1491" s="2" t="s">
        <v>977</v>
      </c>
      <c r="E1491" s="2" t="s">
        <v>978</v>
      </c>
      <c r="F1491" s="2">
        <v>286.0</v>
      </c>
      <c r="G1491" s="2">
        <v>7.25</v>
      </c>
      <c r="H1491" s="2">
        <v>39.4</v>
      </c>
      <c r="I1491" s="2" t="s">
        <v>47</v>
      </c>
    </row>
    <row r="1492" ht="15.75" customHeight="1">
      <c r="A1492" s="2" t="s">
        <v>4837</v>
      </c>
      <c r="B1492" s="2" t="s">
        <v>4838</v>
      </c>
      <c r="C1492" s="2" t="s">
        <v>2703</v>
      </c>
      <c r="D1492" s="2" t="s">
        <v>883</v>
      </c>
      <c r="E1492" s="2" t="s">
        <v>885</v>
      </c>
      <c r="F1492" s="2">
        <v>100.0</v>
      </c>
      <c r="G1492" s="2">
        <v>3.19</v>
      </c>
      <c r="H1492" s="2">
        <v>31.3</v>
      </c>
      <c r="I1492" s="2" t="s">
        <v>47</v>
      </c>
    </row>
    <row r="1493" ht="15.75" customHeight="1">
      <c r="A1493" s="2" t="s">
        <v>2798</v>
      </c>
      <c r="B1493" s="2" t="s">
        <v>2799</v>
      </c>
      <c r="C1493" s="2" t="s">
        <v>2703</v>
      </c>
      <c r="D1493" s="2" t="s">
        <v>921</v>
      </c>
      <c r="E1493" s="2" t="s">
        <v>924</v>
      </c>
      <c r="F1493" s="2">
        <v>388.0</v>
      </c>
      <c r="G1493" s="2">
        <v>3.83</v>
      </c>
      <c r="H1493" s="2">
        <v>101.3</v>
      </c>
      <c r="I1493" s="2" t="s">
        <v>47</v>
      </c>
    </row>
    <row r="1494" ht="15.75" customHeight="1">
      <c r="A1494" s="2" t="s">
        <v>4844</v>
      </c>
      <c r="B1494" s="2" t="s">
        <v>4845</v>
      </c>
      <c r="C1494" s="2" t="s">
        <v>2703</v>
      </c>
      <c r="D1494" s="2" t="s">
        <v>883</v>
      </c>
      <c r="E1494" s="2" t="s">
        <v>885</v>
      </c>
      <c r="F1494" s="2">
        <v>173.0</v>
      </c>
      <c r="G1494" s="2">
        <v>3.72</v>
      </c>
      <c r="H1494" s="2">
        <v>46.5</v>
      </c>
      <c r="I1494" s="2" t="s">
        <v>47</v>
      </c>
    </row>
    <row r="1495" ht="15.75" customHeight="1">
      <c r="A1495" s="2" t="s">
        <v>4848</v>
      </c>
      <c r="B1495" s="2" t="s">
        <v>4851</v>
      </c>
      <c r="C1495" s="2" t="s">
        <v>2703</v>
      </c>
      <c r="D1495" s="2" t="s">
        <v>985</v>
      </c>
      <c r="E1495" s="2" t="s">
        <v>988</v>
      </c>
      <c r="F1495" s="2">
        <v>104.0</v>
      </c>
      <c r="G1495" s="2">
        <v>3.9</v>
      </c>
      <c r="H1495" s="2">
        <v>26.7</v>
      </c>
      <c r="I1495" s="2" t="s">
        <v>47</v>
      </c>
    </row>
    <row r="1496" ht="15.75" customHeight="1">
      <c r="A1496" s="2" t="s">
        <v>2802</v>
      </c>
      <c r="B1496" s="2" t="s">
        <v>2803</v>
      </c>
      <c r="C1496" s="2" t="s">
        <v>2703</v>
      </c>
      <c r="D1496" s="2" t="s">
        <v>977</v>
      </c>
      <c r="E1496" s="2" t="s">
        <v>978</v>
      </c>
      <c r="F1496" s="2">
        <v>563.0</v>
      </c>
      <c r="G1496" s="2">
        <v>12.68</v>
      </c>
      <c r="H1496" s="2">
        <v>44.4</v>
      </c>
      <c r="I1496" s="2" t="s">
        <v>27</v>
      </c>
    </row>
    <row r="1497" ht="15.75" customHeight="1">
      <c r="A1497" s="2" t="s">
        <v>4853</v>
      </c>
      <c r="B1497" s="2" t="s">
        <v>4855</v>
      </c>
      <c r="C1497" s="2" t="s">
        <v>2703</v>
      </c>
      <c r="D1497" s="2" t="s">
        <v>927</v>
      </c>
      <c r="E1497" s="2" t="s">
        <v>928</v>
      </c>
      <c r="F1497" s="2">
        <v>339.0</v>
      </c>
      <c r="G1497" s="2">
        <v>9.65</v>
      </c>
      <c r="H1497" s="2">
        <v>35.1</v>
      </c>
      <c r="I1497" s="2" t="s">
        <v>47</v>
      </c>
    </row>
    <row r="1498" ht="15.75" customHeight="1">
      <c r="A1498" s="2" t="s">
        <v>2806</v>
      </c>
      <c r="B1498" s="2" t="s">
        <v>2808</v>
      </c>
      <c r="C1498" s="2" t="s">
        <v>2703</v>
      </c>
      <c r="D1498" s="2" t="s">
        <v>985</v>
      </c>
      <c r="E1498" s="2" t="s">
        <v>988</v>
      </c>
      <c r="F1498" s="2">
        <v>341.0</v>
      </c>
      <c r="G1498" s="2">
        <v>3.82</v>
      </c>
      <c r="H1498" s="2">
        <v>89.3</v>
      </c>
      <c r="I1498" s="2" t="s">
        <v>47</v>
      </c>
    </row>
    <row r="1499" ht="15.75" customHeight="1">
      <c r="A1499" s="2" t="s">
        <v>4858</v>
      </c>
      <c r="B1499" s="2" t="s">
        <v>4859</v>
      </c>
      <c r="C1499" s="2" t="s">
        <v>2703</v>
      </c>
      <c r="D1499" s="2" t="s">
        <v>921</v>
      </c>
      <c r="E1499" s="2" t="s">
        <v>924</v>
      </c>
      <c r="F1499" s="2">
        <v>63.0</v>
      </c>
      <c r="G1499" s="2">
        <v>5.15</v>
      </c>
      <c r="H1499" s="2">
        <v>12.2</v>
      </c>
      <c r="I1499" s="2" t="s">
        <v>47</v>
      </c>
    </row>
    <row r="1500" ht="15.75" customHeight="1">
      <c r="A1500" s="2" t="s">
        <v>2810</v>
      </c>
      <c r="B1500" s="2" t="s">
        <v>2811</v>
      </c>
      <c r="C1500" s="2" t="s">
        <v>2703</v>
      </c>
      <c r="D1500" s="2" t="s">
        <v>817</v>
      </c>
      <c r="E1500" s="2" t="s">
        <v>818</v>
      </c>
      <c r="F1500" s="2">
        <v>55550.0</v>
      </c>
      <c r="G1500" s="2">
        <v>32.94</v>
      </c>
      <c r="H1500" s="2">
        <v>1686.4</v>
      </c>
      <c r="I1500" s="2" t="s">
        <v>3730</v>
      </c>
    </row>
    <row r="1501" ht="15.75" customHeight="1">
      <c r="A1501" s="2" t="s">
        <v>4864</v>
      </c>
      <c r="B1501" s="2" t="s">
        <v>4865</v>
      </c>
      <c r="C1501" s="2" t="s">
        <v>2703</v>
      </c>
      <c r="D1501" s="2" t="s">
        <v>873</v>
      </c>
      <c r="E1501" s="2" t="s">
        <v>876</v>
      </c>
      <c r="F1501" s="2">
        <v>239.0</v>
      </c>
      <c r="G1501" s="2">
        <v>10.28</v>
      </c>
      <c r="H1501" s="2">
        <v>23.2</v>
      </c>
      <c r="I1501" s="2" t="s">
        <v>47</v>
      </c>
    </row>
    <row r="1502" ht="15.75" customHeight="1">
      <c r="A1502" s="2" t="s">
        <v>2812</v>
      </c>
      <c r="B1502" s="2" t="s">
        <v>2813</v>
      </c>
      <c r="C1502" s="2" t="s">
        <v>2703</v>
      </c>
      <c r="D1502" s="2" t="s">
        <v>1076</v>
      </c>
      <c r="E1502" s="2" t="s">
        <v>1078</v>
      </c>
      <c r="F1502" s="2">
        <v>730.0</v>
      </c>
      <c r="G1502" s="2">
        <v>7.82</v>
      </c>
      <c r="H1502" s="2">
        <v>93.4</v>
      </c>
      <c r="I1502" s="2" t="s">
        <v>27</v>
      </c>
    </row>
    <row r="1503" ht="15.75" customHeight="1">
      <c r="A1503" s="2" t="s">
        <v>4874</v>
      </c>
      <c r="B1503" s="2" t="s">
        <v>4875</v>
      </c>
      <c r="C1503" s="2" t="s">
        <v>2703</v>
      </c>
      <c r="D1503" s="2" t="s">
        <v>977</v>
      </c>
      <c r="E1503" s="2" t="s">
        <v>978</v>
      </c>
      <c r="F1503" s="2">
        <v>68.0</v>
      </c>
      <c r="G1503" s="2">
        <v>3.01</v>
      </c>
      <c r="H1503" s="2">
        <v>22.6</v>
      </c>
      <c r="I1503" s="2" t="s">
        <v>47</v>
      </c>
    </row>
    <row r="1504" ht="15.75" customHeight="1">
      <c r="A1504" s="2" t="s">
        <v>4878</v>
      </c>
      <c r="B1504" s="2" t="s">
        <v>377</v>
      </c>
      <c r="C1504" s="2" t="s">
        <v>2703</v>
      </c>
      <c r="D1504" s="2" t="s">
        <v>985</v>
      </c>
      <c r="E1504" s="2" t="s">
        <v>988</v>
      </c>
      <c r="F1504" s="2">
        <v>310.0</v>
      </c>
      <c r="G1504" s="2">
        <v>7.13</v>
      </c>
      <c r="H1504" s="2">
        <v>43.5</v>
      </c>
      <c r="I1504" s="2" t="s">
        <v>47</v>
      </c>
    </row>
    <row r="1505" ht="15.75" customHeight="1">
      <c r="A1505" s="2" t="s">
        <v>2814</v>
      </c>
      <c r="B1505" s="2" t="s">
        <v>2815</v>
      </c>
      <c r="C1505" s="2" t="s">
        <v>2703</v>
      </c>
      <c r="D1505" s="2" t="s">
        <v>817</v>
      </c>
      <c r="E1505" s="2" t="s">
        <v>818</v>
      </c>
      <c r="F1505" s="2">
        <v>813.0</v>
      </c>
      <c r="G1505" s="2">
        <v>15.18</v>
      </c>
      <c r="H1505" s="2">
        <v>53.6</v>
      </c>
      <c r="I1505" s="2" t="s">
        <v>27</v>
      </c>
    </row>
    <row r="1506" ht="15.75" customHeight="1">
      <c r="A1506" s="2" t="s">
        <v>2816</v>
      </c>
      <c r="B1506" s="2" t="s">
        <v>2817</v>
      </c>
      <c r="C1506" s="2" t="s">
        <v>2703</v>
      </c>
      <c r="D1506" s="2" t="s">
        <v>917</v>
      </c>
      <c r="E1506" s="2" t="s">
        <v>918</v>
      </c>
      <c r="F1506" s="2">
        <v>912.0</v>
      </c>
      <c r="G1506" s="2">
        <v>10.52</v>
      </c>
      <c r="H1506" s="2">
        <v>86.7</v>
      </c>
      <c r="I1506" s="2" t="s">
        <v>27</v>
      </c>
    </row>
    <row r="1507" ht="15.75" customHeight="1">
      <c r="A1507" s="2" t="s">
        <v>2818</v>
      </c>
      <c r="B1507" s="2" t="s">
        <v>2819</v>
      </c>
      <c r="C1507" s="2" t="s">
        <v>2703</v>
      </c>
      <c r="D1507" s="2" t="s">
        <v>1076</v>
      </c>
      <c r="E1507" s="2" t="s">
        <v>1078</v>
      </c>
      <c r="F1507" s="2">
        <v>1564.0</v>
      </c>
      <c r="G1507" s="2">
        <v>7.04</v>
      </c>
      <c r="H1507" s="2">
        <v>222.2</v>
      </c>
      <c r="I1507" s="2" t="s">
        <v>27</v>
      </c>
    </row>
    <row r="1508" ht="15.75" customHeight="1">
      <c r="A1508" s="2" t="s">
        <v>2820</v>
      </c>
      <c r="B1508" s="2" t="s">
        <v>2821</v>
      </c>
      <c r="C1508" s="2" t="s">
        <v>2703</v>
      </c>
      <c r="D1508" s="2" t="s">
        <v>973</v>
      </c>
      <c r="E1508" s="2" t="s">
        <v>974</v>
      </c>
      <c r="F1508" s="2">
        <v>1100.0</v>
      </c>
      <c r="G1508" s="2">
        <v>15.54</v>
      </c>
      <c r="H1508" s="2">
        <v>70.8</v>
      </c>
      <c r="I1508" s="2" t="s">
        <v>27</v>
      </c>
    </row>
    <row r="1509" ht="15.75" customHeight="1">
      <c r="A1509" s="2" t="s">
        <v>4896</v>
      </c>
      <c r="B1509" s="2" t="s">
        <v>4897</v>
      </c>
      <c r="C1509" s="2" t="s">
        <v>2703</v>
      </c>
      <c r="D1509" s="2" t="s">
        <v>804</v>
      </c>
      <c r="E1509" s="2" t="s">
        <v>806</v>
      </c>
      <c r="F1509" s="2">
        <v>495.0</v>
      </c>
      <c r="G1509" s="2">
        <v>3.54</v>
      </c>
      <c r="H1509" s="2">
        <v>139.8</v>
      </c>
      <c r="I1509" s="2" t="s">
        <v>47</v>
      </c>
    </row>
    <row r="1510" ht="15.75" customHeight="1">
      <c r="A1510" s="2" t="s">
        <v>4900</v>
      </c>
      <c r="B1510" s="2" t="s">
        <v>4901</v>
      </c>
      <c r="C1510" s="2" t="s">
        <v>2703</v>
      </c>
      <c r="D1510" s="2" t="s">
        <v>977</v>
      </c>
      <c r="E1510" s="2" t="s">
        <v>978</v>
      </c>
      <c r="F1510" s="2">
        <v>160.0</v>
      </c>
      <c r="G1510" s="2">
        <v>3.96</v>
      </c>
      <c r="H1510" s="2">
        <v>40.4</v>
      </c>
      <c r="I1510" s="2" t="s">
        <v>47</v>
      </c>
    </row>
    <row r="1511" ht="15.75" customHeight="1">
      <c r="A1511" s="2" t="s">
        <v>4904</v>
      </c>
      <c r="B1511" s="2" t="s">
        <v>4905</v>
      </c>
      <c r="C1511" s="2" t="s">
        <v>2703</v>
      </c>
      <c r="D1511" s="2" t="s">
        <v>917</v>
      </c>
      <c r="E1511" s="2" t="s">
        <v>918</v>
      </c>
      <c r="F1511" s="2">
        <v>308.0</v>
      </c>
      <c r="G1511" s="2">
        <v>6.6</v>
      </c>
      <c r="H1511" s="2">
        <v>46.7</v>
      </c>
      <c r="I1511" s="2" t="s">
        <v>47</v>
      </c>
    </row>
    <row r="1512" ht="15.75" customHeight="1">
      <c r="A1512" s="2" t="s">
        <v>2822</v>
      </c>
      <c r="B1512" s="2" t="s">
        <v>2824</v>
      </c>
      <c r="C1512" s="2" t="s">
        <v>2703</v>
      </c>
      <c r="D1512" s="2" t="s">
        <v>957</v>
      </c>
      <c r="E1512" s="2" t="s">
        <v>958</v>
      </c>
      <c r="F1512" s="2">
        <v>592.0</v>
      </c>
      <c r="G1512" s="2">
        <v>11.51</v>
      </c>
      <c r="H1512" s="2">
        <v>51.4</v>
      </c>
      <c r="I1512" s="2" t="s">
        <v>27</v>
      </c>
    </row>
    <row r="1513" ht="15.75" customHeight="1">
      <c r="A1513" s="2" t="s">
        <v>2826</v>
      </c>
      <c r="B1513" s="2" t="s">
        <v>2828</v>
      </c>
      <c r="C1513" s="2" t="s">
        <v>2703</v>
      </c>
      <c r="D1513" s="2" t="s">
        <v>1076</v>
      </c>
      <c r="E1513" s="2" t="s">
        <v>1078</v>
      </c>
      <c r="F1513" s="2">
        <v>1189.0</v>
      </c>
      <c r="G1513" s="2">
        <v>8.27</v>
      </c>
      <c r="H1513" s="2">
        <v>143.8</v>
      </c>
      <c r="I1513" s="2" t="s">
        <v>27</v>
      </c>
    </row>
    <row r="1514" ht="15.75" customHeight="1">
      <c r="A1514" s="2" t="s">
        <v>4906</v>
      </c>
      <c r="B1514" s="2" t="s">
        <v>4907</v>
      </c>
      <c r="C1514" s="2" t="s">
        <v>2703</v>
      </c>
      <c r="D1514" s="2" t="s">
        <v>873</v>
      </c>
      <c r="E1514" s="2" t="s">
        <v>876</v>
      </c>
      <c r="F1514" s="2">
        <v>143.0</v>
      </c>
      <c r="G1514" s="2">
        <v>5.17</v>
      </c>
      <c r="H1514" s="2">
        <v>27.7</v>
      </c>
      <c r="I1514" s="2" t="s">
        <v>47</v>
      </c>
    </row>
    <row r="1515" ht="15.75" customHeight="1">
      <c r="A1515" s="2" t="s">
        <v>4908</v>
      </c>
      <c r="B1515" s="2" t="s">
        <v>4909</v>
      </c>
      <c r="C1515" s="2" t="s">
        <v>2703</v>
      </c>
      <c r="D1515" s="2" t="s">
        <v>883</v>
      </c>
      <c r="E1515" s="2" t="s">
        <v>885</v>
      </c>
      <c r="F1515" s="2">
        <v>498.0</v>
      </c>
      <c r="G1515" s="2">
        <v>10.04</v>
      </c>
      <c r="H1515" s="2">
        <v>49.6</v>
      </c>
      <c r="I1515" s="2" t="s">
        <v>47</v>
      </c>
    </row>
    <row r="1516" ht="15.75" customHeight="1">
      <c r="A1516" s="2" t="s">
        <v>4910</v>
      </c>
      <c r="B1516" s="2" t="s">
        <v>4911</v>
      </c>
      <c r="C1516" s="2" t="s">
        <v>2703</v>
      </c>
      <c r="D1516" s="2" t="s">
        <v>883</v>
      </c>
      <c r="E1516" s="2" t="s">
        <v>885</v>
      </c>
      <c r="F1516" s="2">
        <v>356.0</v>
      </c>
      <c r="G1516" s="2">
        <v>14.62</v>
      </c>
      <c r="H1516" s="2">
        <v>24.4</v>
      </c>
      <c r="I1516" s="2" t="s">
        <v>47</v>
      </c>
    </row>
    <row r="1517" ht="15.75" customHeight="1">
      <c r="A1517" s="2" t="s">
        <v>4912</v>
      </c>
      <c r="B1517" s="2" t="s">
        <v>4913</v>
      </c>
      <c r="C1517" s="2" t="s">
        <v>2703</v>
      </c>
      <c r="D1517" s="2" t="s">
        <v>886</v>
      </c>
      <c r="E1517" s="2" t="s">
        <v>887</v>
      </c>
      <c r="F1517" s="2">
        <v>125.0</v>
      </c>
      <c r="G1517" s="2">
        <v>2.83</v>
      </c>
      <c r="H1517" s="2">
        <v>44.2</v>
      </c>
      <c r="I1517" s="2" t="s">
        <v>47</v>
      </c>
    </row>
    <row r="1518" ht="15.75" customHeight="1">
      <c r="A1518" s="2" t="s">
        <v>2830</v>
      </c>
      <c r="B1518" s="2" t="s">
        <v>2831</v>
      </c>
      <c r="C1518" s="2" t="s">
        <v>2703</v>
      </c>
      <c r="D1518" s="2" t="s">
        <v>973</v>
      </c>
      <c r="E1518" s="2" t="s">
        <v>974</v>
      </c>
      <c r="F1518" s="2">
        <v>942.0</v>
      </c>
      <c r="G1518" s="2">
        <v>16.0</v>
      </c>
      <c r="H1518" s="2">
        <v>58.9</v>
      </c>
      <c r="I1518" s="2" t="s">
        <v>27</v>
      </c>
    </row>
    <row r="1519" ht="15.75" customHeight="1">
      <c r="A1519" s="2" t="s">
        <v>4916</v>
      </c>
      <c r="B1519" s="2" t="s">
        <v>4918</v>
      </c>
      <c r="C1519" s="2" t="s">
        <v>2703</v>
      </c>
      <c r="D1519" s="2" t="s">
        <v>817</v>
      </c>
      <c r="E1519" s="2" t="s">
        <v>818</v>
      </c>
      <c r="F1519" s="2">
        <v>467.0</v>
      </c>
      <c r="G1519" s="2">
        <v>4.48</v>
      </c>
      <c r="H1519" s="2">
        <v>104.2</v>
      </c>
      <c r="I1519" s="2" t="s">
        <v>47</v>
      </c>
    </row>
    <row r="1520" ht="15.75" customHeight="1">
      <c r="A1520" s="2" t="s">
        <v>2834</v>
      </c>
      <c r="B1520" s="2" t="s">
        <v>2835</v>
      </c>
      <c r="C1520" s="2" t="s">
        <v>2703</v>
      </c>
      <c r="D1520" s="2" t="s">
        <v>973</v>
      </c>
      <c r="E1520" s="2" t="s">
        <v>974</v>
      </c>
      <c r="F1520" s="2">
        <v>986.0</v>
      </c>
      <c r="G1520" s="2">
        <v>12.94</v>
      </c>
      <c r="H1520" s="2">
        <v>76.2</v>
      </c>
      <c r="I1520" s="2" t="s">
        <v>27</v>
      </c>
    </row>
    <row r="1521" ht="15.75" customHeight="1">
      <c r="A1521" s="2" t="s">
        <v>4922</v>
      </c>
      <c r="B1521" s="2" t="s">
        <v>4923</v>
      </c>
      <c r="C1521" s="2" t="s">
        <v>2703</v>
      </c>
      <c r="D1521" s="2" t="s">
        <v>873</v>
      </c>
      <c r="E1521" s="2" t="s">
        <v>876</v>
      </c>
      <c r="F1521" s="2">
        <v>787.0</v>
      </c>
      <c r="G1521" s="2">
        <v>18.37</v>
      </c>
      <c r="H1521" s="2">
        <v>42.8</v>
      </c>
      <c r="I1521" s="2" t="s">
        <v>27</v>
      </c>
    </row>
    <row r="1522" ht="15.75" customHeight="1">
      <c r="A1522" s="2" t="s">
        <v>2838</v>
      </c>
      <c r="B1522" s="2" t="s">
        <v>2839</v>
      </c>
      <c r="C1522" s="2" t="s">
        <v>2703</v>
      </c>
      <c r="D1522" s="2" t="s">
        <v>883</v>
      </c>
      <c r="E1522" s="2" t="s">
        <v>885</v>
      </c>
      <c r="F1522" s="2">
        <v>201.0</v>
      </c>
      <c r="G1522" s="2">
        <v>8.47</v>
      </c>
      <c r="H1522" s="2">
        <v>23.7</v>
      </c>
      <c r="I1522" s="2" t="s">
        <v>47</v>
      </c>
    </row>
    <row r="1523" ht="15.75" customHeight="1">
      <c r="A1523" s="2" t="s">
        <v>4928</v>
      </c>
      <c r="B1523" s="2" t="s">
        <v>4929</v>
      </c>
      <c r="C1523" s="2" t="s">
        <v>2703</v>
      </c>
      <c r="D1523" s="2" t="s">
        <v>873</v>
      </c>
      <c r="E1523" s="2" t="s">
        <v>876</v>
      </c>
      <c r="F1523" s="2">
        <v>189.0</v>
      </c>
      <c r="G1523" s="2">
        <v>5.88</v>
      </c>
      <c r="H1523" s="2">
        <v>32.1</v>
      </c>
      <c r="I1523" s="2" t="s">
        <v>47</v>
      </c>
    </row>
    <row r="1524" ht="15.75" customHeight="1">
      <c r="A1524" s="2" t="s">
        <v>2841</v>
      </c>
      <c r="B1524" s="2" t="s">
        <v>2843</v>
      </c>
      <c r="C1524" s="2" t="s">
        <v>2703</v>
      </c>
      <c r="D1524" s="2" t="s">
        <v>1076</v>
      </c>
      <c r="E1524" s="2" t="s">
        <v>1078</v>
      </c>
      <c r="F1524" s="2">
        <v>2135.0</v>
      </c>
      <c r="G1524" s="2">
        <v>11.56</v>
      </c>
      <c r="H1524" s="2">
        <v>184.7</v>
      </c>
      <c r="I1524" s="2" t="s">
        <v>138</v>
      </c>
    </row>
    <row r="1525" ht="15.75" customHeight="1">
      <c r="A1525" s="2" t="s">
        <v>4934</v>
      </c>
      <c r="B1525" s="2" t="s">
        <v>4937</v>
      </c>
      <c r="C1525" s="2" t="s">
        <v>2703</v>
      </c>
      <c r="D1525" s="2" t="s">
        <v>1060</v>
      </c>
      <c r="E1525" s="2" t="s">
        <v>1062</v>
      </c>
      <c r="F1525" s="2">
        <v>367.0</v>
      </c>
      <c r="G1525" s="2">
        <v>12.85</v>
      </c>
      <c r="H1525" s="2">
        <v>28.6</v>
      </c>
      <c r="I1525" s="2" t="s">
        <v>47</v>
      </c>
    </row>
    <row r="1526" ht="15.75" customHeight="1">
      <c r="A1526" s="2" t="s">
        <v>2845</v>
      </c>
      <c r="B1526" s="2" t="s">
        <v>2847</v>
      </c>
      <c r="C1526" s="2" t="s">
        <v>2703</v>
      </c>
      <c r="D1526" s="2" t="s">
        <v>927</v>
      </c>
      <c r="E1526" s="2" t="s">
        <v>928</v>
      </c>
      <c r="F1526" s="2">
        <v>4832.0</v>
      </c>
      <c r="G1526" s="2">
        <v>23.78</v>
      </c>
      <c r="H1526" s="2">
        <v>203.2</v>
      </c>
      <c r="I1526" s="2" t="s">
        <v>138</v>
      </c>
    </row>
    <row r="1527" ht="15.75" customHeight="1">
      <c r="A1527" s="2" t="s">
        <v>4940</v>
      </c>
      <c r="B1527" s="2" t="s">
        <v>4942</v>
      </c>
      <c r="C1527" s="2" t="s">
        <v>2703</v>
      </c>
      <c r="D1527" s="2" t="s">
        <v>1019</v>
      </c>
      <c r="E1527" s="2" t="s">
        <v>1021</v>
      </c>
      <c r="F1527" s="2">
        <v>382.0</v>
      </c>
      <c r="G1527" s="2">
        <v>10.36</v>
      </c>
      <c r="H1527" s="2">
        <v>36.9</v>
      </c>
      <c r="I1527" s="2" t="s">
        <v>47</v>
      </c>
    </row>
    <row r="1528" ht="15.75" customHeight="1">
      <c r="A1528" s="2" t="s">
        <v>2850</v>
      </c>
      <c r="B1528" s="2" t="s">
        <v>2851</v>
      </c>
      <c r="C1528" s="2" t="s">
        <v>2703</v>
      </c>
      <c r="D1528" s="2" t="s">
        <v>1019</v>
      </c>
      <c r="E1528" s="2" t="s">
        <v>1021</v>
      </c>
      <c r="F1528" s="2">
        <v>423.0</v>
      </c>
      <c r="G1528" s="2">
        <v>4.8</v>
      </c>
      <c r="H1528" s="2">
        <v>88.1</v>
      </c>
      <c r="I1528" s="2" t="s">
        <v>47</v>
      </c>
    </row>
    <row r="1529" ht="15.75" customHeight="1">
      <c r="A1529" s="2" t="s">
        <v>4947</v>
      </c>
      <c r="B1529" s="2" t="s">
        <v>4949</v>
      </c>
      <c r="C1529" s="2" t="s">
        <v>2703</v>
      </c>
      <c r="D1529" s="2" t="s">
        <v>973</v>
      </c>
      <c r="E1529" s="2" t="s">
        <v>974</v>
      </c>
      <c r="F1529" s="2">
        <v>429.0</v>
      </c>
      <c r="G1529" s="2">
        <v>13.59</v>
      </c>
      <c r="H1529" s="2">
        <v>31.6</v>
      </c>
      <c r="I1529" s="2" t="s">
        <v>47</v>
      </c>
    </row>
    <row r="1530" ht="15.75" customHeight="1">
      <c r="A1530" s="2" t="s">
        <v>4951</v>
      </c>
      <c r="B1530" s="2" t="s">
        <v>4953</v>
      </c>
      <c r="C1530" s="2" t="s">
        <v>2703</v>
      </c>
      <c r="D1530" s="2" t="s">
        <v>973</v>
      </c>
      <c r="E1530" s="2" t="s">
        <v>974</v>
      </c>
      <c r="F1530" s="2">
        <v>194.0</v>
      </c>
      <c r="G1530" s="2">
        <v>7.56</v>
      </c>
      <c r="H1530" s="2">
        <v>25.7</v>
      </c>
      <c r="I1530" s="2" t="s">
        <v>47</v>
      </c>
    </row>
    <row r="1531" ht="15.75" customHeight="1">
      <c r="A1531" s="2" t="s">
        <v>4956</v>
      </c>
      <c r="B1531" s="2" t="s">
        <v>4957</v>
      </c>
      <c r="C1531" s="2" t="s">
        <v>2703</v>
      </c>
      <c r="D1531" s="2" t="s">
        <v>977</v>
      </c>
      <c r="E1531" s="2" t="s">
        <v>978</v>
      </c>
      <c r="F1531" s="2">
        <v>472.0</v>
      </c>
      <c r="G1531" s="2">
        <v>9.45</v>
      </c>
      <c r="H1531" s="2">
        <v>49.9</v>
      </c>
      <c r="I1531" s="2" t="s">
        <v>47</v>
      </c>
    </row>
    <row r="1532" ht="15.75" customHeight="1">
      <c r="A1532" s="2" t="s">
        <v>4960</v>
      </c>
      <c r="B1532" s="2" t="s">
        <v>4961</v>
      </c>
      <c r="C1532" s="2" t="s">
        <v>2703</v>
      </c>
      <c r="D1532" s="2" t="s">
        <v>973</v>
      </c>
      <c r="E1532" s="2" t="s">
        <v>974</v>
      </c>
      <c r="F1532" s="2">
        <v>303.0</v>
      </c>
      <c r="G1532" s="2">
        <v>3.5</v>
      </c>
      <c r="H1532" s="2">
        <v>86.6</v>
      </c>
      <c r="I1532" s="2" t="s">
        <v>47</v>
      </c>
    </row>
    <row r="1533" ht="15.75" customHeight="1">
      <c r="A1533" s="2" t="s">
        <v>2852</v>
      </c>
      <c r="B1533" s="2" t="s">
        <v>2853</v>
      </c>
      <c r="C1533" s="2" t="s">
        <v>2703</v>
      </c>
      <c r="D1533" s="2" t="s">
        <v>1019</v>
      </c>
      <c r="E1533" s="2" t="s">
        <v>1021</v>
      </c>
      <c r="F1533" s="2">
        <v>343.0</v>
      </c>
      <c r="G1533" s="2">
        <v>11.16</v>
      </c>
      <c r="H1533" s="2">
        <v>30.7</v>
      </c>
      <c r="I1533" s="2" t="s">
        <v>47</v>
      </c>
    </row>
    <row r="1534" ht="15.75" customHeight="1">
      <c r="A1534" s="2" t="s">
        <v>4966</v>
      </c>
      <c r="B1534" s="2" t="s">
        <v>4968</v>
      </c>
      <c r="C1534" s="2" t="s">
        <v>2703</v>
      </c>
      <c r="D1534" s="2" t="s">
        <v>1019</v>
      </c>
      <c r="E1534" s="2" t="s">
        <v>1021</v>
      </c>
      <c r="F1534" s="2">
        <v>213.0</v>
      </c>
      <c r="G1534" s="2">
        <v>7.57</v>
      </c>
      <c r="H1534" s="2">
        <v>28.1</v>
      </c>
      <c r="I1534" s="2" t="s">
        <v>47</v>
      </c>
    </row>
    <row r="1535" ht="15.75" customHeight="1">
      <c r="A1535" s="2" t="s">
        <v>4970</v>
      </c>
      <c r="B1535" s="2" t="s">
        <v>4972</v>
      </c>
      <c r="C1535" s="2" t="s">
        <v>2703</v>
      </c>
      <c r="D1535" s="2" t="s">
        <v>883</v>
      </c>
      <c r="E1535" s="2" t="s">
        <v>885</v>
      </c>
      <c r="F1535" s="2">
        <v>170.0</v>
      </c>
      <c r="G1535" s="2">
        <v>2.81</v>
      </c>
      <c r="H1535" s="2">
        <v>60.5</v>
      </c>
      <c r="I1535" s="2" t="s">
        <v>47</v>
      </c>
    </row>
    <row r="1536" ht="15.75" customHeight="1">
      <c r="A1536" s="2" t="s">
        <v>4974</v>
      </c>
      <c r="B1536" s="2" t="s">
        <v>4975</v>
      </c>
      <c r="C1536" s="2" t="s">
        <v>2703</v>
      </c>
      <c r="D1536" s="2" t="s">
        <v>977</v>
      </c>
      <c r="E1536" s="2" t="s">
        <v>978</v>
      </c>
      <c r="F1536" s="2">
        <v>174.0</v>
      </c>
      <c r="G1536" s="2">
        <v>2.63</v>
      </c>
      <c r="H1536" s="2">
        <v>66.2</v>
      </c>
      <c r="I1536" s="2" t="s">
        <v>47</v>
      </c>
    </row>
    <row r="1537" ht="15.75" customHeight="1">
      <c r="A1537" s="2" t="s">
        <v>4978</v>
      </c>
      <c r="B1537" s="2" t="s">
        <v>4979</v>
      </c>
      <c r="C1537" s="2" t="s">
        <v>2703</v>
      </c>
      <c r="D1537" s="2" t="s">
        <v>1060</v>
      </c>
      <c r="E1537" s="2" t="s">
        <v>1062</v>
      </c>
      <c r="F1537" s="2">
        <v>110.0</v>
      </c>
      <c r="G1537" s="2">
        <v>8.32</v>
      </c>
      <c r="H1537" s="2">
        <v>13.2</v>
      </c>
      <c r="I1537" s="2" t="s">
        <v>47</v>
      </c>
    </row>
    <row r="1538" ht="15.75" customHeight="1">
      <c r="A1538" s="2" t="s">
        <v>2854</v>
      </c>
      <c r="B1538" s="2" t="s">
        <v>2856</v>
      </c>
      <c r="C1538" s="2" t="s">
        <v>2703</v>
      </c>
      <c r="D1538" s="2" t="s">
        <v>921</v>
      </c>
      <c r="E1538" s="2" t="s">
        <v>924</v>
      </c>
      <c r="F1538" s="2">
        <v>2105.0</v>
      </c>
      <c r="G1538" s="2">
        <v>4.31</v>
      </c>
      <c r="H1538" s="2">
        <v>488.4</v>
      </c>
      <c r="I1538" s="2" t="s">
        <v>138</v>
      </c>
    </row>
    <row r="1539" ht="15.75" customHeight="1">
      <c r="A1539" s="2" t="s">
        <v>2860</v>
      </c>
      <c r="B1539" s="2" t="s">
        <v>2861</v>
      </c>
      <c r="C1539" s="2" t="s">
        <v>2703</v>
      </c>
      <c r="D1539" s="2" t="s">
        <v>817</v>
      </c>
      <c r="E1539" s="2" t="s">
        <v>818</v>
      </c>
      <c r="F1539" s="2">
        <v>4029.0</v>
      </c>
      <c r="G1539" s="2">
        <v>21.13</v>
      </c>
      <c r="H1539" s="2">
        <v>190.7</v>
      </c>
      <c r="I1539" s="2" t="s">
        <v>138</v>
      </c>
    </row>
    <row r="1540" ht="15.75" customHeight="1">
      <c r="A1540" s="2" t="s">
        <v>2864</v>
      </c>
      <c r="B1540" s="2" t="s">
        <v>2865</v>
      </c>
      <c r="C1540" s="2" t="s">
        <v>2703</v>
      </c>
      <c r="D1540" s="2" t="s">
        <v>873</v>
      </c>
      <c r="E1540" s="2" t="s">
        <v>876</v>
      </c>
      <c r="F1540" s="2">
        <v>4222.0</v>
      </c>
      <c r="G1540" s="2">
        <v>17.25</v>
      </c>
      <c r="H1540" s="2">
        <v>244.8</v>
      </c>
      <c r="I1540" s="2" t="s">
        <v>138</v>
      </c>
    </row>
    <row r="1541" ht="15.75" customHeight="1">
      <c r="A1541" s="2" t="s">
        <v>2868</v>
      </c>
      <c r="B1541" s="2" t="s">
        <v>2869</v>
      </c>
      <c r="C1541" s="2" t="s">
        <v>2703</v>
      </c>
      <c r="D1541" s="2" t="s">
        <v>943</v>
      </c>
      <c r="E1541" s="2" t="s">
        <v>945</v>
      </c>
      <c r="F1541" s="2">
        <v>2467.0</v>
      </c>
      <c r="G1541" s="2">
        <v>8.97</v>
      </c>
      <c r="H1541" s="2">
        <v>275.0</v>
      </c>
      <c r="I1541" s="2" t="s">
        <v>138</v>
      </c>
    </row>
    <row r="1542" ht="15.75" customHeight="1">
      <c r="A1542" s="2" t="s">
        <v>2870</v>
      </c>
      <c r="B1542" s="2" t="s">
        <v>2871</v>
      </c>
      <c r="C1542" s="2" t="s">
        <v>2703</v>
      </c>
      <c r="D1542" s="2" t="s">
        <v>943</v>
      </c>
      <c r="E1542" s="2" t="s">
        <v>945</v>
      </c>
      <c r="F1542" s="2">
        <v>3183.0</v>
      </c>
      <c r="G1542" s="2">
        <v>7.36</v>
      </c>
      <c r="H1542" s="2">
        <v>432.5</v>
      </c>
      <c r="I1542" s="2" t="s">
        <v>138</v>
      </c>
    </row>
    <row r="1543" ht="15.75" customHeight="1">
      <c r="A1543" s="2" t="s">
        <v>4994</v>
      </c>
      <c r="B1543" s="2" t="s">
        <v>4995</v>
      </c>
      <c r="C1543" s="2" t="s">
        <v>2703</v>
      </c>
      <c r="D1543" s="2" t="s">
        <v>883</v>
      </c>
      <c r="E1543" s="2" t="s">
        <v>885</v>
      </c>
      <c r="F1543" s="2">
        <v>302.0</v>
      </c>
      <c r="G1543" s="2">
        <v>6.47</v>
      </c>
      <c r="H1543" s="2">
        <v>46.7</v>
      </c>
      <c r="I1543" s="2" t="s">
        <v>47</v>
      </c>
    </row>
    <row r="1544" ht="15.75" customHeight="1">
      <c r="A1544" s="2" t="s">
        <v>2874</v>
      </c>
      <c r="B1544" s="2" t="s">
        <v>2875</v>
      </c>
      <c r="C1544" s="2" t="s">
        <v>2703</v>
      </c>
      <c r="D1544" s="2" t="s">
        <v>883</v>
      </c>
      <c r="E1544" s="2" t="s">
        <v>885</v>
      </c>
      <c r="F1544" s="2">
        <v>244.0</v>
      </c>
      <c r="G1544" s="2">
        <v>6.86</v>
      </c>
      <c r="H1544" s="2">
        <v>35.6</v>
      </c>
      <c r="I1544" s="2" t="s">
        <v>47</v>
      </c>
    </row>
    <row r="1545" ht="15.75" customHeight="1">
      <c r="A1545" s="2" t="s">
        <v>5000</v>
      </c>
      <c r="B1545" s="2" t="s">
        <v>5001</v>
      </c>
      <c r="C1545" s="2" t="s">
        <v>2703</v>
      </c>
      <c r="D1545" s="2" t="s">
        <v>883</v>
      </c>
      <c r="E1545" s="2" t="s">
        <v>885</v>
      </c>
      <c r="F1545" s="2">
        <v>231.0</v>
      </c>
      <c r="G1545" s="2">
        <v>2.92</v>
      </c>
      <c r="H1545" s="2">
        <v>79.1</v>
      </c>
      <c r="I1545" s="2" t="s">
        <v>47</v>
      </c>
    </row>
    <row r="1546" ht="15.75" customHeight="1">
      <c r="A1546" s="2" t="s">
        <v>5003</v>
      </c>
      <c r="B1546" s="2" t="s">
        <v>5005</v>
      </c>
      <c r="C1546" s="2" t="s">
        <v>2703</v>
      </c>
      <c r="D1546" s="2" t="s">
        <v>873</v>
      </c>
      <c r="E1546" s="2" t="s">
        <v>876</v>
      </c>
      <c r="F1546" s="2">
        <v>150.0</v>
      </c>
      <c r="G1546" s="2">
        <v>4.79</v>
      </c>
      <c r="H1546" s="2">
        <v>31.3</v>
      </c>
      <c r="I1546" s="2" t="s">
        <v>47</v>
      </c>
    </row>
    <row r="1547" ht="15.75" customHeight="1">
      <c r="A1547" s="2" t="s">
        <v>2878</v>
      </c>
      <c r="B1547" s="2" t="s">
        <v>2879</v>
      </c>
      <c r="C1547" s="2" t="s">
        <v>2703</v>
      </c>
      <c r="D1547" s="2" t="s">
        <v>993</v>
      </c>
      <c r="E1547" s="2" t="s">
        <v>994</v>
      </c>
      <c r="F1547" s="2">
        <v>335.0</v>
      </c>
      <c r="G1547" s="2">
        <v>6.5</v>
      </c>
      <c r="H1547" s="2">
        <v>51.5</v>
      </c>
      <c r="I1547" s="2" t="s">
        <v>47</v>
      </c>
    </row>
    <row r="1548" ht="15.75" customHeight="1">
      <c r="A1548" s="2" t="s">
        <v>2881</v>
      </c>
      <c r="B1548" s="2" t="s">
        <v>2883</v>
      </c>
      <c r="C1548" s="2" t="s">
        <v>2703</v>
      </c>
      <c r="D1548" s="2" t="s">
        <v>973</v>
      </c>
      <c r="E1548" s="2" t="s">
        <v>974</v>
      </c>
      <c r="F1548" s="2">
        <v>627.0</v>
      </c>
      <c r="G1548" s="2">
        <v>13.17</v>
      </c>
      <c r="H1548" s="2">
        <v>47.6</v>
      </c>
      <c r="I1548" s="2" t="s">
        <v>27</v>
      </c>
    </row>
    <row r="1549" ht="15.75" customHeight="1">
      <c r="A1549" s="2" t="s">
        <v>2884</v>
      </c>
      <c r="B1549" s="2" t="s">
        <v>2886</v>
      </c>
      <c r="C1549" s="2" t="s">
        <v>2703</v>
      </c>
      <c r="D1549" s="2" t="s">
        <v>985</v>
      </c>
      <c r="E1549" s="2" t="s">
        <v>988</v>
      </c>
      <c r="F1549" s="2">
        <v>435.0</v>
      </c>
      <c r="G1549" s="2">
        <v>5.18</v>
      </c>
      <c r="H1549" s="2">
        <v>84.0</v>
      </c>
      <c r="I1549" s="2" t="s">
        <v>47</v>
      </c>
    </row>
    <row r="1550" ht="15.75" customHeight="1">
      <c r="A1550" s="2" t="s">
        <v>5008</v>
      </c>
      <c r="B1550" s="2" t="s">
        <v>5010</v>
      </c>
      <c r="C1550" s="2" t="s">
        <v>2703</v>
      </c>
      <c r="D1550" s="2" t="s">
        <v>873</v>
      </c>
      <c r="E1550" s="2" t="s">
        <v>876</v>
      </c>
      <c r="F1550" s="2">
        <v>209.0</v>
      </c>
      <c r="G1550" s="2">
        <v>5.85</v>
      </c>
      <c r="H1550" s="2">
        <v>35.7</v>
      </c>
      <c r="I1550" s="2" t="s">
        <v>47</v>
      </c>
    </row>
    <row r="1551" ht="15.75" customHeight="1">
      <c r="A1551" s="2" t="s">
        <v>5012</v>
      </c>
      <c r="B1551" s="2" t="s">
        <v>5013</v>
      </c>
      <c r="C1551" s="2" t="s">
        <v>2703</v>
      </c>
      <c r="D1551" s="2" t="s">
        <v>883</v>
      </c>
      <c r="E1551" s="2" t="s">
        <v>885</v>
      </c>
      <c r="F1551" s="2">
        <v>143.0</v>
      </c>
      <c r="G1551" s="2">
        <v>3.51</v>
      </c>
      <c r="H1551" s="2">
        <v>40.7</v>
      </c>
      <c r="I1551" s="2" t="s">
        <v>47</v>
      </c>
    </row>
    <row r="1552" ht="15.75" customHeight="1">
      <c r="A1552" s="2" t="s">
        <v>2888</v>
      </c>
      <c r="B1552" s="2" t="s">
        <v>2889</v>
      </c>
      <c r="C1552" s="2" t="s">
        <v>2703</v>
      </c>
      <c r="D1552" s="2" t="s">
        <v>993</v>
      </c>
      <c r="E1552" s="2" t="s">
        <v>994</v>
      </c>
      <c r="F1552" s="2">
        <v>830.0</v>
      </c>
      <c r="G1552" s="2">
        <v>16.79</v>
      </c>
      <c r="H1552" s="2">
        <v>49.4</v>
      </c>
      <c r="I1552" s="2" t="s">
        <v>27</v>
      </c>
    </row>
    <row r="1553" ht="15.75" customHeight="1">
      <c r="A1553" s="2" t="s">
        <v>2890</v>
      </c>
      <c r="B1553" s="2" t="s">
        <v>2891</v>
      </c>
      <c r="C1553" s="2" t="s">
        <v>2703</v>
      </c>
      <c r="D1553" s="2" t="s">
        <v>943</v>
      </c>
      <c r="E1553" s="2" t="s">
        <v>945</v>
      </c>
      <c r="F1553" s="2">
        <v>2838.0</v>
      </c>
      <c r="G1553" s="2">
        <v>17.02</v>
      </c>
      <c r="H1553" s="2">
        <v>166.7</v>
      </c>
      <c r="I1553" s="2" t="s">
        <v>138</v>
      </c>
    </row>
    <row r="1554" ht="15.75" customHeight="1">
      <c r="A1554" s="2" t="s">
        <v>5020</v>
      </c>
      <c r="B1554" s="2" t="s">
        <v>5021</v>
      </c>
      <c r="C1554" s="2" t="s">
        <v>2703</v>
      </c>
      <c r="D1554" s="2" t="s">
        <v>985</v>
      </c>
      <c r="E1554" s="2" t="s">
        <v>988</v>
      </c>
      <c r="F1554" s="2">
        <v>305.0</v>
      </c>
      <c r="G1554" s="2">
        <v>3.88</v>
      </c>
      <c r="H1554" s="2">
        <v>78.6</v>
      </c>
      <c r="I1554" s="2" t="s">
        <v>47</v>
      </c>
    </row>
    <row r="1555" ht="15.75" customHeight="1">
      <c r="A1555" s="2" t="s">
        <v>4867</v>
      </c>
      <c r="B1555" s="2" t="s">
        <v>4869</v>
      </c>
      <c r="C1555" s="2" t="s">
        <v>2703</v>
      </c>
      <c r="D1555" s="2" t="s">
        <v>985</v>
      </c>
      <c r="E1555" s="2" t="s">
        <v>988</v>
      </c>
      <c r="F1555" s="2">
        <v>192.0</v>
      </c>
      <c r="G1555" s="2">
        <v>5.29</v>
      </c>
      <c r="H1555" s="2">
        <v>36.3</v>
      </c>
      <c r="I1555" s="2" t="s">
        <v>47</v>
      </c>
    </row>
    <row r="1556" ht="15.75" customHeight="1">
      <c r="A1556" s="2" t="s">
        <v>4886</v>
      </c>
      <c r="B1556" s="2" t="s">
        <v>4887</v>
      </c>
      <c r="C1556" s="2" t="s">
        <v>2703</v>
      </c>
      <c r="D1556" s="2" t="s">
        <v>973</v>
      </c>
      <c r="E1556" s="2" t="s">
        <v>974</v>
      </c>
      <c r="F1556" s="2">
        <v>214.0</v>
      </c>
      <c r="G1556" s="2">
        <v>4.13</v>
      </c>
      <c r="H1556" s="2">
        <v>51.8</v>
      </c>
      <c r="I1556" s="2" t="s">
        <v>47</v>
      </c>
    </row>
    <row r="1557" ht="15.75" customHeight="1">
      <c r="A1557" s="2" t="s">
        <v>2892</v>
      </c>
      <c r="B1557" s="2" t="s">
        <v>2893</v>
      </c>
      <c r="C1557" s="2" t="s">
        <v>2703</v>
      </c>
      <c r="D1557" s="2" t="s">
        <v>804</v>
      </c>
      <c r="E1557" s="2" t="s">
        <v>806</v>
      </c>
      <c r="F1557" s="2">
        <v>996.0</v>
      </c>
      <c r="G1557" s="2">
        <v>9.82</v>
      </c>
      <c r="H1557" s="2">
        <v>101.4</v>
      </c>
      <c r="I1557" s="2" t="s">
        <v>27</v>
      </c>
    </row>
    <row r="1558" ht="15.75" customHeight="1">
      <c r="A1558" s="2" t="s">
        <v>2894</v>
      </c>
      <c r="B1558" s="2" t="s">
        <v>2895</v>
      </c>
      <c r="C1558" s="2" t="s">
        <v>2703</v>
      </c>
      <c r="D1558" s="2" t="s">
        <v>804</v>
      </c>
      <c r="E1558" s="2" t="s">
        <v>806</v>
      </c>
      <c r="F1558" s="2">
        <v>3111.0</v>
      </c>
      <c r="G1558" s="2">
        <v>6.51</v>
      </c>
      <c r="H1558" s="2">
        <v>477.9</v>
      </c>
      <c r="I1558" s="2" t="s">
        <v>138</v>
      </c>
    </row>
    <row r="1559" ht="15.75" customHeight="1">
      <c r="A1559" s="2" t="s">
        <v>5024</v>
      </c>
      <c r="B1559" s="2" t="s">
        <v>5025</v>
      </c>
      <c r="C1559" s="2" t="s">
        <v>2703</v>
      </c>
      <c r="D1559" s="2" t="s">
        <v>985</v>
      </c>
      <c r="E1559" s="2" t="s">
        <v>988</v>
      </c>
      <c r="F1559" s="2">
        <v>518.0</v>
      </c>
      <c r="G1559" s="2">
        <v>6.22</v>
      </c>
      <c r="H1559" s="2">
        <v>83.3</v>
      </c>
      <c r="I1559" s="2" t="s">
        <v>27</v>
      </c>
    </row>
    <row r="1560" ht="15.75" customHeight="1">
      <c r="A1560" s="2" t="s">
        <v>2896</v>
      </c>
      <c r="B1560" s="2" t="s">
        <v>2897</v>
      </c>
      <c r="C1560" s="2" t="s">
        <v>2703</v>
      </c>
      <c r="D1560" s="2" t="s">
        <v>943</v>
      </c>
      <c r="E1560" s="2" t="s">
        <v>945</v>
      </c>
      <c r="F1560" s="2">
        <v>1146.0</v>
      </c>
      <c r="G1560" s="2">
        <v>9.36</v>
      </c>
      <c r="H1560" s="2">
        <v>122.4</v>
      </c>
      <c r="I1560" s="2" t="s">
        <v>27</v>
      </c>
    </row>
    <row r="1561" ht="15.75" customHeight="1">
      <c r="A1561" s="2" t="s">
        <v>2898</v>
      </c>
      <c r="B1561" s="2" t="s">
        <v>2899</v>
      </c>
      <c r="C1561" s="2" t="s">
        <v>2703</v>
      </c>
      <c r="D1561" s="2" t="s">
        <v>907</v>
      </c>
      <c r="E1561" s="2" t="s">
        <v>909</v>
      </c>
      <c r="F1561" s="2">
        <v>1831.0</v>
      </c>
      <c r="G1561" s="2">
        <v>6.95</v>
      </c>
      <c r="H1561" s="2">
        <v>263.5</v>
      </c>
      <c r="I1561" s="2" t="s">
        <v>27</v>
      </c>
    </row>
    <row r="1562" ht="15.75" customHeight="1">
      <c r="A1562" s="2" t="s">
        <v>5036</v>
      </c>
      <c r="B1562" s="2" t="s">
        <v>5037</v>
      </c>
      <c r="C1562" s="2" t="s">
        <v>2703</v>
      </c>
      <c r="D1562" s="2" t="s">
        <v>985</v>
      </c>
      <c r="E1562" s="2" t="s">
        <v>988</v>
      </c>
      <c r="F1562" s="2">
        <v>160.0</v>
      </c>
      <c r="G1562" s="2">
        <v>4.55</v>
      </c>
      <c r="H1562" s="2">
        <v>35.2</v>
      </c>
      <c r="I1562" s="2" t="s">
        <v>47</v>
      </c>
    </row>
    <row r="1563" ht="15.75" customHeight="1">
      <c r="A1563" s="2" t="s">
        <v>2901</v>
      </c>
      <c r="B1563" s="2" t="s">
        <v>2903</v>
      </c>
      <c r="C1563" s="2" t="s">
        <v>2703</v>
      </c>
      <c r="D1563" s="2" t="s">
        <v>883</v>
      </c>
      <c r="E1563" s="2" t="s">
        <v>885</v>
      </c>
      <c r="F1563" s="2">
        <v>483.0</v>
      </c>
      <c r="G1563" s="2">
        <v>11.42</v>
      </c>
      <c r="H1563" s="2">
        <v>42.3</v>
      </c>
      <c r="I1563" s="2" t="s">
        <v>47</v>
      </c>
    </row>
    <row r="1564" ht="15.75" customHeight="1">
      <c r="A1564" s="2" t="s">
        <v>5043</v>
      </c>
      <c r="B1564" s="2" t="s">
        <v>5045</v>
      </c>
      <c r="C1564" s="2" t="s">
        <v>2703</v>
      </c>
      <c r="D1564" s="2" t="s">
        <v>873</v>
      </c>
      <c r="E1564" s="2" t="s">
        <v>876</v>
      </c>
      <c r="F1564" s="2">
        <v>469.0</v>
      </c>
      <c r="G1564" s="2">
        <v>10.27</v>
      </c>
      <c r="H1564" s="2">
        <v>45.7</v>
      </c>
      <c r="I1564" s="2" t="s">
        <v>47</v>
      </c>
    </row>
    <row r="1565" ht="15.75" customHeight="1">
      <c r="A1565" s="2" t="s">
        <v>5046</v>
      </c>
      <c r="B1565" s="2" t="s">
        <v>5047</v>
      </c>
      <c r="C1565" s="2" t="s">
        <v>2703</v>
      </c>
      <c r="D1565" s="2" t="s">
        <v>977</v>
      </c>
      <c r="E1565" s="2" t="s">
        <v>978</v>
      </c>
      <c r="F1565" s="2">
        <v>321.0</v>
      </c>
      <c r="G1565" s="2">
        <v>9.04</v>
      </c>
      <c r="H1565" s="2">
        <v>35.5</v>
      </c>
      <c r="I1565" s="2" t="s">
        <v>47</v>
      </c>
    </row>
    <row r="1566" ht="15.75" customHeight="1">
      <c r="A1566" s="2" t="s">
        <v>2904</v>
      </c>
      <c r="B1566" s="2" t="s">
        <v>2905</v>
      </c>
      <c r="C1566" s="2" t="s">
        <v>2703</v>
      </c>
      <c r="D1566" s="2" t="s">
        <v>886</v>
      </c>
      <c r="E1566" s="2" t="s">
        <v>887</v>
      </c>
      <c r="F1566" s="2">
        <v>741.0</v>
      </c>
      <c r="G1566" s="2">
        <v>8.11</v>
      </c>
      <c r="H1566" s="2">
        <v>91.4</v>
      </c>
      <c r="I1566" s="2" t="s">
        <v>27</v>
      </c>
    </row>
    <row r="1567" ht="15.75" customHeight="1">
      <c r="A1567" s="2" t="s">
        <v>5052</v>
      </c>
      <c r="B1567" s="2" t="s">
        <v>5053</v>
      </c>
      <c r="C1567" s="2" t="s">
        <v>2703</v>
      </c>
      <c r="D1567" s="2" t="s">
        <v>977</v>
      </c>
      <c r="E1567" s="2" t="s">
        <v>978</v>
      </c>
      <c r="F1567" s="2">
        <v>515.0</v>
      </c>
      <c r="G1567" s="2">
        <v>7.58</v>
      </c>
      <c r="H1567" s="2">
        <v>67.9</v>
      </c>
      <c r="I1567" s="2" t="s">
        <v>27</v>
      </c>
    </row>
    <row r="1568" ht="15.75" customHeight="1">
      <c r="A1568" s="2" t="s">
        <v>5056</v>
      </c>
      <c r="B1568" s="2" t="s">
        <v>5057</v>
      </c>
      <c r="C1568" s="2" t="s">
        <v>2703</v>
      </c>
      <c r="D1568" s="2" t="s">
        <v>977</v>
      </c>
      <c r="E1568" s="2" t="s">
        <v>978</v>
      </c>
      <c r="F1568" s="2">
        <v>415.0</v>
      </c>
      <c r="G1568" s="2">
        <v>6.92</v>
      </c>
      <c r="H1568" s="2">
        <v>60.0</v>
      </c>
      <c r="I1568" s="2" t="s">
        <v>47</v>
      </c>
    </row>
    <row r="1569" ht="15.75" customHeight="1">
      <c r="A1569" s="2" t="s">
        <v>5060</v>
      </c>
      <c r="B1569" s="2" t="s">
        <v>5061</v>
      </c>
      <c r="C1569" s="2" t="s">
        <v>2703</v>
      </c>
      <c r="D1569" s="2" t="s">
        <v>883</v>
      </c>
      <c r="E1569" s="2" t="s">
        <v>885</v>
      </c>
      <c r="F1569" s="2">
        <v>222.0</v>
      </c>
      <c r="G1569" s="2">
        <v>5.96</v>
      </c>
      <c r="H1569" s="2">
        <v>37.2</v>
      </c>
      <c r="I1569" s="2" t="s">
        <v>47</v>
      </c>
    </row>
    <row r="1570" ht="15.75" customHeight="1">
      <c r="A1570" s="2" t="s">
        <v>2906</v>
      </c>
      <c r="B1570" s="2" t="s">
        <v>2907</v>
      </c>
      <c r="C1570" s="2" t="s">
        <v>2703</v>
      </c>
      <c r="D1570" s="2" t="s">
        <v>985</v>
      </c>
      <c r="E1570" s="2" t="s">
        <v>988</v>
      </c>
      <c r="F1570" s="2">
        <v>1393.0</v>
      </c>
      <c r="G1570" s="2">
        <v>19.56</v>
      </c>
      <c r="H1570" s="2">
        <v>71.2</v>
      </c>
      <c r="I1570" s="2" t="s">
        <v>27</v>
      </c>
    </row>
    <row r="1571" ht="15.75" customHeight="1">
      <c r="A1571" s="2" t="s">
        <v>2910</v>
      </c>
      <c r="B1571" s="2" t="s">
        <v>2911</v>
      </c>
      <c r="C1571" s="2" t="s">
        <v>2703</v>
      </c>
      <c r="D1571" s="2" t="s">
        <v>943</v>
      </c>
      <c r="E1571" s="2" t="s">
        <v>945</v>
      </c>
      <c r="F1571" s="2">
        <v>1125.0</v>
      </c>
      <c r="G1571" s="2">
        <v>12.61</v>
      </c>
      <c r="H1571" s="2">
        <v>89.2</v>
      </c>
      <c r="I1571" s="2" t="s">
        <v>27</v>
      </c>
    </row>
    <row r="1572" ht="15.75" customHeight="1">
      <c r="A1572" s="2" t="s">
        <v>5067</v>
      </c>
      <c r="B1572" s="2" t="s">
        <v>5068</v>
      </c>
      <c r="C1572" s="2" t="s">
        <v>2703</v>
      </c>
      <c r="D1572" s="2" t="s">
        <v>873</v>
      </c>
      <c r="E1572" s="2" t="s">
        <v>876</v>
      </c>
      <c r="F1572" s="2">
        <v>100.0</v>
      </c>
      <c r="G1572" s="2">
        <v>11.85</v>
      </c>
      <c r="H1572" s="2">
        <v>8.4</v>
      </c>
      <c r="I1572" s="2" t="s">
        <v>47</v>
      </c>
    </row>
    <row r="1573" ht="15.75" customHeight="1">
      <c r="A1573" s="2" t="s">
        <v>5071</v>
      </c>
      <c r="B1573" s="2" t="s">
        <v>5072</v>
      </c>
      <c r="C1573" s="2" t="s">
        <v>2703</v>
      </c>
      <c r="D1573" s="2" t="s">
        <v>985</v>
      </c>
      <c r="E1573" s="2" t="s">
        <v>988</v>
      </c>
      <c r="F1573" s="2">
        <v>176.0</v>
      </c>
      <c r="G1573" s="2">
        <v>6.67</v>
      </c>
      <c r="H1573" s="2">
        <v>26.4</v>
      </c>
      <c r="I1573" s="2" t="s">
        <v>47</v>
      </c>
    </row>
    <row r="1574" ht="15.75" customHeight="1">
      <c r="A1574" s="2" t="s">
        <v>2912</v>
      </c>
      <c r="B1574" s="2" t="s">
        <v>2913</v>
      </c>
      <c r="C1574" s="2" t="s">
        <v>2703</v>
      </c>
      <c r="D1574" s="2" t="s">
        <v>993</v>
      </c>
      <c r="E1574" s="2" t="s">
        <v>994</v>
      </c>
      <c r="F1574" s="2">
        <v>542.0</v>
      </c>
      <c r="G1574" s="2">
        <v>13.3</v>
      </c>
      <c r="H1574" s="2">
        <v>40.8</v>
      </c>
      <c r="I1574" s="2" t="s">
        <v>27</v>
      </c>
    </row>
    <row r="1575" ht="15.75" customHeight="1">
      <c r="A1575" s="2" t="s">
        <v>2914</v>
      </c>
      <c r="B1575" s="2" t="s">
        <v>2915</v>
      </c>
      <c r="C1575" s="2" t="s">
        <v>2703</v>
      </c>
      <c r="D1575" s="2" t="s">
        <v>955</v>
      </c>
      <c r="E1575" s="2" t="s">
        <v>956</v>
      </c>
      <c r="F1575" s="2">
        <v>2649.0</v>
      </c>
      <c r="G1575" s="2">
        <v>4.74</v>
      </c>
      <c r="H1575" s="2">
        <v>558.9</v>
      </c>
      <c r="I1575" s="2" t="s">
        <v>138</v>
      </c>
    </row>
    <row r="1576" ht="15.75" customHeight="1">
      <c r="A1576" s="2" t="s">
        <v>2916</v>
      </c>
      <c r="B1576" s="2" t="s">
        <v>2919</v>
      </c>
      <c r="C1576" s="2" t="s">
        <v>2703</v>
      </c>
      <c r="D1576" s="2" t="s">
        <v>1076</v>
      </c>
      <c r="E1576" s="2" t="s">
        <v>1078</v>
      </c>
      <c r="F1576" s="2">
        <v>1669.0</v>
      </c>
      <c r="G1576" s="2">
        <v>17.5</v>
      </c>
      <c r="H1576" s="2">
        <v>95.4</v>
      </c>
      <c r="I1576" s="2" t="s">
        <v>27</v>
      </c>
    </row>
    <row r="1577" ht="15.75" customHeight="1">
      <c r="A1577" s="2" t="s">
        <v>2932</v>
      </c>
      <c r="B1577" s="2" t="s">
        <v>2934</v>
      </c>
      <c r="C1577" s="2" t="s">
        <v>2703</v>
      </c>
      <c r="D1577" s="2" t="s">
        <v>883</v>
      </c>
      <c r="E1577" s="2" t="s">
        <v>885</v>
      </c>
      <c r="F1577" s="2">
        <v>467.0</v>
      </c>
      <c r="G1577" s="2">
        <v>9.39</v>
      </c>
      <c r="H1577" s="2">
        <v>49.7</v>
      </c>
      <c r="I1577" s="2" t="s">
        <v>47</v>
      </c>
    </row>
    <row r="1578" ht="15.75" customHeight="1">
      <c r="A1578" s="2" t="s">
        <v>5083</v>
      </c>
      <c r="B1578" s="2" t="s">
        <v>5084</v>
      </c>
      <c r="C1578" s="2" t="s">
        <v>2703</v>
      </c>
      <c r="D1578" s="2" t="s">
        <v>993</v>
      </c>
      <c r="E1578" s="2" t="s">
        <v>994</v>
      </c>
      <c r="F1578" s="2">
        <v>288.0</v>
      </c>
      <c r="G1578" s="2">
        <v>4.95</v>
      </c>
      <c r="H1578" s="2">
        <v>58.2</v>
      </c>
      <c r="I1578" s="2" t="s">
        <v>47</v>
      </c>
    </row>
    <row r="1579" ht="15.75" customHeight="1">
      <c r="A1579" s="2" t="s">
        <v>2935</v>
      </c>
      <c r="B1579" s="2" t="s">
        <v>2936</v>
      </c>
      <c r="C1579" s="2" t="s">
        <v>2703</v>
      </c>
      <c r="D1579" s="2" t="s">
        <v>1060</v>
      </c>
      <c r="E1579" s="2" t="s">
        <v>1062</v>
      </c>
      <c r="F1579" s="2">
        <v>1043.0</v>
      </c>
      <c r="G1579" s="2">
        <v>12.08</v>
      </c>
      <c r="H1579" s="2">
        <v>86.3</v>
      </c>
      <c r="I1579" s="2" t="s">
        <v>27</v>
      </c>
    </row>
    <row r="1580" ht="15.75" customHeight="1">
      <c r="A1580" s="2" t="s">
        <v>2938</v>
      </c>
      <c r="B1580" s="2" t="s">
        <v>2939</v>
      </c>
      <c r="C1580" s="2" t="s">
        <v>2703</v>
      </c>
      <c r="D1580" s="2" t="s">
        <v>1076</v>
      </c>
      <c r="E1580" s="2" t="s">
        <v>1078</v>
      </c>
      <c r="F1580" s="2">
        <v>9959.0</v>
      </c>
      <c r="G1580" s="2">
        <v>12.89</v>
      </c>
      <c r="H1580" s="2">
        <v>772.6</v>
      </c>
      <c r="I1580" s="2" t="s">
        <v>138</v>
      </c>
    </row>
    <row r="1581" ht="15.75" customHeight="1">
      <c r="A1581" s="2" t="s">
        <v>2942</v>
      </c>
      <c r="B1581" s="2" t="s">
        <v>2943</v>
      </c>
      <c r="C1581" s="2" t="s">
        <v>2703</v>
      </c>
      <c r="D1581" s="2" t="s">
        <v>1019</v>
      </c>
      <c r="E1581" s="2" t="s">
        <v>1021</v>
      </c>
      <c r="F1581" s="2">
        <v>300.0</v>
      </c>
      <c r="G1581" s="2">
        <v>6.7</v>
      </c>
      <c r="H1581" s="2">
        <v>44.8</v>
      </c>
      <c r="I1581" s="2" t="s">
        <v>47</v>
      </c>
    </row>
    <row r="1582" ht="15.75" customHeight="1">
      <c r="A1582" s="2" t="s">
        <v>2944</v>
      </c>
      <c r="B1582" s="2" t="s">
        <v>2945</v>
      </c>
      <c r="C1582" s="2" t="s">
        <v>2703</v>
      </c>
      <c r="D1582" s="2" t="s">
        <v>865</v>
      </c>
      <c r="E1582" s="2" t="s">
        <v>866</v>
      </c>
      <c r="F1582" s="2">
        <v>10591.0</v>
      </c>
      <c r="G1582" s="2">
        <v>16.04</v>
      </c>
      <c r="H1582" s="2">
        <v>660.3</v>
      </c>
      <c r="I1582" s="2" t="s">
        <v>805</v>
      </c>
    </row>
    <row r="1583" ht="15.75" customHeight="1">
      <c r="A1583" s="2" t="s">
        <v>2946</v>
      </c>
      <c r="B1583" s="2" t="s">
        <v>2947</v>
      </c>
      <c r="C1583" s="2" t="s">
        <v>2703</v>
      </c>
      <c r="D1583" s="2" t="s">
        <v>1019</v>
      </c>
      <c r="E1583" s="2" t="s">
        <v>1021</v>
      </c>
      <c r="F1583" s="2">
        <v>3338.0</v>
      </c>
      <c r="G1583" s="2">
        <v>18.54</v>
      </c>
      <c r="H1583" s="2">
        <v>180.0</v>
      </c>
      <c r="I1583" s="2" t="s">
        <v>138</v>
      </c>
    </row>
    <row r="1584" ht="15.75" customHeight="1">
      <c r="A1584" s="2" t="s">
        <v>5103</v>
      </c>
      <c r="B1584" s="2" t="s">
        <v>5104</v>
      </c>
      <c r="C1584" s="2" t="s">
        <v>2703</v>
      </c>
      <c r="D1584" s="2" t="s">
        <v>927</v>
      </c>
      <c r="E1584" s="2" t="s">
        <v>928</v>
      </c>
      <c r="F1584" s="2">
        <v>159.0</v>
      </c>
      <c r="G1584" s="2">
        <v>5.78</v>
      </c>
      <c r="H1584" s="2">
        <v>27.5</v>
      </c>
      <c r="I1584" s="2" t="s">
        <v>47</v>
      </c>
    </row>
    <row r="1585" ht="15.75" customHeight="1">
      <c r="A1585" s="2" t="s">
        <v>2949</v>
      </c>
      <c r="B1585" s="2" t="s">
        <v>2950</v>
      </c>
      <c r="C1585" s="2" t="s">
        <v>2703</v>
      </c>
      <c r="D1585" s="2" t="s">
        <v>917</v>
      </c>
      <c r="E1585" s="2" t="s">
        <v>918</v>
      </c>
      <c r="F1585" s="2">
        <v>471.0</v>
      </c>
      <c r="G1585" s="2">
        <v>9.09</v>
      </c>
      <c r="H1585" s="2">
        <v>51.8</v>
      </c>
      <c r="I1585" s="2" t="s">
        <v>47</v>
      </c>
    </row>
    <row r="1586" ht="15.75" customHeight="1">
      <c r="A1586" s="2" t="s">
        <v>2952</v>
      </c>
      <c r="B1586" s="2" t="s">
        <v>2953</v>
      </c>
      <c r="C1586" s="2" t="s">
        <v>2703</v>
      </c>
      <c r="D1586" s="2" t="s">
        <v>873</v>
      </c>
      <c r="E1586" s="2" t="s">
        <v>876</v>
      </c>
      <c r="F1586" s="2">
        <v>442.0</v>
      </c>
      <c r="G1586" s="2">
        <v>8.97</v>
      </c>
      <c r="H1586" s="2">
        <v>49.3</v>
      </c>
      <c r="I1586" s="2" t="s">
        <v>47</v>
      </c>
    </row>
    <row r="1587" ht="15.75" customHeight="1">
      <c r="A1587" s="2" t="s">
        <v>2954</v>
      </c>
      <c r="B1587" s="2" t="s">
        <v>2955</v>
      </c>
      <c r="C1587" s="2" t="s">
        <v>2703</v>
      </c>
      <c r="D1587" s="2" t="s">
        <v>907</v>
      </c>
      <c r="E1587" s="2" t="s">
        <v>909</v>
      </c>
      <c r="F1587" s="2">
        <v>772.0</v>
      </c>
      <c r="G1587" s="2">
        <v>8.12</v>
      </c>
      <c r="H1587" s="2">
        <v>95.1</v>
      </c>
      <c r="I1587" s="2" t="s">
        <v>27</v>
      </c>
    </row>
    <row r="1588" ht="15.75" customHeight="1">
      <c r="A1588" s="2" t="s">
        <v>2958</v>
      </c>
      <c r="B1588" s="2" t="s">
        <v>2959</v>
      </c>
      <c r="C1588" s="2" t="s">
        <v>2703</v>
      </c>
      <c r="D1588" s="2" t="s">
        <v>886</v>
      </c>
      <c r="E1588" s="2" t="s">
        <v>887</v>
      </c>
      <c r="F1588" s="2">
        <v>2036.0</v>
      </c>
      <c r="G1588" s="2">
        <v>12.65</v>
      </c>
      <c r="H1588" s="2">
        <v>160.9</v>
      </c>
      <c r="I1588" s="2" t="s">
        <v>138</v>
      </c>
    </row>
    <row r="1589" ht="15.75" customHeight="1">
      <c r="A1589" s="2" t="s">
        <v>2960</v>
      </c>
      <c r="B1589" s="2" t="s">
        <v>2961</v>
      </c>
      <c r="C1589" s="2" t="s">
        <v>2703</v>
      </c>
      <c r="D1589" s="2" t="s">
        <v>907</v>
      </c>
      <c r="E1589" s="2" t="s">
        <v>909</v>
      </c>
      <c r="F1589" s="2">
        <v>1093.0</v>
      </c>
      <c r="G1589" s="2">
        <v>13.36</v>
      </c>
      <c r="H1589" s="2">
        <v>81.8</v>
      </c>
      <c r="I1589" s="2" t="s">
        <v>27</v>
      </c>
    </row>
    <row r="1590" ht="15.75" customHeight="1">
      <c r="A1590" s="2" t="s">
        <v>2963</v>
      </c>
      <c r="B1590" s="2" t="s">
        <v>2965</v>
      </c>
      <c r="C1590" s="2" t="s">
        <v>2703</v>
      </c>
      <c r="D1590" s="2" t="s">
        <v>804</v>
      </c>
      <c r="E1590" s="2" t="s">
        <v>806</v>
      </c>
      <c r="F1590" s="2">
        <v>3449.0</v>
      </c>
      <c r="G1590" s="2">
        <v>15.94</v>
      </c>
      <c r="H1590" s="2">
        <v>216.4</v>
      </c>
      <c r="I1590" s="2" t="s">
        <v>138</v>
      </c>
    </row>
    <row r="1591" ht="15.75" customHeight="1">
      <c r="A1591" s="2" t="s">
        <v>5125</v>
      </c>
      <c r="B1591" s="2" t="s">
        <v>5128</v>
      </c>
      <c r="C1591" s="2" t="s">
        <v>2703</v>
      </c>
      <c r="D1591" s="2" t="s">
        <v>886</v>
      </c>
      <c r="E1591" s="2" t="s">
        <v>887</v>
      </c>
      <c r="F1591" s="2">
        <v>252.0</v>
      </c>
      <c r="G1591" s="2">
        <v>10.11</v>
      </c>
      <c r="H1591" s="2">
        <v>24.9</v>
      </c>
      <c r="I1591" s="2" t="s">
        <v>47</v>
      </c>
    </row>
    <row r="1592" ht="15.75" customHeight="1">
      <c r="A1592" s="2" t="s">
        <v>5131</v>
      </c>
      <c r="B1592" s="2" t="s">
        <v>5132</v>
      </c>
      <c r="C1592" s="2" t="s">
        <v>2703</v>
      </c>
      <c r="D1592" s="2" t="s">
        <v>873</v>
      </c>
      <c r="E1592" s="2" t="s">
        <v>876</v>
      </c>
      <c r="F1592" s="2">
        <v>98.0</v>
      </c>
      <c r="G1592" s="2">
        <v>4.17</v>
      </c>
      <c r="H1592" s="2">
        <v>23.5</v>
      </c>
      <c r="I1592" s="2" t="s">
        <v>47</v>
      </c>
    </row>
    <row r="1593" ht="15.75" customHeight="1">
      <c r="A1593" s="2" t="s">
        <v>5113</v>
      </c>
      <c r="B1593" s="2" t="s">
        <v>5114</v>
      </c>
      <c r="C1593" s="2" t="s">
        <v>2703</v>
      </c>
      <c r="D1593" s="2" t="s">
        <v>973</v>
      </c>
      <c r="E1593" s="2" t="s">
        <v>974</v>
      </c>
      <c r="F1593" s="2">
        <v>399.0</v>
      </c>
      <c r="G1593" s="2">
        <v>10.47</v>
      </c>
      <c r="H1593" s="2">
        <v>38.1</v>
      </c>
      <c r="I1593" s="2" t="s">
        <v>47</v>
      </c>
    </row>
    <row r="1594" ht="15.75" customHeight="1">
      <c r="A1594" s="2" t="s">
        <v>2966</v>
      </c>
      <c r="B1594" s="2" t="s">
        <v>2967</v>
      </c>
      <c r="C1594" s="2" t="s">
        <v>2703</v>
      </c>
      <c r="D1594" s="2" t="s">
        <v>921</v>
      </c>
      <c r="E1594" s="2" t="s">
        <v>924</v>
      </c>
      <c r="F1594" s="2">
        <v>1630.0</v>
      </c>
      <c r="G1594" s="2">
        <v>6.79</v>
      </c>
      <c r="H1594" s="2">
        <v>240.1</v>
      </c>
      <c r="I1594" s="2" t="s">
        <v>27</v>
      </c>
    </row>
    <row r="1595" ht="15.75" customHeight="1">
      <c r="A1595" s="2" t="s">
        <v>2970</v>
      </c>
      <c r="B1595" s="2" t="s">
        <v>2971</v>
      </c>
      <c r="C1595" s="2" t="s">
        <v>2703</v>
      </c>
      <c r="D1595" s="2" t="s">
        <v>1076</v>
      </c>
      <c r="E1595" s="2" t="s">
        <v>1078</v>
      </c>
      <c r="F1595" s="2">
        <v>3978.0</v>
      </c>
      <c r="G1595" s="2">
        <v>16.78</v>
      </c>
      <c r="H1595" s="2">
        <v>237.1</v>
      </c>
      <c r="I1595" s="2" t="s">
        <v>138</v>
      </c>
    </row>
    <row r="1596" ht="15.75" customHeight="1">
      <c r="A1596" s="2" t="s">
        <v>2972</v>
      </c>
      <c r="B1596" s="2" t="s">
        <v>2973</v>
      </c>
      <c r="C1596" s="2" t="s">
        <v>2703</v>
      </c>
      <c r="D1596" s="2" t="s">
        <v>804</v>
      </c>
      <c r="E1596" s="2" t="s">
        <v>806</v>
      </c>
      <c r="F1596" s="2">
        <v>2208.0</v>
      </c>
      <c r="G1596" s="2">
        <v>4.74</v>
      </c>
      <c r="H1596" s="2">
        <v>465.8</v>
      </c>
      <c r="I1596" s="2" t="s">
        <v>138</v>
      </c>
    </row>
    <row r="1597" ht="15.75" customHeight="1">
      <c r="A1597" s="2" t="s">
        <v>2976</v>
      </c>
      <c r="B1597" s="2" t="s">
        <v>2977</v>
      </c>
      <c r="C1597" s="2" t="s">
        <v>2703</v>
      </c>
      <c r="D1597" s="2" t="s">
        <v>943</v>
      </c>
      <c r="E1597" s="2" t="s">
        <v>945</v>
      </c>
      <c r="F1597" s="2">
        <v>10564.0</v>
      </c>
      <c r="G1597" s="2">
        <v>5.81</v>
      </c>
      <c r="H1597" s="2">
        <v>1818.2</v>
      </c>
      <c r="I1597" s="2" t="s">
        <v>805</v>
      </c>
    </row>
    <row r="1598" ht="15.75" customHeight="1">
      <c r="A1598" s="2" t="s">
        <v>5146</v>
      </c>
      <c r="B1598" s="2" t="s">
        <v>5148</v>
      </c>
      <c r="C1598" s="2" t="s">
        <v>2703</v>
      </c>
      <c r="D1598" s="2" t="s">
        <v>993</v>
      </c>
      <c r="E1598" s="2" t="s">
        <v>994</v>
      </c>
      <c r="F1598" s="2">
        <v>249.0</v>
      </c>
      <c r="G1598" s="2">
        <v>6.15</v>
      </c>
      <c r="H1598" s="2">
        <v>40.5</v>
      </c>
      <c r="I1598" s="2" t="s">
        <v>47</v>
      </c>
    </row>
    <row r="1599" ht="15.75" customHeight="1">
      <c r="A1599" s="2" t="s">
        <v>2980</v>
      </c>
      <c r="B1599" s="2" t="s">
        <v>2981</v>
      </c>
      <c r="C1599" s="2" t="s">
        <v>2703</v>
      </c>
      <c r="D1599" s="2" t="s">
        <v>804</v>
      </c>
      <c r="E1599" s="2" t="s">
        <v>806</v>
      </c>
      <c r="F1599" s="2">
        <v>40761.0</v>
      </c>
      <c r="G1599" s="2">
        <v>53.09</v>
      </c>
      <c r="H1599" s="2">
        <v>767.8</v>
      </c>
      <c r="I1599" s="2" t="s">
        <v>805</v>
      </c>
    </row>
    <row r="1600" ht="15.75" customHeight="1">
      <c r="A1600" s="2" t="s">
        <v>5154</v>
      </c>
      <c r="B1600" s="2" t="s">
        <v>5155</v>
      </c>
      <c r="C1600" s="2" t="s">
        <v>2703</v>
      </c>
      <c r="D1600" s="2" t="s">
        <v>977</v>
      </c>
      <c r="E1600" s="2" t="s">
        <v>978</v>
      </c>
      <c r="F1600" s="2">
        <v>734.0</v>
      </c>
      <c r="G1600" s="2">
        <v>9.73</v>
      </c>
      <c r="H1600" s="2">
        <v>75.4</v>
      </c>
      <c r="I1600" s="2" t="s">
        <v>27</v>
      </c>
    </row>
    <row r="1601" ht="15.75" customHeight="1">
      <c r="A1601" s="2" t="s">
        <v>5158</v>
      </c>
      <c r="B1601" s="2" t="s">
        <v>5159</v>
      </c>
      <c r="C1601" s="2" t="s">
        <v>2703</v>
      </c>
      <c r="D1601" s="2" t="s">
        <v>873</v>
      </c>
      <c r="E1601" s="2" t="s">
        <v>876</v>
      </c>
      <c r="F1601" s="2">
        <v>71.0</v>
      </c>
      <c r="G1601" s="2">
        <v>3.65</v>
      </c>
      <c r="H1601" s="2">
        <v>19.5</v>
      </c>
      <c r="I1601" s="2" t="s">
        <v>47</v>
      </c>
    </row>
    <row r="1602" ht="15.75" customHeight="1">
      <c r="A1602" s="2" t="s">
        <v>5162</v>
      </c>
      <c r="B1602" s="2" t="s">
        <v>5164</v>
      </c>
      <c r="C1602" s="2" t="s">
        <v>2703</v>
      </c>
      <c r="D1602" s="2" t="s">
        <v>927</v>
      </c>
      <c r="E1602" s="2" t="s">
        <v>928</v>
      </c>
      <c r="F1602" s="2">
        <v>357.0</v>
      </c>
      <c r="G1602" s="2">
        <v>3.94</v>
      </c>
      <c r="H1602" s="2">
        <v>90.6</v>
      </c>
      <c r="I1602" s="2" t="s">
        <v>47</v>
      </c>
    </row>
    <row r="1603" ht="15.75" customHeight="1">
      <c r="A1603" s="2" t="s">
        <v>2984</v>
      </c>
      <c r="B1603" s="2" t="s">
        <v>2985</v>
      </c>
      <c r="C1603" s="2" t="s">
        <v>2703</v>
      </c>
      <c r="D1603" s="2" t="s">
        <v>873</v>
      </c>
      <c r="E1603" s="2" t="s">
        <v>876</v>
      </c>
      <c r="F1603" s="2">
        <v>392.0</v>
      </c>
      <c r="G1603" s="2">
        <v>7.21</v>
      </c>
      <c r="H1603" s="2">
        <v>54.4</v>
      </c>
      <c r="I1603" s="2" t="s">
        <v>47</v>
      </c>
    </row>
    <row r="1604" ht="15.75" customHeight="1">
      <c r="A1604" s="2" t="s">
        <v>2988</v>
      </c>
      <c r="B1604" s="2" t="s">
        <v>2989</v>
      </c>
      <c r="C1604" s="2" t="s">
        <v>2703</v>
      </c>
      <c r="D1604" s="2" t="s">
        <v>977</v>
      </c>
      <c r="E1604" s="2" t="s">
        <v>978</v>
      </c>
      <c r="F1604" s="2">
        <v>1050.0</v>
      </c>
      <c r="G1604" s="2">
        <v>10.52</v>
      </c>
      <c r="H1604" s="2">
        <v>99.8</v>
      </c>
      <c r="I1604" s="2" t="s">
        <v>27</v>
      </c>
    </row>
    <row r="1605" ht="15.75" customHeight="1">
      <c r="A1605" s="2" t="s">
        <v>2990</v>
      </c>
      <c r="B1605" s="2" t="s">
        <v>2991</v>
      </c>
      <c r="C1605" s="2" t="s">
        <v>2703</v>
      </c>
      <c r="D1605" s="2" t="s">
        <v>917</v>
      </c>
      <c r="E1605" s="2" t="s">
        <v>918</v>
      </c>
      <c r="F1605" s="2">
        <v>592.0</v>
      </c>
      <c r="G1605" s="2">
        <v>3.77</v>
      </c>
      <c r="H1605" s="2">
        <v>157.0</v>
      </c>
      <c r="I1605" s="2" t="s">
        <v>27</v>
      </c>
    </row>
    <row r="1606" ht="15.75" customHeight="1">
      <c r="A1606" s="2" t="s">
        <v>5177</v>
      </c>
      <c r="B1606" s="2" t="s">
        <v>5179</v>
      </c>
      <c r="C1606" s="2" t="s">
        <v>2703</v>
      </c>
      <c r="D1606" s="2" t="s">
        <v>993</v>
      </c>
      <c r="E1606" s="2" t="s">
        <v>994</v>
      </c>
      <c r="F1606" s="2">
        <v>210.0</v>
      </c>
      <c r="G1606" s="2">
        <v>6.43</v>
      </c>
      <c r="H1606" s="2">
        <v>32.7</v>
      </c>
      <c r="I1606" s="2" t="s">
        <v>47</v>
      </c>
    </row>
    <row r="1607" ht="15.75" customHeight="1">
      <c r="A1607" s="2" t="s">
        <v>2993</v>
      </c>
      <c r="B1607" s="2" t="s">
        <v>2995</v>
      </c>
      <c r="C1607" s="2" t="s">
        <v>2703</v>
      </c>
      <c r="D1607" s="2" t="s">
        <v>1019</v>
      </c>
      <c r="E1607" s="2" t="s">
        <v>1021</v>
      </c>
      <c r="F1607" s="2">
        <v>809.0</v>
      </c>
      <c r="G1607" s="2">
        <v>6.92</v>
      </c>
      <c r="H1607" s="2">
        <v>116.9</v>
      </c>
      <c r="I1607" s="2" t="s">
        <v>27</v>
      </c>
    </row>
    <row r="1608" ht="15.75" customHeight="1">
      <c r="A1608" s="2" t="s">
        <v>2996</v>
      </c>
      <c r="B1608" s="2" t="s">
        <v>2997</v>
      </c>
      <c r="C1608" s="2" t="s">
        <v>2703</v>
      </c>
      <c r="D1608" s="2" t="s">
        <v>1060</v>
      </c>
      <c r="E1608" s="2" t="s">
        <v>1062</v>
      </c>
      <c r="F1608" s="2">
        <v>581.0</v>
      </c>
      <c r="G1608" s="2">
        <v>5.34</v>
      </c>
      <c r="H1608" s="2">
        <v>108.8</v>
      </c>
      <c r="I1608" s="2" t="s">
        <v>27</v>
      </c>
    </row>
    <row r="1609" ht="15.75" customHeight="1">
      <c r="A1609" s="2" t="s">
        <v>5185</v>
      </c>
      <c r="B1609" s="2" t="s">
        <v>5188</v>
      </c>
      <c r="C1609" s="2" t="s">
        <v>2703</v>
      </c>
      <c r="D1609" s="2" t="s">
        <v>917</v>
      </c>
      <c r="E1609" s="2" t="s">
        <v>918</v>
      </c>
      <c r="F1609" s="2">
        <v>171.0</v>
      </c>
      <c r="G1609" s="2">
        <v>2.62</v>
      </c>
      <c r="H1609" s="2">
        <v>65.3</v>
      </c>
      <c r="I1609" s="2" t="s">
        <v>47</v>
      </c>
    </row>
    <row r="1610" ht="15.75" customHeight="1">
      <c r="A1610" s="2" t="s">
        <v>2998</v>
      </c>
      <c r="B1610" s="2" t="s">
        <v>2999</v>
      </c>
      <c r="C1610" s="2" t="s">
        <v>2703</v>
      </c>
      <c r="D1610" s="2" t="s">
        <v>865</v>
      </c>
      <c r="E1610" s="2" t="s">
        <v>866</v>
      </c>
      <c r="F1610" s="2">
        <v>3915.0</v>
      </c>
      <c r="G1610" s="2">
        <v>7.04</v>
      </c>
      <c r="H1610" s="2">
        <v>556.1</v>
      </c>
      <c r="I1610" s="2" t="s">
        <v>138</v>
      </c>
    </row>
    <row r="1611" ht="15.75" customHeight="1">
      <c r="A1611" s="2" t="s">
        <v>3002</v>
      </c>
      <c r="B1611" s="2" t="s">
        <v>3003</v>
      </c>
      <c r="C1611" s="2" t="s">
        <v>2703</v>
      </c>
      <c r="D1611" s="2" t="s">
        <v>785</v>
      </c>
      <c r="E1611" s="2" t="s">
        <v>787</v>
      </c>
      <c r="F1611" s="2">
        <v>803.0</v>
      </c>
      <c r="G1611" s="2">
        <v>6.35</v>
      </c>
      <c r="H1611" s="2">
        <v>126.5</v>
      </c>
      <c r="I1611" s="2" t="s">
        <v>27</v>
      </c>
    </row>
    <row r="1612" ht="15.75" customHeight="1">
      <c r="A1612" s="2" t="s">
        <v>3005</v>
      </c>
      <c r="B1612" s="2" t="s">
        <v>3007</v>
      </c>
      <c r="C1612" s="2" t="s">
        <v>2703</v>
      </c>
      <c r="D1612" s="2" t="s">
        <v>977</v>
      </c>
      <c r="E1612" s="2" t="s">
        <v>978</v>
      </c>
      <c r="F1612" s="2">
        <v>225.0</v>
      </c>
      <c r="G1612" s="2">
        <v>4.85</v>
      </c>
      <c r="H1612" s="2">
        <v>46.4</v>
      </c>
      <c r="I1612" s="2" t="s">
        <v>47</v>
      </c>
    </row>
    <row r="1613" ht="15.75" customHeight="1">
      <c r="A1613" s="2" t="s">
        <v>3009</v>
      </c>
      <c r="B1613" s="2" t="s">
        <v>3011</v>
      </c>
      <c r="C1613" s="2" t="s">
        <v>2703</v>
      </c>
      <c r="D1613" s="2" t="s">
        <v>785</v>
      </c>
      <c r="E1613" s="2" t="s">
        <v>787</v>
      </c>
      <c r="F1613" s="2">
        <v>36301.0</v>
      </c>
      <c r="G1613" s="2">
        <v>11.07</v>
      </c>
      <c r="H1613" s="2">
        <v>3279.2</v>
      </c>
      <c r="I1613" s="2" t="s">
        <v>805</v>
      </c>
    </row>
    <row r="1614" ht="15.75" customHeight="1">
      <c r="A1614" s="2" t="s">
        <v>5203</v>
      </c>
      <c r="B1614" s="2" t="s">
        <v>5204</v>
      </c>
      <c r="C1614" s="2" t="s">
        <v>2703</v>
      </c>
      <c r="D1614" s="2" t="s">
        <v>993</v>
      </c>
      <c r="E1614" s="2" t="s">
        <v>994</v>
      </c>
      <c r="F1614" s="2">
        <v>435.0</v>
      </c>
      <c r="G1614" s="2">
        <v>6.55</v>
      </c>
      <c r="H1614" s="2">
        <v>66.4</v>
      </c>
      <c r="I1614" s="2" t="s">
        <v>47</v>
      </c>
    </row>
    <row r="1615" ht="15.75" customHeight="1">
      <c r="A1615" s="2" t="s">
        <v>3013</v>
      </c>
      <c r="B1615" s="2" t="s">
        <v>3014</v>
      </c>
      <c r="C1615" s="2" t="s">
        <v>2703</v>
      </c>
      <c r="D1615" s="2" t="s">
        <v>883</v>
      </c>
      <c r="E1615" s="2" t="s">
        <v>885</v>
      </c>
      <c r="F1615" s="2">
        <v>488.0</v>
      </c>
      <c r="G1615" s="2">
        <v>8.62</v>
      </c>
      <c r="H1615" s="2">
        <v>56.6</v>
      </c>
      <c r="I1615" s="2" t="s">
        <v>47</v>
      </c>
    </row>
    <row r="1616" ht="15.75" customHeight="1">
      <c r="A1616" s="2" t="s">
        <v>3016</v>
      </c>
      <c r="B1616" s="2" t="s">
        <v>3017</v>
      </c>
      <c r="C1616" s="2" t="s">
        <v>2703</v>
      </c>
      <c r="D1616" s="2" t="s">
        <v>985</v>
      </c>
      <c r="E1616" s="2" t="s">
        <v>988</v>
      </c>
      <c r="F1616" s="2">
        <v>917.0</v>
      </c>
      <c r="G1616" s="2">
        <v>10.67</v>
      </c>
      <c r="H1616" s="2">
        <v>85.9</v>
      </c>
      <c r="I1616" s="2" t="s">
        <v>27</v>
      </c>
    </row>
    <row r="1617" ht="15.75" customHeight="1">
      <c r="A1617" s="2" t="s">
        <v>5221</v>
      </c>
      <c r="B1617" s="2" t="s">
        <v>5224</v>
      </c>
      <c r="C1617" s="2" t="s">
        <v>2703</v>
      </c>
      <c r="D1617" s="2" t="s">
        <v>873</v>
      </c>
      <c r="E1617" s="2" t="s">
        <v>876</v>
      </c>
      <c r="F1617" s="2">
        <v>231.0</v>
      </c>
      <c r="G1617" s="2">
        <v>11.06</v>
      </c>
      <c r="H1617" s="2">
        <v>20.9</v>
      </c>
      <c r="I1617" s="2" t="s">
        <v>47</v>
      </c>
    </row>
    <row r="1618" ht="15.75" customHeight="1">
      <c r="A1618" s="2" t="s">
        <v>5227</v>
      </c>
      <c r="B1618" s="2" t="s">
        <v>5228</v>
      </c>
      <c r="C1618" s="2" t="s">
        <v>2703</v>
      </c>
      <c r="D1618" s="2" t="s">
        <v>917</v>
      </c>
      <c r="E1618" s="2" t="s">
        <v>918</v>
      </c>
      <c r="F1618" s="2">
        <v>203.0</v>
      </c>
      <c r="G1618" s="2">
        <v>3.28</v>
      </c>
      <c r="H1618" s="2">
        <v>61.9</v>
      </c>
      <c r="I1618" s="2" t="s">
        <v>47</v>
      </c>
    </row>
    <row r="1619" ht="15.75" customHeight="1">
      <c r="A1619" s="2" t="s">
        <v>3018</v>
      </c>
      <c r="B1619" s="2" t="s">
        <v>3021</v>
      </c>
      <c r="C1619" s="2" t="s">
        <v>2703</v>
      </c>
      <c r="D1619" s="2" t="s">
        <v>1076</v>
      </c>
      <c r="E1619" s="2" t="s">
        <v>1078</v>
      </c>
      <c r="F1619" s="2">
        <v>1092.0</v>
      </c>
      <c r="G1619" s="2">
        <v>5.88</v>
      </c>
      <c r="H1619" s="2">
        <v>185.7</v>
      </c>
      <c r="I1619" s="2" t="s">
        <v>27</v>
      </c>
    </row>
    <row r="1620" ht="15.75" customHeight="1">
      <c r="A1620" s="2" t="s">
        <v>3022</v>
      </c>
      <c r="B1620" s="2" t="s">
        <v>3025</v>
      </c>
      <c r="C1620" s="2" t="s">
        <v>2703</v>
      </c>
      <c r="D1620" s="2" t="s">
        <v>817</v>
      </c>
      <c r="E1620" s="2" t="s">
        <v>818</v>
      </c>
      <c r="F1620" s="2">
        <v>3462.0</v>
      </c>
      <c r="G1620" s="2">
        <v>12.33</v>
      </c>
      <c r="H1620" s="2">
        <v>280.8</v>
      </c>
      <c r="I1620" s="2" t="s">
        <v>138</v>
      </c>
    </row>
    <row r="1621" ht="15.75" customHeight="1">
      <c r="A1621" s="2" t="s">
        <v>5209</v>
      </c>
      <c r="B1621" s="2" t="s">
        <v>5211</v>
      </c>
      <c r="C1621" s="2" t="s">
        <v>2703</v>
      </c>
      <c r="D1621" s="2" t="s">
        <v>993</v>
      </c>
      <c r="E1621" s="2" t="s">
        <v>994</v>
      </c>
      <c r="F1621" s="2">
        <v>159.0</v>
      </c>
      <c r="G1621" s="2">
        <v>3.32</v>
      </c>
      <c r="H1621" s="2">
        <v>47.9</v>
      </c>
      <c r="I1621" s="2" t="s">
        <v>47</v>
      </c>
    </row>
    <row r="1622" ht="15.75" customHeight="1">
      <c r="A1622" s="2" t="s">
        <v>3026</v>
      </c>
      <c r="B1622" s="2" t="s">
        <v>3027</v>
      </c>
      <c r="C1622" s="2" t="s">
        <v>2703</v>
      </c>
      <c r="D1622" s="2" t="s">
        <v>973</v>
      </c>
      <c r="E1622" s="2" t="s">
        <v>974</v>
      </c>
      <c r="F1622" s="2">
        <v>14351.0</v>
      </c>
      <c r="G1622" s="2">
        <v>16.46</v>
      </c>
      <c r="H1622" s="2">
        <v>871.9</v>
      </c>
      <c r="I1622" s="2" t="s">
        <v>805</v>
      </c>
    </row>
    <row r="1623" ht="15.75" customHeight="1">
      <c r="A1623" s="2" t="s">
        <v>5233</v>
      </c>
      <c r="B1623" s="2" t="s">
        <v>5234</v>
      </c>
      <c r="C1623" s="2" t="s">
        <v>2703</v>
      </c>
      <c r="D1623" s="2" t="s">
        <v>993</v>
      </c>
      <c r="E1623" s="2" t="s">
        <v>994</v>
      </c>
      <c r="F1623" s="2">
        <v>274.0</v>
      </c>
      <c r="G1623" s="2">
        <v>6.29</v>
      </c>
      <c r="H1623" s="2">
        <v>43.6</v>
      </c>
      <c r="I1623" s="2" t="s">
        <v>47</v>
      </c>
    </row>
    <row r="1624" ht="15.75" customHeight="1">
      <c r="A1624" s="2" t="s">
        <v>3029</v>
      </c>
      <c r="B1624" s="2" t="s">
        <v>3031</v>
      </c>
      <c r="C1624" s="2" t="s">
        <v>2703</v>
      </c>
      <c r="D1624" s="2" t="s">
        <v>957</v>
      </c>
      <c r="E1624" s="2" t="s">
        <v>958</v>
      </c>
      <c r="F1624" s="2">
        <v>987.0</v>
      </c>
      <c r="G1624" s="2">
        <v>9.83</v>
      </c>
      <c r="H1624" s="2">
        <v>100.4</v>
      </c>
      <c r="I1624" s="2" t="s">
        <v>27</v>
      </c>
    </row>
    <row r="1625" ht="15.75" customHeight="1">
      <c r="A1625" s="2" t="s">
        <v>3034</v>
      </c>
      <c r="B1625" s="2" t="s">
        <v>3035</v>
      </c>
      <c r="C1625" s="2" t="s">
        <v>2703</v>
      </c>
      <c r="D1625" s="2" t="s">
        <v>917</v>
      </c>
      <c r="E1625" s="2" t="s">
        <v>918</v>
      </c>
      <c r="F1625" s="2">
        <v>2042.0</v>
      </c>
      <c r="G1625" s="2">
        <v>10.08</v>
      </c>
      <c r="H1625" s="2">
        <v>202.6</v>
      </c>
      <c r="I1625" s="2" t="s">
        <v>138</v>
      </c>
    </row>
    <row r="1626" ht="15.75" customHeight="1">
      <c r="A1626" s="2" t="s">
        <v>3038</v>
      </c>
      <c r="B1626" s="2" t="s">
        <v>3039</v>
      </c>
      <c r="C1626" s="2" t="s">
        <v>2703</v>
      </c>
      <c r="D1626" s="2" t="s">
        <v>985</v>
      </c>
      <c r="E1626" s="2" t="s">
        <v>988</v>
      </c>
      <c r="F1626" s="2">
        <v>949.0</v>
      </c>
      <c r="G1626" s="2">
        <v>10.84</v>
      </c>
      <c r="H1626" s="2">
        <v>87.5</v>
      </c>
      <c r="I1626" s="2" t="s">
        <v>27</v>
      </c>
    </row>
    <row r="1627" ht="15.75" customHeight="1">
      <c r="A1627" s="2" t="s">
        <v>3042</v>
      </c>
      <c r="B1627" s="2" t="s">
        <v>3043</v>
      </c>
      <c r="C1627" s="2" t="s">
        <v>2703</v>
      </c>
      <c r="D1627" s="2" t="s">
        <v>973</v>
      </c>
      <c r="E1627" s="2" t="s">
        <v>974</v>
      </c>
      <c r="F1627" s="2">
        <v>323.0</v>
      </c>
      <c r="G1627" s="2">
        <v>7.34</v>
      </c>
      <c r="H1627" s="2">
        <v>44.0</v>
      </c>
      <c r="I1627" s="2" t="s">
        <v>47</v>
      </c>
    </row>
    <row r="1628" ht="15.75" customHeight="1">
      <c r="A1628" s="2" t="s">
        <v>3045</v>
      </c>
      <c r="B1628" s="2" t="s">
        <v>3046</v>
      </c>
      <c r="C1628" s="2" t="s">
        <v>2703</v>
      </c>
      <c r="D1628" s="2" t="s">
        <v>977</v>
      </c>
      <c r="E1628" s="2" t="s">
        <v>978</v>
      </c>
      <c r="F1628" s="2">
        <v>620.0</v>
      </c>
      <c r="G1628" s="2">
        <v>8.59</v>
      </c>
      <c r="H1628" s="2">
        <v>72.2</v>
      </c>
      <c r="I1628" s="2" t="s">
        <v>27</v>
      </c>
    </row>
    <row r="1629" ht="15.75" customHeight="1">
      <c r="A1629" s="2" t="s">
        <v>5247</v>
      </c>
      <c r="B1629" s="2" t="s">
        <v>5249</v>
      </c>
      <c r="C1629" s="2" t="s">
        <v>2703</v>
      </c>
      <c r="D1629" s="2" t="s">
        <v>977</v>
      </c>
      <c r="E1629" s="2" t="s">
        <v>978</v>
      </c>
      <c r="F1629" s="2">
        <v>215.0</v>
      </c>
      <c r="G1629" s="2">
        <v>4.33</v>
      </c>
      <c r="H1629" s="2">
        <v>49.7</v>
      </c>
      <c r="I1629" s="2" t="s">
        <v>47</v>
      </c>
    </row>
    <row r="1630" ht="15.75" customHeight="1">
      <c r="A1630" s="2" t="s">
        <v>5251</v>
      </c>
      <c r="B1630" s="2" t="s">
        <v>5253</v>
      </c>
      <c r="C1630" s="2" t="s">
        <v>2703</v>
      </c>
      <c r="D1630" s="2" t="s">
        <v>883</v>
      </c>
      <c r="E1630" s="2" t="s">
        <v>885</v>
      </c>
      <c r="F1630" s="2">
        <v>198.0</v>
      </c>
      <c r="G1630" s="2">
        <v>8.55</v>
      </c>
      <c r="H1630" s="2">
        <v>23.2</v>
      </c>
      <c r="I1630" s="2" t="s">
        <v>47</v>
      </c>
    </row>
    <row r="1631" ht="15.75" customHeight="1">
      <c r="A1631" s="2" t="s">
        <v>3047</v>
      </c>
      <c r="B1631" s="2" t="s">
        <v>3048</v>
      </c>
      <c r="C1631" s="2" t="s">
        <v>2703</v>
      </c>
      <c r="D1631" s="2" t="s">
        <v>883</v>
      </c>
      <c r="E1631" s="2" t="s">
        <v>885</v>
      </c>
      <c r="F1631" s="2">
        <v>239.0</v>
      </c>
      <c r="G1631" s="2">
        <v>14.44</v>
      </c>
      <c r="H1631" s="2">
        <v>16.6</v>
      </c>
      <c r="I1631" s="2" t="s">
        <v>47</v>
      </c>
    </row>
    <row r="1632" ht="15.75" customHeight="1">
      <c r="A1632" s="2" t="s">
        <v>5258</v>
      </c>
      <c r="B1632" s="2" t="s">
        <v>5260</v>
      </c>
      <c r="C1632" s="2" t="s">
        <v>2703</v>
      </c>
      <c r="D1632" s="2" t="s">
        <v>1019</v>
      </c>
      <c r="E1632" s="2" t="s">
        <v>1021</v>
      </c>
      <c r="F1632" s="2">
        <v>537.0</v>
      </c>
      <c r="G1632" s="2">
        <v>8.02</v>
      </c>
      <c r="H1632" s="2">
        <v>67.0</v>
      </c>
      <c r="I1632" s="2" t="s">
        <v>27</v>
      </c>
    </row>
    <row r="1633" ht="15.75" customHeight="1">
      <c r="A1633" s="2" t="s">
        <v>3051</v>
      </c>
      <c r="B1633" s="2" t="s">
        <v>3052</v>
      </c>
      <c r="C1633" s="2" t="s">
        <v>2703</v>
      </c>
      <c r="D1633" s="2" t="s">
        <v>1076</v>
      </c>
      <c r="E1633" s="2" t="s">
        <v>1078</v>
      </c>
      <c r="F1633" s="2">
        <v>987.0</v>
      </c>
      <c r="G1633" s="2">
        <v>10.42</v>
      </c>
      <c r="H1633" s="2">
        <v>94.7</v>
      </c>
      <c r="I1633" s="2" t="s">
        <v>27</v>
      </c>
    </row>
    <row r="1634" ht="15.75" customHeight="1">
      <c r="A1634" s="2" t="s">
        <v>3053</v>
      </c>
      <c r="B1634" s="2" t="s">
        <v>3054</v>
      </c>
      <c r="C1634" s="2" t="s">
        <v>2703</v>
      </c>
      <c r="D1634" s="2" t="s">
        <v>977</v>
      </c>
      <c r="E1634" s="2" t="s">
        <v>978</v>
      </c>
      <c r="F1634" s="2">
        <v>376.0</v>
      </c>
      <c r="G1634" s="2">
        <v>8.31</v>
      </c>
      <c r="H1634" s="2">
        <v>45.2</v>
      </c>
      <c r="I1634" s="2" t="s">
        <v>47</v>
      </c>
    </row>
    <row r="1635" ht="15.75" customHeight="1">
      <c r="A1635" s="2" t="s">
        <v>3057</v>
      </c>
      <c r="B1635" s="2" t="s">
        <v>3058</v>
      </c>
      <c r="C1635" s="2" t="s">
        <v>2703</v>
      </c>
      <c r="D1635" s="2" t="s">
        <v>993</v>
      </c>
      <c r="E1635" s="2" t="s">
        <v>994</v>
      </c>
      <c r="F1635" s="2">
        <v>310.0</v>
      </c>
      <c r="G1635" s="2">
        <v>2.74</v>
      </c>
      <c r="H1635" s="2">
        <v>113.1</v>
      </c>
      <c r="I1635" s="2" t="s">
        <v>47</v>
      </c>
    </row>
    <row r="1636" ht="15.75" customHeight="1">
      <c r="A1636" s="2" t="s">
        <v>3059</v>
      </c>
      <c r="B1636" s="2" t="s">
        <v>3060</v>
      </c>
      <c r="C1636" s="2" t="s">
        <v>2703</v>
      </c>
      <c r="D1636" s="2" t="s">
        <v>993</v>
      </c>
      <c r="E1636" s="2" t="s">
        <v>994</v>
      </c>
      <c r="F1636" s="2">
        <v>248.0</v>
      </c>
      <c r="G1636" s="2">
        <v>2.76</v>
      </c>
      <c r="H1636" s="2">
        <v>89.9</v>
      </c>
      <c r="I1636" s="2" t="s">
        <v>47</v>
      </c>
    </row>
    <row r="1637" ht="15.75" customHeight="1">
      <c r="A1637" s="2" t="s">
        <v>5270</v>
      </c>
      <c r="B1637" s="2" t="s">
        <v>5272</v>
      </c>
      <c r="C1637" s="2" t="s">
        <v>2703</v>
      </c>
      <c r="D1637" s="2" t="s">
        <v>873</v>
      </c>
      <c r="E1637" s="2" t="s">
        <v>876</v>
      </c>
      <c r="F1637" s="2">
        <v>250.0</v>
      </c>
      <c r="G1637" s="2">
        <v>6.12</v>
      </c>
      <c r="H1637" s="2">
        <v>40.8</v>
      </c>
      <c r="I1637" s="2" t="s">
        <v>47</v>
      </c>
    </row>
    <row r="1638" ht="15.75" customHeight="1">
      <c r="A1638" s="2" t="s">
        <v>5279</v>
      </c>
      <c r="B1638" s="2" t="s">
        <v>5281</v>
      </c>
      <c r="C1638" s="2" t="s">
        <v>2703</v>
      </c>
      <c r="D1638" s="2" t="s">
        <v>973</v>
      </c>
      <c r="E1638" s="2" t="s">
        <v>974</v>
      </c>
      <c r="F1638" s="2">
        <v>412.0</v>
      </c>
      <c r="G1638" s="2">
        <v>8.58</v>
      </c>
      <c r="H1638" s="2">
        <v>48.0</v>
      </c>
      <c r="I1638" s="2" t="s">
        <v>47</v>
      </c>
    </row>
    <row r="1639" ht="15.75" customHeight="1">
      <c r="A1639" s="2" t="s">
        <v>3061</v>
      </c>
      <c r="B1639" s="2" t="s">
        <v>3062</v>
      </c>
      <c r="C1639" s="2" t="s">
        <v>2703</v>
      </c>
      <c r="D1639" s="2" t="s">
        <v>1076</v>
      </c>
      <c r="E1639" s="2" t="s">
        <v>1078</v>
      </c>
      <c r="F1639" s="2">
        <v>1603.0</v>
      </c>
      <c r="G1639" s="2">
        <v>4.38</v>
      </c>
      <c r="H1639" s="2">
        <v>366.0</v>
      </c>
      <c r="I1639" s="2" t="s">
        <v>27</v>
      </c>
    </row>
    <row r="1640" ht="15.75" customHeight="1">
      <c r="A1640" s="2" t="s">
        <v>3063</v>
      </c>
      <c r="B1640" s="2" t="s">
        <v>3064</v>
      </c>
      <c r="C1640" s="2" t="s">
        <v>2703</v>
      </c>
      <c r="D1640" s="2" t="s">
        <v>973</v>
      </c>
      <c r="E1640" s="2" t="s">
        <v>974</v>
      </c>
      <c r="F1640" s="2">
        <v>906.0</v>
      </c>
      <c r="G1640" s="2">
        <v>16.69</v>
      </c>
      <c r="H1640" s="2">
        <v>54.3</v>
      </c>
      <c r="I1640" s="2" t="s">
        <v>27</v>
      </c>
    </row>
    <row r="1641" ht="15.75" customHeight="1">
      <c r="A1641" s="2" t="s">
        <v>5314</v>
      </c>
      <c r="B1641" s="2" t="s">
        <v>5316</v>
      </c>
      <c r="C1641" s="2" t="s">
        <v>2703</v>
      </c>
      <c r="D1641" s="2" t="s">
        <v>883</v>
      </c>
      <c r="E1641" s="2" t="s">
        <v>885</v>
      </c>
      <c r="F1641" s="2">
        <v>172.0</v>
      </c>
      <c r="G1641" s="2">
        <v>9.03</v>
      </c>
      <c r="H1641" s="2">
        <v>19.0</v>
      </c>
      <c r="I1641" s="2" t="s">
        <v>47</v>
      </c>
    </row>
    <row r="1642" ht="15.75" customHeight="1">
      <c r="A1642" s="2" t="s">
        <v>5318</v>
      </c>
      <c r="B1642" s="2" t="s">
        <v>5320</v>
      </c>
      <c r="C1642" s="2" t="s">
        <v>2703</v>
      </c>
      <c r="D1642" s="2" t="s">
        <v>943</v>
      </c>
      <c r="E1642" s="2" t="s">
        <v>945</v>
      </c>
      <c r="F1642" s="2">
        <v>589.0</v>
      </c>
      <c r="G1642" s="2">
        <v>5.92</v>
      </c>
      <c r="H1642" s="2">
        <v>99.5</v>
      </c>
      <c r="I1642" s="2" t="s">
        <v>27</v>
      </c>
    </row>
    <row r="1643" ht="15.75" customHeight="1">
      <c r="A1643" s="2" t="s">
        <v>5323</v>
      </c>
      <c r="B1643" s="2" t="s">
        <v>5324</v>
      </c>
      <c r="C1643" s="2" t="s">
        <v>2703</v>
      </c>
      <c r="D1643" s="2" t="s">
        <v>993</v>
      </c>
      <c r="E1643" s="2" t="s">
        <v>994</v>
      </c>
      <c r="F1643" s="2">
        <v>185.0</v>
      </c>
      <c r="G1643" s="2">
        <v>3.79</v>
      </c>
      <c r="H1643" s="2">
        <v>48.8</v>
      </c>
      <c r="I1643" s="2" t="s">
        <v>47</v>
      </c>
    </row>
    <row r="1644" ht="15.75" customHeight="1">
      <c r="A1644" s="2" t="s">
        <v>5327</v>
      </c>
      <c r="B1644" s="2" t="s">
        <v>5328</v>
      </c>
      <c r="C1644" s="2" t="s">
        <v>2703</v>
      </c>
      <c r="D1644" s="2" t="s">
        <v>883</v>
      </c>
      <c r="E1644" s="2" t="s">
        <v>885</v>
      </c>
      <c r="F1644" s="2">
        <v>226.0</v>
      </c>
      <c r="G1644" s="2">
        <v>11.76</v>
      </c>
      <c r="H1644" s="2">
        <v>19.2</v>
      </c>
      <c r="I1644" s="2" t="s">
        <v>47</v>
      </c>
    </row>
    <row r="1645" ht="15.75" customHeight="1">
      <c r="A1645" s="2" t="s">
        <v>3065</v>
      </c>
      <c r="B1645" s="2" t="s">
        <v>3066</v>
      </c>
      <c r="C1645" s="2" t="s">
        <v>2703</v>
      </c>
      <c r="D1645" s="2" t="s">
        <v>927</v>
      </c>
      <c r="E1645" s="2" t="s">
        <v>928</v>
      </c>
      <c r="F1645" s="2">
        <v>1623.0</v>
      </c>
      <c r="G1645" s="2">
        <v>7.73</v>
      </c>
      <c r="H1645" s="2">
        <v>210.0</v>
      </c>
      <c r="I1645" s="2" t="s">
        <v>27</v>
      </c>
    </row>
    <row r="1646" ht="15.75" customHeight="1">
      <c r="A1646" s="2" t="s">
        <v>5335</v>
      </c>
      <c r="B1646" s="2" t="s">
        <v>5336</v>
      </c>
      <c r="C1646" s="2" t="s">
        <v>2703</v>
      </c>
      <c r="D1646" s="2" t="s">
        <v>883</v>
      </c>
      <c r="E1646" s="2" t="s">
        <v>885</v>
      </c>
      <c r="F1646" s="2">
        <v>176.0</v>
      </c>
      <c r="G1646" s="2">
        <v>3.36</v>
      </c>
      <c r="H1646" s="2">
        <v>52.4</v>
      </c>
      <c r="I1646" s="2" t="s">
        <v>47</v>
      </c>
    </row>
    <row r="1647" ht="15.75" customHeight="1">
      <c r="A1647" s="2" t="s">
        <v>5339</v>
      </c>
      <c r="B1647" s="2" t="s">
        <v>5342</v>
      </c>
      <c r="C1647" s="2" t="s">
        <v>2703</v>
      </c>
      <c r="D1647" s="2" t="s">
        <v>957</v>
      </c>
      <c r="E1647" s="2" t="s">
        <v>958</v>
      </c>
      <c r="F1647" s="2">
        <v>507.0</v>
      </c>
      <c r="G1647" s="2">
        <v>6.05</v>
      </c>
      <c r="H1647" s="2">
        <v>83.8</v>
      </c>
      <c r="I1647" s="2" t="s">
        <v>27</v>
      </c>
    </row>
    <row r="1648" ht="15.75" customHeight="1">
      <c r="A1648" s="2" t="s">
        <v>3067</v>
      </c>
      <c r="B1648" s="2" t="s">
        <v>3068</v>
      </c>
      <c r="C1648" s="2" t="s">
        <v>2703</v>
      </c>
      <c r="D1648" s="2" t="s">
        <v>873</v>
      </c>
      <c r="E1648" s="2" t="s">
        <v>876</v>
      </c>
      <c r="F1648" s="2">
        <v>732.0</v>
      </c>
      <c r="G1648" s="2">
        <v>9.87</v>
      </c>
      <c r="H1648" s="2">
        <v>74.2</v>
      </c>
      <c r="I1648" s="2" t="s">
        <v>27</v>
      </c>
    </row>
    <row r="1649" ht="15.75" customHeight="1">
      <c r="A1649" s="2" t="s">
        <v>3069</v>
      </c>
      <c r="B1649" s="2" t="s">
        <v>3070</v>
      </c>
      <c r="C1649" s="2" t="s">
        <v>2703</v>
      </c>
      <c r="D1649" s="2" t="s">
        <v>993</v>
      </c>
      <c r="E1649" s="2" t="s">
        <v>994</v>
      </c>
      <c r="F1649" s="2">
        <v>505.0</v>
      </c>
      <c r="G1649" s="2">
        <v>13.64</v>
      </c>
      <c r="H1649" s="2">
        <v>37.0</v>
      </c>
      <c r="I1649" s="2" t="s">
        <v>27</v>
      </c>
    </row>
    <row r="1650" ht="15.75" customHeight="1">
      <c r="A1650" s="2" t="s">
        <v>3071</v>
      </c>
      <c r="B1650" s="2" t="s">
        <v>3072</v>
      </c>
      <c r="C1650" s="2" t="s">
        <v>2703</v>
      </c>
      <c r="D1650" s="2" t="s">
        <v>886</v>
      </c>
      <c r="E1650" s="2" t="s">
        <v>887</v>
      </c>
      <c r="F1650" s="2">
        <v>3664.0</v>
      </c>
      <c r="G1650" s="2">
        <v>8.11</v>
      </c>
      <c r="H1650" s="2">
        <v>451.8</v>
      </c>
      <c r="I1650" s="2" t="s">
        <v>138</v>
      </c>
    </row>
    <row r="1651" ht="15.75" customHeight="1">
      <c r="A1651" s="2" t="s">
        <v>5367</v>
      </c>
      <c r="B1651" s="2" t="s">
        <v>5369</v>
      </c>
      <c r="C1651" s="2" t="s">
        <v>2703</v>
      </c>
      <c r="D1651" s="2" t="s">
        <v>1019</v>
      </c>
      <c r="E1651" s="2" t="s">
        <v>1021</v>
      </c>
      <c r="F1651" s="2">
        <v>473.0</v>
      </c>
      <c r="G1651" s="2">
        <v>8.6</v>
      </c>
      <c r="H1651" s="2">
        <v>55.0</v>
      </c>
      <c r="I1651" s="2" t="s">
        <v>47</v>
      </c>
    </row>
    <row r="1652" ht="15.75" customHeight="1">
      <c r="A1652" s="2" t="s">
        <v>5375</v>
      </c>
      <c r="B1652" s="2" t="s">
        <v>5376</v>
      </c>
      <c r="C1652" s="2" t="s">
        <v>2703</v>
      </c>
      <c r="D1652" s="2" t="s">
        <v>973</v>
      </c>
      <c r="E1652" s="2" t="s">
        <v>974</v>
      </c>
      <c r="F1652" s="2">
        <v>465.0</v>
      </c>
      <c r="G1652" s="2">
        <v>11.54</v>
      </c>
      <c r="H1652" s="2">
        <v>40.3</v>
      </c>
      <c r="I1652" s="2" t="s">
        <v>47</v>
      </c>
    </row>
    <row r="1653" ht="15.75" customHeight="1">
      <c r="A1653" s="2" t="s">
        <v>5377</v>
      </c>
      <c r="B1653" s="2" t="s">
        <v>5378</v>
      </c>
      <c r="C1653" s="2" t="s">
        <v>2703</v>
      </c>
      <c r="D1653" s="2" t="s">
        <v>993</v>
      </c>
      <c r="E1653" s="2" t="s">
        <v>994</v>
      </c>
      <c r="F1653" s="2">
        <v>435.0</v>
      </c>
      <c r="G1653" s="2">
        <v>4.83</v>
      </c>
      <c r="H1653" s="2">
        <v>90.1</v>
      </c>
      <c r="I1653" s="2" t="s">
        <v>47</v>
      </c>
    </row>
    <row r="1654" ht="15.75" customHeight="1">
      <c r="A1654" s="2" t="s">
        <v>3073</v>
      </c>
      <c r="B1654" s="2" t="s">
        <v>3074</v>
      </c>
      <c r="C1654" s="2" t="s">
        <v>2703</v>
      </c>
      <c r="D1654" s="2" t="s">
        <v>883</v>
      </c>
      <c r="E1654" s="2" t="s">
        <v>885</v>
      </c>
      <c r="F1654" s="2">
        <v>1437.0</v>
      </c>
      <c r="G1654" s="2">
        <v>12.23</v>
      </c>
      <c r="H1654" s="2">
        <v>117.5</v>
      </c>
      <c r="I1654" s="2" t="s">
        <v>27</v>
      </c>
    </row>
    <row r="1655" ht="15.75" customHeight="1">
      <c r="A1655" s="2" t="s">
        <v>3075</v>
      </c>
      <c r="B1655" s="2" t="s">
        <v>3076</v>
      </c>
      <c r="C1655" s="2" t="s">
        <v>2703</v>
      </c>
      <c r="D1655" s="2" t="s">
        <v>943</v>
      </c>
      <c r="E1655" s="2" t="s">
        <v>945</v>
      </c>
      <c r="F1655" s="2">
        <v>2514.0</v>
      </c>
      <c r="G1655" s="2">
        <v>9.84</v>
      </c>
      <c r="H1655" s="2">
        <v>255.5</v>
      </c>
      <c r="I1655" s="2" t="s">
        <v>138</v>
      </c>
    </row>
    <row r="1656" ht="15.75" customHeight="1">
      <c r="A1656" s="2" t="s">
        <v>3077</v>
      </c>
      <c r="B1656" s="2" t="s">
        <v>3078</v>
      </c>
      <c r="C1656" s="2" t="s">
        <v>2703</v>
      </c>
      <c r="D1656" s="2" t="s">
        <v>957</v>
      </c>
      <c r="E1656" s="2" t="s">
        <v>958</v>
      </c>
      <c r="F1656" s="2">
        <v>684.0</v>
      </c>
      <c r="G1656" s="2">
        <v>18.57</v>
      </c>
      <c r="H1656" s="2">
        <v>36.8</v>
      </c>
      <c r="I1656" s="2" t="s">
        <v>27</v>
      </c>
    </row>
    <row r="1657" ht="15.75" customHeight="1">
      <c r="A1657" s="2" t="s">
        <v>5379</v>
      </c>
      <c r="B1657" s="2" t="s">
        <v>5380</v>
      </c>
      <c r="C1657" s="2" t="s">
        <v>2703</v>
      </c>
      <c r="D1657" s="2" t="s">
        <v>985</v>
      </c>
      <c r="E1657" s="2" t="s">
        <v>988</v>
      </c>
      <c r="F1657" s="2">
        <v>225.0</v>
      </c>
      <c r="G1657" s="2">
        <v>3.17</v>
      </c>
      <c r="H1657" s="2">
        <v>71.0</v>
      </c>
      <c r="I1657" s="2" t="s">
        <v>47</v>
      </c>
    </row>
    <row r="1658" ht="15.75" customHeight="1">
      <c r="A1658" s="2" t="s">
        <v>3079</v>
      </c>
      <c r="B1658" s="2" t="s">
        <v>3080</v>
      </c>
      <c r="C1658" s="2" t="s">
        <v>2703</v>
      </c>
      <c r="D1658" s="2" t="s">
        <v>1060</v>
      </c>
      <c r="E1658" s="2" t="s">
        <v>1062</v>
      </c>
      <c r="F1658" s="2">
        <v>1910.0</v>
      </c>
      <c r="G1658" s="2">
        <v>12.02</v>
      </c>
      <c r="H1658" s="2">
        <v>158.9</v>
      </c>
      <c r="I1658" s="2" t="s">
        <v>27</v>
      </c>
    </row>
    <row r="1659" ht="15.75" customHeight="1">
      <c r="A1659" s="2" t="s">
        <v>3081</v>
      </c>
      <c r="B1659" s="2" t="s">
        <v>1260</v>
      </c>
      <c r="C1659" s="2" t="s">
        <v>2703</v>
      </c>
      <c r="D1659" s="2" t="s">
        <v>1019</v>
      </c>
      <c r="E1659" s="2" t="s">
        <v>1021</v>
      </c>
      <c r="F1659" s="2">
        <v>592.0</v>
      </c>
      <c r="G1659" s="2">
        <v>6.31</v>
      </c>
      <c r="H1659" s="2">
        <v>93.8</v>
      </c>
      <c r="I1659" s="2" t="s">
        <v>27</v>
      </c>
    </row>
    <row r="1660" ht="15.75" customHeight="1">
      <c r="A1660" s="2" t="s">
        <v>5381</v>
      </c>
      <c r="B1660" s="2" t="s">
        <v>5382</v>
      </c>
      <c r="C1660" s="2" t="s">
        <v>2703</v>
      </c>
      <c r="D1660" s="2" t="s">
        <v>873</v>
      </c>
      <c r="E1660" s="2" t="s">
        <v>876</v>
      </c>
      <c r="F1660" s="2">
        <v>84.0</v>
      </c>
      <c r="G1660" s="2">
        <v>4.8</v>
      </c>
      <c r="H1660" s="2">
        <v>17.5</v>
      </c>
      <c r="I1660" s="2" t="s">
        <v>47</v>
      </c>
    </row>
    <row r="1661" ht="15.75" customHeight="1">
      <c r="A1661" s="2" t="s">
        <v>3082</v>
      </c>
      <c r="B1661" s="2" t="s">
        <v>3083</v>
      </c>
      <c r="C1661" s="2" t="s">
        <v>2703</v>
      </c>
      <c r="D1661" s="2" t="s">
        <v>873</v>
      </c>
      <c r="E1661" s="2" t="s">
        <v>876</v>
      </c>
      <c r="F1661" s="2">
        <v>236.0</v>
      </c>
      <c r="G1661" s="2">
        <v>16.36</v>
      </c>
      <c r="H1661" s="2">
        <v>14.4</v>
      </c>
      <c r="I1661" s="2" t="s">
        <v>47</v>
      </c>
    </row>
    <row r="1662" ht="15.75" customHeight="1">
      <c r="A1662" s="2" t="s">
        <v>5383</v>
      </c>
      <c r="B1662" s="2" t="s">
        <v>5384</v>
      </c>
      <c r="C1662" s="2" t="s">
        <v>2703</v>
      </c>
      <c r="D1662" s="2" t="s">
        <v>1060</v>
      </c>
      <c r="E1662" s="2" t="s">
        <v>1062</v>
      </c>
      <c r="F1662" s="2">
        <v>318.0</v>
      </c>
      <c r="G1662" s="2">
        <v>33.36</v>
      </c>
      <c r="H1662" s="2">
        <v>9.5</v>
      </c>
      <c r="I1662" s="2" t="s">
        <v>47</v>
      </c>
    </row>
    <row r="1663" ht="15.75" customHeight="1">
      <c r="A1663" s="2" t="s">
        <v>5385</v>
      </c>
      <c r="B1663" s="2" t="s">
        <v>5386</v>
      </c>
      <c r="C1663" s="2" t="s">
        <v>2703</v>
      </c>
      <c r="D1663" s="2" t="s">
        <v>883</v>
      </c>
      <c r="E1663" s="2" t="s">
        <v>885</v>
      </c>
      <c r="F1663" s="2">
        <v>502.0</v>
      </c>
      <c r="G1663" s="2">
        <v>6.74</v>
      </c>
      <c r="H1663" s="2">
        <v>74.5</v>
      </c>
      <c r="I1663" s="2" t="s">
        <v>27</v>
      </c>
    </row>
    <row r="1664" ht="15.75" customHeight="1">
      <c r="A1664" s="2" t="s">
        <v>5387</v>
      </c>
      <c r="B1664" s="2" t="s">
        <v>5388</v>
      </c>
      <c r="C1664" s="2" t="s">
        <v>2703</v>
      </c>
      <c r="D1664" s="2" t="s">
        <v>817</v>
      </c>
      <c r="E1664" s="2" t="s">
        <v>818</v>
      </c>
      <c r="F1664" s="2">
        <v>176.0</v>
      </c>
      <c r="G1664" s="2">
        <v>7.28</v>
      </c>
      <c r="H1664" s="2">
        <v>24.2</v>
      </c>
      <c r="I1664" s="2" t="s">
        <v>47</v>
      </c>
    </row>
    <row r="1665" ht="15.75" customHeight="1">
      <c r="A1665" s="2" t="s">
        <v>5389</v>
      </c>
      <c r="B1665" s="2" t="s">
        <v>5390</v>
      </c>
      <c r="C1665" s="2" t="s">
        <v>2703</v>
      </c>
      <c r="D1665" s="2" t="s">
        <v>883</v>
      </c>
      <c r="E1665" s="2" t="s">
        <v>885</v>
      </c>
      <c r="F1665" s="2">
        <v>143.0</v>
      </c>
      <c r="G1665" s="2">
        <v>5.97</v>
      </c>
      <c r="H1665" s="2">
        <v>24.0</v>
      </c>
      <c r="I1665" s="2" t="s">
        <v>47</v>
      </c>
    </row>
    <row r="1666" ht="15.75" customHeight="1">
      <c r="A1666" s="2" t="s">
        <v>3084</v>
      </c>
      <c r="B1666" s="2" t="s">
        <v>3085</v>
      </c>
      <c r="C1666" s="2" t="s">
        <v>2703</v>
      </c>
      <c r="D1666" s="2" t="s">
        <v>883</v>
      </c>
      <c r="E1666" s="2" t="s">
        <v>885</v>
      </c>
      <c r="F1666" s="2">
        <v>2097.0</v>
      </c>
      <c r="G1666" s="2">
        <v>12.73</v>
      </c>
      <c r="H1666" s="2">
        <v>164.7</v>
      </c>
      <c r="I1666" s="2" t="s">
        <v>138</v>
      </c>
    </row>
    <row r="1667" ht="15.75" customHeight="1">
      <c r="A1667" s="2" t="s">
        <v>5391</v>
      </c>
      <c r="B1667" s="2" t="s">
        <v>5392</v>
      </c>
      <c r="C1667" s="2" t="s">
        <v>2703</v>
      </c>
      <c r="D1667" s="2" t="s">
        <v>943</v>
      </c>
      <c r="E1667" s="2" t="s">
        <v>945</v>
      </c>
      <c r="F1667" s="2">
        <v>143.0</v>
      </c>
      <c r="G1667" s="2">
        <v>2.98</v>
      </c>
      <c r="H1667" s="2">
        <v>48.0</v>
      </c>
      <c r="I1667" s="2" t="s">
        <v>47</v>
      </c>
    </row>
    <row r="1668" ht="15.75" customHeight="1">
      <c r="A1668" s="2" t="s">
        <v>5393</v>
      </c>
      <c r="B1668" s="2" t="s">
        <v>4945</v>
      </c>
      <c r="C1668" s="2" t="s">
        <v>2703</v>
      </c>
      <c r="D1668" s="2" t="s">
        <v>883</v>
      </c>
      <c r="E1668" s="2" t="s">
        <v>885</v>
      </c>
      <c r="F1668" s="2">
        <v>210.0</v>
      </c>
      <c r="G1668" s="2">
        <v>4.64</v>
      </c>
      <c r="H1668" s="2">
        <v>45.3</v>
      </c>
      <c r="I1668" s="2" t="s">
        <v>47</v>
      </c>
    </row>
    <row r="1669" ht="15.75" customHeight="1">
      <c r="A1669" s="2" t="s">
        <v>5394</v>
      </c>
      <c r="B1669" s="2" t="s">
        <v>5395</v>
      </c>
      <c r="C1669" s="2" t="s">
        <v>2703</v>
      </c>
      <c r="D1669" s="2" t="s">
        <v>1076</v>
      </c>
      <c r="E1669" s="2" t="s">
        <v>1078</v>
      </c>
      <c r="F1669" s="2">
        <v>193.0</v>
      </c>
      <c r="G1669" s="2">
        <v>5.18</v>
      </c>
      <c r="H1669" s="2">
        <v>37.3</v>
      </c>
      <c r="I1669" s="2" t="s">
        <v>47</v>
      </c>
    </row>
    <row r="1670" ht="15.75" customHeight="1">
      <c r="A1670" s="2" t="s">
        <v>5396</v>
      </c>
      <c r="B1670" s="2" t="s">
        <v>5397</v>
      </c>
      <c r="C1670" s="2" t="s">
        <v>2703</v>
      </c>
      <c r="D1670" s="2" t="s">
        <v>817</v>
      </c>
      <c r="E1670" s="2" t="s">
        <v>818</v>
      </c>
      <c r="F1670" s="2">
        <v>406.0</v>
      </c>
      <c r="G1670" s="2">
        <v>6.36</v>
      </c>
      <c r="H1670" s="2">
        <v>63.8</v>
      </c>
      <c r="I1670" s="2" t="s">
        <v>47</v>
      </c>
    </row>
    <row r="1671" ht="15.75" customHeight="1">
      <c r="A1671" s="2" t="s">
        <v>5398</v>
      </c>
      <c r="B1671" s="2" t="s">
        <v>5399</v>
      </c>
      <c r="C1671" s="2" t="s">
        <v>2703</v>
      </c>
      <c r="D1671" s="2" t="s">
        <v>817</v>
      </c>
      <c r="E1671" s="2" t="s">
        <v>818</v>
      </c>
      <c r="F1671" s="2">
        <v>305.0</v>
      </c>
      <c r="G1671" s="2">
        <v>10.31</v>
      </c>
      <c r="H1671" s="2">
        <v>29.6</v>
      </c>
      <c r="I1671" s="2" t="s">
        <v>47</v>
      </c>
    </row>
    <row r="1672" ht="15.75" customHeight="1">
      <c r="A1672" s="2" t="s">
        <v>5400</v>
      </c>
      <c r="B1672" s="2" t="s">
        <v>5401</v>
      </c>
      <c r="C1672" s="2" t="s">
        <v>2703</v>
      </c>
      <c r="D1672" s="2" t="s">
        <v>993</v>
      </c>
      <c r="E1672" s="2" t="s">
        <v>994</v>
      </c>
      <c r="F1672" s="2">
        <v>519.0</v>
      </c>
      <c r="G1672" s="2">
        <v>10.93</v>
      </c>
      <c r="H1672" s="2">
        <v>47.5</v>
      </c>
      <c r="I1672" s="2" t="s">
        <v>27</v>
      </c>
    </row>
    <row r="1673" ht="15.75" customHeight="1">
      <c r="A1673" s="2" t="s">
        <v>3086</v>
      </c>
      <c r="B1673" s="2" t="s">
        <v>3087</v>
      </c>
      <c r="C1673" s="2" t="s">
        <v>2703</v>
      </c>
      <c r="D1673" s="2" t="s">
        <v>817</v>
      </c>
      <c r="E1673" s="2" t="s">
        <v>818</v>
      </c>
      <c r="F1673" s="2">
        <v>497.0</v>
      </c>
      <c r="G1673" s="2">
        <v>12.59</v>
      </c>
      <c r="H1673" s="2">
        <v>39.5</v>
      </c>
      <c r="I1673" s="2" t="s">
        <v>47</v>
      </c>
    </row>
    <row r="1674" ht="15.75" customHeight="1">
      <c r="A1674" s="2" t="s">
        <v>5404</v>
      </c>
      <c r="B1674" s="2" t="s">
        <v>5405</v>
      </c>
      <c r="C1674" s="2" t="s">
        <v>2703</v>
      </c>
      <c r="D1674" s="2" t="s">
        <v>886</v>
      </c>
      <c r="E1674" s="2" t="s">
        <v>887</v>
      </c>
      <c r="F1674" s="2">
        <v>543.0</v>
      </c>
      <c r="G1674" s="2">
        <v>8.46</v>
      </c>
      <c r="H1674" s="2">
        <v>64.2</v>
      </c>
      <c r="I1674" s="2" t="s">
        <v>27</v>
      </c>
    </row>
    <row r="1675" ht="15.75" customHeight="1">
      <c r="A1675" s="2" t="s">
        <v>3088</v>
      </c>
      <c r="B1675" s="2" t="s">
        <v>3089</v>
      </c>
      <c r="C1675" s="2" t="s">
        <v>2703</v>
      </c>
      <c r="D1675" s="2" t="s">
        <v>1019</v>
      </c>
      <c r="E1675" s="2" t="s">
        <v>1021</v>
      </c>
      <c r="F1675" s="2">
        <v>440.0</v>
      </c>
      <c r="G1675" s="2">
        <v>7.38</v>
      </c>
      <c r="H1675" s="2">
        <v>59.6</v>
      </c>
      <c r="I1675" s="2" t="s">
        <v>47</v>
      </c>
    </row>
    <row r="1676" ht="15.75" customHeight="1">
      <c r="A1676" s="2" t="s">
        <v>5414</v>
      </c>
      <c r="B1676" s="2" t="s">
        <v>5415</v>
      </c>
      <c r="C1676" s="2" t="s">
        <v>2703</v>
      </c>
      <c r="D1676" s="2" t="s">
        <v>977</v>
      </c>
      <c r="E1676" s="2" t="s">
        <v>978</v>
      </c>
      <c r="F1676" s="2">
        <v>154.0</v>
      </c>
      <c r="G1676" s="2">
        <v>3.0</v>
      </c>
      <c r="H1676" s="2">
        <v>51.3</v>
      </c>
      <c r="I1676" s="2" t="s">
        <v>47</v>
      </c>
    </row>
    <row r="1677" ht="15.75" customHeight="1">
      <c r="A1677" s="2" t="s">
        <v>3090</v>
      </c>
      <c r="B1677" s="2" t="s">
        <v>3091</v>
      </c>
      <c r="C1677" s="2" t="s">
        <v>2703</v>
      </c>
      <c r="D1677" s="2" t="s">
        <v>1076</v>
      </c>
      <c r="E1677" s="2" t="s">
        <v>1078</v>
      </c>
      <c r="F1677" s="2">
        <v>871.0</v>
      </c>
      <c r="G1677" s="2">
        <v>6.3</v>
      </c>
      <c r="H1677" s="2">
        <v>138.3</v>
      </c>
      <c r="I1677" s="2" t="s">
        <v>27</v>
      </c>
    </row>
    <row r="1678" ht="15.75" customHeight="1">
      <c r="A1678" s="2" t="s">
        <v>3092</v>
      </c>
      <c r="B1678" s="2" t="s">
        <v>3093</v>
      </c>
      <c r="C1678" s="2" t="s">
        <v>2703</v>
      </c>
      <c r="D1678" s="2" t="s">
        <v>973</v>
      </c>
      <c r="E1678" s="2" t="s">
        <v>974</v>
      </c>
      <c r="F1678" s="2">
        <v>670.0</v>
      </c>
      <c r="G1678" s="2">
        <v>6.82</v>
      </c>
      <c r="H1678" s="2">
        <v>98.2</v>
      </c>
      <c r="I1678" s="2" t="s">
        <v>27</v>
      </c>
    </row>
    <row r="1679" ht="15.75" customHeight="1">
      <c r="A1679" s="2" t="s">
        <v>3094</v>
      </c>
      <c r="B1679" s="2" t="s">
        <v>3095</v>
      </c>
      <c r="C1679" s="2" t="s">
        <v>2703</v>
      </c>
      <c r="D1679" s="2" t="s">
        <v>973</v>
      </c>
      <c r="E1679" s="2" t="s">
        <v>974</v>
      </c>
      <c r="F1679" s="2">
        <v>551.0</v>
      </c>
      <c r="G1679" s="2">
        <v>11.59</v>
      </c>
      <c r="H1679" s="2">
        <v>47.5</v>
      </c>
      <c r="I1679" s="2" t="s">
        <v>27</v>
      </c>
    </row>
    <row r="1680" ht="15.75" customHeight="1">
      <c r="A1680" s="2" t="s">
        <v>3096</v>
      </c>
      <c r="B1680" s="2" t="s">
        <v>3097</v>
      </c>
      <c r="C1680" s="2" t="s">
        <v>2703</v>
      </c>
      <c r="D1680" s="2" t="s">
        <v>817</v>
      </c>
      <c r="E1680" s="2" t="s">
        <v>818</v>
      </c>
      <c r="F1680" s="2">
        <v>528.0</v>
      </c>
      <c r="G1680" s="2">
        <v>6.46</v>
      </c>
      <c r="H1680" s="2">
        <v>81.7</v>
      </c>
      <c r="I1680" s="2" t="s">
        <v>27</v>
      </c>
    </row>
    <row r="1681" ht="15.75" customHeight="1">
      <c r="A1681" s="2" t="s">
        <v>5420</v>
      </c>
      <c r="B1681" s="2" t="s">
        <v>5421</v>
      </c>
      <c r="C1681" s="2" t="s">
        <v>2703</v>
      </c>
      <c r="D1681" s="2" t="s">
        <v>873</v>
      </c>
      <c r="E1681" s="2" t="s">
        <v>876</v>
      </c>
      <c r="F1681" s="2">
        <v>962.0</v>
      </c>
      <c r="G1681" s="2">
        <v>6.63</v>
      </c>
      <c r="H1681" s="2">
        <v>145.1</v>
      </c>
      <c r="I1681" s="2" t="s">
        <v>27</v>
      </c>
    </row>
    <row r="1682" ht="15.75" customHeight="1">
      <c r="A1682" s="2" t="s">
        <v>5407</v>
      </c>
      <c r="B1682" s="2" t="s">
        <v>5408</v>
      </c>
      <c r="C1682" s="2" t="s">
        <v>2703</v>
      </c>
      <c r="D1682" s="2" t="s">
        <v>985</v>
      </c>
      <c r="E1682" s="2" t="s">
        <v>988</v>
      </c>
      <c r="F1682" s="2">
        <v>323.0</v>
      </c>
      <c r="G1682" s="2">
        <v>5.98</v>
      </c>
      <c r="H1682" s="2">
        <v>54.0</v>
      </c>
      <c r="I1682" s="2" t="s">
        <v>47</v>
      </c>
    </row>
    <row r="1683" ht="15.75" customHeight="1">
      <c r="A1683" s="2" t="s">
        <v>5418</v>
      </c>
      <c r="B1683" s="2" t="s">
        <v>5419</v>
      </c>
      <c r="C1683" s="2" t="s">
        <v>2703</v>
      </c>
      <c r="D1683" s="2" t="s">
        <v>985</v>
      </c>
      <c r="E1683" s="2" t="s">
        <v>988</v>
      </c>
      <c r="F1683" s="2">
        <v>264.0</v>
      </c>
      <c r="G1683" s="2">
        <v>4.99</v>
      </c>
      <c r="H1683" s="2">
        <v>52.9</v>
      </c>
      <c r="I1683" s="2" t="s">
        <v>47</v>
      </c>
    </row>
    <row r="1684" ht="15.75" customHeight="1">
      <c r="A1684" s="2" t="s">
        <v>5424</v>
      </c>
      <c r="B1684" s="2" t="s">
        <v>5425</v>
      </c>
      <c r="C1684" s="2" t="s">
        <v>2703</v>
      </c>
      <c r="D1684" s="2" t="s">
        <v>993</v>
      </c>
      <c r="E1684" s="2" t="s">
        <v>994</v>
      </c>
      <c r="F1684" s="2">
        <v>365.0</v>
      </c>
      <c r="G1684" s="2">
        <v>8.55</v>
      </c>
      <c r="H1684" s="2">
        <v>42.7</v>
      </c>
      <c r="I1684" s="2" t="s">
        <v>47</v>
      </c>
    </row>
    <row r="1685" ht="15.75" customHeight="1">
      <c r="A1685" s="2" t="s">
        <v>3098</v>
      </c>
      <c r="B1685" s="2" t="s">
        <v>3099</v>
      </c>
      <c r="C1685" s="2" t="s">
        <v>2703</v>
      </c>
      <c r="D1685" s="2" t="s">
        <v>883</v>
      </c>
      <c r="E1685" s="2" t="s">
        <v>885</v>
      </c>
      <c r="F1685" s="2">
        <v>347.0</v>
      </c>
      <c r="G1685" s="2">
        <v>5.74</v>
      </c>
      <c r="H1685" s="2">
        <v>60.5</v>
      </c>
      <c r="I1685" s="2" t="s">
        <v>47</v>
      </c>
    </row>
    <row r="1686" ht="15.75" customHeight="1">
      <c r="A1686" s="2" t="s">
        <v>5426</v>
      </c>
      <c r="B1686" s="2" t="s">
        <v>5427</v>
      </c>
      <c r="C1686" s="2" t="s">
        <v>2703</v>
      </c>
      <c r="D1686" s="2" t="s">
        <v>985</v>
      </c>
      <c r="E1686" s="2" t="s">
        <v>988</v>
      </c>
      <c r="F1686" s="2">
        <v>317.0</v>
      </c>
      <c r="G1686" s="2">
        <v>5.16</v>
      </c>
      <c r="H1686" s="2">
        <v>61.4</v>
      </c>
      <c r="I1686" s="2" t="s">
        <v>47</v>
      </c>
    </row>
    <row r="1687" ht="15.75" customHeight="1">
      <c r="A1687" s="2" t="s">
        <v>5428</v>
      </c>
      <c r="B1687" s="2" t="s">
        <v>5429</v>
      </c>
      <c r="C1687" s="2" t="s">
        <v>2703</v>
      </c>
      <c r="D1687" s="2" t="s">
        <v>883</v>
      </c>
      <c r="E1687" s="2" t="s">
        <v>885</v>
      </c>
      <c r="F1687" s="2">
        <v>82.0</v>
      </c>
      <c r="G1687" s="2">
        <v>4.53</v>
      </c>
      <c r="H1687" s="2">
        <v>18.1</v>
      </c>
      <c r="I1687" s="2" t="s">
        <v>47</v>
      </c>
    </row>
    <row r="1688" ht="15.75" customHeight="1">
      <c r="A1688" s="2" t="s">
        <v>5430</v>
      </c>
      <c r="B1688" s="2" t="s">
        <v>5431</v>
      </c>
      <c r="C1688" s="2" t="s">
        <v>2703</v>
      </c>
      <c r="D1688" s="2" t="s">
        <v>973</v>
      </c>
      <c r="E1688" s="2" t="s">
        <v>974</v>
      </c>
      <c r="F1688" s="2">
        <v>626.0</v>
      </c>
      <c r="G1688" s="2">
        <v>6.97</v>
      </c>
      <c r="H1688" s="2">
        <v>89.8</v>
      </c>
      <c r="I1688" s="2" t="s">
        <v>27</v>
      </c>
    </row>
    <row r="1689" ht="15.75" customHeight="1">
      <c r="A1689" s="2" t="s">
        <v>5432</v>
      </c>
      <c r="B1689" s="2" t="s">
        <v>5433</v>
      </c>
      <c r="C1689" s="2" t="s">
        <v>2703</v>
      </c>
      <c r="D1689" s="2" t="s">
        <v>977</v>
      </c>
      <c r="E1689" s="2" t="s">
        <v>978</v>
      </c>
      <c r="F1689" s="2">
        <v>518.0</v>
      </c>
      <c r="G1689" s="2">
        <v>3.58</v>
      </c>
      <c r="H1689" s="2">
        <v>144.7</v>
      </c>
      <c r="I1689" s="2" t="s">
        <v>27</v>
      </c>
    </row>
    <row r="1690" ht="15.75" customHeight="1">
      <c r="A1690" s="2" t="s">
        <v>5434</v>
      </c>
      <c r="B1690" s="2" t="s">
        <v>5435</v>
      </c>
      <c r="C1690" s="2" t="s">
        <v>2703</v>
      </c>
      <c r="D1690" s="2" t="s">
        <v>973</v>
      </c>
      <c r="E1690" s="2" t="s">
        <v>974</v>
      </c>
      <c r="F1690" s="2">
        <v>356.0</v>
      </c>
      <c r="G1690" s="2">
        <v>5.42</v>
      </c>
      <c r="H1690" s="2">
        <v>65.7</v>
      </c>
      <c r="I1690" s="2" t="s">
        <v>47</v>
      </c>
    </row>
    <row r="1691" ht="15.75" customHeight="1">
      <c r="A1691" s="2" t="s">
        <v>5436</v>
      </c>
      <c r="B1691" s="2" t="s">
        <v>5437</v>
      </c>
      <c r="C1691" s="2" t="s">
        <v>2703</v>
      </c>
      <c r="D1691" s="2" t="s">
        <v>883</v>
      </c>
      <c r="E1691" s="2" t="s">
        <v>885</v>
      </c>
      <c r="F1691" s="2">
        <v>216.0</v>
      </c>
      <c r="G1691" s="2">
        <v>3.64</v>
      </c>
      <c r="H1691" s="2">
        <v>59.3</v>
      </c>
      <c r="I1691" s="2" t="s">
        <v>47</v>
      </c>
    </row>
    <row r="1692" ht="15.75" customHeight="1">
      <c r="A1692" s="2" t="s">
        <v>5438</v>
      </c>
      <c r="B1692" s="2" t="s">
        <v>5439</v>
      </c>
      <c r="C1692" s="2" t="s">
        <v>2703</v>
      </c>
      <c r="D1692" s="2" t="s">
        <v>993</v>
      </c>
      <c r="E1692" s="2" t="s">
        <v>994</v>
      </c>
      <c r="F1692" s="2">
        <v>196.0</v>
      </c>
      <c r="G1692" s="2">
        <v>5.17</v>
      </c>
      <c r="H1692" s="2">
        <v>37.9</v>
      </c>
      <c r="I1692" s="2" t="s">
        <v>47</v>
      </c>
    </row>
    <row r="1693" ht="15.75" customHeight="1">
      <c r="A1693" s="2" t="s">
        <v>3100</v>
      </c>
      <c r="B1693" s="2" t="s">
        <v>3101</v>
      </c>
      <c r="C1693" s="2" t="s">
        <v>2703</v>
      </c>
      <c r="D1693" s="2" t="s">
        <v>817</v>
      </c>
      <c r="E1693" s="2" t="s">
        <v>818</v>
      </c>
      <c r="F1693" s="2">
        <v>1552.0</v>
      </c>
      <c r="G1693" s="2">
        <v>6.55</v>
      </c>
      <c r="H1693" s="2">
        <v>236.9</v>
      </c>
      <c r="I1693" s="2" t="s">
        <v>27</v>
      </c>
    </row>
    <row r="1694" ht="15.75" customHeight="1">
      <c r="A1694" s="2" t="s">
        <v>3102</v>
      </c>
      <c r="B1694" s="2" t="s">
        <v>3103</v>
      </c>
      <c r="C1694" s="2" t="s">
        <v>2703</v>
      </c>
      <c r="D1694" s="2" t="s">
        <v>985</v>
      </c>
      <c r="E1694" s="2" t="s">
        <v>988</v>
      </c>
      <c r="F1694" s="2">
        <v>409.0</v>
      </c>
      <c r="G1694" s="2">
        <v>4.13</v>
      </c>
      <c r="H1694" s="2">
        <v>99.0</v>
      </c>
      <c r="I1694" s="2" t="s">
        <v>47</v>
      </c>
    </row>
    <row r="1695" ht="15.75" customHeight="1">
      <c r="A1695" s="2" t="s">
        <v>5440</v>
      </c>
      <c r="B1695" s="2" t="s">
        <v>5441</v>
      </c>
      <c r="C1695" s="2" t="s">
        <v>2703</v>
      </c>
      <c r="D1695" s="2" t="s">
        <v>973</v>
      </c>
      <c r="E1695" s="2" t="s">
        <v>974</v>
      </c>
      <c r="F1695" s="2">
        <v>233.0</v>
      </c>
      <c r="G1695" s="2">
        <v>7.09</v>
      </c>
      <c r="H1695" s="2">
        <v>32.9</v>
      </c>
      <c r="I1695" s="2" t="s">
        <v>47</v>
      </c>
    </row>
    <row r="1696" ht="15.75" customHeight="1">
      <c r="A1696" s="2" t="s">
        <v>5442</v>
      </c>
      <c r="B1696" s="2" t="s">
        <v>5443</v>
      </c>
      <c r="C1696" s="2" t="s">
        <v>2703</v>
      </c>
      <c r="D1696" s="2" t="s">
        <v>883</v>
      </c>
      <c r="E1696" s="2" t="s">
        <v>885</v>
      </c>
      <c r="F1696" s="2">
        <v>102.0</v>
      </c>
      <c r="G1696" s="2">
        <v>2.22</v>
      </c>
      <c r="H1696" s="2">
        <v>45.9</v>
      </c>
      <c r="I1696" s="2" t="s">
        <v>47</v>
      </c>
    </row>
    <row r="1697" ht="15.75" customHeight="1">
      <c r="A1697" s="2" t="s">
        <v>3104</v>
      </c>
      <c r="B1697" s="2" t="s">
        <v>3105</v>
      </c>
      <c r="C1697" s="2" t="s">
        <v>2703</v>
      </c>
      <c r="D1697" s="2" t="s">
        <v>977</v>
      </c>
      <c r="E1697" s="2" t="s">
        <v>978</v>
      </c>
      <c r="F1697" s="2">
        <v>515.0</v>
      </c>
      <c r="G1697" s="2">
        <v>14.87</v>
      </c>
      <c r="H1697" s="2">
        <v>34.6</v>
      </c>
      <c r="I1697" s="2" t="s">
        <v>27</v>
      </c>
    </row>
    <row r="1698" ht="15.75" customHeight="1">
      <c r="A1698" s="2" t="s">
        <v>3106</v>
      </c>
      <c r="B1698" s="2" t="s">
        <v>3107</v>
      </c>
      <c r="C1698" s="2" t="s">
        <v>2703</v>
      </c>
      <c r="D1698" s="2" t="s">
        <v>865</v>
      </c>
      <c r="E1698" s="2" t="s">
        <v>866</v>
      </c>
      <c r="F1698" s="2">
        <v>8867.0</v>
      </c>
      <c r="G1698" s="2">
        <v>23.35</v>
      </c>
      <c r="H1698" s="2">
        <v>379.7</v>
      </c>
      <c r="I1698" s="2" t="s">
        <v>138</v>
      </c>
    </row>
    <row r="1699" ht="15.75" customHeight="1">
      <c r="A1699" s="2" t="s">
        <v>5444</v>
      </c>
      <c r="B1699" s="2" t="s">
        <v>5445</v>
      </c>
      <c r="C1699" s="2" t="s">
        <v>2703</v>
      </c>
      <c r="D1699" s="2" t="s">
        <v>873</v>
      </c>
      <c r="E1699" s="2" t="s">
        <v>876</v>
      </c>
      <c r="F1699" s="2">
        <v>15.0</v>
      </c>
      <c r="G1699" s="2">
        <v>3.05</v>
      </c>
      <c r="H1699" s="2">
        <v>4.9</v>
      </c>
      <c r="I1699" s="2" t="s">
        <v>47</v>
      </c>
    </row>
    <row r="1700" ht="15.75" customHeight="1">
      <c r="A1700" s="2" t="s">
        <v>3108</v>
      </c>
      <c r="B1700" s="2" t="s">
        <v>3109</v>
      </c>
      <c r="C1700" s="2" t="s">
        <v>2703</v>
      </c>
      <c r="D1700" s="2" t="s">
        <v>886</v>
      </c>
      <c r="E1700" s="2" t="s">
        <v>887</v>
      </c>
      <c r="F1700" s="2">
        <v>1829.0</v>
      </c>
      <c r="G1700" s="2">
        <v>10.73</v>
      </c>
      <c r="H1700" s="2">
        <v>170.5</v>
      </c>
      <c r="I1700" s="2" t="s">
        <v>27</v>
      </c>
    </row>
    <row r="1701" ht="15.75" customHeight="1">
      <c r="A1701" s="2" t="s">
        <v>5448</v>
      </c>
      <c r="B1701" s="2" t="s">
        <v>5449</v>
      </c>
      <c r="C1701" s="2" t="s">
        <v>2703</v>
      </c>
      <c r="D1701" s="2" t="s">
        <v>985</v>
      </c>
      <c r="E1701" s="2" t="s">
        <v>988</v>
      </c>
      <c r="F1701" s="2">
        <v>371.0</v>
      </c>
      <c r="G1701" s="2">
        <v>7.39</v>
      </c>
      <c r="H1701" s="2">
        <v>50.2</v>
      </c>
      <c r="I1701" s="2" t="s">
        <v>47</v>
      </c>
    </row>
    <row r="1702" ht="15.75" customHeight="1">
      <c r="A1702" s="2" t="s">
        <v>5446</v>
      </c>
      <c r="B1702" s="2" t="s">
        <v>5447</v>
      </c>
      <c r="C1702" s="2" t="s">
        <v>2703</v>
      </c>
      <c r="D1702" s="2" t="s">
        <v>993</v>
      </c>
      <c r="E1702" s="2" t="s">
        <v>994</v>
      </c>
      <c r="F1702" s="2">
        <v>297.0</v>
      </c>
      <c r="G1702" s="2">
        <v>6.65</v>
      </c>
      <c r="H1702" s="2">
        <v>44.7</v>
      </c>
      <c r="I1702" s="2" t="s">
        <v>47</v>
      </c>
    </row>
    <row r="1703" ht="15.75" customHeight="1">
      <c r="A1703" s="2" t="s">
        <v>3110</v>
      </c>
      <c r="B1703" s="2" t="s">
        <v>3111</v>
      </c>
      <c r="C1703" s="2" t="s">
        <v>2703</v>
      </c>
      <c r="D1703" s="2" t="s">
        <v>883</v>
      </c>
      <c r="E1703" s="2" t="s">
        <v>885</v>
      </c>
      <c r="F1703" s="2">
        <v>2786.0</v>
      </c>
      <c r="G1703" s="2">
        <v>6.63</v>
      </c>
      <c r="H1703" s="2">
        <v>420.2</v>
      </c>
      <c r="I1703" s="2" t="s">
        <v>138</v>
      </c>
    </row>
    <row r="1704" ht="15.75" customHeight="1">
      <c r="A1704" s="2" t="s">
        <v>5450</v>
      </c>
      <c r="B1704" s="2" t="s">
        <v>5451</v>
      </c>
      <c r="C1704" s="2" t="s">
        <v>2703</v>
      </c>
      <c r="D1704" s="2" t="s">
        <v>883</v>
      </c>
      <c r="E1704" s="2" t="s">
        <v>885</v>
      </c>
      <c r="F1704" s="2">
        <v>272.0</v>
      </c>
      <c r="G1704" s="2">
        <v>5.88</v>
      </c>
      <c r="H1704" s="2">
        <v>46.3</v>
      </c>
      <c r="I1704" s="2" t="s">
        <v>47</v>
      </c>
    </row>
    <row r="1705" ht="15.75" customHeight="1">
      <c r="A1705" s="2" t="s">
        <v>3112</v>
      </c>
      <c r="B1705" s="2" t="s">
        <v>3113</v>
      </c>
      <c r="C1705" s="2" t="s">
        <v>2703</v>
      </c>
      <c r="D1705" s="2" t="s">
        <v>883</v>
      </c>
      <c r="E1705" s="2" t="s">
        <v>885</v>
      </c>
      <c r="F1705" s="2">
        <v>478.0</v>
      </c>
      <c r="G1705" s="2">
        <v>6.86</v>
      </c>
      <c r="H1705" s="2">
        <v>69.7</v>
      </c>
      <c r="I1705" s="2" t="s">
        <v>47</v>
      </c>
    </row>
    <row r="1706" ht="15.75" customHeight="1">
      <c r="A1706" s="2" t="s">
        <v>5452</v>
      </c>
      <c r="B1706" s="2" t="s">
        <v>5453</v>
      </c>
      <c r="C1706" s="2" t="s">
        <v>2703</v>
      </c>
      <c r="D1706" s="2" t="s">
        <v>817</v>
      </c>
      <c r="E1706" s="2" t="s">
        <v>818</v>
      </c>
      <c r="F1706" s="2">
        <v>385.0</v>
      </c>
      <c r="G1706" s="2">
        <v>4.6</v>
      </c>
      <c r="H1706" s="2">
        <v>83.7</v>
      </c>
      <c r="I1706" s="2" t="s">
        <v>47</v>
      </c>
    </row>
    <row r="1707" ht="15.75" customHeight="1">
      <c r="A1707" s="2" t="s">
        <v>3114</v>
      </c>
      <c r="B1707" s="2" t="s">
        <v>3115</v>
      </c>
      <c r="C1707" s="2" t="s">
        <v>2703</v>
      </c>
      <c r="D1707" s="2" t="s">
        <v>985</v>
      </c>
      <c r="E1707" s="2" t="s">
        <v>988</v>
      </c>
      <c r="F1707" s="2">
        <v>1749.0</v>
      </c>
      <c r="G1707" s="2">
        <v>20.52</v>
      </c>
      <c r="H1707" s="2">
        <v>85.2</v>
      </c>
      <c r="I1707" s="2" t="s">
        <v>27</v>
      </c>
    </row>
    <row r="1708" ht="15.75" customHeight="1">
      <c r="A1708" s="2" t="s">
        <v>5454</v>
      </c>
      <c r="B1708" s="2" t="s">
        <v>5455</v>
      </c>
      <c r="C1708" s="2" t="s">
        <v>2703</v>
      </c>
      <c r="D1708" s="2" t="s">
        <v>977</v>
      </c>
      <c r="E1708" s="2" t="s">
        <v>978</v>
      </c>
      <c r="F1708" s="2">
        <v>232.0</v>
      </c>
      <c r="G1708" s="2">
        <v>5.03</v>
      </c>
      <c r="H1708" s="2">
        <v>46.1</v>
      </c>
      <c r="I1708" s="2" t="s">
        <v>47</v>
      </c>
    </row>
    <row r="1709" ht="15.75" customHeight="1">
      <c r="A1709" s="2" t="s">
        <v>5456</v>
      </c>
      <c r="B1709" s="2" t="s">
        <v>5457</v>
      </c>
      <c r="C1709" s="2" t="s">
        <v>2703</v>
      </c>
      <c r="D1709" s="2" t="s">
        <v>1019</v>
      </c>
      <c r="E1709" s="2" t="s">
        <v>1021</v>
      </c>
      <c r="F1709" s="2">
        <v>376.0</v>
      </c>
      <c r="G1709" s="2">
        <v>8.63</v>
      </c>
      <c r="H1709" s="2">
        <v>43.6</v>
      </c>
      <c r="I1709" s="2" t="s">
        <v>47</v>
      </c>
    </row>
    <row r="1710" ht="15.75" customHeight="1">
      <c r="A1710" s="2" t="s">
        <v>5458</v>
      </c>
      <c r="B1710" s="2" t="s">
        <v>5459</v>
      </c>
      <c r="C1710" s="2" t="s">
        <v>2703</v>
      </c>
      <c r="D1710" s="2" t="s">
        <v>977</v>
      </c>
      <c r="E1710" s="2" t="s">
        <v>978</v>
      </c>
      <c r="F1710" s="2">
        <v>82.0</v>
      </c>
      <c r="G1710" s="2">
        <v>3.0</v>
      </c>
      <c r="H1710" s="2">
        <v>27.3</v>
      </c>
      <c r="I1710" s="2" t="s">
        <v>47</v>
      </c>
    </row>
    <row r="1711" ht="15.75" customHeight="1">
      <c r="A1711" s="2" t="s">
        <v>5460</v>
      </c>
      <c r="B1711" s="2" t="s">
        <v>5461</v>
      </c>
      <c r="C1711" s="2" t="s">
        <v>2703</v>
      </c>
      <c r="D1711" s="2" t="s">
        <v>883</v>
      </c>
      <c r="E1711" s="2" t="s">
        <v>885</v>
      </c>
      <c r="F1711" s="2">
        <v>438.0</v>
      </c>
      <c r="G1711" s="2">
        <v>3.83</v>
      </c>
      <c r="H1711" s="2">
        <v>114.4</v>
      </c>
      <c r="I1711" s="2" t="s">
        <v>47</v>
      </c>
    </row>
    <row r="1712" ht="15.75" customHeight="1">
      <c r="A1712" s="2" t="s">
        <v>5462</v>
      </c>
      <c r="B1712" s="2" t="s">
        <v>5463</v>
      </c>
      <c r="C1712" s="2" t="s">
        <v>2703</v>
      </c>
      <c r="D1712" s="2" t="s">
        <v>883</v>
      </c>
      <c r="E1712" s="2" t="s">
        <v>885</v>
      </c>
      <c r="F1712" s="2">
        <v>132.0</v>
      </c>
      <c r="G1712" s="2">
        <v>9.55</v>
      </c>
      <c r="H1712" s="2">
        <v>13.8</v>
      </c>
      <c r="I1712" s="2" t="s">
        <v>47</v>
      </c>
    </row>
    <row r="1713" ht="15.75" customHeight="1">
      <c r="A1713" s="2" t="s">
        <v>3116</v>
      </c>
      <c r="B1713" s="2" t="s">
        <v>3117</v>
      </c>
      <c r="C1713" s="2" t="s">
        <v>2703</v>
      </c>
      <c r="D1713" s="2" t="s">
        <v>883</v>
      </c>
      <c r="E1713" s="2" t="s">
        <v>885</v>
      </c>
      <c r="F1713" s="2">
        <v>654.0</v>
      </c>
      <c r="G1713" s="2">
        <v>5.87</v>
      </c>
      <c r="H1713" s="2">
        <v>111.4</v>
      </c>
      <c r="I1713" s="2" t="s">
        <v>27</v>
      </c>
    </row>
    <row r="1714" ht="15.75" customHeight="1">
      <c r="A1714" s="2" t="s">
        <v>3118</v>
      </c>
      <c r="B1714" s="2" t="s">
        <v>3119</v>
      </c>
      <c r="C1714" s="2" t="s">
        <v>2703</v>
      </c>
      <c r="D1714" s="2" t="s">
        <v>873</v>
      </c>
      <c r="E1714" s="2" t="s">
        <v>876</v>
      </c>
      <c r="F1714" s="2">
        <v>548.0</v>
      </c>
      <c r="G1714" s="2">
        <v>9.69</v>
      </c>
      <c r="H1714" s="2">
        <v>56.6</v>
      </c>
      <c r="I1714" s="2" t="s">
        <v>27</v>
      </c>
    </row>
    <row r="1715" ht="15.75" customHeight="1">
      <c r="A1715" s="2" t="s">
        <v>5464</v>
      </c>
      <c r="B1715" s="2" t="s">
        <v>4128</v>
      </c>
      <c r="C1715" s="2" t="s">
        <v>2703</v>
      </c>
      <c r="D1715" s="2" t="s">
        <v>883</v>
      </c>
      <c r="E1715" s="2" t="s">
        <v>885</v>
      </c>
      <c r="F1715" s="2">
        <v>133.0</v>
      </c>
      <c r="G1715" s="2">
        <v>3.91</v>
      </c>
      <c r="H1715" s="2">
        <v>34.0</v>
      </c>
      <c r="I1715" s="2" t="s">
        <v>47</v>
      </c>
    </row>
    <row r="1716" ht="15.75" customHeight="1">
      <c r="A1716" s="2" t="s">
        <v>3120</v>
      </c>
      <c r="B1716" s="2" t="s">
        <v>3121</v>
      </c>
      <c r="C1716" s="2" t="s">
        <v>2703</v>
      </c>
      <c r="D1716" s="2" t="s">
        <v>817</v>
      </c>
      <c r="E1716" s="2" t="s">
        <v>818</v>
      </c>
      <c r="F1716" s="2">
        <v>773.0</v>
      </c>
      <c r="G1716" s="2">
        <v>9.85</v>
      </c>
      <c r="H1716" s="2">
        <v>78.5</v>
      </c>
      <c r="I1716" s="2" t="s">
        <v>27</v>
      </c>
    </row>
    <row r="1717" ht="15.75" customHeight="1">
      <c r="A1717" s="2" t="s">
        <v>5465</v>
      </c>
      <c r="B1717" s="2" t="s">
        <v>5466</v>
      </c>
      <c r="C1717" s="2" t="s">
        <v>2703</v>
      </c>
      <c r="D1717" s="2" t="s">
        <v>883</v>
      </c>
      <c r="E1717" s="2" t="s">
        <v>885</v>
      </c>
      <c r="F1717" s="2">
        <v>187.0</v>
      </c>
      <c r="G1717" s="2">
        <v>4.29</v>
      </c>
      <c r="H1717" s="2">
        <v>43.6</v>
      </c>
      <c r="I1717" s="2" t="s">
        <v>47</v>
      </c>
    </row>
    <row r="1718" ht="15.75" customHeight="1">
      <c r="A1718" s="2" t="s">
        <v>5467</v>
      </c>
      <c r="B1718" s="2" t="s">
        <v>5468</v>
      </c>
      <c r="C1718" s="2" t="s">
        <v>2703</v>
      </c>
      <c r="D1718" s="2" t="s">
        <v>883</v>
      </c>
      <c r="E1718" s="2" t="s">
        <v>885</v>
      </c>
      <c r="F1718" s="2">
        <v>253.0</v>
      </c>
      <c r="G1718" s="2">
        <v>6.79</v>
      </c>
      <c r="H1718" s="2">
        <v>37.3</v>
      </c>
      <c r="I1718" s="2" t="s">
        <v>47</v>
      </c>
    </row>
    <row r="1719" ht="15.75" customHeight="1">
      <c r="A1719" s="2" t="s">
        <v>5469</v>
      </c>
      <c r="B1719" s="2" t="s">
        <v>5470</v>
      </c>
      <c r="C1719" s="2" t="s">
        <v>2703</v>
      </c>
      <c r="D1719" s="2" t="s">
        <v>917</v>
      </c>
      <c r="E1719" s="2" t="s">
        <v>918</v>
      </c>
      <c r="F1719" s="2">
        <v>345.0</v>
      </c>
      <c r="G1719" s="2">
        <v>5.56</v>
      </c>
      <c r="H1719" s="2">
        <v>62.1</v>
      </c>
      <c r="I1719" s="2" t="s">
        <v>47</v>
      </c>
    </row>
    <row r="1720" ht="15.75" customHeight="1">
      <c r="A1720" s="2" t="s">
        <v>3122</v>
      </c>
      <c r="B1720" s="2" t="s">
        <v>3123</v>
      </c>
      <c r="C1720" s="2" t="s">
        <v>2703</v>
      </c>
      <c r="D1720" s="2" t="s">
        <v>1076</v>
      </c>
      <c r="E1720" s="2" t="s">
        <v>1078</v>
      </c>
      <c r="F1720" s="2">
        <v>644.0</v>
      </c>
      <c r="G1720" s="2">
        <v>6.03</v>
      </c>
      <c r="H1720" s="2">
        <v>106.8</v>
      </c>
      <c r="I1720" s="2" t="s">
        <v>27</v>
      </c>
    </row>
    <row r="1721" ht="15.75" customHeight="1">
      <c r="A1721" s="2" t="s">
        <v>3124</v>
      </c>
      <c r="B1721" s="2" t="s">
        <v>3125</v>
      </c>
      <c r="C1721" s="2" t="s">
        <v>2703</v>
      </c>
      <c r="D1721" s="2" t="s">
        <v>817</v>
      </c>
      <c r="E1721" s="2" t="s">
        <v>818</v>
      </c>
      <c r="F1721" s="2">
        <v>582.0</v>
      </c>
      <c r="G1721" s="2">
        <v>4.4</v>
      </c>
      <c r="H1721" s="2">
        <v>132.3</v>
      </c>
      <c r="I1721" s="2" t="s">
        <v>27</v>
      </c>
    </row>
    <row r="1722" ht="15.75" customHeight="1">
      <c r="A1722" s="2" t="s">
        <v>3126</v>
      </c>
      <c r="B1722" s="2" t="s">
        <v>3127</v>
      </c>
      <c r="C1722" s="2" t="s">
        <v>2703</v>
      </c>
      <c r="D1722" s="2" t="s">
        <v>817</v>
      </c>
      <c r="E1722" s="2" t="s">
        <v>818</v>
      </c>
      <c r="F1722" s="2">
        <v>2466.0</v>
      </c>
      <c r="G1722" s="2">
        <v>11.84</v>
      </c>
      <c r="H1722" s="2">
        <v>208.3</v>
      </c>
      <c r="I1722" s="2" t="s">
        <v>138</v>
      </c>
    </row>
    <row r="1723" ht="15.75" customHeight="1">
      <c r="A1723" s="2" t="s">
        <v>5479</v>
      </c>
      <c r="B1723" s="2" t="s">
        <v>5480</v>
      </c>
      <c r="C1723" s="2" t="s">
        <v>2703</v>
      </c>
      <c r="D1723" s="2" t="s">
        <v>957</v>
      </c>
      <c r="E1723" s="2" t="s">
        <v>958</v>
      </c>
      <c r="F1723" s="2">
        <v>478.0</v>
      </c>
      <c r="G1723" s="2">
        <v>9.96</v>
      </c>
      <c r="H1723" s="2">
        <v>48.0</v>
      </c>
      <c r="I1723" s="2" t="s">
        <v>47</v>
      </c>
    </row>
    <row r="1724" ht="15.75" customHeight="1">
      <c r="A1724" s="2" t="s">
        <v>5481</v>
      </c>
      <c r="B1724" s="2" t="s">
        <v>5482</v>
      </c>
      <c r="C1724" s="2" t="s">
        <v>2703</v>
      </c>
      <c r="D1724" s="2" t="s">
        <v>1076</v>
      </c>
      <c r="E1724" s="2" t="s">
        <v>1078</v>
      </c>
      <c r="F1724" s="2">
        <v>238.0</v>
      </c>
      <c r="G1724" s="2">
        <v>3.47</v>
      </c>
      <c r="H1724" s="2">
        <v>68.6</v>
      </c>
      <c r="I1724" s="2" t="s">
        <v>47</v>
      </c>
    </row>
    <row r="1725" ht="15.75" customHeight="1">
      <c r="A1725" s="2" t="s">
        <v>3129</v>
      </c>
      <c r="B1725" s="2" t="s">
        <v>3131</v>
      </c>
      <c r="C1725" s="2" t="s">
        <v>2703</v>
      </c>
      <c r="D1725" s="2" t="s">
        <v>1076</v>
      </c>
      <c r="E1725" s="2" t="s">
        <v>1078</v>
      </c>
      <c r="F1725" s="2">
        <v>704.0</v>
      </c>
      <c r="G1725" s="2">
        <v>6.14</v>
      </c>
      <c r="H1725" s="2">
        <v>114.7</v>
      </c>
      <c r="I1725" s="2" t="s">
        <v>27</v>
      </c>
    </row>
    <row r="1726" ht="15.75" customHeight="1">
      <c r="A1726" s="2" t="s">
        <v>5483</v>
      </c>
      <c r="B1726" s="2" t="s">
        <v>5484</v>
      </c>
      <c r="C1726" s="2" t="s">
        <v>2703</v>
      </c>
      <c r="D1726" s="2" t="s">
        <v>886</v>
      </c>
      <c r="E1726" s="2" t="s">
        <v>887</v>
      </c>
      <c r="F1726" s="2">
        <v>680.0</v>
      </c>
      <c r="G1726" s="2">
        <v>6.81</v>
      </c>
      <c r="H1726" s="2">
        <v>99.9</v>
      </c>
      <c r="I1726" s="2" t="s">
        <v>27</v>
      </c>
    </row>
    <row r="1727" ht="15.75" customHeight="1">
      <c r="A1727" s="2" t="s">
        <v>5471</v>
      </c>
      <c r="B1727" s="2" t="s">
        <v>5472</v>
      </c>
      <c r="C1727" s="2" t="s">
        <v>2703</v>
      </c>
      <c r="D1727" s="2" t="s">
        <v>883</v>
      </c>
      <c r="E1727" s="2" t="s">
        <v>885</v>
      </c>
      <c r="F1727" s="2">
        <v>149.0</v>
      </c>
      <c r="G1727" s="2">
        <v>7.5</v>
      </c>
      <c r="H1727" s="2">
        <v>19.9</v>
      </c>
      <c r="I1727" s="2" t="s">
        <v>47</v>
      </c>
    </row>
    <row r="1728" ht="15.75" customHeight="1">
      <c r="A1728" s="2" t="s">
        <v>5473</v>
      </c>
      <c r="B1728" s="2" t="s">
        <v>5474</v>
      </c>
      <c r="C1728" s="2" t="s">
        <v>2703</v>
      </c>
      <c r="D1728" s="2" t="s">
        <v>886</v>
      </c>
      <c r="E1728" s="2" t="s">
        <v>887</v>
      </c>
      <c r="F1728" s="2">
        <v>463.0</v>
      </c>
      <c r="G1728" s="2">
        <v>6.98</v>
      </c>
      <c r="H1728" s="2">
        <v>66.3</v>
      </c>
      <c r="I1728" s="2" t="s">
        <v>47</v>
      </c>
    </row>
    <row r="1729" ht="15.75" customHeight="1">
      <c r="A1729" s="2" t="s">
        <v>3132</v>
      </c>
      <c r="B1729" s="2" t="s">
        <v>3133</v>
      </c>
      <c r="C1729" s="2" t="s">
        <v>2703</v>
      </c>
      <c r="D1729" s="2" t="s">
        <v>927</v>
      </c>
      <c r="E1729" s="2" t="s">
        <v>928</v>
      </c>
      <c r="F1729" s="2">
        <v>925.0</v>
      </c>
      <c r="G1729" s="2">
        <v>6.9</v>
      </c>
      <c r="H1729" s="2">
        <v>134.1</v>
      </c>
      <c r="I1729" s="2" t="s">
        <v>27</v>
      </c>
    </row>
    <row r="1730" ht="15.75" customHeight="1">
      <c r="A1730" s="2" t="s">
        <v>5475</v>
      </c>
      <c r="B1730" s="2" t="s">
        <v>5476</v>
      </c>
      <c r="C1730" s="2" t="s">
        <v>2703</v>
      </c>
      <c r="D1730" s="2" t="s">
        <v>883</v>
      </c>
      <c r="E1730" s="2" t="s">
        <v>885</v>
      </c>
      <c r="F1730" s="2">
        <v>113.0</v>
      </c>
      <c r="G1730" s="2">
        <v>4.33</v>
      </c>
      <c r="H1730" s="2">
        <v>26.1</v>
      </c>
      <c r="I1730" s="2" t="s">
        <v>47</v>
      </c>
    </row>
    <row r="1731" ht="15.75" customHeight="1">
      <c r="A1731" s="2" t="s">
        <v>5477</v>
      </c>
      <c r="B1731" s="2" t="s">
        <v>5478</v>
      </c>
      <c r="C1731" s="2" t="s">
        <v>2703</v>
      </c>
      <c r="D1731" s="2" t="s">
        <v>883</v>
      </c>
      <c r="E1731" s="2" t="s">
        <v>885</v>
      </c>
      <c r="F1731" s="2">
        <v>309.0</v>
      </c>
      <c r="G1731" s="2">
        <v>7.81</v>
      </c>
      <c r="H1731" s="2">
        <v>39.6</v>
      </c>
      <c r="I1731" s="2" t="s">
        <v>47</v>
      </c>
    </row>
    <row r="1732" ht="15.75" customHeight="1">
      <c r="A1732" s="2" t="s">
        <v>5485</v>
      </c>
      <c r="B1732" s="2" t="s">
        <v>5486</v>
      </c>
      <c r="C1732" s="2" t="s">
        <v>2703</v>
      </c>
      <c r="D1732" s="2" t="s">
        <v>973</v>
      </c>
      <c r="E1732" s="2" t="s">
        <v>974</v>
      </c>
      <c r="F1732" s="2">
        <v>250.0</v>
      </c>
      <c r="G1732" s="2">
        <v>8.34</v>
      </c>
      <c r="H1732" s="2">
        <v>30.0</v>
      </c>
      <c r="I1732" s="2" t="s">
        <v>47</v>
      </c>
    </row>
    <row r="1733" ht="15.75" customHeight="1">
      <c r="A1733" s="2" t="s">
        <v>3134</v>
      </c>
      <c r="B1733" s="2" t="s">
        <v>3135</v>
      </c>
      <c r="C1733" s="2" t="s">
        <v>2703</v>
      </c>
      <c r="D1733" s="2" t="s">
        <v>927</v>
      </c>
      <c r="E1733" s="2" t="s">
        <v>928</v>
      </c>
      <c r="F1733" s="2">
        <v>878.0</v>
      </c>
      <c r="G1733" s="2">
        <v>12.53</v>
      </c>
      <c r="H1733" s="2">
        <v>70.1</v>
      </c>
      <c r="I1733" s="2" t="s">
        <v>27</v>
      </c>
    </row>
    <row r="1734" ht="15.75" customHeight="1">
      <c r="A1734" s="2" t="s">
        <v>3138</v>
      </c>
      <c r="B1734" s="2" t="s">
        <v>3139</v>
      </c>
      <c r="C1734" s="2" t="s">
        <v>2703</v>
      </c>
      <c r="D1734" s="2" t="s">
        <v>1019</v>
      </c>
      <c r="E1734" s="2" t="s">
        <v>1021</v>
      </c>
      <c r="F1734" s="2">
        <v>302.0</v>
      </c>
      <c r="G1734" s="2">
        <v>4.28</v>
      </c>
      <c r="H1734" s="2">
        <v>70.6</v>
      </c>
      <c r="I1734" s="2" t="s">
        <v>47</v>
      </c>
    </row>
    <row r="1735" ht="15.75" customHeight="1">
      <c r="A1735" s="2" t="s">
        <v>3140</v>
      </c>
      <c r="B1735" s="2" t="s">
        <v>3141</v>
      </c>
      <c r="C1735" s="2" t="s">
        <v>2703</v>
      </c>
      <c r="D1735" s="2" t="s">
        <v>804</v>
      </c>
      <c r="E1735" s="2" t="s">
        <v>806</v>
      </c>
      <c r="F1735" s="2">
        <v>640.0</v>
      </c>
      <c r="G1735" s="2">
        <v>0.95</v>
      </c>
      <c r="H1735" s="2">
        <v>673.7</v>
      </c>
      <c r="I1735" s="2" t="s">
        <v>27</v>
      </c>
    </row>
    <row r="1736" ht="15.75" customHeight="1">
      <c r="A1736" s="2" t="s">
        <v>3144</v>
      </c>
      <c r="B1736" s="2" t="s">
        <v>3145</v>
      </c>
      <c r="C1736" s="2" t="s">
        <v>2703</v>
      </c>
      <c r="D1736" s="2" t="s">
        <v>917</v>
      </c>
      <c r="E1736" s="2" t="s">
        <v>918</v>
      </c>
      <c r="F1736" s="2">
        <v>851.0</v>
      </c>
      <c r="G1736" s="2">
        <v>7.59</v>
      </c>
      <c r="H1736" s="2">
        <v>112.1</v>
      </c>
      <c r="I1736" s="2" t="s">
        <v>27</v>
      </c>
    </row>
    <row r="1737" ht="15.75" customHeight="1">
      <c r="A1737" s="2" t="s">
        <v>3148</v>
      </c>
      <c r="B1737" s="2" t="s">
        <v>3149</v>
      </c>
      <c r="C1737" s="2" t="s">
        <v>2703</v>
      </c>
      <c r="D1737" s="2" t="s">
        <v>804</v>
      </c>
      <c r="E1737" s="2" t="s">
        <v>806</v>
      </c>
      <c r="F1737" s="2">
        <v>2243.0</v>
      </c>
      <c r="G1737" s="2">
        <v>8.67</v>
      </c>
      <c r="H1737" s="2">
        <v>258.7</v>
      </c>
      <c r="I1737" s="2" t="s">
        <v>138</v>
      </c>
    </row>
    <row r="1738" ht="15.75" customHeight="1">
      <c r="A1738" s="2" t="s">
        <v>3150</v>
      </c>
      <c r="B1738" s="2" t="s">
        <v>3151</v>
      </c>
      <c r="C1738" s="2" t="s">
        <v>2703</v>
      </c>
      <c r="D1738" s="2" t="s">
        <v>804</v>
      </c>
      <c r="E1738" s="2" t="s">
        <v>806</v>
      </c>
      <c r="F1738" s="2">
        <v>588.0</v>
      </c>
      <c r="G1738" s="2">
        <v>7.36</v>
      </c>
      <c r="H1738" s="2">
        <v>79.9</v>
      </c>
      <c r="I1738" s="2" t="s">
        <v>27</v>
      </c>
    </row>
    <row r="1739" ht="15.75" customHeight="1">
      <c r="A1739" s="2" t="s">
        <v>3152</v>
      </c>
      <c r="B1739" s="2" t="s">
        <v>3153</v>
      </c>
      <c r="C1739" s="2" t="s">
        <v>2703</v>
      </c>
      <c r="D1739" s="2" t="s">
        <v>1019</v>
      </c>
      <c r="E1739" s="2" t="s">
        <v>1021</v>
      </c>
      <c r="F1739" s="2">
        <v>1071.0</v>
      </c>
      <c r="G1739" s="2">
        <v>13.0</v>
      </c>
      <c r="H1739" s="2">
        <v>82.4</v>
      </c>
      <c r="I1739" s="2" t="s">
        <v>27</v>
      </c>
    </row>
    <row r="1740" ht="15.75" customHeight="1">
      <c r="A1740" s="2" t="s">
        <v>5487</v>
      </c>
      <c r="B1740" s="2" t="s">
        <v>5488</v>
      </c>
      <c r="C1740" s="2" t="s">
        <v>2703</v>
      </c>
      <c r="D1740" s="2" t="s">
        <v>817</v>
      </c>
      <c r="E1740" s="2" t="s">
        <v>818</v>
      </c>
      <c r="F1740" s="2">
        <v>294.0</v>
      </c>
      <c r="G1740" s="2">
        <v>8.12</v>
      </c>
      <c r="H1740" s="2">
        <v>36.2</v>
      </c>
      <c r="I1740" s="2" t="s">
        <v>47</v>
      </c>
    </row>
    <row r="1741" ht="15.75" customHeight="1">
      <c r="A1741" s="2" t="s">
        <v>3154</v>
      </c>
      <c r="B1741" s="2" t="s">
        <v>3155</v>
      </c>
      <c r="C1741" s="2" t="s">
        <v>2703</v>
      </c>
      <c r="D1741" s="2" t="s">
        <v>865</v>
      </c>
      <c r="E1741" s="2" t="s">
        <v>866</v>
      </c>
      <c r="F1741" s="2">
        <v>3084.0</v>
      </c>
      <c r="G1741" s="2">
        <v>10.82</v>
      </c>
      <c r="H1741" s="2">
        <v>285.0</v>
      </c>
      <c r="I1741" s="2" t="s">
        <v>138</v>
      </c>
    </row>
    <row r="1742" ht="15.75" customHeight="1">
      <c r="A1742" s="2" t="s">
        <v>3156</v>
      </c>
      <c r="B1742" s="2" t="s">
        <v>3157</v>
      </c>
      <c r="C1742" s="2" t="s">
        <v>2703</v>
      </c>
      <c r="D1742" s="2" t="s">
        <v>1019</v>
      </c>
      <c r="E1742" s="2" t="s">
        <v>1021</v>
      </c>
      <c r="F1742" s="2">
        <v>544.0</v>
      </c>
      <c r="G1742" s="2">
        <v>16.99</v>
      </c>
      <c r="H1742" s="2">
        <v>32.0</v>
      </c>
      <c r="I1742" s="2" t="s">
        <v>27</v>
      </c>
    </row>
    <row r="1743" ht="15.75" customHeight="1">
      <c r="A1743" s="2" t="s">
        <v>3158</v>
      </c>
      <c r="B1743" s="2" t="s">
        <v>3159</v>
      </c>
      <c r="C1743" s="2" t="s">
        <v>2703</v>
      </c>
      <c r="D1743" s="2" t="s">
        <v>927</v>
      </c>
      <c r="E1743" s="2" t="s">
        <v>928</v>
      </c>
      <c r="F1743" s="2">
        <v>1080.0</v>
      </c>
      <c r="G1743" s="2">
        <v>13.97</v>
      </c>
      <c r="H1743" s="2">
        <v>77.3</v>
      </c>
      <c r="I1743" s="2" t="s">
        <v>27</v>
      </c>
    </row>
    <row r="1744" ht="15.75" customHeight="1">
      <c r="A1744" s="2" t="s">
        <v>3160</v>
      </c>
      <c r="B1744" s="2" t="s">
        <v>3161</v>
      </c>
      <c r="C1744" s="2" t="s">
        <v>2703</v>
      </c>
      <c r="D1744" s="2" t="s">
        <v>1019</v>
      </c>
      <c r="E1744" s="2" t="s">
        <v>1021</v>
      </c>
      <c r="F1744" s="2">
        <v>591.0</v>
      </c>
      <c r="G1744" s="2">
        <v>6.6</v>
      </c>
      <c r="H1744" s="2">
        <v>89.5</v>
      </c>
      <c r="I1744" s="2" t="s">
        <v>27</v>
      </c>
    </row>
    <row r="1745" ht="15.75" customHeight="1">
      <c r="A1745" s="2" t="s">
        <v>3162</v>
      </c>
      <c r="B1745" s="2" t="s">
        <v>3165</v>
      </c>
      <c r="C1745" s="2" t="s">
        <v>2703</v>
      </c>
      <c r="D1745" s="2" t="s">
        <v>873</v>
      </c>
      <c r="E1745" s="2" t="s">
        <v>876</v>
      </c>
      <c r="F1745" s="2">
        <v>237.0</v>
      </c>
      <c r="G1745" s="2">
        <v>5.15</v>
      </c>
      <c r="H1745" s="2">
        <v>46.0</v>
      </c>
      <c r="I1745" s="2" t="s">
        <v>47</v>
      </c>
    </row>
    <row r="1746" ht="15.75" customHeight="1">
      <c r="A1746" s="2" t="s">
        <v>3166</v>
      </c>
      <c r="B1746" s="2" t="s">
        <v>3167</v>
      </c>
      <c r="C1746" s="2" t="s">
        <v>2703</v>
      </c>
      <c r="D1746" s="2" t="s">
        <v>993</v>
      </c>
      <c r="E1746" s="2" t="s">
        <v>994</v>
      </c>
      <c r="F1746" s="2">
        <v>897.0</v>
      </c>
      <c r="G1746" s="2">
        <v>12.6</v>
      </c>
      <c r="H1746" s="2">
        <v>71.2</v>
      </c>
      <c r="I1746" s="2" t="s">
        <v>27</v>
      </c>
    </row>
    <row r="1747" ht="15.75" customHeight="1">
      <c r="A1747" s="2" t="s">
        <v>5605</v>
      </c>
      <c r="B1747" s="2" t="s">
        <v>5606</v>
      </c>
      <c r="C1747" s="2" t="s">
        <v>2703</v>
      </c>
      <c r="D1747" s="2" t="s">
        <v>873</v>
      </c>
      <c r="E1747" s="2" t="s">
        <v>876</v>
      </c>
      <c r="F1747" s="2">
        <v>162.0</v>
      </c>
      <c r="G1747" s="2">
        <v>4.16</v>
      </c>
      <c r="H1747" s="2">
        <v>38.9</v>
      </c>
      <c r="I1747" s="2" t="s">
        <v>47</v>
      </c>
    </row>
    <row r="1748" ht="15.75" customHeight="1">
      <c r="A1748" s="2" t="s">
        <v>5611</v>
      </c>
      <c r="B1748" s="2" t="s">
        <v>5612</v>
      </c>
      <c r="C1748" s="2" t="s">
        <v>2703</v>
      </c>
      <c r="D1748" s="2" t="s">
        <v>883</v>
      </c>
      <c r="E1748" s="2" t="s">
        <v>885</v>
      </c>
      <c r="F1748" s="2">
        <v>213.0</v>
      </c>
      <c r="G1748" s="2">
        <v>4.54</v>
      </c>
      <c r="H1748" s="2">
        <v>46.9</v>
      </c>
      <c r="I1748" s="2" t="s">
        <v>47</v>
      </c>
    </row>
    <row r="1749" ht="15.75" customHeight="1">
      <c r="A1749" s="2" t="s">
        <v>3170</v>
      </c>
      <c r="B1749" s="2" t="s">
        <v>3171</v>
      </c>
      <c r="C1749" s="2" t="s">
        <v>2703</v>
      </c>
      <c r="D1749" s="2" t="s">
        <v>817</v>
      </c>
      <c r="E1749" s="2" t="s">
        <v>818</v>
      </c>
      <c r="F1749" s="2">
        <v>961.0</v>
      </c>
      <c r="G1749" s="2">
        <v>28.64</v>
      </c>
      <c r="H1749" s="2">
        <v>33.6</v>
      </c>
      <c r="I1749" s="2" t="s">
        <v>27</v>
      </c>
    </row>
    <row r="1750" ht="15.75" customHeight="1">
      <c r="A1750" s="2" t="s">
        <v>5607</v>
      </c>
      <c r="B1750" s="2" t="s">
        <v>5608</v>
      </c>
      <c r="C1750" s="2" t="s">
        <v>2703</v>
      </c>
      <c r="D1750" s="2" t="s">
        <v>883</v>
      </c>
      <c r="E1750" s="2" t="s">
        <v>885</v>
      </c>
      <c r="F1750" s="2">
        <v>301.0</v>
      </c>
      <c r="G1750" s="2">
        <v>3.71</v>
      </c>
      <c r="H1750" s="2">
        <v>81.1</v>
      </c>
      <c r="I1750" s="2" t="s">
        <v>47</v>
      </c>
    </row>
    <row r="1751" ht="15.75" customHeight="1">
      <c r="A1751" s="2" t="s">
        <v>5609</v>
      </c>
      <c r="B1751" s="2" t="s">
        <v>5610</v>
      </c>
      <c r="C1751" s="2" t="s">
        <v>2703</v>
      </c>
      <c r="D1751" s="2" t="s">
        <v>977</v>
      </c>
      <c r="E1751" s="2" t="s">
        <v>978</v>
      </c>
      <c r="F1751" s="2">
        <v>200.0</v>
      </c>
      <c r="G1751" s="2">
        <v>2.73</v>
      </c>
      <c r="H1751" s="2">
        <v>73.3</v>
      </c>
      <c r="I1751" s="2" t="s">
        <v>47</v>
      </c>
    </row>
    <row r="1752" ht="15.75" customHeight="1">
      <c r="A1752" s="2" t="s">
        <v>3174</v>
      </c>
      <c r="B1752" s="2" t="s">
        <v>3175</v>
      </c>
      <c r="C1752" s="2" t="s">
        <v>2703</v>
      </c>
      <c r="D1752" s="2" t="s">
        <v>817</v>
      </c>
      <c r="E1752" s="2" t="s">
        <v>818</v>
      </c>
      <c r="F1752" s="2">
        <v>855.0</v>
      </c>
      <c r="G1752" s="2">
        <v>8.13</v>
      </c>
      <c r="H1752" s="2">
        <v>105.2</v>
      </c>
      <c r="I1752" s="2" t="s">
        <v>27</v>
      </c>
    </row>
    <row r="1753" ht="15.75" customHeight="1">
      <c r="A1753" s="2" t="s">
        <v>5815</v>
      </c>
      <c r="B1753" s="2" t="s">
        <v>5816</v>
      </c>
      <c r="C1753" s="2" t="s">
        <v>2703</v>
      </c>
      <c r="D1753" s="2" t="s">
        <v>973</v>
      </c>
      <c r="E1753" s="2" t="s">
        <v>974</v>
      </c>
      <c r="F1753" s="2">
        <v>140.0</v>
      </c>
      <c r="G1753" s="2">
        <v>4.35</v>
      </c>
      <c r="H1753" s="2">
        <v>32.2</v>
      </c>
      <c r="I1753" s="2" t="s">
        <v>47</v>
      </c>
    </row>
    <row r="1754" ht="15.75" customHeight="1">
      <c r="A1754" s="2" t="s">
        <v>5489</v>
      </c>
      <c r="B1754" s="2" t="s">
        <v>5490</v>
      </c>
      <c r="C1754" s="2" t="s">
        <v>2703</v>
      </c>
      <c r="D1754" s="2" t="s">
        <v>977</v>
      </c>
      <c r="E1754" s="2" t="s">
        <v>978</v>
      </c>
      <c r="F1754" s="2">
        <v>196.0</v>
      </c>
      <c r="G1754" s="2">
        <v>3.5</v>
      </c>
      <c r="H1754" s="2">
        <v>56.0</v>
      </c>
      <c r="I1754" s="2" t="s">
        <v>47</v>
      </c>
    </row>
    <row r="1755" ht="15.75" customHeight="1">
      <c r="A1755" s="2" t="s">
        <v>3178</v>
      </c>
      <c r="B1755" s="2" t="s">
        <v>3179</v>
      </c>
      <c r="C1755" s="2" t="s">
        <v>2703</v>
      </c>
      <c r="D1755" s="2" t="s">
        <v>927</v>
      </c>
      <c r="E1755" s="2" t="s">
        <v>928</v>
      </c>
      <c r="F1755" s="2">
        <v>1326.0</v>
      </c>
      <c r="G1755" s="2">
        <v>9.68</v>
      </c>
      <c r="H1755" s="2">
        <v>137.0</v>
      </c>
      <c r="I1755" s="2" t="s">
        <v>27</v>
      </c>
    </row>
    <row r="1756" ht="15.75" customHeight="1">
      <c r="A1756" s="2" t="s">
        <v>5491</v>
      </c>
      <c r="B1756" s="2" t="s">
        <v>5492</v>
      </c>
      <c r="C1756" s="2" t="s">
        <v>2703</v>
      </c>
      <c r="D1756" s="2" t="s">
        <v>957</v>
      </c>
      <c r="E1756" s="2" t="s">
        <v>958</v>
      </c>
      <c r="F1756" s="2">
        <v>456.0</v>
      </c>
      <c r="G1756" s="2">
        <v>14.32</v>
      </c>
      <c r="H1756" s="2">
        <v>31.8</v>
      </c>
      <c r="I1756" s="2" t="s">
        <v>47</v>
      </c>
    </row>
    <row r="1757" ht="15.75" customHeight="1">
      <c r="A1757" s="2" t="s">
        <v>5493</v>
      </c>
      <c r="B1757" s="2" t="s">
        <v>5494</v>
      </c>
      <c r="C1757" s="2" t="s">
        <v>2703</v>
      </c>
      <c r="D1757" s="2" t="s">
        <v>955</v>
      </c>
      <c r="E1757" s="2" t="s">
        <v>956</v>
      </c>
      <c r="F1757" s="2">
        <v>687.0</v>
      </c>
      <c r="G1757" s="2">
        <v>2.43</v>
      </c>
      <c r="H1757" s="2">
        <v>282.7</v>
      </c>
      <c r="I1757" s="2" t="s">
        <v>27</v>
      </c>
    </row>
    <row r="1758" ht="15.75" customHeight="1">
      <c r="A1758" s="2" t="s">
        <v>3181</v>
      </c>
      <c r="B1758" s="2" t="s">
        <v>3182</v>
      </c>
      <c r="C1758" s="2" t="s">
        <v>2703</v>
      </c>
      <c r="D1758" s="2" t="s">
        <v>1076</v>
      </c>
      <c r="E1758" s="2" t="s">
        <v>1078</v>
      </c>
      <c r="F1758" s="2">
        <v>827.0</v>
      </c>
      <c r="G1758" s="2">
        <v>4.24</v>
      </c>
      <c r="H1758" s="2">
        <v>195.0</v>
      </c>
      <c r="I1758" s="2" t="s">
        <v>27</v>
      </c>
    </row>
    <row r="1759" ht="15.75" customHeight="1">
      <c r="A1759" s="2" t="s">
        <v>3183</v>
      </c>
      <c r="B1759" s="2" t="s">
        <v>3184</v>
      </c>
      <c r="C1759" s="2" t="s">
        <v>2703</v>
      </c>
      <c r="D1759" s="2" t="s">
        <v>957</v>
      </c>
      <c r="E1759" s="2" t="s">
        <v>958</v>
      </c>
      <c r="F1759" s="2">
        <v>1512.0</v>
      </c>
      <c r="G1759" s="2">
        <v>9.93</v>
      </c>
      <c r="H1759" s="2">
        <v>152.3</v>
      </c>
      <c r="I1759" s="2" t="s">
        <v>27</v>
      </c>
    </row>
    <row r="1760" ht="15.75" customHeight="1">
      <c r="A1760" s="2" t="s">
        <v>5495</v>
      </c>
      <c r="B1760" s="2" t="s">
        <v>5496</v>
      </c>
      <c r="C1760" s="2" t="s">
        <v>2703</v>
      </c>
      <c r="D1760" s="2" t="s">
        <v>883</v>
      </c>
      <c r="E1760" s="2" t="s">
        <v>885</v>
      </c>
      <c r="F1760" s="2">
        <v>165.0</v>
      </c>
      <c r="G1760" s="2">
        <v>4.96</v>
      </c>
      <c r="H1760" s="2">
        <v>33.3</v>
      </c>
      <c r="I1760" s="2" t="s">
        <v>47</v>
      </c>
    </row>
    <row r="1761" ht="15.75" customHeight="1">
      <c r="A1761" s="2" t="s">
        <v>5497</v>
      </c>
      <c r="B1761" s="2" t="s">
        <v>5498</v>
      </c>
      <c r="C1761" s="2" t="s">
        <v>2703</v>
      </c>
      <c r="D1761" s="2" t="s">
        <v>817</v>
      </c>
      <c r="E1761" s="2" t="s">
        <v>818</v>
      </c>
      <c r="F1761" s="2">
        <v>182.0</v>
      </c>
      <c r="G1761" s="2">
        <v>5.93</v>
      </c>
      <c r="H1761" s="2">
        <v>30.7</v>
      </c>
      <c r="I1761" s="2" t="s">
        <v>47</v>
      </c>
    </row>
    <row r="1762" ht="15.75" customHeight="1">
      <c r="A1762" s="2" t="s">
        <v>3185</v>
      </c>
      <c r="B1762" s="2" t="s">
        <v>3186</v>
      </c>
      <c r="C1762" s="2" t="s">
        <v>2703</v>
      </c>
      <c r="D1762" s="2" t="s">
        <v>804</v>
      </c>
      <c r="E1762" s="2" t="s">
        <v>806</v>
      </c>
      <c r="F1762" s="2">
        <v>805.0</v>
      </c>
      <c r="G1762" s="2">
        <v>9.19</v>
      </c>
      <c r="H1762" s="2">
        <v>87.6</v>
      </c>
      <c r="I1762" s="2" t="s">
        <v>27</v>
      </c>
    </row>
    <row r="1763" ht="15.75" customHeight="1">
      <c r="A1763" s="2" t="s">
        <v>3187</v>
      </c>
      <c r="B1763" s="2" t="s">
        <v>3188</v>
      </c>
      <c r="C1763" s="2" t="s">
        <v>2703</v>
      </c>
      <c r="D1763" s="2" t="s">
        <v>804</v>
      </c>
      <c r="E1763" s="2" t="s">
        <v>806</v>
      </c>
      <c r="F1763" s="2">
        <v>5415.0</v>
      </c>
      <c r="G1763" s="2">
        <v>20.84</v>
      </c>
      <c r="H1763" s="2">
        <v>259.8</v>
      </c>
      <c r="I1763" s="2" t="s">
        <v>138</v>
      </c>
    </row>
    <row r="1764" ht="15.75" customHeight="1">
      <c r="A1764" s="2" t="s">
        <v>5499</v>
      </c>
      <c r="B1764" s="2" t="s">
        <v>5500</v>
      </c>
      <c r="C1764" s="2" t="s">
        <v>2703</v>
      </c>
      <c r="D1764" s="2" t="s">
        <v>817</v>
      </c>
      <c r="E1764" s="2" t="s">
        <v>818</v>
      </c>
      <c r="F1764" s="2">
        <v>342.0</v>
      </c>
      <c r="G1764" s="2">
        <v>5.57</v>
      </c>
      <c r="H1764" s="2">
        <v>61.4</v>
      </c>
      <c r="I1764" s="2" t="s">
        <v>47</v>
      </c>
    </row>
    <row r="1765" ht="15.75" customHeight="1">
      <c r="A1765" s="2" t="s">
        <v>3191</v>
      </c>
      <c r="B1765" s="2" t="s">
        <v>3192</v>
      </c>
      <c r="C1765" s="2" t="s">
        <v>2703</v>
      </c>
      <c r="D1765" s="2" t="s">
        <v>977</v>
      </c>
      <c r="E1765" s="2" t="s">
        <v>978</v>
      </c>
      <c r="F1765" s="2">
        <v>524.0</v>
      </c>
      <c r="G1765" s="2">
        <v>10.77</v>
      </c>
      <c r="H1765" s="2">
        <v>48.7</v>
      </c>
      <c r="I1765" s="2" t="s">
        <v>27</v>
      </c>
    </row>
    <row r="1766" ht="15.75" customHeight="1">
      <c r="A1766" s="2" t="s">
        <v>3193</v>
      </c>
      <c r="B1766" s="2" t="s">
        <v>3194</v>
      </c>
      <c r="C1766" s="2" t="s">
        <v>2703</v>
      </c>
      <c r="D1766" s="2" t="s">
        <v>973</v>
      </c>
      <c r="E1766" s="2" t="s">
        <v>974</v>
      </c>
      <c r="F1766" s="2">
        <v>2043.0</v>
      </c>
      <c r="G1766" s="2">
        <v>11.3</v>
      </c>
      <c r="H1766" s="2">
        <v>180.8</v>
      </c>
      <c r="I1766" s="2" t="s">
        <v>138</v>
      </c>
    </row>
    <row r="1767" ht="15.75" customHeight="1">
      <c r="A1767" s="2" t="s">
        <v>3195</v>
      </c>
      <c r="B1767" s="2" t="s">
        <v>3196</v>
      </c>
      <c r="C1767" s="2" t="s">
        <v>2703</v>
      </c>
      <c r="D1767" s="2" t="s">
        <v>955</v>
      </c>
      <c r="E1767" s="2" t="s">
        <v>956</v>
      </c>
      <c r="F1767" s="2">
        <v>4926.0</v>
      </c>
      <c r="G1767" s="2">
        <v>8.55</v>
      </c>
      <c r="H1767" s="2">
        <v>576.1</v>
      </c>
      <c r="I1767" s="2" t="s">
        <v>138</v>
      </c>
    </row>
    <row r="1768" ht="15.75" customHeight="1">
      <c r="A1768" s="2" t="s">
        <v>3197</v>
      </c>
      <c r="B1768" s="2" t="s">
        <v>3198</v>
      </c>
      <c r="C1768" s="2" t="s">
        <v>2703</v>
      </c>
      <c r="D1768" s="2" t="s">
        <v>957</v>
      </c>
      <c r="E1768" s="2" t="s">
        <v>958</v>
      </c>
      <c r="F1768" s="2">
        <v>606.0</v>
      </c>
      <c r="G1768" s="2">
        <v>6.04</v>
      </c>
      <c r="H1768" s="2">
        <v>100.3</v>
      </c>
      <c r="I1768" s="2" t="s">
        <v>27</v>
      </c>
    </row>
    <row r="1769" ht="15.75" customHeight="1">
      <c r="A1769" s="2" t="s">
        <v>5501</v>
      </c>
      <c r="B1769" s="2" t="s">
        <v>5502</v>
      </c>
      <c r="C1769" s="2" t="s">
        <v>2703</v>
      </c>
      <c r="D1769" s="2" t="s">
        <v>957</v>
      </c>
      <c r="E1769" s="2" t="s">
        <v>958</v>
      </c>
      <c r="F1769" s="2">
        <v>504.0</v>
      </c>
      <c r="G1769" s="2">
        <v>11.29</v>
      </c>
      <c r="H1769" s="2">
        <v>44.6</v>
      </c>
      <c r="I1769" s="2" t="s">
        <v>27</v>
      </c>
    </row>
    <row r="1770" ht="15.75" customHeight="1">
      <c r="A1770" s="2" t="s">
        <v>3201</v>
      </c>
      <c r="B1770" s="2" t="s">
        <v>3202</v>
      </c>
      <c r="C1770" s="2" t="s">
        <v>2703</v>
      </c>
      <c r="D1770" s="2" t="s">
        <v>865</v>
      </c>
      <c r="E1770" s="2" t="s">
        <v>866</v>
      </c>
      <c r="F1770" s="2">
        <v>9082.0</v>
      </c>
      <c r="G1770" s="2">
        <v>15.19</v>
      </c>
      <c r="H1770" s="2">
        <v>597.9</v>
      </c>
      <c r="I1770" s="2" t="s">
        <v>138</v>
      </c>
    </row>
    <row r="1771" ht="15.75" customHeight="1">
      <c r="A1771" s="2" t="s">
        <v>5503</v>
      </c>
      <c r="B1771" s="2" t="s">
        <v>5504</v>
      </c>
      <c r="C1771" s="2" t="s">
        <v>2703</v>
      </c>
      <c r="D1771" s="2" t="s">
        <v>943</v>
      </c>
      <c r="E1771" s="2" t="s">
        <v>945</v>
      </c>
      <c r="F1771" s="2">
        <v>196.0</v>
      </c>
      <c r="G1771" s="2">
        <v>3.43</v>
      </c>
      <c r="H1771" s="2">
        <v>57.1</v>
      </c>
      <c r="I1771" s="2" t="s">
        <v>47</v>
      </c>
    </row>
    <row r="1772" ht="15.75" customHeight="1">
      <c r="A1772" s="2" t="s">
        <v>5505</v>
      </c>
      <c r="B1772" s="2" t="s">
        <v>5506</v>
      </c>
      <c r="C1772" s="2" t="s">
        <v>2703</v>
      </c>
      <c r="D1772" s="2" t="s">
        <v>883</v>
      </c>
      <c r="E1772" s="2" t="s">
        <v>885</v>
      </c>
      <c r="F1772" s="2">
        <v>278.0</v>
      </c>
      <c r="G1772" s="2">
        <v>14.96</v>
      </c>
      <c r="H1772" s="2">
        <v>18.6</v>
      </c>
      <c r="I1772" s="2" t="s">
        <v>47</v>
      </c>
    </row>
    <row r="1773" ht="15.75" customHeight="1">
      <c r="A1773" s="2" t="s">
        <v>3205</v>
      </c>
      <c r="B1773" s="2" t="s">
        <v>3206</v>
      </c>
      <c r="C1773" s="2" t="s">
        <v>2703</v>
      </c>
      <c r="D1773" s="2" t="s">
        <v>985</v>
      </c>
      <c r="E1773" s="2" t="s">
        <v>988</v>
      </c>
      <c r="F1773" s="2">
        <v>505.0</v>
      </c>
      <c r="G1773" s="2">
        <v>2.19</v>
      </c>
      <c r="H1773" s="2">
        <v>230.6</v>
      </c>
      <c r="I1773" s="2" t="s">
        <v>27</v>
      </c>
    </row>
    <row r="1774" ht="15.75" customHeight="1">
      <c r="A1774" s="2" t="s">
        <v>3207</v>
      </c>
      <c r="B1774" s="2" t="s">
        <v>3208</v>
      </c>
      <c r="C1774" s="2" t="s">
        <v>2703</v>
      </c>
      <c r="D1774" s="2" t="s">
        <v>977</v>
      </c>
      <c r="E1774" s="2" t="s">
        <v>978</v>
      </c>
      <c r="F1774" s="2">
        <v>1469.0</v>
      </c>
      <c r="G1774" s="2">
        <v>16.75</v>
      </c>
      <c r="H1774" s="2">
        <v>87.7</v>
      </c>
      <c r="I1774" s="2" t="s">
        <v>27</v>
      </c>
    </row>
    <row r="1775" ht="15.75" customHeight="1">
      <c r="A1775" s="2" t="s">
        <v>5507</v>
      </c>
      <c r="B1775" s="2" t="s">
        <v>5508</v>
      </c>
      <c r="C1775" s="2" t="s">
        <v>2703</v>
      </c>
      <c r="D1775" s="2" t="s">
        <v>977</v>
      </c>
      <c r="E1775" s="2" t="s">
        <v>978</v>
      </c>
      <c r="F1775" s="2">
        <v>115.0</v>
      </c>
      <c r="G1775" s="2">
        <v>7.38</v>
      </c>
      <c r="H1775" s="2">
        <v>15.6</v>
      </c>
      <c r="I1775" s="2" t="s">
        <v>47</v>
      </c>
    </row>
    <row r="1776" ht="15.75" customHeight="1">
      <c r="A1776" s="2" t="s">
        <v>5509</v>
      </c>
      <c r="B1776" s="2" t="s">
        <v>5510</v>
      </c>
      <c r="C1776" s="2" t="s">
        <v>2703</v>
      </c>
      <c r="D1776" s="2" t="s">
        <v>1019</v>
      </c>
      <c r="E1776" s="2" t="s">
        <v>1021</v>
      </c>
      <c r="F1776" s="2">
        <v>180.0</v>
      </c>
      <c r="G1776" s="2">
        <v>3.44</v>
      </c>
      <c r="H1776" s="2">
        <v>52.3</v>
      </c>
      <c r="I1776" s="2" t="s">
        <v>47</v>
      </c>
    </row>
    <row r="1777" ht="15.75" customHeight="1">
      <c r="A1777" s="2" t="s">
        <v>5511</v>
      </c>
      <c r="B1777" s="2" t="s">
        <v>5512</v>
      </c>
      <c r="C1777" s="2" t="s">
        <v>2703</v>
      </c>
      <c r="D1777" s="2" t="s">
        <v>883</v>
      </c>
      <c r="E1777" s="2" t="s">
        <v>885</v>
      </c>
      <c r="F1777" s="2">
        <v>182.0</v>
      </c>
      <c r="G1777" s="2">
        <v>8.26</v>
      </c>
      <c r="H1777" s="2">
        <v>22.0</v>
      </c>
      <c r="I1777" s="2" t="s">
        <v>47</v>
      </c>
    </row>
    <row r="1778" ht="15.75" customHeight="1">
      <c r="A1778" s="2" t="s">
        <v>5513</v>
      </c>
      <c r="B1778" s="2" t="s">
        <v>5514</v>
      </c>
      <c r="C1778" s="2" t="s">
        <v>2703</v>
      </c>
      <c r="D1778" s="2" t="s">
        <v>883</v>
      </c>
      <c r="E1778" s="2" t="s">
        <v>885</v>
      </c>
      <c r="F1778" s="2">
        <v>32.0</v>
      </c>
      <c r="G1778" s="2">
        <v>3.75</v>
      </c>
      <c r="H1778" s="2">
        <v>8.5</v>
      </c>
      <c r="I1778" s="2" t="s">
        <v>47</v>
      </c>
    </row>
    <row r="1779" ht="15.75" customHeight="1">
      <c r="A1779" s="2" t="s">
        <v>3210</v>
      </c>
      <c r="B1779" s="2" t="s">
        <v>3212</v>
      </c>
      <c r="C1779" s="2" t="s">
        <v>2703</v>
      </c>
      <c r="D1779" s="2" t="s">
        <v>817</v>
      </c>
      <c r="E1779" s="2" t="s">
        <v>818</v>
      </c>
      <c r="F1779" s="2">
        <v>1116.0</v>
      </c>
      <c r="G1779" s="2">
        <v>13.94</v>
      </c>
      <c r="H1779" s="2">
        <v>80.1</v>
      </c>
      <c r="I1779" s="2" t="s">
        <v>27</v>
      </c>
    </row>
    <row r="1780" ht="15.75" customHeight="1">
      <c r="A1780" s="2" t="s">
        <v>3214</v>
      </c>
      <c r="B1780" s="2" t="s">
        <v>3216</v>
      </c>
      <c r="C1780" s="2" t="s">
        <v>2703</v>
      </c>
      <c r="D1780" s="2" t="s">
        <v>1019</v>
      </c>
      <c r="E1780" s="2" t="s">
        <v>1021</v>
      </c>
      <c r="F1780" s="2">
        <v>631.0</v>
      </c>
      <c r="G1780" s="2">
        <v>16.35</v>
      </c>
      <c r="H1780" s="2">
        <v>38.6</v>
      </c>
      <c r="I1780" s="2" t="s">
        <v>27</v>
      </c>
    </row>
    <row r="1781" ht="15.75" customHeight="1">
      <c r="A1781" s="2" t="s">
        <v>3217</v>
      </c>
      <c r="B1781" s="2" t="s">
        <v>3218</v>
      </c>
      <c r="C1781" s="2" t="s">
        <v>2703</v>
      </c>
      <c r="D1781" s="2" t="s">
        <v>957</v>
      </c>
      <c r="E1781" s="2" t="s">
        <v>958</v>
      </c>
      <c r="F1781" s="2">
        <v>870.0</v>
      </c>
      <c r="G1781" s="2">
        <v>13.57</v>
      </c>
      <c r="H1781" s="2">
        <v>64.1</v>
      </c>
      <c r="I1781" s="2" t="s">
        <v>27</v>
      </c>
    </row>
    <row r="1782" ht="15.75" customHeight="1">
      <c r="A1782" s="2" t="s">
        <v>5169</v>
      </c>
      <c r="B1782" s="2" t="s">
        <v>5171</v>
      </c>
      <c r="C1782" s="2" t="s">
        <v>2703</v>
      </c>
      <c r="D1782" s="2" t="s">
        <v>1076</v>
      </c>
      <c r="E1782" s="2" t="s">
        <v>1078</v>
      </c>
      <c r="F1782" s="2">
        <v>554.0</v>
      </c>
      <c r="G1782" s="2">
        <v>3.78</v>
      </c>
      <c r="H1782" s="2">
        <v>146.6</v>
      </c>
      <c r="I1782" s="2" t="s">
        <v>27</v>
      </c>
    </row>
    <row r="1783" ht="15.75" customHeight="1">
      <c r="A1783" s="2" t="s">
        <v>5218</v>
      </c>
      <c r="B1783" s="2" t="s">
        <v>5219</v>
      </c>
      <c r="C1783" s="2" t="s">
        <v>2703</v>
      </c>
      <c r="D1783" s="2" t="s">
        <v>873</v>
      </c>
      <c r="E1783" s="2" t="s">
        <v>876</v>
      </c>
      <c r="F1783" s="2">
        <v>178.0</v>
      </c>
      <c r="G1783" s="2">
        <v>3.11</v>
      </c>
      <c r="H1783" s="2">
        <v>57.2</v>
      </c>
      <c r="I1783" s="2" t="s">
        <v>47</v>
      </c>
    </row>
    <row r="1784" ht="15.75" customHeight="1">
      <c r="A1784" s="2" t="s">
        <v>3219</v>
      </c>
      <c r="B1784" s="2" t="s">
        <v>3220</v>
      </c>
      <c r="C1784" s="2" t="s">
        <v>2703</v>
      </c>
      <c r="D1784" s="2" t="s">
        <v>817</v>
      </c>
      <c r="E1784" s="2" t="s">
        <v>818</v>
      </c>
      <c r="F1784" s="2">
        <v>531.0</v>
      </c>
      <c r="G1784" s="2">
        <v>7.24</v>
      </c>
      <c r="H1784" s="2">
        <v>73.3</v>
      </c>
      <c r="I1784" s="2" t="s">
        <v>27</v>
      </c>
    </row>
    <row r="1785" ht="15.75" customHeight="1">
      <c r="A1785" s="2" t="s">
        <v>5371</v>
      </c>
      <c r="B1785" s="2" t="s">
        <v>5374</v>
      </c>
      <c r="C1785" s="2" t="s">
        <v>2703</v>
      </c>
      <c r="D1785" s="2" t="s">
        <v>886</v>
      </c>
      <c r="E1785" s="2" t="s">
        <v>887</v>
      </c>
      <c r="F1785" s="2">
        <v>233.0</v>
      </c>
      <c r="G1785" s="2">
        <v>2.6</v>
      </c>
      <c r="H1785" s="2">
        <v>89.6</v>
      </c>
      <c r="I1785" s="2" t="s">
        <v>47</v>
      </c>
    </row>
    <row r="1786" ht="15.75" customHeight="1">
      <c r="A1786" s="2" t="s">
        <v>5416</v>
      </c>
      <c r="B1786" s="2" t="s">
        <v>5417</v>
      </c>
      <c r="C1786" s="2" t="s">
        <v>2703</v>
      </c>
      <c r="D1786" s="2" t="s">
        <v>993</v>
      </c>
      <c r="E1786" s="2" t="s">
        <v>994</v>
      </c>
      <c r="F1786" s="2">
        <v>224.0</v>
      </c>
      <c r="G1786" s="2">
        <v>8.78</v>
      </c>
      <c r="H1786" s="2">
        <v>25.5</v>
      </c>
      <c r="I1786" s="2" t="s">
        <v>47</v>
      </c>
    </row>
    <row r="1787" ht="15.75" customHeight="1">
      <c r="A1787" s="2" t="s">
        <v>5422</v>
      </c>
      <c r="B1787" s="2" t="s">
        <v>5423</v>
      </c>
      <c r="C1787" s="2" t="s">
        <v>2703</v>
      </c>
      <c r="D1787" s="2" t="s">
        <v>873</v>
      </c>
      <c r="E1787" s="2" t="s">
        <v>876</v>
      </c>
      <c r="F1787" s="2">
        <v>154.0</v>
      </c>
      <c r="G1787" s="2">
        <v>3.49</v>
      </c>
      <c r="H1787" s="2">
        <v>44.1</v>
      </c>
      <c r="I1787" s="2" t="s">
        <v>47</v>
      </c>
    </row>
    <row r="1788" ht="15.75" customHeight="1">
      <c r="A1788" s="2" t="s">
        <v>3221</v>
      </c>
      <c r="B1788" s="2" t="s">
        <v>3222</v>
      </c>
      <c r="C1788" s="2" t="s">
        <v>2703</v>
      </c>
      <c r="D1788" s="2" t="s">
        <v>883</v>
      </c>
      <c r="E1788" s="2" t="s">
        <v>885</v>
      </c>
      <c r="F1788" s="2">
        <v>180.0</v>
      </c>
      <c r="G1788" s="2">
        <v>7.85</v>
      </c>
      <c r="H1788" s="2">
        <v>22.9</v>
      </c>
      <c r="I1788" s="2" t="s">
        <v>47</v>
      </c>
    </row>
    <row r="1789" ht="15.75" customHeight="1">
      <c r="A1789" s="2" t="s">
        <v>5557</v>
      </c>
      <c r="B1789" s="2" t="s">
        <v>5558</v>
      </c>
      <c r="C1789" s="2" t="s">
        <v>2703</v>
      </c>
      <c r="D1789" s="2" t="s">
        <v>883</v>
      </c>
      <c r="E1789" s="2" t="s">
        <v>885</v>
      </c>
      <c r="F1789" s="2">
        <v>66.0</v>
      </c>
      <c r="G1789" s="2">
        <v>3.46</v>
      </c>
      <c r="H1789" s="2">
        <v>19.1</v>
      </c>
      <c r="I1789" s="2" t="s">
        <v>47</v>
      </c>
    </row>
    <row r="1790" ht="15.75" customHeight="1">
      <c r="A1790" s="2" t="s">
        <v>5559</v>
      </c>
      <c r="B1790" s="2" t="s">
        <v>5560</v>
      </c>
      <c r="C1790" s="2" t="s">
        <v>2703</v>
      </c>
      <c r="D1790" s="2" t="s">
        <v>873</v>
      </c>
      <c r="E1790" s="2" t="s">
        <v>876</v>
      </c>
      <c r="F1790" s="2">
        <v>248.0</v>
      </c>
      <c r="G1790" s="2">
        <v>4.12</v>
      </c>
      <c r="H1790" s="2">
        <v>60.2</v>
      </c>
      <c r="I1790" s="2" t="s">
        <v>47</v>
      </c>
    </row>
    <row r="1791" ht="15.75" customHeight="1">
      <c r="A1791" s="2" t="s">
        <v>3223</v>
      </c>
      <c r="B1791" s="2" t="s">
        <v>3224</v>
      </c>
      <c r="C1791" s="2" t="s">
        <v>2703</v>
      </c>
      <c r="D1791" s="2" t="s">
        <v>1019</v>
      </c>
      <c r="E1791" s="2" t="s">
        <v>1021</v>
      </c>
      <c r="F1791" s="2">
        <v>770.0</v>
      </c>
      <c r="G1791" s="2">
        <v>6.64</v>
      </c>
      <c r="H1791" s="2">
        <v>116.0</v>
      </c>
      <c r="I1791" s="2" t="s">
        <v>27</v>
      </c>
    </row>
    <row r="1792" ht="15.75" customHeight="1">
      <c r="A1792" s="2" t="s">
        <v>3225</v>
      </c>
      <c r="B1792" s="2" t="s">
        <v>3228</v>
      </c>
      <c r="C1792" s="2" t="s">
        <v>2703</v>
      </c>
      <c r="D1792" s="2" t="s">
        <v>1076</v>
      </c>
      <c r="E1792" s="2" t="s">
        <v>1078</v>
      </c>
      <c r="F1792" s="2">
        <v>2439.0</v>
      </c>
      <c r="G1792" s="2">
        <v>6.05</v>
      </c>
      <c r="H1792" s="2">
        <v>403.1</v>
      </c>
      <c r="I1792" s="2" t="s">
        <v>138</v>
      </c>
    </row>
    <row r="1793" ht="15.75" customHeight="1">
      <c r="A1793" s="2" t="s">
        <v>5561</v>
      </c>
      <c r="B1793" s="2" t="s">
        <v>5562</v>
      </c>
      <c r="C1793" s="2" t="s">
        <v>2703</v>
      </c>
      <c r="D1793" s="2" t="s">
        <v>993</v>
      </c>
      <c r="E1793" s="2" t="s">
        <v>994</v>
      </c>
      <c r="F1793" s="2">
        <v>265.0</v>
      </c>
      <c r="G1793" s="2">
        <v>6.3</v>
      </c>
      <c r="H1793" s="2">
        <v>42.1</v>
      </c>
      <c r="I1793" s="2" t="s">
        <v>47</v>
      </c>
    </row>
    <row r="1794" ht="15.75" customHeight="1">
      <c r="A1794" s="2" t="s">
        <v>3229</v>
      </c>
      <c r="B1794" s="2" t="s">
        <v>3230</v>
      </c>
      <c r="C1794" s="2" t="s">
        <v>2703</v>
      </c>
      <c r="D1794" s="2" t="s">
        <v>804</v>
      </c>
      <c r="E1794" s="2" t="s">
        <v>806</v>
      </c>
      <c r="F1794" s="2">
        <v>2327.0</v>
      </c>
      <c r="G1794" s="2">
        <v>7.72</v>
      </c>
      <c r="H1794" s="2">
        <v>301.4</v>
      </c>
      <c r="I1794" s="2" t="s">
        <v>138</v>
      </c>
    </row>
    <row r="1795" ht="15.75" customHeight="1">
      <c r="A1795" s="2" t="s">
        <v>3232</v>
      </c>
      <c r="B1795" s="2" t="s">
        <v>3234</v>
      </c>
      <c r="C1795" s="2" t="s">
        <v>2703</v>
      </c>
      <c r="D1795" s="2" t="s">
        <v>817</v>
      </c>
      <c r="E1795" s="2" t="s">
        <v>818</v>
      </c>
      <c r="F1795" s="2">
        <v>652.0</v>
      </c>
      <c r="G1795" s="2">
        <v>7.73</v>
      </c>
      <c r="H1795" s="2">
        <v>84.3</v>
      </c>
      <c r="I1795" s="2" t="s">
        <v>27</v>
      </c>
    </row>
    <row r="1796" ht="15.75" customHeight="1">
      <c r="A1796" s="2" t="s">
        <v>5646</v>
      </c>
      <c r="B1796" s="2" t="s">
        <v>5647</v>
      </c>
      <c r="C1796" s="2" t="s">
        <v>2703</v>
      </c>
      <c r="D1796" s="2" t="s">
        <v>993</v>
      </c>
      <c r="E1796" s="2" t="s">
        <v>994</v>
      </c>
      <c r="F1796" s="2">
        <v>213.0</v>
      </c>
      <c r="G1796" s="2">
        <v>3.96</v>
      </c>
      <c r="H1796" s="2">
        <v>53.8</v>
      </c>
      <c r="I1796" s="2" t="s">
        <v>47</v>
      </c>
    </row>
    <row r="1797" ht="15.75" customHeight="1">
      <c r="A1797" s="2" t="s">
        <v>3235</v>
      </c>
      <c r="B1797" s="2" t="s">
        <v>3236</v>
      </c>
      <c r="C1797" s="2" t="s">
        <v>2703</v>
      </c>
      <c r="D1797" s="2" t="s">
        <v>993</v>
      </c>
      <c r="E1797" s="2" t="s">
        <v>994</v>
      </c>
      <c r="F1797" s="2">
        <v>521.0</v>
      </c>
      <c r="G1797" s="2">
        <v>7.71</v>
      </c>
      <c r="H1797" s="2">
        <v>67.6</v>
      </c>
      <c r="I1797" s="2" t="s">
        <v>27</v>
      </c>
    </row>
    <row r="1798" ht="15.75" customHeight="1">
      <c r="A1798" s="2" t="s">
        <v>3239</v>
      </c>
      <c r="B1798" s="2" t="s">
        <v>3240</v>
      </c>
      <c r="C1798" s="2" t="s">
        <v>2703</v>
      </c>
      <c r="D1798" s="2" t="s">
        <v>973</v>
      </c>
      <c r="E1798" s="2" t="s">
        <v>974</v>
      </c>
      <c r="F1798" s="2">
        <v>4009.0</v>
      </c>
      <c r="G1798" s="2">
        <v>6.92</v>
      </c>
      <c r="H1798" s="2">
        <v>579.3</v>
      </c>
      <c r="I1798" s="2" t="s">
        <v>138</v>
      </c>
    </row>
    <row r="1799" ht="15.75" customHeight="1">
      <c r="A1799" s="2" t="s">
        <v>3241</v>
      </c>
      <c r="B1799" s="2" t="s">
        <v>3242</v>
      </c>
      <c r="C1799" s="2" t="s">
        <v>2703</v>
      </c>
      <c r="D1799" s="2" t="s">
        <v>907</v>
      </c>
      <c r="E1799" s="2" t="s">
        <v>909</v>
      </c>
      <c r="F1799" s="2">
        <v>1298.0</v>
      </c>
      <c r="G1799" s="2">
        <v>7.5</v>
      </c>
      <c r="H1799" s="2">
        <v>173.1</v>
      </c>
      <c r="I1799" s="2" t="s">
        <v>27</v>
      </c>
    </row>
    <row r="1800" ht="15.75" customHeight="1">
      <c r="A1800" s="2" t="s">
        <v>5650</v>
      </c>
      <c r="B1800" s="2" t="s">
        <v>5651</v>
      </c>
      <c r="C1800" s="2" t="s">
        <v>2703</v>
      </c>
      <c r="D1800" s="2" t="s">
        <v>985</v>
      </c>
      <c r="E1800" s="2" t="s">
        <v>988</v>
      </c>
      <c r="F1800" s="2">
        <v>113.0</v>
      </c>
      <c r="G1800" s="2">
        <v>2.81</v>
      </c>
      <c r="H1800" s="2">
        <v>40.2</v>
      </c>
      <c r="I1800" s="2" t="s">
        <v>47</v>
      </c>
    </row>
    <row r="1801" ht="15.75" customHeight="1">
      <c r="A1801" s="2" t="s">
        <v>3243</v>
      </c>
      <c r="B1801" s="2" t="s">
        <v>3244</v>
      </c>
      <c r="C1801" s="2" t="s">
        <v>2703</v>
      </c>
      <c r="D1801" s="2" t="s">
        <v>993</v>
      </c>
      <c r="E1801" s="2" t="s">
        <v>994</v>
      </c>
      <c r="F1801" s="2">
        <v>112.0</v>
      </c>
      <c r="G1801" s="2">
        <v>4.21</v>
      </c>
      <c r="H1801" s="2">
        <v>26.6</v>
      </c>
      <c r="I1801" s="2" t="s">
        <v>47</v>
      </c>
    </row>
    <row r="1802" ht="15.75" customHeight="1">
      <c r="A1802" s="2" t="s">
        <v>5666</v>
      </c>
      <c r="B1802" s="2" t="s">
        <v>5667</v>
      </c>
      <c r="C1802" s="2" t="s">
        <v>2703</v>
      </c>
      <c r="D1802" s="2" t="s">
        <v>873</v>
      </c>
      <c r="E1802" s="2" t="s">
        <v>876</v>
      </c>
      <c r="F1802" s="2">
        <v>217.0</v>
      </c>
      <c r="G1802" s="2">
        <v>4.74</v>
      </c>
      <c r="H1802" s="2">
        <v>45.8</v>
      </c>
      <c r="I1802" s="2" t="s">
        <v>47</v>
      </c>
    </row>
    <row r="1803" ht="15.75" customHeight="1">
      <c r="A1803" s="2" t="s">
        <v>5758</v>
      </c>
      <c r="B1803" s="2" t="s">
        <v>5759</v>
      </c>
      <c r="C1803" s="2" t="s">
        <v>2703</v>
      </c>
      <c r="D1803" s="2" t="s">
        <v>817</v>
      </c>
      <c r="E1803" s="2" t="s">
        <v>818</v>
      </c>
      <c r="F1803" s="2">
        <v>105.0</v>
      </c>
      <c r="G1803" s="2">
        <v>4.96</v>
      </c>
      <c r="H1803" s="2">
        <v>21.2</v>
      </c>
      <c r="I1803" s="2" t="s">
        <v>47</v>
      </c>
    </row>
    <row r="1804" ht="15.75" customHeight="1">
      <c r="A1804" s="2" t="s">
        <v>5800</v>
      </c>
      <c r="B1804" s="2" t="s">
        <v>5801</v>
      </c>
      <c r="C1804" s="2" t="s">
        <v>2703</v>
      </c>
      <c r="D1804" s="2" t="s">
        <v>957</v>
      </c>
      <c r="E1804" s="2" t="s">
        <v>958</v>
      </c>
      <c r="F1804" s="2">
        <v>401.0</v>
      </c>
      <c r="G1804" s="2">
        <v>8.14</v>
      </c>
      <c r="H1804" s="2">
        <v>49.3</v>
      </c>
      <c r="I1804" s="2" t="s">
        <v>47</v>
      </c>
    </row>
    <row r="1805" ht="15.75" customHeight="1">
      <c r="A1805" s="2" t="s">
        <v>3245</v>
      </c>
      <c r="B1805" s="2" t="s">
        <v>3246</v>
      </c>
      <c r="C1805" s="2" t="s">
        <v>2703</v>
      </c>
      <c r="D1805" s="2" t="s">
        <v>957</v>
      </c>
      <c r="E1805" s="2" t="s">
        <v>958</v>
      </c>
      <c r="F1805" s="2">
        <v>495.0</v>
      </c>
      <c r="G1805" s="2">
        <v>9.84</v>
      </c>
      <c r="H1805" s="2">
        <v>50.3</v>
      </c>
      <c r="I1805" s="2" t="s">
        <v>47</v>
      </c>
    </row>
    <row r="1806" ht="15.75" customHeight="1">
      <c r="A1806" s="2" t="s">
        <v>3248</v>
      </c>
      <c r="B1806" s="2" t="s">
        <v>3250</v>
      </c>
      <c r="C1806" s="2" t="s">
        <v>2703</v>
      </c>
      <c r="D1806" s="2" t="s">
        <v>921</v>
      </c>
      <c r="E1806" s="2" t="s">
        <v>924</v>
      </c>
      <c r="F1806" s="2">
        <v>1153.0</v>
      </c>
      <c r="G1806" s="2">
        <v>5.1</v>
      </c>
      <c r="H1806" s="2">
        <v>226.1</v>
      </c>
      <c r="I1806" s="2" t="s">
        <v>27</v>
      </c>
    </row>
    <row r="1807" ht="15.75" customHeight="1">
      <c r="A1807" s="2" t="s">
        <v>5827</v>
      </c>
      <c r="B1807" s="2" t="s">
        <v>5828</v>
      </c>
      <c r="C1807" s="2" t="s">
        <v>2703</v>
      </c>
      <c r="D1807" s="2" t="s">
        <v>927</v>
      </c>
      <c r="E1807" s="2" t="s">
        <v>928</v>
      </c>
      <c r="F1807" s="2">
        <v>542.0</v>
      </c>
      <c r="G1807" s="2">
        <v>13.19</v>
      </c>
      <c r="H1807" s="2">
        <v>41.1</v>
      </c>
      <c r="I1807" s="2" t="s">
        <v>27</v>
      </c>
    </row>
    <row r="1808" ht="15.75" customHeight="1">
      <c r="A1808" s="2" t="s">
        <v>5515</v>
      </c>
      <c r="B1808" s="2" t="s">
        <v>5516</v>
      </c>
      <c r="C1808" s="2" t="s">
        <v>2703</v>
      </c>
      <c r="D1808" s="2" t="s">
        <v>957</v>
      </c>
      <c r="E1808" s="2" t="s">
        <v>958</v>
      </c>
      <c r="F1808" s="2">
        <v>203.0</v>
      </c>
      <c r="G1808" s="2">
        <v>2.76</v>
      </c>
      <c r="H1808" s="2">
        <v>73.6</v>
      </c>
      <c r="I1808" s="2" t="s">
        <v>47</v>
      </c>
    </row>
    <row r="1809" ht="15.75" customHeight="1">
      <c r="A1809" s="2" t="s">
        <v>3251</v>
      </c>
      <c r="B1809" s="2" t="s">
        <v>3252</v>
      </c>
      <c r="C1809" s="2" t="s">
        <v>2703</v>
      </c>
      <c r="D1809" s="2" t="s">
        <v>955</v>
      </c>
      <c r="E1809" s="2" t="s">
        <v>956</v>
      </c>
      <c r="F1809" s="2">
        <v>6785.0</v>
      </c>
      <c r="G1809" s="2">
        <v>4.73</v>
      </c>
      <c r="H1809" s="2">
        <v>1434.5</v>
      </c>
      <c r="I1809" s="2" t="s">
        <v>138</v>
      </c>
    </row>
    <row r="1810" ht="15.75" customHeight="1">
      <c r="A1810" s="2" t="s">
        <v>3253</v>
      </c>
      <c r="B1810" s="2" t="s">
        <v>3254</v>
      </c>
      <c r="C1810" s="2" t="s">
        <v>2703</v>
      </c>
      <c r="D1810" s="2" t="s">
        <v>1019</v>
      </c>
      <c r="E1810" s="2" t="s">
        <v>1021</v>
      </c>
      <c r="F1810" s="2">
        <v>573.0</v>
      </c>
      <c r="G1810" s="2">
        <v>12.64</v>
      </c>
      <c r="H1810" s="2">
        <v>45.3</v>
      </c>
      <c r="I1810" s="2" t="s">
        <v>27</v>
      </c>
    </row>
    <row r="1811" ht="15.75" customHeight="1">
      <c r="A1811" s="2" t="s">
        <v>5517</v>
      </c>
      <c r="B1811" s="2" t="s">
        <v>5518</v>
      </c>
      <c r="C1811" s="2" t="s">
        <v>2703</v>
      </c>
      <c r="D1811" s="2" t="s">
        <v>985</v>
      </c>
      <c r="E1811" s="2" t="s">
        <v>988</v>
      </c>
      <c r="F1811" s="2">
        <v>181.0</v>
      </c>
      <c r="G1811" s="2">
        <v>11.41</v>
      </c>
      <c r="H1811" s="2">
        <v>15.9</v>
      </c>
      <c r="I1811" s="2" t="s">
        <v>47</v>
      </c>
    </row>
    <row r="1812" ht="15.75" customHeight="1">
      <c r="A1812" s="2" t="s">
        <v>5519</v>
      </c>
      <c r="B1812" s="2" t="s">
        <v>5520</v>
      </c>
      <c r="C1812" s="2" t="s">
        <v>2703</v>
      </c>
      <c r="D1812" s="2" t="s">
        <v>1019</v>
      </c>
      <c r="E1812" s="2" t="s">
        <v>1021</v>
      </c>
      <c r="F1812" s="2">
        <v>224.0</v>
      </c>
      <c r="G1812" s="2">
        <v>7.79</v>
      </c>
      <c r="H1812" s="2">
        <v>28.8</v>
      </c>
      <c r="I1812" s="2" t="s">
        <v>47</v>
      </c>
    </row>
    <row r="1813" ht="15.75" customHeight="1">
      <c r="A1813" s="2" t="s">
        <v>3255</v>
      </c>
      <c r="B1813" s="2" t="s">
        <v>3257</v>
      </c>
      <c r="C1813" s="2" t="s">
        <v>2703</v>
      </c>
      <c r="D1813" s="2" t="s">
        <v>993</v>
      </c>
      <c r="E1813" s="2" t="s">
        <v>994</v>
      </c>
      <c r="F1813" s="2">
        <v>718.0</v>
      </c>
      <c r="G1813" s="2">
        <v>9.48</v>
      </c>
      <c r="H1813" s="2">
        <v>75.7</v>
      </c>
      <c r="I1813" s="2" t="s">
        <v>27</v>
      </c>
    </row>
    <row r="1814" ht="15.75" customHeight="1">
      <c r="A1814" s="2" t="s">
        <v>5521</v>
      </c>
      <c r="B1814" s="2" t="s">
        <v>5522</v>
      </c>
      <c r="C1814" s="2" t="s">
        <v>2703</v>
      </c>
      <c r="D1814" s="2" t="s">
        <v>883</v>
      </c>
      <c r="E1814" s="2" t="s">
        <v>885</v>
      </c>
      <c r="F1814" s="2">
        <v>423.0</v>
      </c>
      <c r="G1814" s="2">
        <v>15.96</v>
      </c>
      <c r="H1814" s="2">
        <v>26.5</v>
      </c>
      <c r="I1814" s="2" t="s">
        <v>47</v>
      </c>
    </row>
    <row r="1815" ht="15.75" customHeight="1">
      <c r="A1815" s="2" t="s">
        <v>5523</v>
      </c>
      <c r="B1815" s="2" t="s">
        <v>5524</v>
      </c>
      <c r="C1815" s="2" t="s">
        <v>2703</v>
      </c>
      <c r="D1815" s="2" t="s">
        <v>817</v>
      </c>
      <c r="E1815" s="2" t="s">
        <v>818</v>
      </c>
      <c r="F1815" s="2">
        <v>359.0</v>
      </c>
      <c r="G1815" s="2">
        <v>10.13</v>
      </c>
      <c r="H1815" s="2">
        <v>35.4</v>
      </c>
      <c r="I1815" s="2" t="s">
        <v>47</v>
      </c>
    </row>
    <row r="1816" ht="15.75" customHeight="1">
      <c r="A1816" s="2" t="s">
        <v>5525</v>
      </c>
      <c r="B1816" s="2" t="s">
        <v>5526</v>
      </c>
      <c r="C1816" s="2" t="s">
        <v>2703</v>
      </c>
      <c r="D1816" s="2" t="s">
        <v>1019</v>
      </c>
      <c r="E1816" s="2" t="s">
        <v>1021</v>
      </c>
      <c r="F1816" s="2">
        <v>329.0</v>
      </c>
      <c r="G1816" s="2">
        <v>5.54</v>
      </c>
      <c r="H1816" s="2">
        <v>59.4</v>
      </c>
      <c r="I1816" s="2" t="s">
        <v>47</v>
      </c>
    </row>
    <row r="1817" ht="15.75" customHeight="1">
      <c r="A1817" s="2" t="s">
        <v>3259</v>
      </c>
      <c r="B1817" s="2" t="s">
        <v>3260</v>
      </c>
      <c r="C1817" s="2" t="s">
        <v>2703</v>
      </c>
      <c r="D1817" s="2" t="s">
        <v>907</v>
      </c>
      <c r="E1817" s="2" t="s">
        <v>909</v>
      </c>
      <c r="F1817" s="2">
        <v>2586.0</v>
      </c>
      <c r="G1817" s="2">
        <v>5.96</v>
      </c>
      <c r="H1817" s="2">
        <v>433.9</v>
      </c>
      <c r="I1817" s="2" t="s">
        <v>138</v>
      </c>
    </row>
    <row r="1818" ht="15.75" customHeight="1">
      <c r="A1818" s="2" t="s">
        <v>3261</v>
      </c>
      <c r="B1818" s="2" t="s">
        <v>3262</v>
      </c>
      <c r="C1818" s="2" t="s">
        <v>2703</v>
      </c>
      <c r="D1818" s="2" t="s">
        <v>886</v>
      </c>
      <c r="E1818" s="2" t="s">
        <v>887</v>
      </c>
      <c r="F1818" s="2">
        <v>1895.0</v>
      </c>
      <c r="G1818" s="2">
        <v>17.24</v>
      </c>
      <c r="H1818" s="2">
        <v>109.9</v>
      </c>
      <c r="I1818" s="2" t="s">
        <v>27</v>
      </c>
    </row>
    <row r="1819" ht="15.75" customHeight="1">
      <c r="A1819" s="2" t="s">
        <v>3263</v>
      </c>
      <c r="B1819" s="2" t="s">
        <v>3264</v>
      </c>
      <c r="C1819" s="2" t="s">
        <v>2703</v>
      </c>
      <c r="D1819" s="2" t="s">
        <v>927</v>
      </c>
      <c r="E1819" s="2" t="s">
        <v>928</v>
      </c>
      <c r="F1819" s="2">
        <v>1247.0</v>
      </c>
      <c r="G1819" s="2">
        <v>5.04</v>
      </c>
      <c r="H1819" s="2">
        <v>247.4</v>
      </c>
      <c r="I1819" s="2" t="s">
        <v>27</v>
      </c>
    </row>
    <row r="1820" ht="15.75" customHeight="1">
      <c r="A1820" s="2" t="s">
        <v>5527</v>
      </c>
      <c r="B1820" s="2" t="s">
        <v>5528</v>
      </c>
      <c r="C1820" s="2" t="s">
        <v>2703</v>
      </c>
      <c r="D1820" s="2" t="s">
        <v>883</v>
      </c>
      <c r="E1820" s="2" t="s">
        <v>885</v>
      </c>
      <c r="F1820" s="2">
        <v>151.0</v>
      </c>
      <c r="G1820" s="2">
        <v>7.41</v>
      </c>
      <c r="H1820" s="2">
        <v>20.4</v>
      </c>
      <c r="I1820" s="2" t="s">
        <v>47</v>
      </c>
    </row>
    <row r="1821" ht="15.75" customHeight="1">
      <c r="A1821" s="2" t="s">
        <v>3265</v>
      </c>
      <c r="B1821" s="2" t="s">
        <v>3266</v>
      </c>
      <c r="C1821" s="2" t="s">
        <v>2703</v>
      </c>
      <c r="D1821" s="2" t="s">
        <v>817</v>
      </c>
      <c r="E1821" s="2" t="s">
        <v>818</v>
      </c>
      <c r="F1821" s="2">
        <v>682.0</v>
      </c>
      <c r="G1821" s="2">
        <v>10.79</v>
      </c>
      <c r="H1821" s="2">
        <v>63.2</v>
      </c>
      <c r="I1821" s="2" t="s">
        <v>27</v>
      </c>
    </row>
    <row r="1822" ht="15.75" customHeight="1">
      <c r="A1822" s="2" t="s">
        <v>3267</v>
      </c>
      <c r="B1822" s="2" t="s">
        <v>3268</v>
      </c>
      <c r="C1822" s="2" t="s">
        <v>2703</v>
      </c>
      <c r="D1822" s="2" t="s">
        <v>993</v>
      </c>
      <c r="E1822" s="2" t="s">
        <v>994</v>
      </c>
      <c r="F1822" s="2">
        <v>548.0</v>
      </c>
      <c r="G1822" s="2">
        <v>7.78</v>
      </c>
      <c r="H1822" s="2">
        <v>70.4</v>
      </c>
      <c r="I1822" s="2" t="s">
        <v>27</v>
      </c>
    </row>
    <row r="1823" ht="15.75" customHeight="1">
      <c r="A1823" s="2" t="s">
        <v>3271</v>
      </c>
      <c r="B1823" s="2" t="s">
        <v>3272</v>
      </c>
      <c r="C1823" s="2" t="s">
        <v>2703</v>
      </c>
      <c r="D1823" s="2" t="s">
        <v>973</v>
      </c>
      <c r="E1823" s="2" t="s">
        <v>974</v>
      </c>
      <c r="F1823" s="2">
        <v>1014.0</v>
      </c>
      <c r="G1823" s="2">
        <v>13.92</v>
      </c>
      <c r="H1823" s="2">
        <v>72.8</v>
      </c>
      <c r="I1823" s="2" t="s">
        <v>27</v>
      </c>
    </row>
    <row r="1824" ht="15.75" customHeight="1">
      <c r="A1824" s="2" t="s">
        <v>3273</v>
      </c>
      <c r="B1824" s="2" t="s">
        <v>3274</v>
      </c>
      <c r="C1824" s="2" t="s">
        <v>2703</v>
      </c>
      <c r="D1824" s="2" t="s">
        <v>907</v>
      </c>
      <c r="E1824" s="2" t="s">
        <v>909</v>
      </c>
      <c r="F1824" s="2">
        <v>830.0</v>
      </c>
      <c r="G1824" s="2">
        <v>6.3</v>
      </c>
      <c r="H1824" s="2">
        <v>131.7</v>
      </c>
      <c r="I1824" s="2" t="s">
        <v>27</v>
      </c>
    </row>
    <row r="1825" ht="15.75" customHeight="1">
      <c r="A1825" s="2" t="s">
        <v>3275</v>
      </c>
      <c r="B1825" s="2" t="s">
        <v>3276</v>
      </c>
      <c r="C1825" s="2" t="s">
        <v>2703</v>
      </c>
      <c r="D1825" s="2" t="s">
        <v>993</v>
      </c>
      <c r="E1825" s="2" t="s">
        <v>994</v>
      </c>
      <c r="F1825" s="2">
        <v>2473.0</v>
      </c>
      <c r="G1825" s="2">
        <v>18.74</v>
      </c>
      <c r="H1825" s="2">
        <v>132.0</v>
      </c>
      <c r="I1825" s="2" t="s">
        <v>138</v>
      </c>
    </row>
    <row r="1826" ht="15.75" customHeight="1">
      <c r="A1826" s="2" t="s">
        <v>3277</v>
      </c>
      <c r="B1826" s="2" t="s">
        <v>3278</v>
      </c>
      <c r="C1826" s="2" t="s">
        <v>2703</v>
      </c>
      <c r="D1826" s="2" t="s">
        <v>943</v>
      </c>
      <c r="E1826" s="2" t="s">
        <v>945</v>
      </c>
      <c r="F1826" s="2">
        <v>381.0</v>
      </c>
      <c r="G1826" s="2">
        <v>5.82</v>
      </c>
      <c r="H1826" s="2">
        <v>65.5</v>
      </c>
      <c r="I1826" s="2" t="s">
        <v>47</v>
      </c>
    </row>
    <row r="1827" ht="15.75" customHeight="1">
      <c r="A1827" s="2" t="s">
        <v>5529</v>
      </c>
      <c r="B1827" s="2" t="s">
        <v>5530</v>
      </c>
      <c r="C1827" s="2" t="s">
        <v>2703</v>
      </c>
      <c r="D1827" s="2" t="s">
        <v>817</v>
      </c>
      <c r="E1827" s="2" t="s">
        <v>818</v>
      </c>
      <c r="F1827" s="2">
        <v>178.0</v>
      </c>
      <c r="G1827" s="2">
        <v>4.22</v>
      </c>
      <c r="H1827" s="2">
        <v>42.2</v>
      </c>
      <c r="I1827" s="2" t="s">
        <v>47</v>
      </c>
    </row>
    <row r="1828" ht="15.75" customHeight="1">
      <c r="A1828" s="2" t="s">
        <v>5531</v>
      </c>
      <c r="B1828" s="2" t="s">
        <v>5532</v>
      </c>
      <c r="C1828" s="2" t="s">
        <v>2703</v>
      </c>
      <c r="D1828" s="2" t="s">
        <v>873</v>
      </c>
      <c r="E1828" s="2" t="s">
        <v>876</v>
      </c>
      <c r="F1828" s="2">
        <v>285.0</v>
      </c>
      <c r="G1828" s="2">
        <v>7.73</v>
      </c>
      <c r="H1828" s="2">
        <v>36.9</v>
      </c>
      <c r="I1828" s="2" t="s">
        <v>47</v>
      </c>
    </row>
    <row r="1829" ht="15.75" customHeight="1">
      <c r="A1829" s="2" t="s">
        <v>5533</v>
      </c>
      <c r="B1829" s="2" t="s">
        <v>5534</v>
      </c>
      <c r="C1829" s="2" t="s">
        <v>2703</v>
      </c>
      <c r="D1829" s="2" t="s">
        <v>907</v>
      </c>
      <c r="E1829" s="2" t="s">
        <v>909</v>
      </c>
      <c r="F1829" s="2">
        <v>375.0</v>
      </c>
      <c r="G1829" s="2">
        <v>3.24</v>
      </c>
      <c r="H1829" s="2">
        <v>115.7</v>
      </c>
      <c r="I1829" s="2" t="s">
        <v>47</v>
      </c>
    </row>
    <row r="1830" ht="15.75" customHeight="1">
      <c r="A1830" s="2" t="s">
        <v>5535</v>
      </c>
      <c r="B1830" s="2" t="s">
        <v>5536</v>
      </c>
      <c r="C1830" s="2" t="s">
        <v>2703</v>
      </c>
      <c r="D1830" s="2" t="s">
        <v>977</v>
      </c>
      <c r="E1830" s="2" t="s">
        <v>978</v>
      </c>
      <c r="F1830" s="2">
        <v>616.0</v>
      </c>
      <c r="G1830" s="2">
        <v>9.15</v>
      </c>
      <c r="H1830" s="2">
        <v>67.3</v>
      </c>
      <c r="I1830" s="2" t="s">
        <v>27</v>
      </c>
    </row>
    <row r="1831" ht="15.75" customHeight="1">
      <c r="A1831" s="2" t="s">
        <v>3281</v>
      </c>
      <c r="B1831" s="2" t="s">
        <v>3282</v>
      </c>
      <c r="C1831" s="2" t="s">
        <v>2703</v>
      </c>
      <c r="D1831" s="2" t="s">
        <v>973</v>
      </c>
      <c r="E1831" s="2" t="s">
        <v>974</v>
      </c>
      <c r="F1831" s="2">
        <v>1581.0</v>
      </c>
      <c r="G1831" s="2">
        <v>10.3</v>
      </c>
      <c r="H1831" s="2">
        <v>153.5</v>
      </c>
      <c r="I1831" s="2" t="s">
        <v>27</v>
      </c>
    </row>
    <row r="1832" ht="15.75" customHeight="1">
      <c r="A1832" s="2" t="s">
        <v>5537</v>
      </c>
      <c r="B1832" s="2" t="s">
        <v>5538</v>
      </c>
      <c r="C1832" s="2" t="s">
        <v>2703</v>
      </c>
      <c r="D1832" s="2" t="s">
        <v>977</v>
      </c>
      <c r="E1832" s="2" t="s">
        <v>978</v>
      </c>
      <c r="F1832" s="2">
        <v>258.0</v>
      </c>
      <c r="G1832" s="2">
        <v>4.57</v>
      </c>
      <c r="H1832" s="2">
        <v>56.5</v>
      </c>
      <c r="I1832" s="2" t="s">
        <v>47</v>
      </c>
    </row>
    <row r="1833" ht="15.75" customHeight="1">
      <c r="A1833" s="2" t="s">
        <v>3283</v>
      </c>
      <c r="B1833" s="2" t="s">
        <v>3284</v>
      </c>
      <c r="C1833" s="2" t="s">
        <v>2703</v>
      </c>
      <c r="D1833" s="2" t="s">
        <v>804</v>
      </c>
      <c r="E1833" s="2" t="s">
        <v>806</v>
      </c>
      <c r="F1833" s="2">
        <v>8677.0</v>
      </c>
      <c r="G1833" s="2">
        <v>6.68</v>
      </c>
      <c r="H1833" s="2">
        <v>1299.0</v>
      </c>
      <c r="I1833" s="2" t="s">
        <v>138</v>
      </c>
    </row>
    <row r="1834" ht="15.75" customHeight="1">
      <c r="A1834" s="2" t="s">
        <v>5539</v>
      </c>
      <c r="B1834" s="2" t="s">
        <v>5540</v>
      </c>
      <c r="C1834" s="2" t="s">
        <v>2703</v>
      </c>
      <c r="D1834" s="2" t="s">
        <v>977</v>
      </c>
      <c r="E1834" s="2" t="s">
        <v>978</v>
      </c>
      <c r="F1834" s="2">
        <v>531.0</v>
      </c>
      <c r="G1834" s="2">
        <v>7.27</v>
      </c>
      <c r="H1834" s="2">
        <v>73.0</v>
      </c>
      <c r="I1834" s="2" t="s">
        <v>27</v>
      </c>
    </row>
    <row r="1835" ht="15.75" customHeight="1">
      <c r="A1835" s="2" t="s">
        <v>3285</v>
      </c>
      <c r="B1835" s="2" t="s">
        <v>3286</v>
      </c>
      <c r="C1835" s="2" t="s">
        <v>2703</v>
      </c>
      <c r="D1835" s="2" t="s">
        <v>973</v>
      </c>
      <c r="E1835" s="2" t="s">
        <v>974</v>
      </c>
      <c r="F1835" s="2">
        <v>641.0</v>
      </c>
      <c r="G1835" s="2">
        <v>13.29</v>
      </c>
      <c r="H1835" s="2">
        <v>48.2</v>
      </c>
      <c r="I1835" s="2" t="s">
        <v>27</v>
      </c>
    </row>
    <row r="1836" ht="15.75" customHeight="1">
      <c r="A1836" s="2" t="s">
        <v>3287</v>
      </c>
      <c r="B1836" s="2" t="s">
        <v>3288</v>
      </c>
      <c r="C1836" s="2" t="s">
        <v>2703</v>
      </c>
      <c r="D1836" s="2" t="s">
        <v>977</v>
      </c>
      <c r="E1836" s="2" t="s">
        <v>978</v>
      </c>
      <c r="F1836" s="2">
        <v>484.0</v>
      </c>
      <c r="G1836" s="2">
        <v>6.85</v>
      </c>
      <c r="H1836" s="2">
        <v>70.7</v>
      </c>
      <c r="I1836" s="2" t="s">
        <v>47</v>
      </c>
    </row>
    <row r="1837" ht="15.75" customHeight="1">
      <c r="A1837" s="2" t="s">
        <v>3289</v>
      </c>
      <c r="B1837" s="2" t="s">
        <v>3291</v>
      </c>
      <c r="C1837" s="2" t="s">
        <v>2703</v>
      </c>
      <c r="D1837" s="2" t="s">
        <v>883</v>
      </c>
      <c r="E1837" s="2" t="s">
        <v>885</v>
      </c>
      <c r="F1837" s="2">
        <v>1409.0</v>
      </c>
      <c r="G1837" s="2">
        <v>8.14</v>
      </c>
      <c r="H1837" s="2">
        <v>173.1</v>
      </c>
      <c r="I1837" s="2" t="s">
        <v>27</v>
      </c>
    </row>
    <row r="1838" ht="15.75" customHeight="1">
      <c r="A1838" s="2" t="s">
        <v>5541</v>
      </c>
      <c r="B1838" s="2" t="s">
        <v>5542</v>
      </c>
      <c r="C1838" s="2" t="s">
        <v>2703</v>
      </c>
      <c r="D1838" s="2" t="s">
        <v>883</v>
      </c>
      <c r="E1838" s="2" t="s">
        <v>885</v>
      </c>
      <c r="F1838" s="2">
        <v>136.0</v>
      </c>
      <c r="G1838" s="2">
        <v>5.11</v>
      </c>
      <c r="H1838" s="2">
        <v>26.6</v>
      </c>
      <c r="I1838" s="2" t="s">
        <v>47</v>
      </c>
    </row>
    <row r="1839" ht="15.75" customHeight="1">
      <c r="A1839" s="2" t="s">
        <v>5543</v>
      </c>
      <c r="B1839" s="2" t="s">
        <v>5544</v>
      </c>
      <c r="C1839" s="2" t="s">
        <v>2703</v>
      </c>
      <c r="D1839" s="2" t="s">
        <v>985</v>
      </c>
      <c r="E1839" s="2" t="s">
        <v>988</v>
      </c>
      <c r="F1839" s="2">
        <v>221.0</v>
      </c>
      <c r="G1839" s="2">
        <v>3.15</v>
      </c>
      <c r="H1839" s="2">
        <v>70.2</v>
      </c>
      <c r="I1839" s="2" t="s">
        <v>47</v>
      </c>
    </row>
    <row r="1840" ht="15.75" customHeight="1">
      <c r="A1840" s="2" t="s">
        <v>5545</v>
      </c>
      <c r="B1840" s="2" t="s">
        <v>5546</v>
      </c>
      <c r="C1840" s="2" t="s">
        <v>2703</v>
      </c>
      <c r="D1840" s="2" t="s">
        <v>817</v>
      </c>
      <c r="E1840" s="2" t="s">
        <v>818</v>
      </c>
      <c r="F1840" s="2">
        <v>344.0</v>
      </c>
      <c r="G1840" s="2">
        <v>7.63</v>
      </c>
      <c r="H1840" s="2">
        <v>45.1</v>
      </c>
      <c r="I1840" s="2" t="s">
        <v>47</v>
      </c>
    </row>
    <row r="1841" ht="15.75" customHeight="1">
      <c r="A1841" s="2" t="s">
        <v>5547</v>
      </c>
      <c r="B1841" s="2" t="s">
        <v>5548</v>
      </c>
      <c r="C1841" s="2" t="s">
        <v>2703</v>
      </c>
      <c r="D1841" s="2" t="s">
        <v>785</v>
      </c>
      <c r="E1841" s="2" t="s">
        <v>787</v>
      </c>
      <c r="F1841" s="2">
        <v>211.0</v>
      </c>
      <c r="G1841" s="2">
        <v>3.74</v>
      </c>
      <c r="H1841" s="2">
        <v>56.4</v>
      </c>
      <c r="I1841" s="2" t="s">
        <v>47</v>
      </c>
    </row>
    <row r="1842" ht="15.75" customHeight="1">
      <c r="A1842" s="2" t="s">
        <v>5551</v>
      </c>
      <c r="B1842" s="2" t="s">
        <v>5552</v>
      </c>
      <c r="C1842" s="2" t="s">
        <v>2703</v>
      </c>
      <c r="D1842" s="2" t="s">
        <v>1076</v>
      </c>
      <c r="E1842" s="2" t="s">
        <v>1078</v>
      </c>
      <c r="F1842" s="2">
        <v>600.0</v>
      </c>
      <c r="G1842" s="2">
        <v>3.36</v>
      </c>
      <c r="H1842" s="2">
        <v>178.6</v>
      </c>
      <c r="I1842" s="2" t="s">
        <v>27</v>
      </c>
    </row>
    <row r="1843" ht="15.75" customHeight="1">
      <c r="A1843" s="2" t="s">
        <v>3293</v>
      </c>
      <c r="B1843" s="2" t="s">
        <v>3294</v>
      </c>
      <c r="C1843" s="2" t="s">
        <v>2703</v>
      </c>
      <c r="D1843" s="2" t="s">
        <v>817</v>
      </c>
      <c r="E1843" s="2" t="s">
        <v>818</v>
      </c>
      <c r="F1843" s="2">
        <v>1922.0</v>
      </c>
      <c r="G1843" s="2">
        <v>19.28</v>
      </c>
      <c r="H1843" s="2">
        <v>99.7</v>
      </c>
      <c r="I1843" s="2" t="s">
        <v>27</v>
      </c>
    </row>
    <row r="1844" ht="15.75" customHeight="1">
      <c r="A1844" s="2" t="s">
        <v>3295</v>
      </c>
      <c r="B1844" s="2" t="s">
        <v>3296</v>
      </c>
      <c r="C1844" s="2" t="s">
        <v>2703</v>
      </c>
      <c r="D1844" s="2" t="s">
        <v>955</v>
      </c>
      <c r="E1844" s="2" t="s">
        <v>956</v>
      </c>
      <c r="F1844" s="2">
        <v>1487.0</v>
      </c>
      <c r="G1844" s="2">
        <v>3.94</v>
      </c>
      <c r="H1844" s="2">
        <v>377.4</v>
      </c>
      <c r="I1844" s="2" t="s">
        <v>27</v>
      </c>
    </row>
    <row r="1845" ht="15.75" customHeight="1">
      <c r="A1845" s="2" t="s">
        <v>3297</v>
      </c>
      <c r="B1845" s="2" t="s">
        <v>3298</v>
      </c>
      <c r="C1845" s="2" t="s">
        <v>2703</v>
      </c>
      <c r="D1845" s="2" t="s">
        <v>883</v>
      </c>
      <c r="E1845" s="2" t="s">
        <v>885</v>
      </c>
      <c r="F1845" s="2">
        <v>1117.0</v>
      </c>
      <c r="G1845" s="2">
        <v>9.39</v>
      </c>
      <c r="H1845" s="2">
        <v>119.0</v>
      </c>
      <c r="I1845" s="2" t="s">
        <v>27</v>
      </c>
    </row>
    <row r="1846" ht="15.75" customHeight="1">
      <c r="A1846" s="2" t="s">
        <v>3299</v>
      </c>
      <c r="B1846" s="2" t="s">
        <v>3300</v>
      </c>
      <c r="C1846" s="2" t="s">
        <v>2703</v>
      </c>
      <c r="D1846" s="2" t="s">
        <v>921</v>
      </c>
      <c r="E1846" s="2" t="s">
        <v>924</v>
      </c>
      <c r="F1846" s="2">
        <v>947.0</v>
      </c>
      <c r="G1846" s="2">
        <v>6.61</v>
      </c>
      <c r="H1846" s="2">
        <v>143.3</v>
      </c>
      <c r="I1846" s="2" t="s">
        <v>27</v>
      </c>
    </row>
    <row r="1847" ht="15.75" customHeight="1">
      <c r="A1847" s="2" t="s">
        <v>5563</v>
      </c>
      <c r="B1847" s="2" t="s">
        <v>5564</v>
      </c>
      <c r="C1847" s="2" t="s">
        <v>2703</v>
      </c>
      <c r="D1847" s="2" t="s">
        <v>883</v>
      </c>
      <c r="E1847" s="2" t="s">
        <v>885</v>
      </c>
      <c r="F1847" s="2">
        <v>211.0</v>
      </c>
      <c r="G1847" s="2">
        <v>4.55</v>
      </c>
      <c r="H1847" s="2">
        <v>46.4</v>
      </c>
      <c r="I1847" s="2" t="s">
        <v>47</v>
      </c>
    </row>
    <row r="1848" ht="15.75" customHeight="1">
      <c r="A1848" s="2" t="s">
        <v>3301</v>
      </c>
      <c r="B1848" s="2" t="s">
        <v>3302</v>
      </c>
      <c r="C1848" s="2" t="s">
        <v>2703</v>
      </c>
      <c r="D1848" s="2" t="s">
        <v>977</v>
      </c>
      <c r="E1848" s="2" t="s">
        <v>978</v>
      </c>
      <c r="F1848" s="2">
        <v>772.0</v>
      </c>
      <c r="G1848" s="2">
        <v>7.99</v>
      </c>
      <c r="H1848" s="2">
        <v>96.6</v>
      </c>
      <c r="I1848" s="2" t="s">
        <v>27</v>
      </c>
    </row>
    <row r="1849" ht="15.75" customHeight="1">
      <c r="A1849" s="2" t="s">
        <v>3303</v>
      </c>
      <c r="B1849" s="2" t="s">
        <v>3304</v>
      </c>
      <c r="C1849" s="2" t="s">
        <v>2703</v>
      </c>
      <c r="D1849" s="2" t="s">
        <v>955</v>
      </c>
      <c r="E1849" s="2" t="s">
        <v>956</v>
      </c>
      <c r="F1849" s="2">
        <v>2155.0</v>
      </c>
      <c r="G1849" s="2">
        <v>3.94</v>
      </c>
      <c r="H1849" s="2">
        <v>547.0</v>
      </c>
      <c r="I1849" s="2" t="s">
        <v>138</v>
      </c>
    </row>
    <row r="1850" ht="15.75" customHeight="1">
      <c r="A1850" s="2" t="s">
        <v>3305</v>
      </c>
      <c r="B1850" s="2" t="s">
        <v>3306</v>
      </c>
      <c r="C1850" s="2" t="s">
        <v>2703</v>
      </c>
      <c r="D1850" s="2" t="s">
        <v>985</v>
      </c>
      <c r="E1850" s="2" t="s">
        <v>988</v>
      </c>
      <c r="F1850" s="2">
        <v>247.0</v>
      </c>
      <c r="G1850" s="2">
        <v>3.2</v>
      </c>
      <c r="H1850" s="2">
        <v>77.2</v>
      </c>
      <c r="I1850" s="2" t="s">
        <v>47</v>
      </c>
    </row>
    <row r="1851" ht="15.75" customHeight="1">
      <c r="A1851" s="2" t="s">
        <v>3307</v>
      </c>
      <c r="B1851" s="2" t="s">
        <v>3308</v>
      </c>
      <c r="C1851" s="2" t="s">
        <v>2703</v>
      </c>
      <c r="D1851" s="2" t="s">
        <v>1019</v>
      </c>
      <c r="E1851" s="2" t="s">
        <v>1021</v>
      </c>
      <c r="F1851" s="2">
        <v>765.0</v>
      </c>
      <c r="G1851" s="2">
        <v>9.21</v>
      </c>
      <c r="H1851" s="2">
        <v>83.1</v>
      </c>
      <c r="I1851" s="2" t="s">
        <v>27</v>
      </c>
    </row>
    <row r="1852" ht="15.75" customHeight="1">
      <c r="A1852" s="2" t="s">
        <v>3311</v>
      </c>
      <c r="B1852" s="2" t="s">
        <v>3312</v>
      </c>
      <c r="C1852" s="2" t="s">
        <v>2703</v>
      </c>
      <c r="D1852" s="2" t="s">
        <v>1060</v>
      </c>
      <c r="E1852" s="2" t="s">
        <v>1062</v>
      </c>
      <c r="F1852" s="2">
        <v>416.0</v>
      </c>
      <c r="G1852" s="2">
        <v>14.36</v>
      </c>
      <c r="H1852" s="2">
        <v>29.0</v>
      </c>
      <c r="I1852" s="2" t="s">
        <v>47</v>
      </c>
    </row>
    <row r="1853" ht="15.75" customHeight="1">
      <c r="A1853" s="2" t="s">
        <v>3313</v>
      </c>
      <c r="B1853" s="2" t="s">
        <v>3314</v>
      </c>
      <c r="C1853" s="2" t="s">
        <v>2703</v>
      </c>
      <c r="D1853" s="2" t="s">
        <v>973</v>
      </c>
      <c r="E1853" s="2" t="s">
        <v>974</v>
      </c>
      <c r="F1853" s="2">
        <v>425.0</v>
      </c>
      <c r="G1853" s="2">
        <v>5.58</v>
      </c>
      <c r="H1853" s="2">
        <v>76.2</v>
      </c>
      <c r="I1853" s="2" t="s">
        <v>47</v>
      </c>
    </row>
    <row r="1854" ht="15.75" customHeight="1">
      <c r="A1854" s="2" t="s">
        <v>3315</v>
      </c>
      <c r="B1854" s="2" t="s">
        <v>3316</v>
      </c>
      <c r="C1854" s="2" t="s">
        <v>2703</v>
      </c>
      <c r="D1854" s="2" t="s">
        <v>1019</v>
      </c>
      <c r="E1854" s="2" t="s">
        <v>1021</v>
      </c>
      <c r="F1854" s="2">
        <v>672.0</v>
      </c>
      <c r="G1854" s="2">
        <v>4.07</v>
      </c>
      <c r="H1854" s="2">
        <v>165.1</v>
      </c>
      <c r="I1854" s="2" t="s">
        <v>27</v>
      </c>
    </row>
    <row r="1855" ht="15.75" customHeight="1">
      <c r="A1855" s="2" t="s">
        <v>3317</v>
      </c>
      <c r="B1855" s="2" t="s">
        <v>3318</v>
      </c>
      <c r="C1855" s="2" t="s">
        <v>2703</v>
      </c>
      <c r="D1855" s="2" t="s">
        <v>785</v>
      </c>
      <c r="E1855" s="2" t="s">
        <v>787</v>
      </c>
      <c r="F1855" s="2">
        <v>14257.0</v>
      </c>
      <c r="G1855" s="2">
        <v>10.63</v>
      </c>
      <c r="H1855" s="2">
        <v>1341.2</v>
      </c>
      <c r="I1855" s="2" t="s">
        <v>805</v>
      </c>
    </row>
    <row r="1856" ht="15.75" customHeight="1">
      <c r="A1856" s="2" t="s">
        <v>3319</v>
      </c>
      <c r="B1856" s="2" t="s">
        <v>3320</v>
      </c>
      <c r="C1856" s="2" t="s">
        <v>2703</v>
      </c>
      <c r="D1856" s="2" t="s">
        <v>927</v>
      </c>
      <c r="E1856" s="2" t="s">
        <v>928</v>
      </c>
      <c r="F1856" s="2">
        <v>1326.0</v>
      </c>
      <c r="G1856" s="2">
        <v>17.18</v>
      </c>
      <c r="H1856" s="2">
        <v>77.2</v>
      </c>
      <c r="I1856" s="2" t="s">
        <v>27</v>
      </c>
    </row>
    <row r="1857" ht="15.75" customHeight="1">
      <c r="A1857" s="2" t="s">
        <v>5567</v>
      </c>
      <c r="B1857" s="2" t="s">
        <v>5568</v>
      </c>
      <c r="C1857" s="2" t="s">
        <v>2703</v>
      </c>
      <c r="D1857" s="2" t="s">
        <v>993</v>
      </c>
      <c r="E1857" s="2" t="s">
        <v>994</v>
      </c>
      <c r="F1857" s="2">
        <v>166.0</v>
      </c>
      <c r="G1857" s="2">
        <v>4.92</v>
      </c>
      <c r="H1857" s="2">
        <v>33.7</v>
      </c>
      <c r="I1857" s="2" t="s">
        <v>47</v>
      </c>
    </row>
    <row r="1858" ht="15.75" customHeight="1">
      <c r="A1858" s="2" t="s">
        <v>5569</v>
      </c>
      <c r="B1858" s="2" t="s">
        <v>5570</v>
      </c>
      <c r="C1858" s="2" t="s">
        <v>2703</v>
      </c>
      <c r="D1858" s="2" t="s">
        <v>993</v>
      </c>
      <c r="E1858" s="2" t="s">
        <v>994</v>
      </c>
      <c r="F1858" s="2">
        <v>392.0</v>
      </c>
      <c r="G1858" s="2">
        <v>7.91</v>
      </c>
      <c r="H1858" s="2">
        <v>49.6</v>
      </c>
      <c r="I1858" s="2" t="s">
        <v>47</v>
      </c>
    </row>
    <row r="1859" ht="15.75" customHeight="1">
      <c r="A1859" s="2" t="s">
        <v>3323</v>
      </c>
      <c r="B1859" s="2" t="s">
        <v>3324</v>
      </c>
      <c r="C1859" s="2" t="s">
        <v>2703</v>
      </c>
      <c r="D1859" s="2" t="s">
        <v>1019</v>
      </c>
      <c r="E1859" s="2" t="s">
        <v>1021</v>
      </c>
      <c r="F1859" s="2">
        <v>530.0</v>
      </c>
      <c r="G1859" s="2">
        <v>16.76</v>
      </c>
      <c r="H1859" s="2">
        <v>31.6</v>
      </c>
      <c r="I1859" s="2" t="s">
        <v>27</v>
      </c>
    </row>
    <row r="1860" ht="15.75" customHeight="1">
      <c r="A1860" s="2" t="s">
        <v>5571</v>
      </c>
      <c r="B1860" s="2" t="s">
        <v>5572</v>
      </c>
      <c r="C1860" s="2" t="s">
        <v>2703</v>
      </c>
      <c r="D1860" s="2" t="s">
        <v>1060</v>
      </c>
      <c r="E1860" s="2" t="s">
        <v>1062</v>
      </c>
      <c r="F1860" s="2">
        <v>207.0</v>
      </c>
      <c r="G1860" s="2">
        <v>5.19</v>
      </c>
      <c r="H1860" s="2">
        <v>39.9</v>
      </c>
      <c r="I1860" s="2" t="s">
        <v>47</v>
      </c>
    </row>
    <row r="1861" ht="15.75" customHeight="1">
      <c r="A1861" s="2" t="s">
        <v>3325</v>
      </c>
      <c r="B1861" s="2" t="s">
        <v>3326</v>
      </c>
      <c r="C1861" s="2" t="s">
        <v>2703</v>
      </c>
      <c r="D1861" s="2" t="s">
        <v>907</v>
      </c>
      <c r="E1861" s="2" t="s">
        <v>909</v>
      </c>
      <c r="F1861" s="2">
        <v>1142.0</v>
      </c>
      <c r="G1861" s="2">
        <v>7.28</v>
      </c>
      <c r="H1861" s="2">
        <v>156.9</v>
      </c>
      <c r="I1861" s="2" t="s">
        <v>27</v>
      </c>
    </row>
    <row r="1862" ht="15.75" customHeight="1">
      <c r="A1862" s="2" t="s">
        <v>5573</v>
      </c>
      <c r="B1862" s="2" t="s">
        <v>5574</v>
      </c>
      <c r="C1862" s="2" t="s">
        <v>2703</v>
      </c>
      <c r="D1862" s="2" t="s">
        <v>886</v>
      </c>
      <c r="E1862" s="2" t="s">
        <v>887</v>
      </c>
      <c r="F1862" s="2">
        <v>294.0</v>
      </c>
      <c r="G1862" s="2">
        <v>3.39</v>
      </c>
      <c r="H1862" s="2">
        <v>86.7</v>
      </c>
      <c r="I1862" s="2" t="s">
        <v>47</v>
      </c>
    </row>
    <row r="1863" ht="15.75" customHeight="1">
      <c r="A1863" s="2" t="s">
        <v>5575</v>
      </c>
      <c r="B1863" s="2" t="s">
        <v>5576</v>
      </c>
      <c r="C1863" s="2" t="s">
        <v>2703</v>
      </c>
      <c r="D1863" s="2" t="s">
        <v>873</v>
      </c>
      <c r="E1863" s="2" t="s">
        <v>876</v>
      </c>
      <c r="F1863" s="2">
        <v>497.0</v>
      </c>
      <c r="G1863" s="2">
        <v>10.6</v>
      </c>
      <c r="H1863" s="2">
        <v>46.9</v>
      </c>
      <c r="I1863" s="2" t="s">
        <v>47</v>
      </c>
    </row>
    <row r="1864" ht="15.75" customHeight="1">
      <c r="A1864" s="2" t="s">
        <v>5577</v>
      </c>
      <c r="B1864" s="2" t="s">
        <v>5578</v>
      </c>
      <c r="C1864" s="2" t="s">
        <v>2703</v>
      </c>
      <c r="D1864" s="2" t="s">
        <v>1076</v>
      </c>
      <c r="E1864" s="2" t="s">
        <v>1078</v>
      </c>
      <c r="F1864" s="2">
        <v>239.0</v>
      </c>
      <c r="G1864" s="2">
        <v>1.49</v>
      </c>
      <c r="H1864" s="2">
        <v>160.4</v>
      </c>
      <c r="I1864" s="2" t="s">
        <v>47</v>
      </c>
    </row>
    <row r="1865" ht="15.75" customHeight="1">
      <c r="A1865" s="2" t="s">
        <v>5579</v>
      </c>
      <c r="B1865" s="2" t="s">
        <v>5580</v>
      </c>
      <c r="C1865" s="2" t="s">
        <v>2703</v>
      </c>
      <c r="D1865" s="2" t="s">
        <v>927</v>
      </c>
      <c r="E1865" s="2" t="s">
        <v>928</v>
      </c>
      <c r="F1865" s="2">
        <v>187.0</v>
      </c>
      <c r="G1865" s="2">
        <v>3.67</v>
      </c>
      <c r="H1865" s="2">
        <v>51.0</v>
      </c>
      <c r="I1865" s="2" t="s">
        <v>47</v>
      </c>
    </row>
    <row r="1866" ht="15.75" customHeight="1">
      <c r="A1866" s="2" t="s">
        <v>5565</v>
      </c>
      <c r="B1866" s="2" t="s">
        <v>5566</v>
      </c>
      <c r="C1866" s="2" t="s">
        <v>2703</v>
      </c>
      <c r="D1866" s="2" t="s">
        <v>1060</v>
      </c>
      <c r="E1866" s="2" t="s">
        <v>1062</v>
      </c>
      <c r="F1866" s="2">
        <v>159.0</v>
      </c>
      <c r="G1866" s="2">
        <v>5.91</v>
      </c>
      <c r="H1866" s="2">
        <v>26.9</v>
      </c>
      <c r="I1866" s="2" t="s">
        <v>47</v>
      </c>
    </row>
    <row r="1867" ht="15.75" customHeight="1">
      <c r="A1867" s="2" t="s">
        <v>5581</v>
      </c>
      <c r="B1867" s="2" t="s">
        <v>5582</v>
      </c>
      <c r="C1867" s="2" t="s">
        <v>2703</v>
      </c>
      <c r="D1867" s="2" t="s">
        <v>1076</v>
      </c>
      <c r="E1867" s="2" t="s">
        <v>1078</v>
      </c>
      <c r="F1867" s="2">
        <v>412.0</v>
      </c>
      <c r="G1867" s="2">
        <v>5.97</v>
      </c>
      <c r="H1867" s="2">
        <v>69.0</v>
      </c>
      <c r="I1867" s="2" t="s">
        <v>47</v>
      </c>
    </row>
    <row r="1868" ht="15.75" customHeight="1">
      <c r="A1868" s="2" t="s">
        <v>3329</v>
      </c>
      <c r="B1868" s="2" t="s">
        <v>3330</v>
      </c>
      <c r="C1868" s="2" t="s">
        <v>2703</v>
      </c>
      <c r="D1868" s="2" t="s">
        <v>973</v>
      </c>
      <c r="E1868" s="2" t="s">
        <v>974</v>
      </c>
      <c r="F1868" s="2">
        <v>1035.0</v>
      </c>
      <c r="G1868" s="2">
        <v>25.94</v>
      </c>
      <c r="H1868" s="2">
        <v>39.9</v>
      </c>
      <c r="I1868" s="2" t="s">
        <v>27</v>
      </c>
    </row>
    <row r="1869" ht="15.75" customHeight="1">
      <c r="A1869" s="2" t="s">
        <v>5583</v>
      </c>
      <c r="B1869" s="2" t="s">
        <v>5584</v>
      </c>
      <c r="C1869" s="2" t="s">
        <v>2703</v>
      </c>
      <c r="D1869" s="2" t="s">
        <v>985</v>
      </c>
      <c r="E1869" s="2" t="s">
        <v>988</v>
      </c>
      <c r="F1869" s="2">
        <v>500.0</v>
      </c>
      <c r="G1869" s="2">
        <v>3.31</v>
      </c>
      <c r="H1869" s="2">
        <v>151.1</v>
      </c>
      <c r="I1869" s="2" t="s">
        <v>27</v>
      </c>
    </row>
    <row r="1870" ht="15.75" customHeight="1">
      <c r="A1870" s="2" t="s">
        <v>3331</v>
      </c>
      <c r="B1870" s="2" t="s">
        <v>1979</v>
      </c>
      <c r="C1870" s="2" t="s">
        <v>2703</v>
      </c>
      <c r="D1870" s="2" t="s">
        <v>865</v>
      </c>
      <c r="E1870" s="2" t="s">
        <v>866</v>
      </c>
      <c r="F1870" s="2">
        <v>834.0</v>
      </c>
      <c r="G1870" s="2">
        <v>15.35</v>
      </c>
      <c r="H1870" s="2">
        <v>54.3</v>
      </c>
      <c r="I1870" s="2" t="s">
        <v>27</v>
      </c>
    </row>
    <row r="1871" ht="15.75" customHeight="1">
      <c r="A1871" s="2" t="s">
        <v>3332</v>
      </c>
      <c r="B1871" s="2" t="s">
        <v>3333</v>
      </c>
      <c r="C1871" s="2" t="s">
        <v>2703</v>
      </c>
      <c r="D1871" s="2" t="s">
        <v>1076</v>
      </c>
      <c r="E1871" s="2" t="s">
        <v>1078</v>
      </c>
      <c r="F1871" s="2">
        <v>958.0</v>
      </c>
      <c r="G1871" s="2">
        <v>6.02</v>
      </c>
      <c r="H1871" s="2">
        <v>159.1</v>
      </c>
      <c r="I1871" s="2" t="s">
        <v>27</v>
      </c>
    </row>
    <row r="1872" ht="15.75" customHeight="1">
      <c r="A1872" s="2" t="s">
        <v>5585</v>
      </c>
      <c r="B1872" s="2" t="s">
        <v>5586</v>
      </c>
      <c r="C1872" s="2" t="s">
        <v>2703</v>
      </c>
      <c r="D1872" s="2" t="s">
        <v>977</v>
      </c>
      <c r="E1872" s="2" t="s">
        <v>978</v>
      </c>
      <c r="F1872" s="2">
        <v>220.0</v>
      </c>
      <c r="G1872" s="2">
        <v>6.6</v>
      </c>
      <c r="H1872" s="2">
        <v>33.3</v>
      </c>
      <c r="I1872" s="2" t="s">
        <v>47</v>
      </c>
    </row>
    <row r="1873" ht="15.75" customHeight="1">
      <c r="A1873" s="2" t="s">
        <v>5587</v>
      </c>
      <c r="B1873" s="2" t="s">
        <v>5588</v>
      </c>
      <c r="C1873" s="2" t="s">
        <v>2703</v>
      </c>
      <c r="D1873" s="2" t="s">
        <v>883</v>
      </c>
      <c r="E1873" s="2" t="s">
        <v>885</v>
      </c>
      <c r="F1873" s="2">
        <v>506.0</v>
      </c>
      <c r="G1873" s="2">
        <v>5.16</v>
      </c>
      <c r="H1873" s="2">
        <v>98.1</v>
      </c>
      <c r="I1873" s="2" t="s">
        <v>27</v>
      </c>
    </row>
    <row r="1874" ht="15.75" customHeight="1">
      <c r="A1874" s="2" t="s">
        <v>5589</v>
      </c>
      <c r="B1874" s="2" t="s">
        <v>5590</v>
      </c>
      <c r="C1874" s="2" t="s">
        <v>2703</v>
      </c>
      <c r="D1874" s="2" t="s">
        <v>873</v>
      </c>
      <c r="E1874" s="2" t="s">
        <v>876</v>
      </c>
      <c r="F1874" s="2">
        <v>84.0</v>
      </c>
      <c r="G1874" s="2">
        <v>4.64</v>
      </c>
      <c r="H1874" s="2">
        <v>18.1</v>
      </c>
      <c r="I1874" s="2" t="s">
        <v>47</v>
      </c>
    </row>
    <row r="1875" ht="15.75" customHeight="1">
      <c r="A1875" s="2" t="s">
        <v>5591</v>
      </c>
      <c r="B1875" s="2" t="s">
        <v>5592</v>
      </c>
      <c r="C1875" s="2" t="s">
        <v>2703</v>
      </c>
      <c r="D1875" s="2" t="s">
        <v>1076</v>
      </c>
      <c r="E1875" s="2" t="s">
        <v>1078</v>
      </c>
      <c r="F1875" s="2">
        <v>72.0</v>
      </c>
      <c r="G1875" s="2">
        <v>3.23</v>
      </c>
      <c r="H1875" s="2">
        <v>22.3</v>
      </c>
      <c r="I1875" s="2" t="s">
        <v>47</v>
      </c>
    </row>
    <row r="1876" ht="15.75" customHeight="1">
      <c r="A1876" s="2" t="s">
        <v>5593</v>
      </c>
      <c r="B1876" s="2" t="s">
        <v>5594</v>
      </c>
      <c r="C1876" s="2" t="s">
        <v>2703</v>
      </c>
      <c r="D1876" s="2" t="s">
        <v>917</v>
      </c>
      <c r="E1876" s="2" t="s">
        <v>918</v>
      </c>
      <c r="F1876" s="2">
        <v>185.0</v>
      </c>
      <c r="G1876" s="2">
        <v>18.18</v>
      </c>
      <c r="H1876" s="2">
        <v>10.2</v>
      </c>
      <c r="I1876" s="2" t="s">
        <v>47</v>
      </c>
    </row>
    <row r="1877" ht="15.75" customHeight="1">
      <c r="A1877" s="2" t="s">
        <v>3334</v>
      </c>
      <c r="B1877" s="2" t="s">
        <v>3335</v>
      </c>
      <c r="C1877" s="2" t="s">
        <v>2703</v>
      </c>
      <c r="D1877" s="2" t="s">
        <v>943</v>
      </c>
      <c r="E1877" s="2" t="s">
        <v>945</v>
      </c>
      <c r="F1877" s="2">
        <v>5319.0</v>
      </c>
      <c r="G1877" s="2">
        <v>10.21</v>
      </c>
      <c r="H1877" s="2">
        <v>521.0</v>
      </c>
      <c r="I1877" s="2" t="s">
        <v>138</v>
      </c>
    </row>
    <row r="1878" ht="15.75" customHeight="1">
      <c r="A1878" s="2" t="s">
        <v>3336</v>
      </c>
      <c r="B1878" s="2" t="s">
        <v>3337</v>
      </c>
      <c r="C1878" s="2" t="s">
        <v>2703</v>
      </c>
      <c r="D1878" s="2" t="s">
        <v>993</v>
      </c>
      <c r="E1878" s="2" t="s">
        <v>994</v>
      </c>
      <c r="F1878" s="2">
        <v>575.0</v>
      </c>
      <c r="G1878" s="2">
        <v>7.22</v>
      </c>
      <c r="H1878" s="2">
        <v>79.6</v>
      </c>
      <c r="I1878" s="2" t="s">
        <v>27</v>
      </c>
    </row>
    <row r="1879" ht="15.75" customHeight="1">
      <c r="A1879" s="2" t="s">
        <v>3338</v>
      </c>
      <c r="B1879" s="2" t="s">
        <v>3339</v>
      </c>
      <c r="C1879" s="2" t="s">
        <v>2703</v>
      </c>
      <c r="D1879" s="2" t="s">
        <v>886</v>
      </c>
      <c r="E1879" s="2" t="s">
        <v>887</v>
      </c>
      <c r="F1879" s="2">
        <v>647.0</v>
      </c>
      <c r="G1879" s="2">
        <v>9.21</v>
      </c>
      <c r="H1879" s="2">
        <v>70.2</v>
      </c>
      <c r="I1879" s="2" t="s">
        <v>27</v>
      </c>
    </row>
    <row r="1880" ht="15.75" customHeight="1">
      <c r="A1880" s="2" t="s">
        <v>5595</v>
      </c>
      <c r="B1880" s="2" t="s">
        <v>5596</v>
      </c>
      <c r="C1880" s="2" t="s">
        <v>2703</v>
      </c>
      <c r="D1880" s="2" t="s">
        <v>817</v>
      </c>
      <c r="E1880" s="2" t="s">
        <v>818</v>
      </c>
      <c r="F1880" s="2">
        <v>133.0</v>
      </c>
      <c r="G1880" s="2">
        <v>5.39</v>
      </c>
      <c r="H1880" s="2">
        <v>24.7</v>
      </c>
      <c r="I1880" s="2" t="s">
        <v>47</v>
      </c>
    </row>
    <row r="1881" ht="15.75" customHeight="1">
      <c r="A1881" s="2" t="s">
        <v>3340</v>
      </c>
      <c r="B1881" s="2" t="s">
        <v>3341</v>
      </c>
      <c r="C1881" s="2" t="s">
        <v>2703</v>
      </c>
      <c r="D1881" s="2" t="s">
        <v>985</v>
      </c>
      <c r="E1881" s="2" t="s">
        <v>988</v>
      </c>
      <c r="F1881" s="2">
        <v>587.0</v>
      </c>
      <c r="G1881" s="2">
        <v>5.67</v>
      </c>
      <c r="H1881" s="2">
        <v>103.5</v>
      </c>
      <c r="I1881" s="2" t="s">
        <v>27</v>
      </c>
    </row>
    <row r="1882" ht="15.75" customHeight="1">
      <c r="A1882" s="2" t="s">
        <v>5597</v>
      </c>
      <c r="B1882" s="2" t="s">
        <v>5598</v>
      </c>
      <c r="C1882" s="2" t="s">
        <v>2703</v>
      </c>
      <c r="D1882" s="2" t="s">
        <v>883</v>
      </c>
      <c r="E1882" s="2" t="s">
        <v>885</v>
      </c>
      <c r="F1882" s="2">
        <v>141.0</v>
      </c>
      <c r="G1882" s="2">
        <v>4.76</v>
      </c>
      <c r="H1882" s="2">
        <v>29.6</v>
      </c>
      <c r="I1882" s="2" t="s">
        <v>47</v>
      </c>
    </row>
    <row r="1883" ht="15.75" customHeight="1">
      <c r="A1883" s="2" t="s">
        <v>5549</v>
      </c>
      <c r="B1883" s="2" t="s">
        <v>5550</v>
      </c>
      <c r="C1883" s="2" t="s">
        <v>2703</v>
      </c>
      <c r="D1883" s="2" t="s">
        <v>907</v>
      </c>
      <c r="E1883" s="2" t="s">
        <v>909</v>
      </c>
      <c r="F1883" s="2">
        <v>789.0</v>
      </c>
      <c r="G1883" s="2">
        <v>6.57</v>
      </c>
      <c r="H1883" s="2">
        <v>120.1</v>
      </c>
      <c r="I1883" s="2" t="s">
        <v>27</v>
      </c>
    </row>
    <row r="1884" ht="15.75" customHeight="1">
      <c r="A1884" s="2" t="s">
        <v>5553</v>
      </c>
      <c r="B1884" s="2" t="s">
        <v>5554</v>
      </c>
      <c r="C1884" s="2" t="s">
        <v>2703</v>
      </c>
      <c r="D1884" s="2" t="s">
        <v>993</v>
      </c>
      <c r="E1884" s="2" t="s">
        <v>994</v>
      </c>
      <c r="F1884" s="2">
        <v>103.0</v>
      </c>
      <c r="G1884" s="2">
        <v>4.89</v>
      </c>
      <c r="H1884" s="2">
        <v>21.1</v>
      </c>
      <c r="I1884" s="2" t="s">
        <v>47</v>
      </c>
    </row>
    <row r="1885" ht="15.75" customHeight="1">
      <c r="A1885" s="2" t="s">
        <v>3342</v>
      </c>
      <c r="B1885" s="2" t="s">
        <v>3343</v>
      </c>
      <c r="C1885" s="2" t="s">
        <v>2703</v>
      </c>
      <c r="D1885" s="2" t="s">
        <v>927</v>
      </c>
      <c r="E1885" s="2" t="s">
        <v>928</v>
      </c>
      <c r="F1885" s="2">
        <v>13897.0</v>
      </c>
      <c r="G1885" s="2">
        <v>23.06</v>
      </c>
      <c r="H1885" s="2">
        <v>602.6</v>
      </c>
      <c r="I1885" s="2" t="s">
        <v>805</v>
      </c>
    </row>
    <row r="1886" ht="15.75" customHeight="1">
      <c r="A1886" s="2" t="s">
        <v>5555</v>
      </c>
      <c r="B1886" s="2" t="s">
        <v>5556</v>
      </c>
      <c r="C1886" s="2" t="s">
        <v>2703</v>
      </c>
      <c r="D1886" s="2" t="s">
        <v>993</v>
      </c>
      <c r="E1886" s="2" t="s">
        <v>994</v>
      </c>
      <c r="F1886" s="2">
        <v>604.0</v>
      </c>
      <c r="G1886" s="2">
        <v>11.31</v>
      </c>
      <c r="H1886" s="2">
        <v>53.4</v>
      </c>
      <c r="I1886" s="2" t="s">
        <v>27</v>
      </c>
    </row>
    <row r="1887" ht="15.75" customHeight="1">
      <c r="A1887" s="2" t="s">
        <v>5599</v>
      </c>
      <c r="B1887" s="2" t="s">
        <v>5600</v>
      </c>
      <c r="C1887" s="2" t="s">
        <v>2703</v>
      </c>
      <c r="D1887" s="2" t="s">
        <v>917</v>
      </c>
      <c r="E1887" s="2" t="s">
        <v>918</v>
      </c>
      <c r="F1887" s="2">
        <v>293.0</v>
      </c>
      <c r="G1887" s="2">
        <v>16.69</v>
      </c>
      <c r="H1887" s="2">
        <v>17.6</v>
      </c>
      <c r="I1887" s="2" t="s">
        <v>47</v>
      </c>
    </row>
    <row r="1888" ht="15.75" customHeight="1">
      <c r="A1888" s="2" t="s">
        <v>3344</v>
      </c>
      <c r="B1888" s="2" t="s">
        <v>3345</v>
      </c>
      <c r="C1888" s="2" t="s">
        <v>2703</v>
      </c>
      <c r="D1888" s="2" t="s">
        <v>973</v>
      </c>
      <c r="E1888" s="2" t="s">
        <v>974</v>
      </c>
      <c r="F1888" s="2">
        <v>4258.0</v>
      </c>
      <c r="G1888" s="2">
        <v>20.93</v>
      </c>
      <c r="H1888" s="2">
        <v>203.4</v>
      </c>
      <c r="I1888" s="2" t="s">
        <v>138</v>
      </c>
    </row>
    <row r="1889" ht="15.75" customHeight="1">
      <c r="A1889" s="2" t="s">
        <v>3346</v>
      </c>
      <c r="B1889" s="2" t="s">
        <v>3347</v>
      </c>
      <c r="C1889" s="2" t="s">
        <v>2703</v>
      </c>
      <c r="D1889" s="2" t="s">
        <v>973</v>
      </c>
      <c r="E1889" s="2" t="s">
        <v>974</v>
      </c>
      <c r="F1889" s="2">
        <v>386.0</v>
      </c>
      <c r="G1889" s="2">
        <v>6.46</v>
      </c>
      <c r="H1889" s="2">
        <v>59.8</v>
      </c>
      <c r="I1889" s="2" t="s">
        <v>47</v>
      </c>
    </row>
    <row r="1890" ht="15.75" customHeight="1">
      <c r="A1890" s="2" t="s">
        <v>5603</v>
      </c>
      <c r="B1890" s="2" t="s">
        <v>5604</v>
      </c>
      <c r="C1890" s="2" t="s">
        <v>2703</v>
      </c>
      <c r="D1890" s="2" t="s">
        <v>977</v>
      </c>
      <c r="E1890" s="2" t="s">
        <v>978</v>
      </c>
      <c r="F1890" s="2">
        <v>280.0</v>
      </c>
      <c r="G1890" s="2">
        <v>7.48</v>
      </c>
      <c r="H1890" s="2">
        <v>37.4</v>
      </c>
      <c r="I1890" s="2" t="s">
        <v>47</v>
      </c>
    </row>
    <row r="1891" ht="15.75" customHeight="1">
      <c r="A1891" s="2" t="s">
        <v>3348</v>
      </c>
      <c r="B1891" s="2" t="s">
        <v>3349</v>
      </c>
      <c r="C1891" s="2" t="s">
        <v>2703</v>
      </c>
      <c r="D1891" s="2" t="s">
        <v>1076</v>
      </c>
      <c r="E1891" s="2" t="s">
        <v>1078</v>
      </c>
      <c r="F1891" s="2">
        <v>4127.0</v>
      </c>
      <c r="G1891" s="2">
        <v>15.79</v>
      </c>
      <c r="H1891" s="2">
        <v>261.4</v>
      </c>
      <c r="I1891" s="2" t="s">
        <v>138</v>
      </c>
    </row>
    <row r="1892" ht="15.75" customHeight="1">
      <c r="A1892" s="2" t="s">
        <v>3351</v>
      </c>
      <c r="B1892" s="2" t="s">
        <v>3353</v>
      </c>
      <c r="C1892" s="2" t="s">
        <v>2703</v>
      </c>
      <c r="D1892" s="2" t="s">
        <v>943</v>
      </c>
      <c r="E1892" s="2" t="s">
        <v>945</v>
      </c>
      <c r="F1892" s="2">
        <v>1571.0</v>
      </c>
      <c r="G1892" s="2">
        <v>7.76</v>
      </c>
      <c r="H1892" s="2">
        <v>202.4</v>
      </c>
      <c r="I1892" s="2" t="s">
        <v>27</v>
      </c>
    </row>
    <row r="1893" ht="15.75" customHeight="1">
      <c r="A1893" s="2" t="s">
        <v>3354</v>
      </c>
      <c r="B1893" s="2" t="s">
        <v>3355</v>
      </c>
      <c r="C1893" s="2" t="s">
        <v>2703</v>
      </c>
      <c r="D1893" s="2" t="s">
        <v>927</v>
      </c>
      <c r="E1893" s="2" t="s">
        <v>928</v>
      </c>
      <c r="F1893" s="2">
        <v>472.0</v>
      </c>
      <c r="G1893" s="2">
        <v>8.94</v>
      </c>
      <c r="H1893" s="2">
        <v>52.8</v>
      </c>
      <c r="I1893" s="2" t="s">
        <v>47</v>
      </c>
    </row>
    <row r="1894" ht="15.75" customHeight="1">
      <c r="A1894" s="2" t="s">
        <v>5613</v>
      </c>
      <c r="B1894" s="2" t="s">
        <v>5614</v>
      </c>
      <c r="C1894" s="2" t="s">
        <v>2703</v>
      </c>
      <c r="D1894" s="2" t="s">
        <v>817</v>
      </c>
      <c r="E1894" s="2" t="s">
        <v>818</v>
      </c>
      <c r="F1894" s="2">
        <v>213.0</v>
      </c>
      <c r="G1894" s="2">
        <v>7.76</v>
      </c>
      <c r="H1894" s="2">
        <v>27.4</v>
      </c>
      <c r="I1894" s="2" t="s">
        <v>47</v>
      </c>
    </row>
    <row r="1895" ht="15.75" customHeight="1">
      <c r="A1895" s="2" t="s">
        <v>3356</v>
      </c>
      <c r="B1895" s="2" t="s">
        <v>3357</v>
      </c>
      <c r="C1895" s="2" t="s">
        <v>2703</v>
      </c>
      <c r="D1895" s="2" t="s">
        <v>1076</v>
      </c>
      <c r="E1895" s="2" t="s">
        <v>1078</v>
      </c>
      <c r="F1895" s="2">
        <v>2877.0</v>
      </c>
      <c r="G1895" s="2">
        <v>10.09</v>
      </c>
      <c r="H1895" s="2">
        <v>285.1</v>
      </c>
      <c r="I1895" s="2" t="s">
        <v>138</v>
      </c>
    </row>
    <row r="1896" ht="15.75" customHeight="1">
      <c r="A1896" s="2" t="s">
        <v>3358</v>
      </c>
      <c r="B1896" s="2" t="s">
        <v>3359</v>
      </c>
      <c r="C1896" s="2" t="s">
        <v>2703</v>
      </c>
      <c r="D1896" s="2" t="s">
        <v>785</v>
      </c>
      <c r="E1896" s="2" t="s">
        <v>787</v>
      </c>
      <c r="F1896" s="2">
        <v>21907.0</v>
      </c>
      <c r="G1896" s="2">
        <v>7.4</v>
      </c>
      <c r="H1896" s="2">
        <v>2960.4</v>
      </c>
      <c r="I1896" s="2" t="s">
        <v>805</v>
      </c>
    </row>
    <row r="1897" ht="15.75" customHeight="1">
      <c r="A1897" s="2" t="s">
        <v>3360</v>
      </c>
      <c r="B1897" s="2" t="s">
        <v>3362</v>
      </c>
      <c r="C1897" s="2" t="s">
        <v>2703</v>
      </c>
      <c r="D1897" s="2" t="s">
        <v>943</v>
      </c>
      <c r="E1897" s="2" t="s">
        <v>945</v>
      </c>
      <c r="F1897" s="2">
        <v>1170.0</v>
      </c>
      <c r="G1897" s="2">
        <v>9.37</v>
      </c>
      <c r="H1897" s="2">
        <v>124.9</v>
      </c>
      <c r="I1897" s="2" t="s">
        <v>27</v>
      </c>
    </row>
    <row r="1898" ht="15.75" customHeight="1">
      <c r="A1898" s="2" t="s">
        <v>5615</v>
      </c>
      <c r="B1898" s="2" t="s">
        <v>5616</v>
      </c>
      <c r="C1898" s="2" t="s">
        <v>2703</v>
      </c>
      <c r="D1898" s="2" t="s">
        <v>873</v>
      </c>
      <c r="E1898" s="2" t="s">
        <v>876</v>
      </c>
      <c r="F1898" s="2">
        <v>194.0</v>
      </c>
      <c r="G1898" s="2">
        <v>6.41</v>
      </c>
      <c r="H1898" s="2">
        <v>30.3</v>
      </c>
      <c r="I1898" s="2" t="s">
        <v>47</v>
      </c>
    </row>
    <row r="1899" ht="15.75" customHeight="1">
      <c r="A1899" s="2" t="s">
        <v>5617</v>
      </c>
      <c r="B1899" s="2" t="s">
        <v>5618</v>
      </c>
      <c r="C1899" s="2" t="s">
        <v>2703</v>
      </c>
      <c r="D1899" s="2" t="s">
        <v>993</v>
      </c>
      <c r="E1899" s="2" t="s">
        <v>994</v>
      </c>
      <c r="F1899" s="2">
        <v>247.0</v>
      </c>
      <c r="G1899" s="2">
        <v>5.5</v>
      </c>
      <c r="H1899" s="2">
        <v>44.9</v>
      </c>
      <c r="I1899" s="2" t="s">
        <v>47</v>
      </c>
    </row>
    <row r="1900" ht="15.75" customHeight="1">
      <c r="A1900" s="2" t="s">
        <v>5619</v>
      </c>
      <c r="B1900" s="2" t="s">
        <v>5620</v>
      </c>
      <c r="C1900" s="2" t="s">
        <v>2703</v>
      </c>
      <c r="D1900" s="2" t="s">
        <v>993</v>
      </c>
      <c r="E1900" s="2" t="s">
        <v>994</v>
      </c>
      <c r="F1900" s="2">
        <v>301.0</v>
      </c>
      <c r="G1900" s="2">
        <v>11.44</v>
      </c>
      <c r="H1900" s="2">
        <v>26.3</v>
      </c>
      <c r="I1900" s="2" t="s">
        <v>47</v>
      </c>
    </row>
    <row r="1901" ht="15.75" customHeight="1">
      <c r="A1901" s="2" t="s">
        <v>5621</v>
      </c>
      <c r="B1901" s="2" t="s">
        <v>5622</v>
      </c>
      <c r="C1901" s="2" t="s">
        <v>2703</v>
      </c>
      <c r="D1901" s="2" t="s">
        <v>1076</v>
      </c>
      <c r="E1901" s="2" t="s">
        <v>1078</v>
      </c>
      <c r="F1901" s="2">
        <v>392.0</v>
      </c>
      <c r="G1901" s="2">
        <v>4.79</v>
      </c>
      <c r="H1901" s="2">
        <v>81.8</v>
      </c>
      <c r="I1901" s="2" t="s">
        <v>47</v>
      </c>
    </row>
    <row r="1902" ht="15.75" customHeight="1">
      <c r="A1902" s="2" t="s">
        <v>3364</v>
      </c>
      <c r="B1902" s="2" t="s">
        <v>3365</v>
      </c>
      <c r="C1902" s="2" t="s">
        <v>2703</v>
      </c>
      <c r="D1902" s="2" t="s">
        <v>873</v>
      </c>
      <c r="E1902" s="2" t="s">
        <v>876</v>
      </c>
      <c r="F1902" s="2">
        <v>887.0</v>
      </c>
      <c r="G1902" s="2">
        <v>13.29</v>
      </c>
      <c r="H1902" s="2">
        <v>66.7</v>
      </c>
      <c r="I1902" s="2" t="s">
        <v>27</v>
      </c>
    </row>
    <row r="1903" ht="15.75" customHeight="1">
      <c r="A1903" s="2" t="s">
        <v>3366</v>
      </c>
      <c r="B1903" s="2" t="s">
        <v>3368</v>
      </c>
      <c r="C1903" s="2" t="s">
        <v>2703</v>
      </c>
      <c r="D1903" s="2" t="s">
        <v>985</v>
      </c>
      <c r="E1903" s="2" t="s">
        <v>988</v>
      </c>
      <c r="F1903" s="2">
        <v>12971.0</v>
      </c>
      <c r="G1903" s="2">
        <v>18.07</v>
      </c>
      <c r="H1903" s="2">
        <v>717.8</v>
      </c>
      <c r="I1903" s="2" t="s">
        <v>805</v>
      </c>
    </row>
    <row r="1904" ht="15.75" customHeight="1">
      <c r="A1904" s="2" t="s">
        <v>5601</v>
      </c>
      <c r="B1904" s="2" t="s">
        <v>5602</v>
      </c>
      <c r="C1904" s="2" t="s">
        <v>2703</v>
      </c>
      <c r="D1904" s="2" t="s">
        <v>804</v>
      </c>
      <c r="E1904" s="2" t="s">
        <v>806</v>
      </c>
      <c r="F1904" s="2">
        <v>670.0</v>
      </c>
      <c r="G1904" s="2">
        <v>16.44</v>
      </c>
      <c r="H1904" s="2">
        <v>40.8</v>
      </c>
      <c r="I1904" s="2" t="s">
        <v>27</v>
      </c>
    </row>
    <row r="1905" ht="15.75" customHeight="1">
      <c r="A1905" s="2" t="s">
        <v>5623</v>
      </c>
      <c r="B1905" s="2" t="s">
        <v>5624</v>
      </c>
      <c r="C1905" s="2" t="s">
        <v>2703</v>
      </c>
      <c r="D1905" s="2" t="s">
        <v>883</v>
      </c>
      <c r="E1905" s="2" t="s">
        <v>885</v>
      </c>
      <c r="F1905" s="2">
        <v>109.0</v>
      </c>
      <c r="G1905" s="2">
        <v>4.21</v>
      </c>
      <c r="H1905" s="2">
        <v>25.9</v>
      </c>
      <c r="I1905" s="2" t="s">
        <v>47</v>
      </c>
    </row>
    <row r="1906" ht="15.75" customHeight="1">
      <c r="A1906" s="2" t="s">
        <v>5625</v>
      </c>
      <c r="B1906" s="2" t="s">
        <v>610</v>
      </c>
      <c r="C1906" s="2" t="s">
        <v>2703</v>
      </c>
      <c r="D1906" s="2" t="s">
        <v>973</v>
      </c>
      <c r="E1906" s="2" t="s">
        <v>974</v>
      </c>
      <c r="F1906" s="2">
        <v>346.0</v>
      </c>
      <c r="G1906" s="2">
        <v>6.82</v>
      </c>
      <c r="H1906" s="2">
        <v>50.7</v>
      </c>
      <c r="I1906" s="2" t="s">
        <v>47</v>
      </c>
    </row>
    <row r="1907" ht="15.75" customHeight="1">
      <c r="A1907" s="2" t="s">
        <v>5626</v>
      </c>
      <c r="B1907" s="2" t="s">
        <v>5627</v>
      </c>
      <c r="C1907" s="2" t="s">
        <v>2703</v>
      </c>
      <c r="D1907" s="2" t="s">
        <v>977</v>
      </c>
      <c r="E1907" s="2" t="s">
        <v>978</v>
      </c>
      <c r="F1907" s="2">
        <v>285.0</v>
      </c>
      <c r="G1907" s="2">
        <v>6.58</v>
      </c>
      <c r="H1907" s="2">
        <v>43.3</v>
      </c>
      <c r="I1907" s="2" t="s">
        <v>47</v>
      </c>
    </row>
    <row r="1908" ht="15.75" customHeight="1">
      <c r="A1908" s="2" t="s">
        <v>5628</v>
      </c>
      <c r="B1908" s="2" t="s">
        <v>5629</v>
      </c>
      <c r="C1908" s="2" t="s">
        <v>2703</v>
      </c>
      <c r="D1908" s="2" t="s">
        <v>883</v>
      </c>
      <c r="E1908" s="2" t="s">
        <v>885</v>
      </c>
      <c r="F1908" s="2">
        <v>201.0</v>
      </c>
      <c r="G1908" s="2">
        <v>8.67</v>
      </c>
      <c r="H1908" s="2">
        <v>23.2</v>
      </c>
      <c r="I1908" s="2" t="s">
        <v>47</v>
      </c>
    </row>
    <row r="1909" ht="15.75" customHeight="1">
      <c r="A1909" s="2" t="s">
        <v>3371</v>
      </c>
      <c r="B1909" s="2" t="s">
        <v>3373</v>
      </c>
      <c r="C1909" s="2" t="s">
        <v>2703</v>
      </c>
      <c r="D1909" s="2" t="s">
        <v>957</v>
      </c>
      <c r="E1909" s="2" t="s">
        <v>958</v>
      </c>
      <c r="F1909" s="2">
        <v>1367.0</v>
      </c>
      <c r="G1909" s="2">
        <v>14.03</v>
      </c>
      <c r="H1909" s="2">
        <v>97.4</v>
      </c>
      <c r="I1909" s="2" t="s">
        <v>27</v>
      </c>
    </row>
    <row r="1910" ht="15.75" customHeight="1">
      <c r="A1910" s="2" t="s">
        <v>3374</v>
      </c>
      <c r="B1910" s="2" t="s">
        <v>3375</v>
      </c>
      <c r="C1910" s="2" t="s">
        <v>2703</v>
      </c>
      <c r="D1910" s="2" t="s">
        <v>973</v>
      </c>
      <c r="E1910" s="2" t="s">
        <v>974</v>
      </c>
      <c r="F1910" s="2">
        <v>805.0</v>
      </c>
      <c r="G1910" s="2">
        <v>10.46</v>
      </c>
      <c r="H1910" s="2">
        <v>77.0</v>
      </c>
      <c r="I1910" s="2" t="s">
        <v>27</v>
      </c>
    </row>
    <row r="1911" ht="15.75" customHeight="1">
      <c r="A1911" s="2" t="s">
        <v>5630</v>
      </c>
      <c r="B1911" s="2" t="s">
        <v>5631</v>
      </c>
      <c r="C1911" s="2" t="s">
        <v>2703</v>
      </c>
      <c r="D1911" s="2" t="s">
        <v>973</v>
      </c>
      <c r="E1911" s="2" t="s">
        <v>974</v>
      </c>
      <c r="F1911" s="2">
        <v>375.0</v>
      </c>
      <c r="G1911" s="2">
        <v>3.97</v>
      </c>
      <c r="H1911" s="2">
        <v>94.5</v>
      </c>
      <c r="I1911" s="2" t="s">
        <v>47</v>
      </c>
    </row>
    <row r="1912" ht="15.75" customHeight="1">
      <c r="A1912" s="2" t="s">
        <v>5632</v>
      </c>
      <c r="B1912" s="2" t="s">
        <v>5633</v>
      </c>
      <c r="C1912" s="2" t="s">
        <v>2703</v>
      </c>
      <c r="D1912" s="2" t="s">
        <v>873</v>
      </c>
      <c r="E1912" s="2" t="s">
        <v>876</v>
      </c>
      <c r="F1912" s="2">
        <v>537.0</v>
      </c>
      <c r="G1912" s="2">
        <v>9.12</v>
      </c>
      <c r="H1912" s="2">
        <v>58.9</v>
      </c>
      <c r="I1912" s="2" t="s">
        <v>27</v>
      </c>
    </row>
    <row r="1913" ht="15.75" customHeight="1">
      <c r="A1913" s="2" t="s">
        <v>3376</v>
      </c>
      <c r="B1913" s="2" t="s">
        <v>3377</v>
      </c>
      <c r="C1913" s="2" t="s">
        <v>2703</v>
      </c>
      <c r="D1913" s="2" t="s">
        <v>973</v>
      </c>
      <c r="E1913" s="2" t="s">
        <v>974</v>
      </c>
      <c r="F1913" s="2">
        <v>572.0</v>
      </c>
      <c r="G1913" s="2">
        <v>16.36</v>
      </c>
      <c r="H1913" s="2">
        <v>35.0</v>
      </c>
      <c r="I1913" s="2" t="s">
        <v>27</v>
      </c>
    </row>
    <row r="1914" ht="15.75" customHeight="1">
      <c r="A1914" s="2" t="s">
        <v>3378</v>
      </c>
      <c r="B1914" s="2" t="s">
        <v>3379</v>
      </c>
      <c r="C1914" s="2" t="s">
        <v>2703</v>
      </c>
      <c r="D1914" s="2" t="s">
        <v>865</v>
      </c>
      <c r="E1914" s="2" t="s">
        <v>866</v>
      </c>
      <c r="F1914" s="2">
        <v>3583.0</v>
      </c>
      <c r="G1914" s="2">
        <v>11.99</v>
      </c>
      <c r="H1914" s="2">
        <v>298.8</v>
      </c>
      <c r="I1914" s="2" t="s">
        <v>138</v>
      </c>
    </row>
    <row r="1915" ht="15.75" customHeight="1">
      <c r="A1915" s="2" t="s">
        <v>3380</v>
      </c>
      <c r="B1915" s="2" t="s">
        <v>3381</v>
      </c>
      <c r="C1915" s="2" t="s">
        <v>2703</v>
      </c>
      <c r="D1915" s="2" t="s">
        <v>977</v>
      </c>
      <c r="E1915" s="2" t="s">
        <v>978</v>
      </c>
      <c r="F1915" s="2">
        <v>513.0</v>
      </c>
      <c r="G1915" s="2">
        <v>8.53</v>
      </c>
      <c r="H1915" s="2">
        <v>60.1</v>
      </c>
      <c r="I1915" s="2" t="s">
        <v>27</v>
      </c>
    </row>
    <row r="1916" ht="15.75" customHeight="1">
      <c r="A1916" s="2" t="s">
        <v>5634</v>
      </c>
      <c r="B1916" s="2" t="s">
        <v>5635</v>
      </c>
      <c r="C1916" s="2" t="s">
        <v>2703</v>
      </c>
      <c r="D1916" s="2" t="s">
        <v>883</v>
      </c>
      <c r="E1916" s="2" t="s">
        <v>885</v>
      </c>
      <c r="F1916" s="2">
        <v>293.0</v>
      </c>
      <c r="G1916" s="2">
        <v>6.12</v>
      </c>
      <c r="H1916" s="2">
        <v>47.9</v>
      </c>
      <c r="I1916" s="2" t="s">
        <v>47</v>
      </c>
    </row>
    <row r="1917" ht="15.75" customHeight="1">
      <c r="A1917" s="2" t="s">
        <v>5636</v>
      </c>
      <c r="B1917" s="2" t="s">
        <v>5637</v>
      </c>
      <c r="C1917" s="2" t="s">
        <v>2703</v>
      </c>
      <c r="D1917" s="2" t="s">
        <v>873</v>
      </c>
      <c r="E1917" s="2" t="s">
        <v>876</v>
      </c>
      <c r="F1917" s="2">
        <v>248.0</v>
      </c>
      <c r="G1917" s="2">
        <v>7.03</v>
      </c>
      <c r="H1917" s="2">
        <v>35.3</v>
      </c>
      <c r="I1917" s="2" t="s">
        <v>47</v>
      </c>
    </row>
    <row r="1918" ht="15.75" customHeight="1">
      <c r="A1918" s="2" t="s">
        <v>3382</v>
      </c>
      <c r="B1918" s="2" t="s">
        <v>3383</v>
      </c>
      <c r="C1918" s="2" t="s">
        <v>2703</v>
      </c>
      <c r="D1918" s="2" t="s">
        <v>873</v>
      </c>
      <c r="E1918" s="2" t="s">
        <v>876</v>
      </c>
      <c r="F1918" s="2">
        <v>576.0</v>
      </c>
      <c r="G1918" s="2">
        <v>14.34</v>
      </c>
      <c r="H1918" s="2">
        <v>40.2</v>
      </c>
      <c r="I1918" s="2" t="s">
        <v>27</v>
      </c>
    </row>
    <row r="1919" ht="15.75" customHeight="1">
      <c r="A1919" s="2" t="s">
        <v>3384</v>
      </c>
      <c r="B1919" s="2" t="s">
        <v>3385</v>
      </c>
      <c r="C1919" s="2" t="s">
        <v>2703</v>
      </c>
      <c r="D1919" s="2" t="s">
        <v>1019</v>
      </c>
      <c r="E1919" s="2" t="s">
        <v>1021</v>
      </c>
      <c r="F1919" s="2">
        <v>313.0</v>
      </c>
      <c r="G1919" s="2">
        <v>12.72</v>
      </c>
      <c r="H1919" s="2">
        <v>24.6</v>
      </c>
      <c r="I1919" s="2" t="s">
        <v>47</v>
      </c>
    </row>
    <row r="1920" ht="15.75" customHeight="1">
      <c r="A1920" s="2" t="s">
        <v>5638</v>
      </c>
      <c r="B1920" s="2" t="s">
        <v>5639</v>
      </c>
      <c r="C1920" s="2" t="s">
        <v>2703</v>
      </c>
      <c r="D1920" s="2" t="s">
        <v>985</v>
      </c>
      <c r="E1920" s="2" t="s">
        <v>988</v>
      </c>
      <c r="F1920" s="2">
        <v>271.0</v>
      </c>
      <c r="G1920" s="2">
        <v>3.67</v>
      </c>
      <c r="H1920" s="2">
        <v>73.8</v>
      </c>
      <c r="I1920" s="2" t="s">
        <v>47</v>
      </c>
    </row>
    <row r="1921" ht="15.75" customHeight="1">
      <c r="A1921" s="2" t="s">
        <v>5640</v>
      </c>
      <c r="B1921" s="2" t="s">
        <v>5641</v>
      </c>
      <c r="C1921" s="2" t="s">
        <v>2703</v>
      </c>
      <c r="D1921" s="2" t="s">
        <v>817</v>
      </c>
      <c r="E1921" s="2" t="s">
        <v>818</v>
      </c>
      <c r="F1921" s="2">
        <v>365.0</v>
      </c>
      <c r="G1921" s="2">
        <v>5.67</v>
      </c>
      <c r="H1921" s="2">
        <v>64.4</v>
      </c>
      <c r="I1921" s="2" t="s">
        <v>47</v>
      </c>
    </row>
    <row r="1922" ht="15.75" customHeight="1">
      <c r="A1922" s="2" t="s">
        <v>3386</v>
      </c>
      <c r="B1922" s="2" t="s">
        <v>3387</v>
      </c>
      <c r="C1922" s="2" t="s">
        <v>2703</v>
      </c>
      <c r="D1922" s="2" t="s">
        <v>917</v>
      </c>
      <c r="E1922" s="2" t="s">
        <v>918</v>
      </c>
      <c r="F1922" s="2">
        <v>1877.0</v>
      </c>
      <c r="G1922" s="2">
        <v>22.39</v>
      </c>
      <c r="H1922" s="2">
        <v>83.8</v>
      </c>
      <c r="I1922" s="2" t="s">
        <v>27</v>
      </c>
    </row>
    <row r="1923" ht="15.75" customHeight="1">
      <c r="A1923" s="2" t="s">
        <v>3388</v>
      </c>
      <c r="B1923" s="2" t="s">
        <v>3389</v>
      </c>
      <c r="C1923" s="2" t="s">
        <v>2703</v>
      </c>
      <c r="D1923" s="2" t="s">
        <v>907</v>
      </c>
      <c r="E1923" s="2" t="s">
        <v>909</v>
      </c>
      <c r="F1923" s="2">
        <v>848.0</v>
      </c>
      <c r="G1923" s="2">
        <v>9.49</v>
      </c>
      <c r="H1923" s="2">
        <v>89.4</v>
      </c>
      <c r="I1923" s="2" t="s">
        <v>27</v>
      </c>
    </row>
    <row r="1924" ht="15.75" customHeight="1">
      <c r="A1924" s="2" t="s">
        <v>3390</v>
      </c>
      <c r="B1924" s="2" t="s">
        <v>3391</v>
      </c>
      <c r="C1924" s="2" t="s">
        <v>2703</v>
      </c>
      <c r="D1924" s="2" t="s">
        <v>883</v>
      </c>
      <c r="E1924" s="2" t="s">
        <v>885</v>
      </c>
      <c r="F1924" s="2">
        <v>519.0</v>
      </c>
      <c r="G1924" s="2">
        <v>2.89</v>
      </c>
      <c r="H1924" s="2">
        <v>179.6</v>
      </c>
      <c r="I1924" s="2" t="s">
        <v>27</v>
      </c>
    </row>
    <row r="1925" ht="15.75" customHeight="1">
      <c r="A1925" s="2" t="s">
        <v>3392</v>
      </c>
      <c r="B1925" s="2" t="s">
        <v>3393</v>
      </c>
      <c r="C1925" s="2" t="s">
        <v>2703</v>
      </c>
      <c r="D1925" s="2" t="s">
        <v>865</v>
      </c>
      <c r="E1925" s="2" t="s">
        <v>866</v>
      </c>
      <c r="F1925" s="2">
        <v>1786.0</v>
      </c>
      <c r="G1925" s="2">
        <v>16.36</v>
      </c>
      <c r="H1925" s="2">
        <v>109.2</v>
      </c>
      <c r="I1925" s="2" t="s">
        <v>27</v>
      </c>
    </row>
    <row r="1926" ht="15.75" customHeight="1">
      <c r="A1926" s="2" t="s">
        <v>5642</v>
      </c>
      <c r="B1926" s="2" t="s">
        <v>5643</v>
      </c>
      <c r="C1926" s="2" t="s">
        <v>2703</v>
      </c>
      <c r="D1926" s="2" t="s">
        <v>993</v>
      </c>
      <c r="E1926" s="2" t="s">
        <v>994</v>
      </c>
      <c r="F1926" s="2">
        <v>422.0</v>
      </c>
      <c r="G1926" s="2">
        <v>9.13</v>
      </c>
      <c r="H1926" s="2">
        <v>46.2</v>
      </c>
      <c r="I1926" s="2" t="s">
        <v>47</v>
      </c>
    </row>
    <row r="1927" ht="15.75" customHeight="1">
      <c r="A1927" s="2" t="s">
        <v>5644</v>
      </c>
      <c r="B1927" s="2" t="s">
        <v>5645</v>
      </c>
      <c r="C1927" s="2" t="s">
        <v>2703</v>
      </c>
      <c r="D1927" s="2" t="s">
        <v>873</v>
      </c>
      <c r="E1927" s="2" t="s">
        <v>876</v>
      </c>
      <c r="F1927" s="2">
        <v>159.0</v>
      </c>
      <c r="G1927" s="2">
        <v>4.31</v>
      </c>
      <c r="H1927" s="2">
        <v>36.9</v>
      </c>
      <c r="I1927" s="2" t="s">
        <v>47</v>
      </c>
    </row>
    <row r="1928" ht="15.75" customHeight="1">
      <c r="A1928" s="2" t="s">
        <v>5648</v>
      </c>
      <c r="B1928" s="2" t="s">
        <v>5649</v>
      </c>
      <c r="C1928" s="2" t="s">
        <v>2703</v>
      </c>
      <c r="D1928" s="2" t="s">
        <v>977</v>
      </c>
      <c r="E1928" s="2" t="s">
        <v>978</v>
      </c>
      <c r="F1928" s="2">
        <v>245.0</v>
      </c>
      <c r="G1928" s="2">
        <v>6.23</v>
      </c>
      <c r="H1928" s="2">
        <v>39.3</v>
      </c>
      <c r="I1928" s="2" t="s">
        <v>47</v>
      </c>
    </row>
    <row r="1929" ht="15.75" customHeight="1">
      <c r="A1929" s="2" t="s">
        <v>3394</v>
      </c>
      <c r="B1929" s="2" t="s">
        <v>3395</v>
      </c>
      <c r="C1929" s="2" t="s">
        <v>2703</v>
      </c>
      <c r="D1929" s="2" t="s">
        <v>1076</v>
      </c>
      <c r="E1929" s="2" t="s">
        <v>1078</v>
      </c>
      <c r="F1929" s="2">
        <v>1163.0</v>
      </c>
      <c r="G1929" s="2">
        <v>9.83</v>
      </c>
      <c r="H1929" s="2">
        <v>118.3</v>
      </c>
      <c r="I1929" s="2" t="s">
        <v>27</v>
      </c>
    </row>
    <row r="1930" ht="15.75" customHeight="1">
      <c r="A1930" s="2" t="s">
        <v>3396</v>
      </c>
      <c r="B1930" s="2" t="s">
        <v>3398</v>
      </c>
      <c r="C1930" s="2" t="s">
        <v>2703</v>
      </c>
      <c r="D1930" s="2" t="s">
        <v>921</v>
      </c>
      <c r="E1930" s="2" t="s">
        <v>924</v>
      </c>
      <c r="F1930" s="2">
        <v>12361.0</v>
      </c>
      <c r="G1930" s="2">
        <v>14.79</v>
      </c>
      <c r="H1930" s="2">
        <v>835.8</v>
      </c>
      <c r="I1930" s="2" t="s">
        <v>805</v>
      </c>
    </row>
    <row r="1931" ht="15.75" customHeight="1">
      <c r="A1931" s="2" t="s">
        <v>3400</v>
      </c>
      <c r="B1931" s="2" t="s">
        <v>3401</v>
      </c>
      <c r="C1931" s="2" t="s">
        <v>2703</v>
      </c>
      <c r="D1931" s="2" t="s">
        <v>985</v>
      </c>
      <c r="E1931" s="2" t="s">
        <v>988</v>
      </c>
      <c r="F1931" s="2">
        <v>648.0</v>
      </c>
      <c r="G1931" s="2">
        <v>1.14</v>
      </c>
      <c r="H1931" s="2">
        <v>568.4</v>
      </c>
      <c r="I1931" s="2" t="s">
        <v>27</v>
      </c>
    </row>
    <row r="1932" ht="15.75" customHeight="1">
      <c r="A1932" s="2" t="s">
        <v>3402</v>
      </c>
      <c r="B1932" s="2" t="s">
        <v>3403</v>
      </c>
      <c r="C1932" s="2" t="s">
        <v>2703</v>
      </c>
      <c r="D1932" s="2" t="s">
        <v>1060</v>
      </c>
      <c r="E1932" s="2" t="s">
        <v>1062</v>
      </c>
      <c r="F1932" s="2">
        <v>905.0</v>
      </c>
      <c r="G1932" s="2">
        <v>13.26</v>
      </c>
      <c r="H1932" s="2">
        <v>68.3</v>
      </c>
      <c r="I1932" s="2" t="s">
        <v>27</v>
      </c>
    </row>
    <row r="1933" ht="15.75" customHeight="1">
      <c r="A1933" s="2" t="s">
        <v>3404</v>
      </c>
      <c r="B1933" s="2" t="s">
        <v>3405</v>
      </c>
      <c r="C1933" s="2" t="s">
        <v>2703</v>
      </c>
      <c r="D1933" s="2" t="s">
        <v>985</v>
      </c>
      <c r="E1933" s="2" t="s">
        <v>988</v>
      </c>
      <c r="F1933" s="2">
        <v>427.0</v>
      </c>
      <c r="G1933" s="2">
        <v>6.61</v>
      </c>
      <c r="H1933" s="2">
        <v>64.6</v>
      </c>
      <c r="I1933" s="2" t="s">
        <v>47</v>
      </c>
    </row>
    <row r="1934" ht="15.75" customHeight="1">
      <c r="A1934" s="2" t="s">
        <v>3406</v>
      </c>
      <c r="B1934" s="2" t="s">
        <v>3407</v>
      </c>
      <c r="C1934" s="2" t="s">
        <v>2703</v>
      </c>
      <c r="D1934" s="2" t="s">
        <v>921</v>
      </c>
      <c r="E1934" s="2" t="s">
        <v>924</v>
      </c>
      <c r="F1934" s="2">
        <v>3275.0</v>
      </c>
      <c r="G1934" s="2">
        <v>19.2</v>
      </c>
      <c r="H1934" s="2">
        <v>170.6</v>
      </c>
      <c r="I1934" s="2" t="s">
        <v>138</v>
      </c>
    </row>
    <row r="1935" ht="15.75" customHeight="1">
      <c r="A1935" s="2" t="s">
        <v>5652</v>
      </c>
      <c r="B1935" s="2" t="s">
        <v>5653</v>
      </c>
      <c r="C1935" s="2" t="s">
        <v>2703</v>
      </c>
      <c r="D1935" s="2" t="s">
        <v>1019</v>
      </c>
      <c r="E1935" s="2" t="s">
        <v>1021</v>
      </c>
      <c r="F1935" s="2">
        <v>677.0</v>
      </c>
      <c r="G1935" s="2">
        <v>4.72</v>
      </c>
      <c r="H1935" s="2">
        <v>143.4</v>
      </c>
      <c r="I1935" s="2" t="s">
        <v>27</v>
      </c>
    </row>
    <row r="1936" ht="15.75" customHeight="1">
      <c r="A1936" s="2" t="s">
        <v>5654</v>
      </c>
      <c r="B1936" s="2" t="s">
        <v>5655</v>
      </c>
      <c r="C1936" s="2" t="s">
        <v>2703</v>
      </c>
      <c r="D1936" s="2" t="s">
        <v>985</v>
      </c>
      <c r="E1936" s="2" t="s">
        <v>988</v>
      </c>
      <c r="F1936" s="2">
        <v>416.0</v>
      </c>
      <c r="G1936" s="2">
        <v>3.77</v>
      </c>
      <c r="H1936" s="2">
        <v>110.3</v>
      </c>
      <c r="I1936" s="2" t="s">
        <v>47</v>
      </c>
    </row>
    <row r="1937" ht="15.75" customHeight="1">
      <c r="A1937" s="2" t="s">
        <v>5656</v>
      </c>
      <c r="B1937" s="2" t="s">
        <v>5657</v>
      </c>
      <c r="C1937" s="2" t="s">
        <v>2703</v>
      </c>
      <c r="D1937" s="2" t="s">
        <v>927</v>
      </c>
      <c r="E1937" s="2" t="s">
        <v>928</v>
      </c>
      <c r="F1937" s="2">
        <v>148.0</v>
      </c>
      <c r="G1937" s="2">
        <v>3.83</v>
      </c>
      <c r="H1937" s="2">
        <v>38.6</v>
      </c>
      <c r="I1937" s="2" t="s">
        <v>47</v>
      </c>
    </row>
    <row r="1938" ht="15.75" customHeight="1">
      <c r="A1938" s="2" t="s">
        <v>5660</v>
      </c>
      <c r="B1938" s="2" t="s">
        <v>5661</v>
      </c>
      <c r="C1938" s="2" t="s">
        <v>2703</v>
      </c>
      <c r="D1938" s="2" t="s">
        <v>993</v>
      </c>
      <c r="E1938" s="2" t="s">
        <v>994</v>
      </c>
      <c r="F1938" s="2">
        <v>365.0</v>
      </c>
      <c r="G1938" s="2">
        <v>9.07</v>
      </c>
      <c r="H1938" s="2">
        <v>40.2</v>
      </c>
      <c r="I1938" s="2" t="s">
        <v>47</v>
      </c>
    </row>
    <row r="1939" ht="15.75" customHeight="1">
      <c r="A1939" s="2" t="s">
        <v>3410</v>
      </c>
      <c r="B1939" s="2" t="s">
        <v>3411</v>
      </c>
      <c r="C1939" s="2" t="s">
        <v>2703</v>
      </c>
      <c r="D1939" s="2" t="s">
        <v>1076</v>
      </c>
      <c r="E1939" s="2" t="s">
        <v>1078</v>
      </c>
      <c r="F1939" s="2">
        <v>3332.0</v>
      </c>
      <c r="G1939" s="2">
        <v>9.81</v>
      </c>
      <c r="H1939" s="2">
        <v>339.7</v>
      </c>
      <c r="I1939" s="2" t="s">
        <v>138</v>
      </c>
    </row>
    <row r="1940" ht="15.75" customHeight="1">
      <c r="A1940" s="2" t="s">
        <v>5658</v>
      </c>
      <c r="B1940" s="2" t="s">
        <v>5659</v>
      </c>
      <c r="C1940" s="2" t="s">
        <v>2703</v>
      </c>
      <c r="D1940" s="2" t="s">
        <v>883</v>
      </c>
      <c r="E1940" s="2" t="s">
        <v>885</v>
      </c>
      <c r="F1940" s="2">
        <v>251.0</v>
      </c>
      <c r="G1940" s="2">
        <v>5.21</v>
      </c>
      <c r="H1940" s="2">
        <v>48.2</v>
      </c>
      <c r="I1940" s="2" t="s">
        <v>47</v>
      </c>
    </row>
    <row r="1941" ht="15.75" customHeight="1">
      <c r="A1941" s="2" t="s">
        <v>3412</v>
      </c>
      <c r="B1941" s="2" t="s">
        <v>3413</v>
      </c>
      <c r="C1941" s="2" t="s">
        <v>2703</v>
      </c>
      <c r="D1941" s="2" t="s">
        <v>957</v>
      </c>
      <c r="E1941" s="2" t="s">
        <v>958</v>
      </c>
      <c r="F1941" s="2">
        <v>398.0</v>
      </c>
      <c r="G1941" s="2">
        <v>8.04</v>
      </c>
      <c r="H1941" s="2">
        <v>49.5</v>
      </c>
      <c r="I1941" s="2" t="s">
        <v>47</v>
      </c>
    </row>
    <row r="1942" ht="15.75" customHeight="1">
      <c r="A1942" s="2" t="s">
        <v>3414</v>
      </c>
      <c r="B1942" s="2" t="s">
        <v>3417</v>
      </c>
      <c r="C1942" s="2" t="s">
        <v>2703</v>
      </c>
      <c r="D1942" s="2" t="s">
        <v>1076</v>
      </c>
      <c r="E1942" s="2" t="s">
        <v>1078</v>
      </c>
      <c r="F1942" s="2">
        <v>877.0</v>
      </c>
      <c r="G1942" s="2">
        <v>5.4</v>
      </c>
      <c r="H1942" s="2">
        <v>162.4</v>
      </c>
      <c r="I1942" s="2" t="s">
        <v>27</v>
      </c>
    </row>
    <row r="1943" ht="15.75" customHeight="1">
      <c r="A1943" s="2" t="s">
        <v>5662</v>
      </c>
      <c r="B1943" s="2" t="s">
        <v>5663</v>
      </c>
      <c r="C1943" s="2" t="s">
        <v>2703</v>
      </c>
      <c r="D1943" s="2" t="s">
        <v>873</v>
      </c>
      <c r="E1943" s="2" t="s">
        <v>876</v>
      </c>
      <c r="F1943" s="2">
        <v>203.0</v>
      </c>
      <c r="G1943" s="2">
        <v>4.32</v>
      </c>
      <c r="H1943" s="2">
        <v>47.0</v>
      </c>
      <c r="I1943" s="2" t="s">
        <v>47</v>
      </c>
    </row>
    <row r="1944" ht="15.75" customHeight="1">
      <c r="A1944" s="2" t="s">
        <v>3418</v>
      </c>
      <c r="B1944" s="2" t="s">
        <v>3419</v>
      </c>
      <c r="C1944" s="2" t="s">
        <v>2703</v>
      </c>
      <c r="D1944" s="2" t="s">
        <v>973</v>
      </c>
      <c r="E1944" s="2" t="s">
        <v>974</v>
      </c>
      <c r="F1944" s="2">
        <v>1224.0</v>
      </c>
      <c r="G1944" s="2">
        <v>11.19</v>
      </c>
      <c r="H1944" s="2">
        <v>109.4</v>
      </c>
      <c r="I1944" s="2" t="s">
        <v>27</v>
      </c>
    </row>
    <row r="1945" ht="15.75" customHeight="1">
      <c r="A1945" s="2" t="s">
        <v>5664</v>
      </c>
      <c r="B1945" s="2" t="s">
        <v>5665</v>
      </c>
      <c r="C1945" s="2" t="s">
        <v>2703</v>
      </c>
      <c r="D1945" s="2" t="s">
        <v>985</v>
      </c>
      <c r="E1945" s="2" t="s">
        <v>988</v>
      </c>
      <c r="F1945" s="2">
        <v>171.0</v>
      </c>
      <c r="G1945" s="2">
        <v>4.85</v>
      </c>
      <c r="H1945" s="2">
        <v>35.3</v>
      </c>
      <c r="I1945" s="2" t="s">
        <v>47</v>
      </c>
    </row>
    <row r="1946" ht="15.75" customHeight="1">
      <c r="A1946" s="2" t="s">
        <v>5668</v>
      </c>
      <c r="B1946" s="2" t="s">
        <v>5669</v>
      </c>
      <c r="C1946" s="2" t="s">
        <v>2703</v>
      </c>
      <c r="D1946" s="2" t="s">
        <v>883</v>
      </c>
      <c r="E1946" s="2" t="s">
        <v>885</v>
      </c>
      <c r="F1946" s="2">
        <v>410.0</v>
      </c>
      <c r="G1946" s="2">
        <v>9.26</v>
      </c>
      <c r="H1946" s="2">
        <v>44.3</v>
      </c>
      <c r="I1946" s="2" t="s">
        <v>47</v>
      </c>
    </row>
    <row r="1947" ht="15.75" customHeight="1">
      <c r="A1947" s="2" t="s">
        <v>5670</v>
      </c>
      <c r="B1947" s="2" t="s">
        <v>5671</v>
      </c>
      <c r="C1947" s="2" t="s">
        <v>2703</v>
      </c>
      <c r="D1947" s="2" t="s">
        <v>993</v>
      </c>
      <c r="E1947" s="2" t="s">
        <v>994</v>
      </c>
      <c r="F1947" s="2">
        <v>320.0</v>
      </c>
      <c r="G1947" s="2">
        <v>5.89</v>
      </c>
      <c r="H1947" s="2">
        <v>54.3</v>
      </c>
      <c r="I1947" s="2" t="s">
        <v>47</v>
      </c>
    </row>
    <row r="1948" ht="15.75" customHeight="1">
      <c r="A1948" s="2" t="s">
        <v>3422</v>
      </c>
      <c r="B1948" s="2" t="s">
        <v>3423</v>
      </c>
      <c r="C1948" s="2" t="s">
        <v>2703</v>
      </c>
      <c r="D1948" s="2" t="s">
        <v>817</v>
      </c>
      <c r="E1948" s="2" t="s">
        <v>818</v>
      </c>
      <c r="F1948" s="2">
        <v>895.0</v>
      </c>
      <c r="G1948" s="2">
        <v>6.6</v>
      </c>
      <c r="H1948" s="2">
        <v>135.6</v>
      </c>
      <c r="I1948" s="2" t="s">
        <v>27</v>
      </c>
    </row>
    <row r="1949" ht="15.75" customHeight="1">
      <c r="A1949" s="2" t="s">
        <v>3424</v>
      </c>
      <c r="B1949" s="2" t="s">
        <v>3427</v>
      </c>
      <c r="C1949" s="2" t="s">
        <v>2703</v>
      </c>
      <c r="D1949" s="2" t="s">
        <v>955</v>
      </c>
      <c r="E1949" s="2" t="s">
        <v>956</v>
      </c>
      <c r="F1949" s="2">
        <v>2524.0</v>
      </c>
      <c r="G1949" s="2">
        <v>4.2</v>
      </c>
      <c r="H1949" s="2">
        <v>601.0</v>
      </c>
      <c r="I1949" s="2" t="s">
        <v>138</v>
      </c>
    </row>
    <row r="1950" ht="15.75" customHeight="1">
      <c r="A1950" s="2" t="s">
        <v>5672</v>
      </c>
      <c r="B1950" s="2" t="s">
        <v>5673</v>
      </c>
      <c r="C1950" s="2" t="s">
        <v>2703</v>
      </c>
      <c r="D1950" s="2" t="s">
        <v>1060</v>
      </c>
      <c r="E1950" s="2" t="s">
        <v>1062</v>
      </c>
      <c r="F1950" s="2">
        <v>127.0</v>
      </c>
      <c r="G1950" s="2">
        <v>6.75</v>
      </c>
      <c r="H1950" s="2">
        <v>18.8</v>
      </c>
      <c r="I1950" s="2" t="s">
        <v>47</v>
      </c>
    </row>
    <row r="1951" ht="15.75" customHeight="1">
      <c r="A1951" s="2" t="s">
        <v>3428</v>
      </c>
      <c r="B1951" s="2" t="s">
        <v>3429</v>
      </c>
      <c r="C1951" s="2" t="s">
        <v>2703</v>
      </c>
      <c r="D1951" s="2" t="s">
        <v>993</v>
      </c>
      <c r="E1951" s="2" t="s">
        <v>994</v>
      </c>
      <c r="F1951" s="2">
        <v>1041.0</v>
      </c>
      <c r="G1951" s="2">
        <v>11.62</v>
      </c>
      <c r="H1951" s="2">
        <v>89.6</v>
      </c>
      <c r="I1951" s="2" t="s">
        <v>27</v>
      </c>
    </row>
    <row r="1952" ht="15.75" customHeight="1">
      <c r="A1952" s="2" t="s">
        <v>5676</v>
      </c>
      <c r="B1952" s="2" t="s">
        <v>5677</v>
      </c>
      <c r="C1952" s="2" t="s">
        <v>2703</v>
      </c>
      <c r="D1952" s="2" t="s">
        <v>1019</v>
      </c>
      <c r="E1952" s="2" t="s">
        <v>1021</v>
      </c>
      <c r="F1952" s="2">
        <v>115.0</v>
      </c>
      <c r="G1952" s="2">
        <v>8.26</v>
      </c>
      <c r="H1952" s="2">
        <v>13.9</v>
      </c>
      <c r="I1952" s="2" t="s">
        <v>47</v>
      </c>
    </row>
    <row r="1953" ht="15.75" customHeight="1">
      <c r="A1953" s="2" t="s">
        <v>3430</v>
      </c>
      <c r="B1953" s="2" t="s">
        <v>3431</v>
      </c>
      <c r="C1953" s="2" t="s">
        <v>2703</v>
      </c>
      <c r="D1953" s="2" t="s">
        <v>886</v>
      </c>
      <c r="E1953" s="2" t="s">
        <v>887</v>
      </c>
      <c r="F1953" s="2">
        <v>1928.0</v>
      </c>
      <c r="G1953" s="2">
        <v>20.46</v>
      </c>
      <c r="H1953" s="2">
        <v>94.2</v>
      </c>
      <c r="I1953" s="2" t="s">
        <v>27</v>
      </c>
    </row>
    <row r="1954" ht="15.75" customHeight="1">
      <c r="A1954" s="2" t="s">
        <v>3434</v>
      </c>
      <c r="B1954" s="2" t="s">
        <v>3435</v>
      </c>
      <c r="C1954" s="2" t="s">
        <v>2703</v>
      </c>
      <c r="D1954" s="2" t="s">
        <v>977</v>
      </c>
      <c r="E1954" s="2" t="s">
        <v>978</v>
      </c>
      <c r="F1954" s="2">
        <v>1727.0</v>
      </c>
      <c r="G1954" s="2">
        <v>9.32</v>
      </c>
      <c r="H1954" s="2">
        <v>185.3</v>
      </c>
      <c r="I1954" s="2" t="s">
        <v>27</v>
      </c>
    </row>
    <row r="1955" ht="15.75" customHeight="1">
      <c r="A1955" s="2" t="s">
        <v>5682</v>
      </c>
      <c r="B1955" s="2" t="s">
        <v>5683</v>
      </c>
      <c r="C1955" s="2" t="s">
        <v>2703</v>
      </c>
      <c r="D1955" s="2" t="s">
        <v>917</v>
      </c>
      <c r="E1955" s="2" t="s">
        <v>918</v>
      </c>
      <c r="F1955" s="2">
        <v>647.0</v>
      </c>
      <c r="G1955" s="2">
        <v>9.48</v>
      </c>
      <c r="H1955" s="2">
        <v>68.2</v>
      </c>
      <c r="I1955" s="2" t="s">
        <v>27</v>
      </c>
    </row>
    <row r="1956" ht="15.75" customHeight="1">
      <c r="A1956" s="2" t="s">
        <v>5684</v>
      </c>
      <c r="B1956" s="2" t="s">
        <v>5685</v>
      </c>
      <c r="C1956" s="2" t="s">
        <v>2703</v>
      </c>
      <c r="D1956" s="2" t="s">
        <v>873</v>
      </c>
      <c r="E1956" s="2" t="s">
        <v>876</v>
      </c>
      <c r="F1956" s="2">
        <v>329.0</v>
      </c>
      <c r="G1956" s="2">
        <v>12.71</v>
      </c>
      <c r="H1956" s="2">
        <v>25.9</v>
      </c>
      <c r="I1956" s="2" t="s">
        <v>47</v>
      </c>
    </row>
    <row r="1957" ht="15.75" customHeight="1">
      <c r="A1957" s="2" t="s">
        <v>5686</v>
      </c>
      <c r="B1957" s="2" t="s">
        <v>5687</v>
      </c>
      <c r="C1957" s="2" t="s">
        <v>2703</v>
      </c>
      <c r="D1957" s="2" t="s">
        <v>921</v>
      </c>
      <c r="E1957" s="2" t="s">
        <v>924</v>
      </c>
      <c r="F1957" s="2">
        <v>134.0</v>
      </c>
      <c r="G1957" s="2">
        <v>2.71</v>
      </c>
      <c r="H1957" s="2">
        <v>49.4</v>
      </c>
      <c r="I1957" s="2" t="s">
        <v>47</v>
      </c>
    </row>
    <row r="1958" ht="15.75" customHeight="1">
      <c r="A1958" s="2" t="s">
        <v>3438</v>
      </c>
      <c r="B1958" s="2" t="s">
        <v>3439</v>
      </c>
      <c r="C1958" s="2" t="s">
        <v>2703</v>
      </c>
      <c r="D1958" s="2" t="s">
        <v>907</v>
      </c>
      <c r="E1958" s="2" t="s">
        <v>909</v>
      </c>
      <c r="F1958" s="2">
        <v>3871.0</v>
      </c>
      <c r="G1958" s="2">
        <v>13.02</v>
      </c>
      <c r="H1958" s="2">
        <v>297.3</v>
      </c>
      <c r="I1958" s="2" t="s">
        <v>138</v>
      </c>
    </row>
    <row r="1959" ht="15.75" customHeight="1">
      <c r="A1959" s="2" t="s">
        <v>5688</v>
      </c>
      <c r="B1959" s="2" t="s">
        <v>5689</v>
      </c>
      <c r="C1959" s="2" t="s">
        <v>2703</v>
      </c>
      <c r="D1959" s="2" t="s">
        <v>977</v>
      </c>
      <c r="E1959" s="2" t="s">
        <v>978</v>
      </c>
      <c r="F1959" s="2">
        <v>298.0</v>
      </c>
      <c r="G1959" s="2">
        <v>5.13</v>
      </c>
      <c r="H1959" s="2">
        <v>58.1</v>
      </c>
      <c r="I1959" s="2" t="s">
        <v>47</v>
      </c>
    </row>
    <row r="1960" ht="15.75" customHeight="1">
      <c r="A1960" s="2" t="s">
        <v>3440</v>
      </c>
      <c r="B1960" s="2" t="s">
        <v>3441</v>
      </c>
      <c r="C1960" s="2" t="s">
        <v>2703</v>
      </c>
      <c r="D1960" s="2" t="s">
        <v>921</v>
      </c>
      <c r="E1960" s="2" t="s">
        <v>924</v>
      </c>
      <c r="F1960" s="2">
        <v>1559.0</v>
      </c>
      <c r="G1960" s="2">
        <v>2.34</v>
      </c>
      <c r="H1960" s="2">
        <v>666.2</v>
      </c>
      <c r="I1960" s="2" t="s">
        <v>27</v>
      </c>
    </row>
    <row r="1961" ht="15.75" customHeight="1">
      <c r="A1961" s="2" t="s">
        <v>5690</v>
      </c>
      <c r="B1961" s="2" t="s">
        <v>5691</v>
      </c>
      <c r="C1961" s="2" t="s">
        <v>2703</v>
      </c>
      <c r="D1961" s="2" t="s">
        <v>886</v>
      </c>
      <c r="E1961" s="2" t="s">
        <v>887</v>
      </c>
      <c r="F1961" s="2">
        <v>639.0</v>
      </c>
      <c r="G1961" s="2">
        <v>3.99</v>
      </c>
      <c r="H1961" s="2">
        <v>160.2</v>
      </c>
      <c r="I1961" s="2" t="s">
        <v>27</v>
      </c>
    </row>
    <row r="1962" ht="15.75" customHeight="1">
      <c r="A1962" s="2" t="s">
        <v>5692</v>
      </c>
      <c r="B1962" s="2" t="s">
        <v>5693</v>
      </c>
      <c r="C1962" s="2" t="s">
        <v>2703</v>
      </c>
      <c r="D1962" s="2" t="s">
        <v>921</v>
      </c>
      <c r="E1962" s="2" t="s">
        <v>924</v>
      </c>
      <c r="F1962" s="2">
        <v>350.0</v>
      </c>
      <c r="G1962" s="2">
        <v>4.85</v>
      </c>
      <c r="H1962" s="2">
        <v>72.2</v>
      </c>
      <c r="I1962" s="2" t="s">
        <v>47</v>
      </c>
    </row>
    <row r="1963" ht="15.75" customHeight="1">
      <c r="A1963" s="2" t="s">
        <v>3442</v>
      </c>
      <c r="B1963" s="2" t="s">
        <v>3443</v>
      </c>
      <c r="C1963" s="2" t="s">
        <v>2703</v>
      </c>
      <c r="D1963" s="2" t="s">
        <v>817</v>
      </c>
      <c r="E1963" s="2" t="s">
        <v>818</v>
      </c>
      <c r="F1963" s="2">
        <v>995.0</v>
      </c>
      <c r="G1963" s="2">
        <v>6.41</v>
      </c>
      <c r="H1963" s="2">
        <v>155.2</v>
      </c>
      <c r="I1963" s="2" t="s">
        <v>27</v>
      </c>
    </row>
    <row r="1964" ht="15.75" customHeight="1">
      <c r="A1964" s="2" t="s">
        <v>5694</v>
      </c>
      <c r="B1964" s="2" t="s">
        <v>5695</v>
      </c>
      <c r="C1964" s="2" t="s">
        <v>2703</v>
      </c>
      <c r="D1964" s="2" t="s">
        <v>973</v>
      </c>
      <c r="E1964" s="2" t="s">
        <v>974</v>
      </c>
      <c r="F1964" s="2">
        <v>117.0</v>
      </c>
      <c r="G1964" s="2">
        <v>6.29</v>
      </c>
      <c r="H1964" s="2">
        <v>18.6</v>
      </c>
      <c r="I1964" s="2" t="s">
        <v>47</v>
      </c>
    </row>
    <row r="1965" ht="15.75" customHeight="1">
      <c r="A1965" s="2" t="s">
        <v>5696</v>
      </c>
      <c r="B1965" s="2" t="s">
        <v>5697</v>
      </c>
      <c r="C1965" s="2" t="s">
        <v>2703</v>
      </c>
      <c r="D1965" s="2" t="s">
        <v>873</v>
      </c>
      <c r="E1965" s="2" t="s">
        <v>876</v>
      </c>
      <c r="F1965" s="2">
        <v>184.0</v>
      </c>
      <c r="G1965" s="2">
        <v>9.82</v>
      </c>
      <c r="H1965" s="2">
        <v>18.7</v>
      </c>
      <c r="I1965" s="2" t="s">
        <v>47</v>
      </c>
    </row>
    <row r="1966" ht="15.75" customHeight="1">
      <c r="A1966" s="2" t="s">
        <v>3444</v>
      </c>
      <c r="B1966" s="2" t="s">
        <v>3445</v>
      </c>
      <c r="C1966" s="2" t="s">
        <v>2703</v>
      </c>
      <c r="D1966" s="2" t="s">
        <v>883</v>
      </c>
      <c r="E1966" s="2" t="s">
        <v>885</v>
      </c>
      <c r="F1966" s="2">
        <v>560.0</v>
      </c>
      <c r="G1966" s="2">
        <v>10.52</v>
      </c>
      <c r="H1966" s="2">
        <v>53.2</v>
      </c>
      <c r="I1966" s="2" t="s">
        <v>27</v>
      </c>
    </row>
    <row r="1967" ht="15.75" customHeight="1">
      <c r="A1967" s="2" t="s">
        <v>5698</v>
      </c>
      <c r="B1967" s="2" t="s">
        <v>5699</v>
      </c>
      <c r="C1967" s="2" t="s">
        <v>2703</v>
      </c>
      <c r="D1967" s="2" t="s">
        <v>973</v>
      </c>
      <c r="E1967" s="2" t="s">
        <v>974</v>
      </c>
      <c r="F1967" s="2">
        <v>139.0</v>
      </c>
      <c r="G1967" s="2">
        <v>9.34</v>
      </c>
      <c r="H1967" s="2">
        <v>14.9</v>
      </c>
      <c r="I1967" s="2" t="s">
        <v>47</v>
      </c>
    </row>
    <row r="1968" ht="15.75" customHeight="1">
      <c r="A1968" s="2" t="s">
        <v>5700</v>
      </c>
      <c r="B1968" s="2" t="s">
        <v>5701</v>
      </c>
      <c r="C1968" s="2" t="s">
        <v>2703</v>
      </c>
      <c r="D1968" s="2" t="s">
        <v>955</v>
      </c>
      <c r="E1968" s="2" t="s">
        <v>956</v>
      </c>
      <c r="F1968" s="2">
        <v>622.0</v>
      </c>
      <c r="G1968" s="2">
        <v>4.95</v>
      </c>
      <c r="H1968" s="2">
        <v>125.7</v>
      </c>
      <c r="I1968" s="2" t="s">
        <v>27</v>
      </c>
    </row>
    <row r="1969" ht="15.75" customHeight="1">
      <c r="A1969" s="2" t="s">
        <v>3446</v>
      </c>
      <c r="B1969" s="2" t="s">
        <v>3447</v>
      </c>
      <c r="C1969" s="2" t="s">
        <v>2703</v>
      </c>
      <c r="D1969" s="2" t="s">
        <v>973</v>
      </c>
      <c r="E1969" s="2" t="s">
        <v>974</v>
      </c>
      <c r="F1969" s="2">
        <v>604.0</v>
      </c>
      <c r="G1969" s="2">
        <v>8.53</v>
      </c>
      <c r="H1969" s="2">
        <v>70.8</v>
      </c>
      <c r="I1969" s="2" t="s">
        <v>27</v>
      </c>
    </row>
    <row r="1970" ht="15.75" customHeight="1">
      <c r="A1970" s="2" t="s">
        <v>5702</v>
      </c>
      <c r="B1970" s="2" t="s">
        <v>5703</v>
      </c>
      <c r="C1970" s="2" t="s">
        <v>2703</v>
      </c>
      <c r="D1970" s="2" t="s">
        <v>817</v>
      </c>
      <c r="E1970" s="2" t="s">
        <v>818</v>
      </c>
      <c r="F1970" s="2">
        <v>235.0</v>
      </c>
      <c r="G1970" s="2">
        <v>9.82</v>
      </c>
      <c r="H1970" s="2">
        <v>23.9</v>
      </c>
      <c r="I1970" s="2" t="s">
        <v>47</v>
      </c>
    </row>
    <row r="1971" ht="15.75" customHeight="1">
      <c r="A1971" s="2" t="s">
        <v>5704</v>
      </c>
      <c r="B1971" s="2" t="s">
        <v>5705</v>
      </c>
      <c r="C1971" s="2" t="s">
        <v>2703</v>
      </c>
      <c r="D1971" s="2" t="s">
        <v>883</v>
      </c>
      <c r="E1971" s="2" t="s">
        <v>885</v>
      </c>
      <c r="F1971" s="2">
        <v>227.0</v>
      </c>
      <c r="G1971" s="2">
        <v>3.18</v>
      </c>
      <c r="H1971" s="2">
        <v>71.4</v>
      </c>
      <c r="I1971" s="2" t="s">
        <v>47</v>
      </c>
    </row>
    <row r="1972" ht="15.75" customHeight="1">
      <c r="A1972" s="2" t="s">
        <v>5706</v>
      </c>
      <c r="B1972" s="2" t="s">
        <v>5707</v>
      </c>
      <c r="C1972" s="2" t="s">
        <v>2703</v>
      </c>
      <c r="D1972" s="2" t="s">
        <v>785</v>
      </c>
      <c r="E1972" s="2" t="s">
        <v>787</v>
      </c>
      <c r="F1972" s="2">
        <v>277.0</v>
      </c>
      <c r="G1972" s="2">
        <v>3.89</v>
      </c>
      <c r="H1972" s="2">
        <v>71.2</v>
      </c>
      <c r="I1972" s="2" t="s">
        <v>47</v>
      </c>
    </row>
    <row r="1973" ht="15.75" customHeight="1">
      <c r="A1973" s="2" t="s">
        <v>5708</v>
      </c>
      <c r="B1973" s="2" t="s">
        <v>5709</v>
      </c>
      <c r="C1973" s="2" t="s">
        <v>2703</v>
      </c>
      <c r="D1973" s="2" t="s">
        <v>973</v>
      </c>
      <c r="E1973" s="2" t="s">
        <v>974</v>
      </c>
      <c r="F1973" s="2">
        <v>254.0</v>
      </c>
      <c r="G1973" s="2">
        <v>7.01</v>
      </c>
      <c r="H1973" s="2">
        <v>36.2</v>
      </c>
      <c r="I1973" s="2" t="s">
        <v>47</v>
      </c>
    </row>
    <row r="1974" ht="15.75" customHeight="1">
      <c r="A1974" s="2" t="s">
        <v>5710</v>
      </c>
      <c r="B1974" s="2" t="s">
        <v>5711</v>
      </c>
      <c r="C1974" s="2" t="s">
        <v>2703</v>
      </c>
      <c r="D1974" s="2" t="s">
        <v>993</v>
      </c>
      <c r="E1974" s="2" t="s">
        <v>994</v>
      </c>
      <c r="F1974" s="2">
        <v>277.0</v>
      </c>
      <c r="G1974" s="2">
        <v>12.04</v>
      </c>
      <c r="H1974" s="2">
        <v>23.0</v>
      </c>
      <c r="I1974" s="2" t="s">
        <v>47</v>
      </c>
    </row>
    <row r="1975" ht="15.75" customHeight="1">
      <c r="A1975" s="2" t="s">
        <v>3448</v>
      </c>
      <c r="B1975" s="2" t="s">
        <v>3449</v>
      </c>
      <c r="C1975" s="2" t="s">
        <v>2703</v>
      </c>
      <c r="D1975" s="2" t="s">
        <v>973</v>
      </c>
      <c r="E1975" s="2" t="s">
        <v>974</v>
      </c>
      <c r="F1975" s="2">
        <v>471.0</v>
      </c>
      <c r="G1975" s="2">
        <v>8.14</v>
      </c>
      <c r="H1975" s="2">
        <v>57.9</v>
      </c>
      <c r="I1975" s="2" t="s">
        <v>47</v>
      </c>
    </row>
    <row r="1976" ht="15.75" customHeight="1">
      <c r="A1976" s="2" t="s">
        <v>5712</v>
      </c>
      <c r="B1976" s="2" t="s">
        <v>5713</v>
      </c>
      <c r="C1976" s="2" t="s">
        <v>2703</v>
      </c>
      <c r="D1976" s="2" t="s">
        <v>873</v>
      </c>
      <c r="E1976" s="2" t="s">
        <v>876</v>
      </c>
      <c r="F1976" s="2">
        <v>71.0</v>
      </c>
      <c r="G1976" s="2">
        <v>4.07</v>
      </c>
      <c r="H1976" s="2">
        <v>17.4</v>
      </c>
      <c r="I1976" s="2" t="s">
        <v>47</v>
      </c>
    </row>
    <row r="1977" ht="15.75" customHeight="1">
      <c r="A1977" s="2" t="s">
        <v>5716</v>
      </c>
      <c r="B1977" s="2" t="s">
        <v>5717</v>
      </c>
      <c r="C1977" s="2" t="s">
        <v>2703</v>
      </c>
      <c r="D1977" s="2" t="s">
        <v>883</v>
      </c>
      <c r="E1977" s="2" t="s">
        <v>885</v>
      </c>
      <c r="F1977" s="2">
        <v>328.0</v>
      </c>
      <c r="G1977" s="2">
        <v>10.99</v>
      </c>
      <c r="H1977" s="2">
        <v>29.8</v>
      </c>
      <c r="I1977" s="2" t="s">
        <v>47</v>
      </c>
    </row>
    <row r="1978" ht="15.75" customHeight="1">
      <c r="A1978" s="2" t="s">
        <v>5714</v>
      </c>
      <c r="B1978" s="2" t="s">
        <v>5715</v>
      </c>
      <c r="C1978" s="2" t="s">
        <v>2703</v>
      </c>
      <c r="D1978" s="2" t="s">
        <v>993</v>
      </c>
      <c r="E1978" s="2" t="s">
        <v>994</v>
      </c>
      <c r="F1978" s="2">
        <v>215.0</v>
      </c>
      <c r="G1978" s="2">
        <v>9.47</v>
      </c>
      <c r="H1978" s="2">
        <v>22.7</v>
      </c>
      <c r="I1978" s="2" t="s">
        <v>47</v>
      </c>
    </row>
    <row r="1979" ht="15.75" customHeight="1">
      <c r="A1979" s="2" t="s">
        <v>3452</v>
      </c>
      <c r="B1979" s="2" t="s">
        <v>3453</v>
      </c>
      <c r="C1979" s="2" t="s">
        <v>2703</v>
      </c>
      <c r="D1979" s="2" t="s">
        <v>977</v>
      </c>
      <c r="E1979" s="2" t="s">
        <v>978</v>
      </c>
      <c r="F1979" s="2">
        <v>448.0</v>
      </c>
      <c r="G1979" s="2">
        <v>10.85</v>
      </c>
      <c r="H1979" s="2">
        <v>41.3</v>
      </c>
      <c r="I1979" s="2" t="s">
        <v>47</v>
      </c>
    </row>
    <row r="1980" ht="15.75" customHeight="1">
      <c r="A1980" s="2" t="s">
        <v>3454</v>
      </c>
      <c r="B1980" s="2" t="s">
        <v>3455</v>
      </c>
      <c r="C1980" s="2" t="s">
        <v>2703</v>
      </c>
      <c r="D1980" s="2" t="s">
        <v>1060</v>
      </c>
      <c r="E1980" s="2" t="s">
        <v>1062</v>
      </c>
      <c r="F1980" s="2">
        <v>757.0</v>
      </c>
      <c r="G1980" s="2">
        <v>15.59</v>
      </c>
      <c r="H1980" s="2">
        <v>48.6</v>
      </c>
      <c r="I1980" s="2" t="s">
        <v>27</v>
      </c>
    </row>
    <row r="1981" ht="15.75" customHeight="1">
      <c r="A1981" s="2" t="s">
        <v>5718</v>
      </c>
      <c r="B1981" s="2" t="s">
        <v>5719</v>
      </c>
      <c r="C1981" s="2" t="s">
        <v>2703</v>
      </c>
      <c r="D1981" s="2" t="s">
        <v>973</v>
      </c>
      <c r="E1981" s="2" t="s">
        <v>974</v>
      </c>
      <c r="F1981" s="2">
        <v>247.0</v>
      </c>
      <c r="G1981" s="2">
        <v>9.88</v>
      </c>
      <c r="H1981" s="2">
        <v>25.0</v>
      </c>
      <c r="I1981" s="2" t="s">
        <v>47</v>
      </c>
    </row>
    <row r="1982" ht="15.75" customHeight="1">
      <c r="A1982" s="2" t="s">
        <v>5674</v>
      </c>
      <c r="B1982" s="2" t="s">
        <v>5675</v>
      </c>
      <c r="C1982" s="2" t="s">
        <v>2703</v>
      </c>
      <c r="D1982" s="2" t="s">
        <v>973</v>
      </c>
      <c r="E1982" s="2" t="s">
        <v>974</v>
      </c>
      <c r="F1982" s="2">
        <v>140.0</v>
      </c>
      <c r="G1982" s="2">
        <v>7.15</v>
      </c>
      <c r="H1982" s="2">
        <v>19.6</v>
      </c>
      <c r="I1982" s="2" t="s">
        <v>47</v>
      </c>
    </row>
    <row r="1983" ht="15.75" customHeight="1">
      <c r="A1983" s="2" t="s">
        <v>5678</v>
      </c>
      <c r="B1983" s="2" t="s">
        <v>5679</v>
      </c>
      <c r="C1983" s="2" t="s">
        <v>2703</v>
      </c>
      <c r="D1983" s="2" t="s">
        <v>943</v>
      </c>
      <c r="E1983" s="2" t="s">
        <v>945</v>
      </c>
      <c r="F1983" s="2">
        <v>78.0</v>
      </c>
      <c r="G1983" s="2">
        <v>2.8</v>
      </c>
      <c r="H1983" s="2">
        <v>27.9</v>
      </c>
      <c r="I1983" s="2" t="s">
        <v>47</v>
      </c>
    </row>
    <row r="1984" ht="15.75" customHeight="1">
      <c r="A1984" s="2" t="s">
        <v>5680</v>
      </c>
      <c r="B1984" s="2" t="s">
        <v>5681</v>
      </c>
      <c r="C1984" s="2" t="s">
        <v>2703</v>
      </c>
      <c r="D1984" s="2" t="s">
        <v>817</v>
      </c>
      <c r="E1984" s="2" t="s">
        <v>818</v>
      </c>
      <c r="F1984" s="2">
        <v>210.0</v>
      </c>
      <c r="G1984" s="2">
        <v>8.64</v>
      </c>
      <c r="H1984" s="2">
        <v>24.3</v>
      </c>
      <c r="I1984" s="2" t="s">
        <v>47</v>
      </c>
    </row>
    <row r="1985" ht="15.75" customHeight="1">
      <c r="A1985" s="2" t="s">
        <v>3456</v>
      </c>
      <c r="B1985" s="2" t="s">
        <v>3457</v>
      </c>
      <c r="C1985" s="2" t="s">
        <v>2703</v>
      </c>
      <c r="D1985" s="2" t="s">
        <v>921</v>
      </c>
      <c r="E1985" s="2" t="s">
        <v>924</v>
      </c>
      <c r="F1985" s="2">
        <v>1573.0</v>
      </c>
      <c r="G1985" s="2">
        <v>17.63</v>
      </c>
      <c r="H1985" s="2">
        <v>89.2</v>
      </c>
      <c r="I1985" s="2" t="s">
        <v>27</v>
      </c>
    </row>
    <row r="1986" ht="15.75" customHeight="1">
      <c r="A1986" s="2" t="s">
        <v>3458</v>
      </c>
      <c r="B1986" s="2" t="s">
        <v>3459</v>
      </c>
      <c r="C1986" s="2" t="s">
        <v>2703</v>
      </c>
      <c r="D1986" s="2" t="s">
        <v>921</v>
      </c>
      <c r="E1986" s="2" t="s">
        <v>924</v>
      </c>
      <c r="F1986" s="2">
        <v>638.0</v>
      </c>
      <c r="G1986" s="2">
        <v>7.46</v>
      </c>
      <c r="H1986" s="2">
        <v>85.5</v>
      </c>
      <c r="I1986" s="2" t="s">
        <v>27</v>
      </c>
    </row>
    <row r="1987" ht="15.75" customHeight="1">
      <c r="A1987" s="2" t="s">
        <v>5720</v>
      </c>
      <c r="B1987" s="2" t="s">
        <v>5721</v>
      </c>
      <c r="C1987" s="2" t="s">
        <v>2703</v>
      </c>
      <c r="D1987" s="2" t="s">
        <v>993</v>
      </c>
      <c r="E1987" s="2" t="s">
        <v>994</v>
      </c>
      <c r="F1987" s="2">
        <v>272.0</v>
      </c>
      <c r="G1987" s="2">
        <v>12.38</v>
      </c>
      <c r="H1987" s="2">
        <v>22.0</v>
      </c>
      <c r="I1987" s="2" t="s">
        <v>47</v>
      </c>
    </row>
    <row r="1988" ht="15.75" customHeight="1">
      <c r="A1988" s="2" t="s">
        <v>3462</v>
      </c>
      <c r="B1988" s="2" t="s">
        <v>3463</v>
      </c>
      <c r="C1988" s="2" t="s">
        <v>2703</v>
      </c>
      <c r="D1988" s="2" t="s">
        <v>873</v>
      </c>
      <c r="E1988" s="2" t="s">
        <v>876</v>
      </c>
      <c r="F1988" s="2">
        <v>514.0</v>
      </c>
      <c r="G1988" s="2">
        <v>11.45</v>
      </c>
      <c r="H1988" s="2">
        <v>44.9</v>
      </c>
      <c r="I1988" s="2" t="s">
        <v>27</v>
      </c>
    </row>
    <row r="1989" ht="15.75" customHeight="1">
      <c r="A1989" s="2" t="s">
        <v>5722</v>
      </c>
      <c r="B1989" s="2" t="s">
        <v>5723</v>
      </c>
      <c r="C1989" s="2" t="s">
        <v>2703</v>
      </c>
      <c r="D1989" s="2" t="s">
        <v>883</v>
      </c>
      <c r="E1989" s="2" t="s">
        <v>885</v>
      </c>
      <c r="F1989" s="2">
        <v>202.0</v>
      </c>
      <c r="G1989" s="2">
        <v>7.91</v>
      </c>
      <c r="H1989" s="2">
        <v>25.5</v>
      </c>
      <c r="I1989" s="2" t="s">
        <v>47</v>
      </c>
    </row>
    <row r="1990" ht="15.75" customHeight="1">
      <c r="A1990" s="2" t="s">
        <v>3466</v>
      </c>
      <c r="B1990" s="2" t="s">
        <v>3467</v>
      </c>
      <c r="C1990" s="2" t="s">
        <v>2703</v>
      </c>
      <c r="D1990" s="2" t="s">
        <v>957</v>
      </c>
      <c r="E1990" s="2" t="s">
        <v>958</v>
      </c>
      <c r="F1990" s="2">
        <v>1174.0</v>
      </c>
      <c r="G1990" s="2">
        <v>6.32</v>
      </c>
      <c r="H1990" s="2">
        <v>185.8</v>
      </c>
      <c r="I1990" s="2" t="s">
        <v>27</v>
      </c>
    </row>
    <row r="1991" ht="15.75" customHeight="1">
      <c r="A1991" s="2" t="s">
        <v>5724</v>
      </c>
      <c r="B1991" s="2" t="s">
        <v>5725</v>
      </c>
      <c r="C1991" s="2" t="s">
        <v>2703</v>
      </c>
      <c r="D1991" s="2" t="s">
        <v>943</v>
      </c>
      <c r="E1991" s="2" t="s">
        <v>945</v>
      </c>
      <c r="F1991" s="2">
        <v>349.0</v>
      </c>
      <c r="G1991" s="2">
        <v>6.36</v>
      </c>
      <c r="H1991" s="2">
        <v>54.9</v>
      </c>
      <c r="I1991" s="2" t="s">
        <v>47</v>
      </c>
    </row>
    <row r="1992" ht="15.75" customHeight="1">
      <c r="A1992" s="2" t="s">
        <v>3470</v>
      </c>
      <c r="B1992" s="2" t="s">
        <v>3471</v>
      </c>
      <c r="C1992" s="2" t="s">
        <v>2703</v>
      </c>
      <c r="D1992" s="2" t="s">
        <v>927</v>
      </c>
      <c r="E1992" s="2" t="s">
        <v>928</v>
      </c>
      <c r="F1992" s="2">
        <v>1637.0</v>
      </c>
      <c r="G1992" s="2">
        <v>19.61</v>
      </c>
      <c r="H1992" s="2">
        <v>83.5</v>
      </c>
      <c r="I1992" s="2" t="s">
        <v>27</v>
      </c>
    </row>
    <row r="1993" ht="15.75" customHeight="1">
      <c r="A1993" s="2" t="s">
        <v>5726</v>
      </c>
      <c r="B1993" s="2" t="s">
        <v>5727</v>
      </c>
      <c r="C1993" s="2" t="s">
        <v>2703</v>
      </c>
      <c r="D1993" s="2" t="s">
        <v>917</v>
      </c>
      <c r="E1993" s="2" t="s">
        <v>918</v>
      </c>
      <c r="F1993" s="2">
        <v>189.0</v>
      </c>
      <c r="G1993" s="2">
        <v>16.33</v>
      </c>
      <c r="H1993" s="2">
        <v>11.6</v>
      </c>
      <c r="I1993" s="2" t="s">
        <v>47</v>
      </c>
    </row>
    <row r="1994" ht="15.75" customHeight="1">
      <c r="A1994" s="2" t="s">
        <v>5728</v>
      </c>
      <c r="B1994" s="2" t="s">
        <v>5729</v>
      </c>
      <c r="C1994" s="2" t="s">
        <v>2703</v>
      </c>
      <c r="D1994" s="2" t="s">
        <v>883</v>
      </c>
      <c r="E1994" s="2" t="s">
        <v>885</v>
      </c>
      <c r="F1994" s="2">
        <v>80.0</v>
      </c>
      <c r="G1994" s="2">
        <v>4.75</v>
      </c>
      <c r="H1994" s="2">
        <v>16.8</v>
      </c>
      <c r="I1994" s="2" t="s">
        <v>47</v>
      </c>
    </row>
    <row r="1995" ht="15.75" customHeight="1">
      <c r="A1995" s="2" t="s">
        <v>3472</v>
      </c>
      <c r="B1995" s="2" t="s">
        <v>3473</v>
      </c>
      <c r="C1995" s="2" t="s">
        <v>2703</v>
      </c>
      <c r="D1995" s="2" t="s">
        <v>1076</v>
      </c>
      <c r="E1995" s="2" t="s">
        <v>1078</v>
      </c>
      <c r="F1995" s="2">
        <v>618.0</v>
      </c>
      <c r="G1995" s="2">
        <v>5.09</v>
      </c>
      <c r="H1995" s="2">
        <v>121.4</v>
      </c>
      <c r="I1995" s="2" t="s">
        <v>27</v>
      </c>
    </row>
    <row r="1996" ht="15.75" customHeight="1">
      <c r="A1996" s="2" t="s">
        <v>3474</v>
      </c>
      <c r="B1996" s="2" t="s">
        <v>3475</v>
      </c>
      <c r="C1996" s="2" t="s">
        <v>2703</v>
      </c>
      <c r="D1996" s="2" t="s">
        <v>817</v>
      </c>
      <c r="E1996" s="2" t="s">
        <v>818</v>
      </c>
      <c r="F1996" s="2">
        <v>439.0</v>
      </c>
      <c r="G1996" s="2">
        <v>6.02</v>
      </c>
      <c r="H1996" s="2">
        <v>72.9</v>
      </c>
      <c r="I1996" s="2" t="s">
        <v>47</v>
      </c>
    </row>
    <row r="1997" ht="15.75" customHeight="1">
      <c r="A1997" s="2" t="s">
        <v>3476</v>
      </c>
      <c r="B1997" s="2" t="s">
        <v>3477</v>
      </c>
      <c r="C1997" s="2" t="s">
        <v>2703</v>
      </c>
      <c r="D1997" s="2" t="s">
        <v>957</v>
      </c>
      <c r="E1997" s="2" t="s">
        <v>958</v>
      </c>
      <c r="F1997" s="2">
        <v>1662.0</v>
      </c>
      <c r="G1997" s="2">
        <v>20.01</v>
      </c>
      <c r="H1997" s="2">
        <v>83.1</v>
      </c>
      <c r="I1997" s="2" t="s">
        <v>27</v>
      </c>
    </row>
    <row r="1998" ht="15.75" customHeight="1">
      <c r="A1998" s="2" t="s">
        <v>3478</v>
      </c>
      <c r="B1998" s="2" t="s">
        <v>3479</v>
      </c>
      <c r="C1998" s="2" t="s">
        <v>2703</v>
      </c>
      <c r="D1998" s="2" t="s">
        <v>804</v>
      </c>
      <c r="E1998" s="2" t="s">
        <v>806</v>
      </c>
      <c r="F1998" s="2">
        <v>345.0</v>
      </c>
      <c r="G1998" s="2">
        <v>25.29</v>
      </c>
      <c r="H1998" s="2">
        <v>13.6</v>
      </c>
      <c r="I1998" s="2" t="s">
        <v>47</v>
      </c>
    </row>
    <row r="1999" ht="15.75" customHeight="1">
      <c r="A1999" s="2" t="s">
        <v>3480</v>
      </c>
      <c r="B1999" s="2" t="s">
        <v>3481</v>
      </c>
      <c r="C1999" s="2" t="s">
        <v>2703</v>
      </c>
      <c r="D1999" s="2" t="s">
        <v>993</v>
      </c>
      <c r="E1999" s="2" t="s">
        <v>994</v>
      </c>
      <c r="F1999" s="2">
        <v>5810.0</v>
      </c>
      <c r="G1999" s="2">
        <v>14.64</v>
      </c>
      <c r="H1999" s="2">
        <v>396.9</v>
      </c>
      <c r="I1999" s="2" t="s">
        <v>138</v>
      </c>
    </row>
    <row r="2000" ht="15.75" customHeight="1">
      <c r="A2000" s="2" t="s">
        <v>3482</v>
      </c>
      <c r="B2000" s="2" t="s">
        <v>3483</v>
      </c>
      <c r="C2000" s="2" t="s">
        <v>2703</v>
      </c>
      <c r="D2000" s="2" t="s">
        <v>785</v>
      </c>
      <c r="E2000" s="2" t="s">
        <v>787</v>
      </c>
      <c r="F2000" s="2">
        <v>4638.0</v>
      </c>
      <c r="G2000" s="2">
        <v>13.25</v>
      </c>
      <c r="H2000" s="2">
        <v>350.0</v>
      </c>
      <c r="I2000" s="2" t="s">
        <v>138</v>
      </c>
    </row>
    <row r="2001" ht="15.75" customHeight="1">
      <c r="A2001" s="2" t="s">
        <v>3484</v>
      </c>
      <c r="B2001" s="2" t="s">
        <v>3485</v>
      </c>
      <c r="C2001" s="2" t="s">
        <v>2703</v>
      </c>
      <c r="D2001" s="2" t="s">
        <v>907</v>
      </c>
      <c r="E2001" s="2" t="s">
        <v>909</v>
      </c>
      <c r="F2001" s="2">
        <v>735.0</v>
      </c>
      <c r="G2001" s="2">
        <v>8.3</v>
      </c>
      <c r="H2001" s="2">
        <v>88.6</v>
      </c>
      <c r="I2001" s="2" t="s">
        <v>27</v>
      </c>
    </row>
    <row r="2002" ht="15.75" customHeight="1">
      <c r="A2002" s="2" t="s">
        <v>5734</v>
      </c>
      <c r="B2002" s="2" t="s">
        <v>5735</v>
      </c>
      <c r="C2002" s="2" t="s">
        <v>2703</v>
      </c>
      <c r="D2002" s="2" t="s">
        <v>817</v>
      </c>
      <c r="E2002" s="2" t="s">
        <v>818</v>
      </c>
      <c r="F2002" s="2">
        <v>378.0</v>
      </c>
      <c r="G2002" s="2">
        <v>4.43</v>
      </c>
      <c r="H2002" s="2">
        <v>85.3</v>
      </c>
      <c r="I2002" s="2" t="s">
        <v>47</v>
      </c>
    </row>
    <row r="2003" ht="15.75" customHeight="1">
      <c r="A2003" s="2" t="s">
        <v>3486</v>
      </c>
      <c r="B2003" s="2" t="s">
        <v>3488</v>
      </c>
      <c r="C2003" s="2" t="s">
        <v>2703</v>
      </c>
      <c r="D2003" s="2" t="s">
        <v>921</v>
      </c>
      <c r="E2003" s="2" t="s">
        <v>924</v>
      </c>
      <c r="F2003" s="2">
        <v>1449.0</v>
      </c>
      <c r="G2003" s="2">
        <v>3.65</v>
      </c>
      <c r="H2003" s="2">
        <v>397.0</v>
      </c>
      <c r="I2003" s="2" t="s">
        <v>27</v>
      </c>
    </row>
    <row r="2004" ht="15.75" customHeight="1">
      <c r="A2004" s="2" t="s">
        <v>5736</v>
      </c>
      <c r="B2004" s="2" t="s">
        <v>5737</v>
      </c>
      <c r="C2004" s="2" t="s">
        <v>2703</v>
      </c>
      <c r="D2004" s="2" t="s">
        <v>993</v>
      </c>
      <c r="E2004" s="2" t="s">
        <v>994</v>
      </c>
      <c r="F2004" s="2">
        <v>263.0</v>
      </c>
      <c r="G2004" s="2">
        <v>9.38</v>
      </c>
      <c r="H2004" s="2">
        <v>28.0</v>
      </c>
      <c r="I2004" s="2" t="s">
        <v>47</v>
      </c>
    </row>
    <row r="2005" ht="15.75" customHeight="1">
      <c r="A2005" s="2" t="s">
        <v>3491</v>
      </c>
      <c r="B2005" s="2" t="s">
        <v>3493</v>
      </c>
      <c r="C2005" s="2" t="s">
        <v>2703</v>
      </c>
      <c r="D2005" s="2" t="s">
        <v>817</v>
      </c>
      <c r="E2005" s="2" t="s">
        <v>818</v>
      </c>
      <c r="F2005" s="2">
        <v>1108.0</v>
      </c>
      <c r="G2005" s="2">
        <v>5.5</v>
      </c>
      <c r="H2005" s="2">
        <v>201.5</v>
      </c>
      <c r="I2005" s="2" t="s">
        <v>27</v>
      </c>
    </row>
    <row r="2006" ht="15.75" customHeight="1">
      <c r="A2006" s="2" t="s">
        <v>5738</v>
      </c>
      <c r="B2006" s="2" t="s">
        <v>5739</v>
      </c>
      <c r="C2006" s="2" t="s">
        <v>2703</v>
      </c>
      <c r="D2006" s="2" t="s">
        <v>883</v>
      </c>
      <c r="E2006" s="2" t="s">
        <v>885</v>
      </c>
      <c r="F2006" s="2">
        <v>397.0</v>
      </c>
      <c r="G2006" s="2">
        <v>7.79</v>
      </c>
      <c r="H2006" s="2">
        <v>51.0</v>
      </c>
      <c r="I2006" s="2" t="s">
        <v>47</v>
      </c>
    </row>
    <row r="2007" ht="15.75" customHeight="1">
      <c r="A2007" s="2" t="s">
        <v>3495</v>
      </c>
      <c r="B2007" s="2" t="s">
        <v>3497</v>
      </c>
      <c r="C2007" s="2" t="s">
        <v>2703</v>
      </c>
      <c r="D2007" s="2" t="s">
        <v>785</v>
      </c>
      <c r="E2007" s="2" t="s">
        <v>787</v>
      </c>
      <c r="F2007" s="2">
        <v>3335.0</v>
      </c>
      <c r="G2007" s="2">
        <v>12.31</v>
      </c>
      <c r="H2007" s="2">
        <v>270.9</v>
      </c>
      <c r="I2007" s="2" t="s">
        <v>138</v>
      </c>
    </row>
    <row r="2008" ht="15.75" customHeight="1">
      <c r="A2008" s="2" t="s">
        <v>3500</v>
      </c>
      <c r="B2008" s="2" t="s">
        <v>3501</v>
      </c>
      <c r="C2008" s="2" t="s">
        <v>2703</v>
      </c>
      <c r="D2008" s="2" t="s">
        <v>883</v>
      </c>
      <c r="E2008" s="2" t="s">
        <v>885</v>
      </c>
      <c r="F2008" s="2">
        <v>1172.0</v>
      </c>
      <c r="G2008" s="2">
        <v>10.37</v>
      </c>
      <c r="H2008" s="2">
        <v>113.0</v>
      </c>
      <c r="I2008" s="2" t="s">
        <v>27</v>
      </c>
    </row>
    <row r="2009" ht="15.75" customHeight="1">
      <c r="A2009" s="2" t="s">
        <v>3502</v>
      </c>
      <c r="B2009" s="2" t="s">
        <v>3503</v>
      </c>
      <c r="C2009" s="2" t="s">
        <v>2703</v>
      </c>
      <c r="D2009" s="2" t="s">
        <v>817</v>
      </c>
      <c r="E2009" s="2" t="s">
        <v>818</v>
      </c>
      <c r="F2009" s="2">
        <v>1633.0</v>
      </c>
      <c r="G2009" s="2">
        <v>9.66</v>
      </c>
      <c r="H2009" s="2">
        <v>169.0</v>
      </c>
      <c r="I2009" s="2" t="s">
        <v>27</v>
      </c>
    </row>
    <row r="2010" ht="15.75" customHeight="1">
      <c r="A2010" s="2" t="s">
        <v>5740</v>
      </c>
      <c r="B2010" s="2" t="s">
        <v>5741</v>
      </c>
      <c r="C2010" s="2" t="s">
        <v>2703</v>
      </c>
      <c r="D2010" s="2" t="s">
        <v>957</v>
      </c>
      <c r="E2010" s="2" t="s">
        <v>958</v>
      </c>
      <c r="F2010" s="2">
        <v>672.0</v>
      </c>
      <c r="G2010" s="2">
        <v>10.89</v>
      </c>
      <c r="H2010" s="2">
        <v>61.7</v>
      </c>
      <c r="I2010" s="2" t="s">
        <v>27</v>
      </c>
    </row>
    <row r="2011" ht="15.75" customHeight="1">
      <c r="A2011" s="2" t="s">
        <v>5742</v>
      </c>
      <c r="B2011" s="2" t="s">
        <v>5743</v>
      </c>
      <c r="C2011" s="2" t="s">
        <v>2703</v>
      </c>
      <c r="D2011" s="2" t="s">
        <v>917</v>
      </c>
      <c r="E2011" s="2" t="s">
        <v>918</v>
      </c>
      <c r="F2011" s="2">
        <v>153.0</v>
      </c>
      <c r="G2011" s="2">
        <v>3.43</v>
      </c>
      <c r="H2011" s="2">
        <v>44.6</v>
      </c>
      <c r="I2011" s="2" t="s">
        <v>47</v>
      </c>
    </row>
    <row r="2012" ht="15.75" customHeight="1">
      <c r="A2012" s="2" t="s">
        <v>5744</v>
      </c>
      <c r="B2012" s="2" t="s">
        <v>5745</v>
      </c>
      <c r="C2012" s="2" t="s">
        <v>2703</v>
      </c>
      <c r="D2012" s="2" t="s">
        <v>883</v>
      </c>
      <c r="E2012" s="2" t="s">
        <v>885</v>
      </c>
      <c r="F2012" s="2">
        <v>285.0</v>
      </c>
      <c r="G2012" s="2">
        <v>10.85</v>
      </c>
      <c r="H2012" s="2">
        <v>26.3</v>
      </c>
      <c r="I2012" s="2" t="s">
        <v>47</v>
      </c>
    </row>
    <row r="2013" ht="15.75" customHeight="1">
      <c r="A2013" s="2" t="s">
        <v>3504</v>
      </c>
      <c r="B2013" s="2" t="s">
        <v>3505</v>
      </c>
      <c r="C2013" s="2" t="s">
        <v>2703</v>
      </c>
      <c r="D2013" s="2" t="s">
        <v>993</v>
      </c>
      <c r="E2013" s="2" t="s">
        <v>994</v>
      </c>
      <c r="F2013" s="2">
        <v>431.0</v>
      </c>
      <c r="G2013" s="2">
        <v>10.17</v>
      </c>
      <c r="H2013" s="2">
        <v>42.4</v>
      </c>
      <c r="I2013" s="2" t="s">
        <v>47</v>
      </c>
    </row>
    <row r="2014" ht="15.75" customHeight="1">
      <c r="A2014" s="2" t="s">
        <v>5746</v>
      </c>
      <c r="B2014" s="2" t="s">
        <v>5747</v>
      </c>
      <c r="C2014" s="2" t="s">
        <v>2703</v>
      </c>
      <c r="D2014" s="2" t="s">
        <v>883</v>
      </c>
      <c r="E2014" s="2" t="s">
        <v>885</v>
      </c>
      <c r="F2014" s="2">
        <v>225.0</v>
      </c>
      <c r="G2014" s="2">
        <v>4.32</v>
      </c>
      <c r="H2014" s="2">
        <v>52.1</v>
      </c>
      <c r="I2014" s="2" t="s">
        <v>47</v>
      </c>
    </row>
    <row r="2015" ht="15.75" customHeight="1">
      <c r="A2015" s="2" t="s">
        <v>3508</v>
      </c>
      <c r="B2015" s="2" t="s">
        <v>3509</v>
      </c>
      <c r="C2015" s="2" t="s">
        <v>2703</v>
      </c>
      <c r="D2015" s="2" t="s">
        <v>804</v>
      </c>
      <c r="E2015" s="2" t="s">
        <v>806</v>
      </c>
      <c r="F2015" s="2">
        <v>1751.0</v>
      </c>
      <c r="G2015" s="2">
        <v>16.56</v>
      </c>
      <c r="H2015" s="2">
        <v>105.7</v>
      </c>
      <c r="I2015" s="2" t="s">
        <v>27</v>
      </c>
    </row>
    <row r="2016" ht="15.75" customHeight="1">
      <c r="A2016" s="2" t="s">
        <v>3510</v>
      </c>
      <c r="B2016" s="2" t="s">
        <v>3511</v>
      </c>
      <c r="C2016" s="2" t="s">
        <v>2703</v>
      </c>
      <c r="D2016" s="2" t="s">
        <v>1076</v>
      </c>
      <c r="E2016" s="2" t="s">
        <v>1078</v>
      </c>
      <c r="F2016" s="2">
        <v>1079.0</v>
      </c>
      <c r="G2016" s="2">
        <v>8.9</v>
      </c>
      <c r="H2016" s="2">
        <v>121.2</v>
      </c>
      <c r="I2016" s="2" t="s">
        <v>27</v>
      </c>
    </row>
    <row r="2017" ht="15.75" customHeight="1">
      <c r="A2017" s="2" t="s">
        <v>5748</v>
      </c>
      <c r="B2017" s="2" t="s">
        <v>5749</v>
      </c>
      <c r="C2017" s="2" t="s">
        <v>2703</v>
      </c>
      <c r="D2017" s="2" t="s">
        <v>883</v>
      </c>
      <c r="E2017" s="2" t="s">
        <v>885</v>
      </c>
      <c r="F2017" s="2">
        <v>281.0</v>
      </c>
      <c r="G2017" s="2">
        <v>10.6</v>
      </c>
      <c r="H2017" s="2">
        <v>26.5</v>
      </c>
      <c r="I2017" s="2" t="s">
        <v>47</v>
      </c>
    </row>
    <row r="2018" ht="15.75" customHeight="1">
      <c r="A2018" s="2" t="s">
        <v>5750</v>
      </c>
      <c r="B2018" s="2" t="s">
        <v>5751</v>
      </c>
      <c r="C2018" s="2" t="s">
        <v>2703</v>
      </c>
      <c r="D2018" s="2" t="s">
        <v>804</v>
      </c>
      <c r="E2018" s="2" t="s">
        <v>806</v>
      </c>
      <c r="F2018" s="2">
        <v>654.0</v>
      </c>
      <c r="G2018" s="2">
        <v>4.9</v>
      </c>
      <c r="H2018" s="2">
        <v>133.5</v>
      </c>
      <c r="I2018" s="2" t="s">
        <v>27</v>
      </c>
    </row>
    <row r="2019" ht="15.75" customHeight="1">
      <c r="A2019" s="2" t="s">
        <v>3512</v>
      </c>
      <c r="B2019" s="2" t="s">
        <v>3513</v>
      </c>
      <c r="C2019" s="2" t="s">
        <v>2703</v>
      </c>
      <c r="D2019" s="2" t="s">
        <v>785</v>
      </c>
      <c r="E2019" s="2" t="s">
        <v>787</v>
      </c>
      <c r="F2019" s="2">
        <v>984.0</v>
      </c>
      <c r="G2019" s="2">
        <v>7.94</v>
      </c>
      <c r="H2019" s="2">
        <v>123.9</v>
      </c>
      <c r="I2019" s="2" t="s">
        <v>27</v>
      </c>
    </row>
    <row r="2020" ht="15.75" customHeight="1">
      <c r="A2020" s="2" t="s">
        <v>5752</v>
      </c>
      <c r="B2020" s="2" t="s">
        <v>5753</v>
      </c>
      <c r="C2020" s="2" t="s">
        <v>2703</v>
      </c>
      <c r="D2020" s="2" t="s">
        <v>883</v>
      </c>
      <c r="E2020" s="2" t="s">
        <v>885</v>
      </c>
      <c r="F2020" s="2">
        <v>53.0</v>
      </c>
      <c r="G2020" s="2">
        <v>4.51</v>
      </c>
      <c r="H2020" s="2">
        <v>11.8</v>
      </c>
      <c r="I2020" s="2" t="s">
        <v>47</v>
      </c>
    </row>
    <row r="2021" ht="15.75" customHeight="1">
      <c r="A2021" s="2" t="s">
        <v>5730</v>
      </c>
      <c r="B2021" s="2" t="s">
        <v>5731</v>
      </c>
      <c r="C2021" s="2" t="s">
        <v>2703</v>
      </c>
      <c r="D2021" s="2" t="s">
        <v>917</v>
      </c>
      <c r="E2021" s="2" t="s">
        <v>918</v>
      </c>
      <c r="F2021" s="2">
        <v>301.0</v>
      </c>
      <c r="G2021" s="2">
        <v>7.98</v>
      </c>
      <c r="H2021" s="2">
        <v>37.7</v>
      </c>
      <c r="I2021" s="2" t="s">
        <v>47</v>
      </c>
    </row>
    <row r="2022" ht="15.75" customHeight="1">
      <c r="A2022" s="2" t="s">
        <v>5732</v>
      </c>
      <c r="B2022" s="2" t="s">
        <v>5733</v>
      </c>
      <c r="C2022" s="2" t="s">
        <v>2703</v>
      </c>
      <c r="D2022" s="2" t="s">
        <v>873</v>
      </c>
      <c r="E2022" s="2" t="s">
        <v>876</v>
      </c>
      <c r="F2022" s="2">
        <v>331.0</v>
      </c>
      <c r="G2022" s="2">
        <v>8.5</v>
      </c>
      <c r="H2022" s="2">
        <v>38.9</v>
      </c>
      <c r="I2022" s="2" t="s">
        <v>47</v>
      </c>
    </row>
    <row r="2023" ht="15.75" customHeight="1">
      <c r="A2023" s="2" t="s">
        <v>3514</v>
      </c>
      <c r="B2023" s="2" t="s">
        <v>2534</v>
      </c>
      <c r="C2023" s="2" t="s">
        <v>2703</v>
      </c>
      <c r="D2023" s="2" t="s">
        <v>1076</v>
      </c>
      <c r="E2023" s="2" t="s">
        <v>1078</v>
      </c>
      <c r="F2023" s="2">
        <v>3505.0</v>
      </c>
      <c r="G2023" s="2">
        <v>7.99</v>
      </c>
      <c r="H2023" s="2">
        <v>438.7</v>
      </c>
      <c r="I2023" s="2" t="s">
        <v>138</v>
      </c>
    </row>
    <row r="2024" ht="15.75" customHeight="1">
      <c r="A2024" s="2" t="s">
        <v>3517</v>
      </c>
      <c r="B2024" s="2" t="s">
        <v>3518</v>
      </c>
      <c r="C2024" s="2" t="s">
        <v>2703</v>
      </c>
      <c r="D2024" s="2" t="s">
        <v>804</v>
      </c>
      <c r="E2024" s="2" t="s">
        <v>806</v>
      </c>
      <c r="F2024" s="2">
        <v>1060.0</v>
      </c>
      <c r="G2024" s="2">
        <v>2.89</v>
      </c>
      <c r="H2024" s="2">
        <v>366.8</v>
      </c>
      <c r="I2024" s="2" t="s">
        <v>27</v>
      </c>
    </row>
    <row r="2025" ht="15.75" customHeight="1">
      <c r="A2025" s="2" t="s">
        <v>3519</v>
      </c>
      <c r="B2025" s="2" t="s">
        <v>3520</v>
      </c>
      <c r="C2025" s="2" t="s">
        <v>2703</v>
      </c>
      <c r="D2025" s="2" t="s">
        <v>985</v>
      </c>
      <c r="E2025" s="2" t="s">
        <v>988</v>
      </c>
      <c r="F2025" s="2">
        <v>897.0</v>
      </c>
      <c r="G2025" s="2">
        <v>7.77</v>
      </c>
      <c r="H2025" s="2">
        <v>115.4</v>
      </c>
      <c r="I2025" s="2" t="s">
        <v>27</v>
      </c>
    </row>
    <row r="2026" ht="15.75" customHeight="1">
      <c r="A2026" s="2" t="s">
        <v>5754</v>
      </c>
      <c r="B2026" s="2" t="s">
        <v>5755</v>
      </c>
      <c r="C2026" s="2" t="s">
        <v>2703</v>
      </c>
      <c r="D2026" s="2" t="s">
        <v>883</v>
      </c>
      <c r="E2026" s="2" t="s">
        <v>885</v>
      </c>
      <c r="F2026" s="2">
        <v>262.0</v>
      </c>
      <c r="G2026" s="2">
        <v>13.01</v>
      </c>
      <c r="H2026" s="2">
        <v>20.1</v>
      </c>
      <c r="I2026" s="2" t="s">
        <v>47</v>
      </c>
    </row>
    <row r="2027" ht="15.75" customHeight="1">
      <c r="A2027" s="2" t="s">
        <v>5756</v>
      </c>
      <c r="B2027" s="2" t="s">
        <v>5757</v>
      </c>
      <c r="C2027" s="2" t="s">
        <v>2703</v>
      </c>
      <c r="D2027" s="2" t="s">
        <v>883</v>
      </c>
      <c r="E2027" s="2" t="s">
        <v>885</v>
      </c>
      <c r="F2027" s="2">
        <v>351.0</v>
      </c>
      <c r="G2027" s="2">
        <v>5.57</v>
      </c>
      <c r="H2027" s="2">
        <v>63.0</v>
      </c>
      <c r="I2027" s="2" t="s">
        <v>47</v>
      </c>
    </row>
    <row r="2028" ht="15.75" customHeight="1">
      <c r="A2028" s="2" t="s">
        <v>3522</v>
      </c>
      <c r="B2028" s="2" t="s">
        <v>3524</v>
      </c>
      <c r="C2028" s="2" t="s">
        <v>2703</v>
      </c>
      <c r="D2028" s="2" t="s">
        <v>817</v>
      </c>
      <c r="E2028" s="2" t="s">
        <v>818</v>
      </c>
      <c r="F2028" s="2">
        <v>933.0</v>
      </c>
      <c r="G2028" s="2">
        <v>9.84</v>
      </c>
      <c r="H2028" s="2">
        <v>94.8</v>
      </c>
      <c r="I2028" s="2" t="s">
        <v>27</v>
      </c>
    </row>
    <row r="2029" ht="15.75" customHeight="1">
      <c r="A2029" s="2" t="s">
        <v>3527</v>
      </c>
      <c r="B2029" s="2" t="s">
        <v>3528</v>
      </c>
      <c r="C2029" s="2" t="s">
        <v>2703</v>
      </c>
      <c r="D2029" s="2" t="s">
        <v>985</v>
      </c>
      <c r="E2029" s="2" t="s">
        <v>988</v>
      </c>
      <c r="F2029" s="2">
        <v>760.0</v>
      </c>
      <c r="G2029" s="2">
        <v>4.45</v>
      </c>
      <c r="H2029" s="2">
        <v>170.8</v>
      </c>
      <c r="I2029" s="2" t="s">
        <v>27</v>
      </c>
    </row>
    <row r="2030" ht="15.75" customHeight="1">
      <c r="A2030" s="2" t="s">
        <v>3529</v>
      </c>
      <c r="B2030" s="2" t="s">
        <v>3530</v>
      </c>
      <c r="C2030" s="2" t="s">
        <v>2703</v>
      </c>
      <c r="D2030" s="2" t="s">
        <v>883</v>
      </c>
      <c r="E2030" s="2" t="s">
        <v>885</v>
      </c>
      <c r="F2030" s="2">
        <v>577.0</v>
      </c>
      <c r="G2030" s="2">
        <v>20.04</v>
      </c>
      <c r="H2030" s="2">
        <v>28.8</v>
      </c>
      <c r="I2030" s="2" t="s">
        <v>27</v>
      </c>
    </row>
    <row r="2031" ht="15.75" customHeight="1">
      <c r="A2031" s="2" t="s">
        <v>3533</v>
      </c>
      <c r="B2031" s="2" t="s">
        <v>3534</v>
      </c>
      <c r="C2031" s="2" t="s">
        <v>2703</v>
      </c>
      <c r="D2031" s="2" t="s">
        <v>1060</v>
      </c>
      <c r="E2031" s="2" t="s">
        <v>1062</v>
      </c>
      <c r="F2031" s="2">
        <v>15157.0</v>
      </c>
      <c r="G2031" s="2">
        <v>24.1</v>
      </c>
      <c r="H2031" s="2">
        <v>628.9</v>
      </c>
      <c r="I2031" s="2" t="s">
        <v>805</v>
      </c>
    </row>
    <row r="2032" ht="15.75" customHeight="1">
      <c r="A2032" s="2" t="s">
        <v>5760</v>
      </c>
      <c r="B2032" s="2" t="s">
        <v>5761</v>
      </c>
      <c r="C2032" s="2" t="s">
        <v>2703</v>
      </c>
      <c r="D2032" s="2" t="s">
        <v>1019</v>
      </c>
      <c r="E2032" s="2" t="s">
        <v>1021</v>
      </c>
      <c r="F2032" s="2">
        <v>331.0</v>
      </c>
      <c r="G2032" s="2">
        <v>6.34</v>
      </c>
      <c r="H2032" s="2">
        <v>52.2</v>
      </c>
      <c r="I2032" s="2" t="s">
        <v>47</v>
      </c>
    </row>
    <row r="2033" ht="15.75" customHeight="1">
      <c r="A2033" s="2" t="s">
        <v>5762</v>
      </c>
      <c r="B2033" s="2" t="s">
        <v>5763</v>
      </c>
      <c r="C2033" s="2" t="s">
        <v>2703</v>
      </c>
      <c r="D2033" s="2" t="s">
        <v>1019</v>
      </c>
      <c r="E2033" s="2" t="s">
        <v>1021</v>
      </c>
      <c r="F2033" s="2">
        <v>184.0</v>
      </c>
      <c r="G2033" s="2">
        <v>8.74</v>
      </c>
      <c r="H2033" s="2">
        <v>21.1</v>
      </c>
      <c r="I2033" s="2" t="s">
        <v>47</v>
      </c>
    </row>
    <row r="2034" ht="15.75" customHeight="1">
      <c r="A2034" s="2" t="s">
        <v>5766</v>
      </c>
      <c r="B2034" s="2" t="s">
        <v>5767</v>
      </c>
      <c r="C2034" s="2" t="s">
        <v>2703</v>
      </c>
      <c r="D2034" s="2" t="s">
        <v>985</v>
      </c>
      <c r="E2034" s="2" t="s">
        <v>988</v>
      </c>
      <c r="F2034" s="2">
        <v>271.0</v>
      </c>
      <c r="G2034" s="2">
        <v>5.05</v>
      </c>
      <c r="H2034" s="2">
        <v>53.7</v>
      </c>
      <c r="I2034" s="2" t="s">
        <v>47</v>
      </c>
    </row>
    <row r="2035" ht="15.75" customHeight="1">
      <c r="A2035" s="2" t="s">
        <v>3535</v>
      </c>
      <c r="B2035" s="2" t="s">
        <v>3536</v>
      </c>
      <c r="C2035" s="2" t="s">
        <v>2703</v>
      </c>
      <c r="D2035" s="2" t="s">
        <v>1076</v>
      </c>
      <c r="E2035" s="2" t="s">
        <v>1078</v>
      </c>
      <c r="F2035" s="2">
        <v>450.0</v>
      </c>
      <c r="G2035" s="2">
        <v>11.22</v>
      </c>
      <c r="H2035" s="2">
        <v>40.1</v>
      </c>
      <c r="I2035" s="2" t="s">
        <v>47</v>
      </c>
    </row>
    <row r="2036" ht="15.75" customHeight="1">
      <c r="A2036" s="2" t="s">
        <v>3537</v>
      </c>
      <c r="B2036" s="2" t="s">
        <v>3538</v>
      </c>
      <c r="C2036" s="2" t="s">
        <v>2703</v>
      </c>
      <c r="D2036" s="2" t="s">
        <v>973</v>
      </c>
      <c r="E2036" s="2" t="s">
        <v>974</v>
      </c>
      <c r="F2036" s="2">
        <v>1217.0</v>
      </c>
      <c r="G2036" s="2">
        <v>11.44</v>
      </c>
      <c r="H2036" s="2">
        <v>106.4</v>
      </c>
      <c r="I2036" s="2" t="s">
        <v>27</v>
      </c>
    </row>
    <row r="2037" ht="15.75" customHeight="1">
      <c r="A2037" s="2" t="s">
        <v>5770</v>
      </c>
      <c r="B2037" s="2" t="s">
        <v>5771</v>
      </c>
      <c r="C2037" s="2" t="s">
        <v>2703</v>
      </c>
      <c r="D2037" s="2" t="s">
        <v>977</v>
      </c>
      <c r="E2037" s="2" t="s">
        <v>978</v>
      </c>
      <c r="F2037" s="2">
        <v>130.0</v>
      </c>
      <c r="G2037" s="2">
        <v>3.07</v>
      </c>
      <c r="H2037" s="2">
        <v>42.3</v>
      </c>
      <c r="I2037" s="2" t="s">
        <v>47</v>
      </c>
    </row>
    <row r="2038" ht="15.75" customHeight="1">
      <c r="A2038" s="2" t="s">
        <v>3540</v>
      </c>
      <c r="B2038" s="2" t="s">
        <v>3542</v>
      </c>
      <c r="C2038" s="2" t="s">
        <v>2703</v>
      </c>
      <c r="D2038" s="2" t="s">
        <v>883</v>
      </c>
      <c r="E2038" s="2" t="s">
        <v>885</v>
      </c>
      <c r="F2038" s="2">
        <v>481.0</v>
      </c>
      <c r="G2038" s="2">
        <v>12.95</v>
      </c>
      <c r="H2038" s="2">
        <v>37.1</v>
      </c>
      <c r="I2038" s="2" t="s">
        <v>47</v>
      </c>
    </row>
    <row r="2039" ht="15.75" customHeight="1">
      <c r="A2039" s="2" t="s">
        <v>3543</v>
      </c>
      <c r="B2039" s="2" t="s">
        <v>3544</v>
      </c>
      <c r="C2039" s="2" t="s">
        <v>2703</v>
      </c>
      <c r="D2039" s="2" t="s">
        <v>883</v>
      </c>
      <c r="E2039" s="2" t="s">
        <v>885</v>
      </c>
      <c r="F2039" s="2">
        <v>926.0</v>
      </c>
      <c r="G2039" s="2">
        <v>13.71</v>
      </c>
      <c r="H2039" s="2">
        <v>67.5</v>
      </c>
      <c r="I2039" s="2" t="s">
        <v>27</v>
      </c>
    </row>
    <row r="2040" ht="15.75" customHeight="1">
      <c r="A2040" s="2" t="s">
        <v>3545</v>
      </c>
      <c r="B2040" s="2" t="s">
        <v>3546</v>
      </c>
      <c r="C2040" s="2" t="s">
        <v>2703</v>
      </c>
      <c r="D2040" s="2" t="s">
        <v>883</v>
      </c>
      <c r="E2040" s="2" t="s">
        <v>885</v>
      </c>
      <c r="F2040" s="2">
        <v>165.0</v>
      </c>
      <c r="G2040" s="2">
        <v>4.86</v>
      </c>
      <c r="H2040" s="2">
        <v>34.0</v>
      </c>
      <c r="I2040" s="2" t="s">
        <v>47</v>
      </c>
    </row>
    <row r="2041" ht="15.75" customHeight="1">
      <c r="A2041" s="2" t="s">
        <v>5772</v>
      </c>
      <c r="B2041" s="2" t="s">
        <v>5773</v>
      </c>
      <c r="C2041" s="2" t="s">
        <v>2703</v>
      </c>
      <c r="D2041" s="2" t="s">
        <v>985</v>
      </c>
      <c r="E2041" s="2" t="s">
        <v>988</v>
      </c>
      <c r="F2041" s="2">
        <v>518.0</v>
      </c>
      <c r="G2041" s="2">
        <v>5.18</v>
      </c>
      <c r="H2041" s="2">
        <v>100.0</v>
      </c>
      <c r="I2041" s="2" t="s">
        <v>27</v>
      </c>
    </row>
    <row r="2042" ht="15.75" customHeight="1">
      <c r="A2042" s="2" t="s">
        <v>3547</v>
      </c>
      <c r="B2042" s="2" t="s">
        <v>3548</v>
      </c>
      <c r="C2042" s="2" t="s">
        <v>2703</v>
      </c>
      <c r="D2042" s="2" t="s">
        <v>957</v>
      </c>
      <c r="E2042" s="2" t="s">
        <v>958</v>
      </c>
      <c r="F2042" s="2">
        <v>2784.0</v>
      </c>
      <c r="G2042" s="2">
        <v>20.66</v>
      </c>
      <c r="H2042" s="2">
        <v>134.8</v>
      </c>
      <c r="I2042" s="2" t="s">
        <v>138</v>
      </c>
    </row>
    <row r="2043" ht="15.75" customHeight="1">
      <c r="A2043" s="2" t="s">
        <v>5768</v>
      </c>
      <c r="B2043" s="2" t="s">
        <v>5769</v>
      </c>
      <c r="C2043" s="2" t="s">
        <v>2703</v>
      </c>
      <c r="D2043" s="2" t="s">
        <v>973</v>
      </c>
      <c r="E2043" s="2" t="s">
        <v>974</v>
      </c>
      <c r="F2043" s="2">
        <v>269.0</v>
      </c>
      <c r="G2043" s="2">
        <v>6.01</v>
      </c>
      <c r="H2043" s="2">
        <v>44.8</v>
      </c>
      <c r="I2043" s="2" t="s">
        <v>47</v>
      </c>
    </row>
    <row r="2044" ht="15.75" customHeight="1">
      <c r="A2044" s="2" t="s">
        <v>5764</v>
      </c>
      <c r="B2044" s="2" t="s">
        <v>5765</v>
      </c>
      <c r="C2044" s="2" t="s">
        <v>2703</v>
      </c>
      <c r="D2044" s="2" t="s">
        <v>873</v>
      </c>
      <c r="E2044" s="2" t="s">
        <v>876</v>
      </c>
      <c r="F2044" s="2">
        <v>132.0</v>
      </c>
      <c r="G2044" s="2">
        <v>3.3</v>
      </c>
      <c r="H2044" s="2">
        <v>40.0</v>
      </c>
      <c r="I2044" s="2" t="s">
        <v>47</v>
      </c>
    </row>
    <row r="2045" ht="15.75" customHeight="1">
      <c r="A2045" s="2" t="s">
        <v>3549</v>
      </c>
      <c r="B2045" s="2" t="s">
        <v>3550</v>
      </c>
      <c r="C2045" s="2" t="s">
        <v>2703</v>
      </c>
      <c r="D2045" s="2" t="s">
        <v>957</v>
      </c>
      <c r="E2045" s="2" t="s">
        <v>958</v>
      </c>
      <c r="F2045" s="2">
        <v>643.0</v>
      </c>
      <c r="G2045" s="2">
        <v>9.32</v>
      </c>
      <c r="H2045" s="2">
        <v>69.0</v>
      </c>
      <c r="I2045" s="2" t="s">
        <v>27</v>
      </c>
    </row>
    <row r="2046" ht="15.75" customHeight="1">
      <c r="A2046" s="2" t="s">
        <v>5774</v>
      </c>
      <c r="B2046" s="2" t="s">
        <v>5775</v>
      </c>
      <c r="C2046" s="2" t="s">
        <v>2703</v>
      </c>
      <c r="D2046" s="2" t="s">
        <v>873</v>
      </c>
      <c r="E2046" s="2" t="s">
        <v>876</v>
      </c>
      <c r="F2046" s="2">
        <v>250.0</v>
      </c>
      <c r="G2046" s="2">
        <v>6.97</v>
      </c>
      <c r="H2046" s="2">
        <v>35.9</v>
      </c>
      <c r="I2046" s="2" t="s">
        <v>47</v>
      </c>
    </row>
    <row r="2047" ht="15.75" customHeight="1">
      <c r="A2047" s="2" t="s">
        <v>3553</v>
      </c>
      <c r="B2047" s="2" t="s">
        <v>3554</v>
      </c>
      <c r="C2047" s="2" t="s">
        <v>2703</v>
      </c>
      <c r="D2047" s="2" t="s">
        <v>817</v>
      </c>
      <c r="E2047" s="2" t="s">
        <v>818</v>
      </c>
      <c r="F2047" s="2">
        <v>1225.0</v>
      </c>
      <c r="G2047" s="2">
        <v>9.03</v>
      </c>
      <c r="H2047" s="2">
        <v>135.7</v>
      </c>
      <c r="I2047" s="2" t="s">
        <v>27</v>
      </c>
    </row>
    <row r="2048" ht="15.75" customHeight="1">
      <c r="A2048" s="2" t="s">
        <v>5778</v>
      </c>
      <c r="B2048" s="2" t="s">
        <v>5779</v>
      </c>
      <c r="C2048" s="2" t="s">
        <v>2703</v>
      </c>
      <c r="D2048" s="2" t="s">
        <v>1019</v>
      </c>
      <c r="E2048" s="2" t="s">
        <v>1021</v>
      </c>
      <c r="F2048" s="2">
        <v>217.0</v>
      </c>
      <c r="G2048" s="2">
        <v>6.42</v>
      </c>
      <c r="H2048" s="2">
        <v>33.8</v>
      </c>
      <c r="I2048" s="2" t="s">
        <v>47</v>
      </c>
    </row>
    <row r="2049" ht="15.75" customHeight="1">
      <c r="A2049" s="2" t="s">
        <v>3555</v>
      </c>
      <c r="B2049" s="2" t="s">
        <v>3556</v>
      </c>
      <c r="C2049" s="2" t="s">
        <v>2703</v>
      </c>
      <c r="D2049" s="2" t="s">
        <v>1060</v>
      </c>
      <c r="E2049" s="2" t="s">
        <v>1062</v>
      </c>
      <c r="F2049" s="2">
        <v>1090.0</v>
      </c>
      <c r="G2049" s="2">
        <v>6.22</v>
      </c>
      <c r="H2049" s="2">
        <v>175.2</v>
      </c>
      <c r="I2049" s="2" t="s">
        <v>27</v>
      </c>
    </row>
    <row r="2050" ht="15.75" customHeight="1">
      <c r="A2050" s="2" t="s">
        <v>3557</v>
      </c>
      <c r="B2050" s="2" t="s">
        <v>3558</v>
      </c>
      <c r="C2050" s="2" t="s">
        <v>2703</v>
      </c>
      <c r="D2050" s="2" t="s">
        <v>977</v>
      </c>
      <c r="E2050" s="2" t="s">
        <v>978</v>
      </c>
      <c r="F2050" s="2">
        <v>750.0</v>
      </c>
      <c r="G2050" s="2">
        <v>13.05</v>
      </c>
      <c r="H2050" s="2">
        <v>57.5</v>
      </c>
      <c r="I2050" s="2" t="s">
        <v>27</v>
      </c>
    </row>
    <row r="2051" ht="15.75" customHeight="1">
      <c r="A2051" s="2" t="s">
        <v>3559</v>
      </c>
      <c r="B2051" s="2" t="s">
        <v>3560</v>
      </c>
      <c r="C2051" s="2" t="s">
        <v>2703</v>
      </c>
      <c r="D2051" s="2" t="s">
        <v>883</v>
      </c>
      <c r="E2051" s="2" t="s">
        <v>885</v>
      </c>
      <c r="F2051" s="2">
        <v>379.0</v>
      </c>
      <c r="G2051" s="2">
        <v>2.5</v>
      </c>
      <c r="H2051" s="2">
        <v>151.6</v>
      </c>
      <c r="I2051" s="2" t="s">
        <v>47</v>
      </c>
    </row>
    <row r="2052" ht="15.75" customHeight="1">
      <c r="A2052" s="2" t="s">
        <v>5780</v>
      </c>
      <c r="B2052" s="2" t="s">
        <v>5781</v>
      </c>
      <c r="C2052" s="2" t="s">
        <v>2703</v>
      </c>
      <c r="D2052" s="2" t="s">
        <v>873</v>
      </c>
      <c r="E2052" s="2" t="s">
        <v>876</v>
      </c>
      <c r="F2052" s="2">
        <v>438.0</v>
      </c>
      <c r="G2052" s="2">
        <v>9.19</v>
      </c>
      <c r="H2052" s="2">
        <v>47.7</v>
      </c>
      <c r="I2052" s="2" t="s">
        <v>47</v>
      </c>
    </row>
    <row r="2053" ht="15.75" customHeight="1">
      <c r="A2053" s="2" t="s">
        <v>3561</v>
      </c>
      <c r="B2053" s="2" t="s">
        <v>3562</v>
      </c>
      <c r="C2053" s="2" t="s">
        <v>2703</v>
      </c>
      <c r="D2053" s="2" t="s">
        <v>785</v>
      </c>
      <c r="E2053" s="2" t="s">
        <v>787</v>
      </c>
      <c r="F2053" s="2">
        <v>1041.0</v>
      </c>
      <c r="G2053" s="2">
        <v>2.07</v>
      </c>
      <c r="H2053" s="2">
        <v>502.9</v>
      </c>
      <c r="I2053" s="2" t="s">
        <v>27</v>
      </c>
    </row>
    <row r="2054" ht="15.75" customHeight="1">
      <c r="A2054" s="2" t="s">
        <v>3565</v>
      </c>
      <c r="B2054" s="2" t="s">
        <v>3566</v>
      </c>
      <c r="C2054" s="2" t="s">
        <v>2703</v>
      </c>
      <c r="D2054" s="2" t="s">
        <v>907</v>
      </c>
      <c r="E2054" s="2" t="s">
        <v>909</v>
      </c>
      <c r="F2054" s="2">
        <v>4463.0</v>
      </c>
      <c r="G2054" s="2">
        <v>4.38</v>
      </c>
      <c r="H2054" s="2">
        <v>1018.9</v>
      </c>
      <c r="I2054" s="2" t="s">
        <v>138</v>
      </c>
    </row>
    <row r="2055" ht="15.75" customHeight="1">
      <c r="A2055" s="2" t="s">
        <v>5782</v>
      </c>
      <c r="B2055" s="2" t="s">
        <v>5783</v>
      </c>
      <c r="C2055" s="2" t="s">
        <v>2703</v>
      </c>
      <c r="D2055" s="2" t="s">
        <v>973</v>
      </c>
      <c r="E2055" s="2" t="s">
        <v>974</v>
      </c>
      <c r="F2055" s="2">
        <v>462.0</v>
      </c>
      <c r="G2055" s="2">
        <v>11.29</v>
      </c>
      <c r="H2055" s="2">
        <v>40.9</v>
      </c>
      <c r="I2055" s="2" t="s">
        <v>47</v>
      </c>
    </row>
    <row r="2056" ht="15.75" customHeight="1">
      <c r="A2056" s="2" t="s">
        <v>5784</v>
      </c>
      <c r="B2056" s="2" t="s">
        <v>5785</v>
      </c>
      <c r="C2056" s="2" t="s">
        <v>2703</v>
      </c>
      <c r="D2056" s="2" t="s">
        <v>1076</v>
      </c>
      <c r="E2056" s="2" t="s">
        <v>1078</v>
      </c>
      <c r="F2056" s="2">
        <v>667.0</v>
      </c>
      <c r="G2056" s="2">
        <v>5.46</v>
      </c>
      <c r="H2056" s="2">
        <v>122.2</v>
      </c>
      <c r="I2056" s="2" t="s">
        <v>27</v>
      </c>
    </row>
    <row r="2057" ht="15.75" customHeight="1">
      <c r="A2057" s="2" t="s">
        <v>5776</v>
      </c>
      <c r="B2057" s="2" t="s">
        <v>5777</v>
      </c>
      <c r="C2057" s="2" t="s">
        <v>2703</v>
      </c>
      <c r="D2057" s="2" t="s">
        <v>883</v>
      </c>
      <c r="E2057" s="2" t="s">
        <v>885</v>
      </c>
      <c r="F2057" s="2">
        <v>196.0</v>
      </c>
      <c r="G2057" s="2">
        <v>9.72</v>
      </c>
      <c r="H2057" s="2">
        <v>20.2</v>
      </c>
      <c r="I2057" s="2" t="s">
        <v>47</v>
      </c>
    </row>
    <row r="2058" ht="15.75" customHeight="1">
      <c r="A2058" s="2" t="s">
        <v>3567</v>
      </c>
      <c r="B2058" s="2" t="s">
        <v>3568</v>
      </c>
      <c r="C2058" s="2" t="s">
        <v>2703</v>
      </c>
      <c r="D2058" s="2" t="s">
        <v>817</v>
      </c>
      <c r="E2058" s="2" t="s">
        <v>818</v>
      </c>
      <c r="F2058" s="2">
        <v>1258.0</v>
      </c>
      <c r="G2058" s="2">
        <v>14.84</v>
      </c>
      <c r="H2058" s="2">
        <v>84.8</v>
      </c>
      <c r="I2058" s="2" t="s">
        <v>27</v>
      </c>
    </row>
    <row r="2059" ht="15.75" customHeight="1">
      <c r="A2059" s="2" t="s">
        <v>5786</v>
      </c>
      <c r="B2059" s="2" t="s">
        <v>5787</v>
      </c>
      <c r="C2059" s="2" t="s">
        <v>2703</v>
      </c>
      <c r="D2059" s="2" t="s">
        <v>1019</v>
      </c>
      <c r="E2059" s="2" t="s">
        <v>1021</v>
      </c>
      <c r="F2059" s="2">
        <v>161.0</v>
      </c>
      <c r="G2059" s="2">
        <v>3.32</v>
      </c>
      <c r="H2059" s="2">
        <v>48.5</v>
      </c>
      <c r="I2059" s="2" t="s">
        <v>47</v>
      </c>
    </row>
    <row r="2060" ht="15.75" customHeight="1">
      <c r="A2060" s="2" t="s">
        <v>3569</v>
      </c>
      <c r="B2060" s="2" t="s">
        <v>3570</v>
      </c>
      <c r="C2060" s="2" t="s">
        <v>2703</v>
      </c>
      <c r="D2060" s="2" t="s">
        <v>917</v>
      </c>
      <c r="E2060" s="2" t="s">
        <v>918</v>
      </c>
      <c r="F2060" s="2">
        <v>1686.0</v>
      </c>
      <c r="G2060" s="2">
        <v>18.67</v>
      </c>
      <c r="H2060" s="2">
        <v>90.3</v>
      </c>
      <c r="I2060" s="2" t="s">
        <v>27</v>
      </c>
    </row>
    <row r="2061" ht="15.75" customHeight="1">
      <c r="A2061" s="2" t="s">
        <v>3571</v>
      </c>
      <c r="B2061" s="2" t="s">
        <v>3572</v>
      </c>
      <c r="C2061" s="2" t="s">
        <v>2703</v>
      </c>
      <c r="D2061" s="2" t="s">
        <v>907</v>
      </c>
      <c r="E2061" s="2" t="s">
        <v>909</v>
      </c>
      <c r="F2061" s="2">
        <v>1037.0</v>
      </c>
      <c r="G2061" s="2">
        <v>4.69</v>
      </c>
      <c r="H2061" s="2">
        <v>221.1</v>
      </c>
      <c r="I2061" s="2" t="s">
        <v>27</v>
      </c>
    </row>
    <row r="2062" ht="15.75" customHeight="1">
      <c r="A2062" s="2" t="s">
        <v>3574</v>
      </c>
      <c r="B2062" s="2" t="s">
        <v>3576</v>
      </c>
      <c r="C2062" s="2" t="s">
        <v>2703</v>
      </c>
      <c r="D2062" s="2" t="s">
        <v>993</v>
      </c>
      <c r="E2062" s="2" t="s">
        <v>994</v>
      </c>
      <c r="F2062" s="2">
        <v>1392.0</v>
      </c>
      <c r="G2062" s="2">
        <v>12.0</v>
      </c>
      <c r="H2062" s="2">
        <v>116.0</v>
      </c>
      <c r="I2062" s="2" t="s">
        <v>27</v>
      </c>
    </row>
    <row r="2063" ht="15.75" customHeight="1">
      <c r="A2063" s="2" t="s">
        <v>3577</v>
      </c>
      <c r="B2063" s="2" t="s">
        <v>3578</v>
      </c>
      <c r="C2063" s="2" t="s">
        <v>2703</v>
      </c>
      <c r="D2063" s="2" t="s">
        <v>1019</v>
      </c>
      <c r="E2063" s="2" t="s">
        <v>1021</v>
      </c>
      <c r="F2063" s="2">
        <v>1875.0</v>
      </c>
      <c r="G2063" s="2">
        <v>13.52</v>
      </c>
      <c r="H2063" s="2">
        <v>138.7</v>
      </c>
      <c r="I2063" s="2" t="s">
        <v>27</v>
      </c>
    </row>
    <row r="2064" ht="15.75" customHeight="1">
      <c r="A2064" s="2" t="s">
        <v>5788</v>
      </c>
      <c r="B2064" s="2" t="s">
        <v>5789</v>
      </c>
      <c r="C2064" s="2" t="s">
        <v>2703</v>
      </c>
      <c r="D2064" s="2" t="s">
        <v>1019</v>
      </c>
      <c r="E2064" s="2" t="s">
        <v>1021</v>
      </c>
      <c r="F2064" s="2">
        <v>303.0</v>
      </c>
      <c r="G2064" s="2">
        <v>4.56</v>
      </c>
      <c r="H2064" s="2">
        <v>66.4</v>
      </c>
      <c r="I2064" s="2" t="s">
        <v>47</v>
      </c>
    </row>
    <row r="2065" ht="15.75" customHeight="1">
      <c r="A2065" s="2" t="s">
        <v>3579</v>
      </c>
      <c r="B2065" s="2" t="s">
        <v>3580</v>
      </c>
      <c r="C2065" s="2" t="s">
        <v>2703</v>
      </c>
      <c r="D2065" s="2" t="s">
        <v>817</v>
      </c>
      <c r="E2065" s="2" t="s">
        <v>818</v>
      </c>
      <c r="F2065" s="2">
        <v>1374.0</v>
      </c>
      <c r="G2065" s="2">
        <v>14.03</v>
      </c>
      <c r="H2065" s="2">
        <v>97.9</v>
      </c>
      <c r="I2065" s="2" t="s">
        <v>27</v>
      </c>
    </row>
    <row r="2066" ht="15.75" customHeight="1">
      <c r="A2066" s="2" t="s">
        <v>3581</v>
      </c>
      <c r="B2066" s="2" t="s">
        <v>3582</v>
      </c>
      <c r="C2066" s="2" t="s">
        <v>2703</v>
      </c>
      <c r="D2066" s="2" t="s">
        <v>917</v>
      </c>
      <c r="E2066" s="2" t="s">
        <v>918</v>
      </c>
      <c r="F2066" s="2">
        <v>2077.0</v>
      </c>
      <c r="G2066" s="2">
        <v>11.09</v>
      </c>
      <c r="H2066" s="2">
        <v>187.3</v>
      </c>
      <c r="I2066" s="2" t="s">
        <v>138</v>
      </c>
    </row>
    <row r="2067" ht="15.75" customHeight="1">
      <c r="A2067" s="2" t="s">
        <v>5790</v>
      </c>
      <c r="B2067" s="2" t="s">
        <v>5791</v>
      </c>
      <c r="C2067" s="2" t="s">
        <v>2703</v>
      </c>
      <c r="D2067" s="2" t="s">
        <v>873</v>
      </c>
      <c r="E2067" s="2" t="s">
        <v>876</v>
      </c>
      <c r="F2067" s="2">
        <v>314.0</v>
      </c>
      <c r="G2067" s="2">
        <v>5.36</v>
      </c>
      <c r="H2067" s="2">
        <v>58.6</v>
      </c>
      <c r="I2067" s="2" t="s">
        <v>47</v>
      </c>
    </row>
    <row r="2068" ht="15.75" customHeight="1">
      <c r="A2068" s="2" t="s">
        <v>5792</v>
      </c>
      <c r="B2068" s="2" t="s">
        <v>5793</v>
      </c>
      <c r="C2068" s="2" t="s">
        <v>2703</v>
      </c>
      <c r="D2068" s="2" t="s">
        <v>973</v>
      </c>
      <c r="E2068" s="2" t="s">
        <v>974</v>
      </c>
      <c r="F2068" s="2">
        <v>522.0</v>
      </c>
      <c r="G2068" s="2">
        <v>13.03</v>
      </c>
      <c r="H2068" s="2">
        <v>40.1</v>
      </c>
      <c r="I2068" s="2" t="s">
        <v>27</v>
      </c>
    </row>
    <row r="2069" ht="15.75" customHeight="1">
      <c r="A2069" s="2" t="s">
        <v>3583</v>
      </c>
      <c r="B2069" s="2" t="s">
        <v>3584</v>
      </c>
      <c r="C2069" s="2" t="s">
        <v>2703</v>
      </c>
      <c r="D2069" s="2" t="s">
        <v>1076</v>
      </c>
      <c r="E2069" s="2" t="s">
        <v>1078</v>
      </c>
      <c r="F2069" s="2">
        <v>1941.0</v>
      </c>
      <c r="G2069" s="2">
        <v>18.77</v>
      </c>
      <c r="H2069" s="2">
        <v>103.4</v>
      </c>
      <c r="I2069" s="2" t="s">
        <v>27</v>
      </c>
    </row>
    <row r="2070" ht="15.75" customHeight="1">
      <c r="A2070" s="2" t="s">
        <v>3585</v>
      </c>
      <c r="B2070" s="2" t="s">
        <v>3586</v>
      </c>
      <c r="C2070" s="2" t="s">
        <v>2703</v>
      </c>
      <c r="D2070" s="2" t="s">
        <v>927</v>
      </c>
      <c r="E2070" s="2" t="s">
        <v>928</v>
      </c>
      <c r="F2070" s="2">
        <v>941.0</v>
      </c>
      <c r="G2070" s="2">
        <v>8.76</v>
      </c>
      <c r="H2070" s="2">
        <v>107.4</v>
      </c>
      <c r="I2070" s="2" t="s">
        <v>27</v>
      </c>
    </row>
    <row r="2071" ht="15.75" customHeight="1">
      <c r="A2071" s="2" t="s">
        <v>3587</v>
      </c>
      <c r="B2071" s="2" t="s">
        <v>3588</v>
      </c>
      <c r="C2071" s="2" t="s">
        <v>2703</v>
      </c>
      <c r="D2071" s="2" t="s">
        <v>993</v>
      </c>
      <c r="E2071" s="2" t="s">
        <v>994</v>
      </c>
      <c r="F2071" s="2">
        <v>295.0</v>
      </c>
      <c r="G2071" s="2">
        <v>6.94</v>
      </c>
      <c r="H2071" s="2">
        <v>42.5</v>
      </c>
      <c r="I2071" s="2" t="s">
        <v>47</v>
      </c>
    </row>
    <row r="2072" ht="15.75" customHeight="1">
      <c r="A2072" s="2" t="s">
        <v>5794</v>
      </c>
      <c r="B2072" s="2" t="s">
        <v>5795</v>
      </c>
      <c r="C2072" s="2" t="s">
        <v>2703</v>
      </c>
      <c r="D2072" s="2" t="s">
        <v>907</v>
      </c>
      <c r="E2072" s="2" t="s">
        <v>909</v>
      </c>
      <c r="F2072" s="2">
        <v>254.0</v>
      </c>
      <c r="G2072" s="2">
        <v>4.7</v>
      </c>
      <c r="H2072" s="2">
        <v>54.0</v>
      </c>
      <c r="I2072" s="2" t="s">
        <v>47</v>
      </c>
    </row>
    <row r="2073" ht="15.75" customHeight="1">
      <c r="A2073" s="2" t="s">
        <v>3589</v>
      </c>
      <c r="B2073" s="2" t="s">
        <v>3590</v>
      </c>
      <c r="C2073" s="2" t="s">
        <v>2703</v>
      </c>
      <c r="D2073" s="2" t="s">
        <v>985</v>
      </c>
      <c r="E2073" s="2" t="s">
        <v>988</v>
      </c>
      <c r="F2073" s="2">
        <v>367.0</v>
      </c>
      <c r="G2073" s="2">
        <v>9.15</v>
      </c>
      <c r="H2073" s="2">
        <v>40.1</v>
      </c>
      <c r="I2073" s="2" t="s">
        <v>47</v>
      </c>
    </row>
    <row r="2074" ht="15.75" customHeight="1">
      <c r="A2074" s="2" t="s">
        <v>3593</v>
      </c>
      <c r="B2074" s="2" t="s">
        <v>3594</v>
      </c>
      <c r="C2074" s="2" t="s">
        <v>2703</v>
      </c>
      <c r="D2074" s="2" t="s">
        <v>973</v>
      </c>
      <c r="E2074" s="2" t="s">
        <v>974</v>
      </c>
      <c r="F2074" s="2">
        <v>265.0</v>
      </c>
      <c r="G2074" s="2">
        <v>2.93</v>
      </c>
      <c r="H2074" s="2">
        <v>90.4</v>
      </c>
      <c r="I2074" s="2" t="s">
        <v>47</v>
      </c>
    </row>
    <row r="2075" ht="15.75" customHeight="1">
      <c r="A2075" s="2" t="s">
        <v>5796</v>
      </c>
      <c r="B2075" s="2" t="s">
        <v>5797</v>
      </c>
      <c r="C2075" s="2" t="s">
        <v>2703</v>
      </c>
      <c r="D2075" s="2" t="s">
        <v>985</v>
      </c>
      <c r="E2075" s="2" t="s">
        <v>988</v>
      </c>
      <c r="F2075" s="2">
        <v>246.0</v>
      </c>
      <c r="G2075" s="2">
        <v>2.35</v>
      </c>
      <c r="H2075" s="2">
        <v>104.7</v>
      </c>
      <c r="I2075" s="2" t="s">
        <v>47</v>
      </c>
    </row>
    <row r="2076" ht="15.75" customHeight="1">
      <c r="A2076" s="2" t="s">
        <v>3595</v>
      </c>
      <c r="B2076" s="2" t="s">
        <v>3596</v>
      </c>
      <c r="C2076" s="2" t="s">
        <v>2703</v>
      </c>
      <c r="D2076" s="2" t="s">
        <v>973</v>
      </c>
      <c r="E2076" s="2" t="s">
        <v>974</v>
      </c>
      <c r="F2076" s="2">
        <v>701.0</v>
      </c>
      <c r="G2076" s="2">
        <v>6.33</v>
      </c>
      <c r="H2076" s="2">
        <v>110.7</v>
      </c>
      <c r="I2076" s="2" t="s">
        <v>27</v>
      </c>
    </row>
    <row r="2077" ht="15.75" customHeight="1">
      <c r="A2077" s="2" t="s">
        <v>5798</v>
      </c>
      <c r="B2077" s="2" t="s">
        <v>5799</v>
      </c>
      <c r="C2077" s="2" t="s">
        <v>2703</v>
      </c>
      <c r="D2077" s="2" t="s">
        <v>1019</v>
      </c>
      <c r="E2077" s="2" t="s">
        <v>1021</v>
      </c>
      <c r="F2077" s="2">
        <v>159.0</v>
      </c>
      <c r="G2077" s="2">
        <v>4.66</v>
      </c>
      <c r="H2077" s="2">
        <v>34.1</v>
      </c>
      <c r="I2077" s="2" t="s">
        <v>47</v>
      </c>
    </row>
    <row r="2078" ht="15.75" customHeight="1">
      <c r="A2078" s="2" t="s">
        <v>3597</v>
      </c>
      <c r="B2078" s="2" t="s">
        <v>3598</v>
      </c>
      <c r="C2078" s="2" t="s">
        <v>2703</v>
      </c>
      <c r="D2078" s="2" t="s">
        <v>973</v>
      </c>
      <c r="E2078" s="2" t="s">
        <v>974</v>
      </c>
      <c r="F2078" s="2">
        <v>998.0</v>
      </c>
      <c r="G2078" s="2">
        <v>3.17</v>
      </c>
      <c r="H2078" s="2">
        <v>314.8</v>
      </c>
      <c r="I2078" s="2" t="s">
        <v>27</v>
      </c>
    </row>
    <row r="2079" ht="15.75" customHeight="1">
      <c r="A2079" s="2" t="s">
        <v>5802</v>
      </c>
      <c r="B2079" s="2" t="s">
        <v>5803</v>
      </c>
      <c r="C2079" s="2" t="s">
        <v>2703</v>
      </c>
      <c r="D2079" s="2" t="s">
        <v>817</v>
      </c>
      <c r="E2079" s="2" t="s">
        <v>818</v>
      </c>
      <c r="F2079" s="2">
        <v>227.0</v>
      </c>
      <c r="G2079" s="2">
        <v>6.17</v>
      </c>
      <c r="H2079" s="2">
        <v>36.8</v>
      </c>
      <c r="I2079" s="2" t="s">
        <v>47</v>
      </c>
    </row>
    <row r="2080" ht="15.75" customHeight="1">
      <c r="A2080" s="2" t="s">
        <v>3599</v>
      </c>
      <c r="B2080" s="2" t="s">
        <v>3600</v>
      </c>
      <c r="C2080" s="2" t="s">
        <v>2703</v>
      </c>
      <c r="D2080" s="2" t="s">
        <v>873</v>
      </c>
      <c r="E2080" s="2" t="s">
        <v>876</v>
      </c>
      <c r="F2080" s="2">
        <v>447.0</v>
      </c>
      <c r="G2080" s="2">
        <v>10.93</v>
      </c>
      <c r="H2080" s="2">
        <v>40.9</v>
      </c>
      <c r="I2080" s="2" t="s">
        <v>47</v>
      </c>
    </row>
    <row r="2081" ht="15.75" customHeight="1">
      <c r="A2081" s="2" t="s">
        <v>3603</v>
      </c>
      <c r="B2081" s="2" t="s">
        <v>3604</v>
      </c>
      <c r="C2081" s="2" t="s">
        <v>2703</v>
      </c>
      <c r="D2081" s="2" t="s">
        <v>804</v>
      </c>
      <c r="E2081" s="2" t="s">
        <v>806</v>
      </c>
      <c r="F2081" s="2">
        <v>2758.0</v>
      </c>
      <c r="G2081" s="2">
        <v>8.51</v>
      </c>
      <c r="H2081" s="2">
        <v>324.1</v>
      </c>
      <c r="I2081" s="2" t="s">
        <v>138</v>
      </c>
    </row>
    <row r="2082" ht="15.75" customHeight="1">
      <c r="A2082" s="2" t="s">
        <v>3605</v>
      </c>
      <c r="B2082" s="2" t="s">
        <v>3606</v>
      </c>
      <c r="C2082" s="2" t="s">
        <v>2703</v>
      </c>
      <c r="D2082" s="2" t="s">
        <v>973</v>
      </c>
      <c r="E2082" s="2" t="s">
        <v>974</v>
      </c>
      <c r="F2082" s="2">
        <v>1130.0</v>
      </c>
      <c r="G2082" s="2">
        <v>13.26</v>
      </c>
      <c r="H2082" s="2">
        <v>85.2</v>
      </c>
      <c r="I2082" s="2" t="s">
        <v>27</v>
      </c>
    </row>
    <row r="2083" ht="15.75" customHeight="1">
      <c r="A2083" s="2" t="s">
        <v>3607</v>
      </c>
      <c r="B2083" s="2" t="s">
        <v>3608</v>
      </c>
      <c r="C2083" s="2" t="s">
        <v>2703</v>
      </c>
      <c r="D2083" s="2" t="s">
        <v>804</v>
      </c>
      <c r="E2083" s="2" t="s">
        <v>806</v>
      </c>
      <c r="F2083" s="2">
        <v>3898.0</v>
      </c>
      <c r="G2083" s="2">
        <v>15.16</v>
      </c>
      <c r="H2083" s="2">
        <v>257.1</v>
      </c>
      <c r="I2083" s="2" t="s">
        <v>138</v>
      </c>
    </row>
    <row r="2084" ht="15.75" customHeight="1">
      <c r="A2084" s="2" t="s">
        <v>5804</v>
      </c>
      <c r="B2084" s="2" t="s">
        <v>5805</v>
      </c>
      <c r="C2084" s="2" t="s">
        <v>2703</v>
      </c>
      <c r="D2084" s="2" t="s">
        <v>817</v>
      </c>
      <c r="E2084" s="2" t="s">
        <v>818</v>
      </c>
      <c r="F2084" s="2">
        <v>721.0</v>
      </c>
      <c r="G2084" s="2">
        <v>12.57</v>
      </c>
      <c r="H2084" s="2">
        <v>57.4</v>
      </c>
      <c r="I2084" s="2" t="s">
        <v>27</v>
      </c>
    </row>
    <row r="2085" ht="15.75" customHeight="1">
      <c r="A2085" s="2" t="s">
        <v>3609</v>
      </c>
      <c r="B2085" s="2" t="s">
        <v>3611</v>
      </c>
      <c r="C2085" s="2" t="s">
        <v>2703</v>
      </c>
      <c r="D2085" s="2" t="s">
        <v>955</v>
      </c>
      <c r="E2085" s="2" t="s">
        <v>956</v>
      </c>
      <c r="F2085" s="2">
        <v>483.0</v>
      </c>
      <c r="G2085" s="2">
        <v>3.33</v>
      </c>
      <c r="H2085" s="2">
        <v>145.0</v>
      </c>
      <c r="I2085" s="2" t="s">
        <v>47</v>
      </c>
    </row>
    <row r="2086" ht="15.75" customHeight="1">
      <c r="A2086" s="2" t="s">
        <v>3613</v>
      </c>
      <c r="B2086" s="2" t="s">
        <v>3614</v>
      </c>
      <c r="C2086" s="2" t="s">
        <v>2703</v>
      </c>
      <c r="D2086" s="2" t="s">
        <v>921</v>
      </c>
      <c r="E2086" s="2" t="s">
        <v>924</v>
      </c>
      <c r="F2086" s="2">
        <v>4775.0</v>
      </c>
      <c r="G2086" s="2">
        <v>22.31</v>
      </c>
      <c r="H2086" s="2">
        <v>214.0</v>
      </c>
      <c r="I2086" s="2" t="s">
        <v>138</v>
      </c>
    </row>
    <row r="2087" ht="15.75" customHeight="1">
      <c r="A2087" s="2" t="s">
        <v>5806</v>
      </c>
      <c r="B2087" s="2" t="s">
        <v>838</v>
      </c>
      <c r="C2087" s="2" t="s">
        <v>2703</v>
      </c>
      <c r="D2087" s="2" t="s">
        <v>973</v>
      </c>
      <c r="E2087" s="2" t="s">
        <v>974</v>
      </c>
      <c r="F2087" s="2">
        <v>349.0</v>
      </c>
      <c r="G2087" s="2">
        <v>14.75</v>
      </c>
      <c r="H2087" s="2">
        <v>23.7</v>
      </c>
      <c r="I2087" s="2" t="s">
        <v>47</v>
      </c>
    </row>
    <row r="2088" ht="15.75" customHeight="1">
      <c r="A2088" s="2" t="s">
        <v>5807</v>
      </c>
      <c r="B2088" s="2" t="s">
        <v>5808</v>
      </c>
      <c r="C2088" s="2" t="s">
        <v>2703</v>
      </c>
      <c r="D2088" s="2" t="s">
        <v>973</v>
      </c>
      <c r="E2088" s="2" t="s">
        <v>974</v>
      </c>
      <c r="F2088" s="2">
        <v>285.0</v>
      </c>
      <c r="G2088" s="2">
        <v>10.91</v>
      </c>
      <c r="H2088" s="2">
        <v>26.1</v>
      </c>
      <c r="I2088" s="2" t="s">
        <v>47</v>
      </c>
    </row>
    <row r="2089" ht="15.75" customHeight="1">
      <c r="A2089" s="2" t="s">
        <v>5809</v>
      </c>
      <c r="B2089" s="2" t="s">
        <v>5810</v>
      </c>
      <c r="C2089" s="2" t="s">
        <v>2703</v>
      </c>
      <c r="D2089" s="2" t="s">
        <v>873</v>
      </c>
      <c r="E2089" s="2" t="s">
        <v>876</v>
      </c>
      <c r="F2089" s="2">
        <v>211.0</v>
      </c>
      <c r="G2089" s="2">
        <v>4.0</v>
      </c>
      <c r="H2089" s="2">
        <v>52.8</v>
      </c>
      <c r="I2089" s="2" t="s">
        <v>47</v>
      </c>
    </row>
    <row r="2090" ht="15.75" customHeight="1">
      <c r="A2090" s="2" t="s">
        <v>5811</v>
      </c>
      <c r="B2090" s="2" t="s">
        <v>5812</v>
      </c>
      <c r="C2090" s="2" t="s">
        <v>2703</v>
      </c>
      <c r="D2090" s="2" t="s">
        <v>804</v>
      </c>
      <c r="E2090" s="2" t="s">
        <v>806</v>
      </c>
      <c r="F2090" s="2">
        <v>593.0</v>
      </c>
      <c r="G2090" s="2">
        <v>17.79</v>
      </c>
      <c r="H2090" s="2">
        <v>33.3</v>
      </c>
      <c r="I2090" s="2" t="s">
        <v>27</v>
      </c>
    </row>
    <row r="2091" ht="15.75" customHeight="1">
      <c r="A2091" s="2" t="s">
        <v>5813</v>
      </c>
      <c r="B2091" s="2" t="s">
        <v>5814</v>
      </c>
      <c r="C2091" s="2" t="s">
        <v>2703</v>
      </c>
      <c r="D2091" s="2" t="s">
        <v>977</v>
      </c>
      <c r="E2091" s="2" t="s">
        <v>978</v>
      </c>
      <c r="F2091" s="2">
        <v>417.0</v>
      </c>
      <c r="G2091" s="2">
        <v>4.31</v>
      </c>
      <c r="H2091" s="2">
        <v>96.8</v>
      </c>
      <c r="I2091" s="2" t="s">
        <v>47</v>
      </c>
    </row>
    <row r="2092" ht="15.75" customHeight="1">
      <c r="A2092" s="2" t="s">
        <v>3615</v>
      </c>
      <c r="B2092" s="2" t="s">
        <v>3616</v>
      </c>
      <c r="C2092" s="2" t="s">
        <v>2703</v>
      </c>
      <c r="D2092" s="2" t="s">
        <v>985</v>
      </c>
      <c r="E2092" s="2" t="s">
        <v>988</v>
      </c>
      <c r="F2092" s="2">
        <v>741.0</v>
      </c>
      <c r="G2092" s="2">
        <v>6.03</v>
      </c>
      <c r="H2092" s="2">
        <v>122.9</v>
      </c>
      <c r="I2092" s="2" t="s">
        <v>27</v>
      </c>
    </row>
    <row r="2093" ht="15.75" customHeight="1">
      <c r="A2093" s="2" t="s">
        <v>3617</v>
      </c>
      <c r="B2093" s="2" t="s">
        <v>3618</v>
      </c>
      <c r="C2093" s="2" t="s">
        <v>2703</v>
      </c>
      <c r="D2093" s="2" t="s">
        <v>957</v>
      </c>
      <c r="E2093" s="2" t="s">
        <v>958</v>
      </c>
      <c r="F2093" s="2">
        <v>247.0</v>
      </c>
      <c r="G2093" s="2">
        <v>6.6</v>
      </c>
      <c r="H2093" s="2">
        <v>37.4</v>
      </c>
      <c r="I2093" s="2" t="s">
        <v>47</v>
      </c>
    </row>
    <row r="2094" ht="15.75" customHeight="1">
      <c r="A2094" s="2" t="s">
        <v>3619</v>
      </c>
      <c r="B2094" s="2" t="s">
        <v>3620</v>
      </c>
      <c r="C2094" s="2" t="s">
        <v>2703</v>
      </c>
      <c r="D2094" s="2" t="s">
        <v>927</v>
      </c>
      <c r="E2094" s="2" t="s">
        <v>928</v>
      </c>
      <c r="F2094" s="2">
        <v>1196.0</v>
      </c>
      <c r="G2094" s="2">
        <v>4.48</v>
      </c>
      <c r="H2094" s="2">
        <v>267.0</v>
      </c>
      <c r="I2094" s="2" t="s">
        <v>27</v>
      </c>
    </row>
    <row r="2095" ht="15.75" customHeight="1">
      <c r="A2095" s="2" t="s">
        <v>3621</v>
      </c>
      <c r="B2095" s="2" t="s">
        <v>3622</v>
      </c>
      <c r="C2095" s="2" t="s">
        <v>2703</v>
      </c>
      <c r="D2095" s="2" t="s">
        <v>921</v>
      </c>
      <c r="E2095" s="2" t="s">
        <v>924</v>
      </c>
      <c r="F2095" s="2">
        <v>724.0</v>
      </c>
      <c r="G2095" s="2">
        <v>8.26</v>
      </c>
      <c r="H2095" s="2">
        <v>87.7</v>
      </c>
      <c r="I2095" s="2" t="s">
        <v>27</v>
      </c>
    </row>
    <row r="2096" ht="15.75" customHeight="1">
      <c r="A2096" s="2" t="s">
        <v>3623</v>
      </c>
      <c r="B2096" s="2" t="s">
        <v>3624</v>
      </c>
      <c r="C2096" s="2" t="s">
        <v>2703</v>
      </c>
      <c r="D2096" s="2" t="s">
        <v>957</v>
      </c>
      <c r="E2096" s="2" t="s">
        <v>958</v>
      </c>
      <c r="F2096" s="2">
        <v>474.0</v>
      </c>
      <c r="G2096" s="2">
        <v>9.96</v>
      </c>
      <c r="H2096" s="2">
        <v>47.6</v>
      </c>
      <c r="I2096" s="2" t="s">
        <v>47</v>
      </c>
    </row>
    <row r="2097" ht="15.75" customHeight="1">
      <c r="A2097" s="2" t="s">
        <v>3625</v>
      </c>
      <c r="B2097" s="2" t="s">
        <v>3626</v>
      </c>
      <c r="C2097" s="2" t="s">
        <v>2703</v>
      </c>
      <c r="D2097" s="2" t="s">
        <v>1060</v>
      </c>
      <c r="E2097" s="2" t="s">
        <v>1062</v>
      </c>
      <c r="F2097" s="2">
        <v>726.0</v>
      </c>
      <c r="G2097" s="2">
        <v>14.57</v>
      </c>
      <c r="H2097" s="2">
        <v>49.8</v>
      </c>
      <c r="I2097" s="2" t="s">
        <v>27</v>
      </c>
    </row>
    <row r="2098" ht="15.75" customHeight="1">
      <c r="A2098" s="2" t="s">
        <v>3629</v>
      </c>
      <c r="B2098" s="2" t="s">
        <v>3630</v>
      </c>
      <c r="C2098" s="2" t="s">
        <v>2703</v>
      </c>
      <c r="D2098" s="2" t="s">
        <v>973</v>
      </c>
      <c r="E2098" s="2" t="s">
        <v>974</v>
      </c>
      <c r="F2098" s="2">
        <v>386.0</v>
      </c>
      <c r="G2098" s="2">
        <v>9.64</v>
      </c>
      <c r="H2098" s="2">
        <v>40.0</v>
      </c>
      <c r="I2098" s="2" t="s">
        <v>47</v>
      </c>
    </row>
    <row r="2099" ht="15.75" customHeight="1">
      <c r="A2099" s="2" t="s">
        <v>3631</v>
      </c>
      <c r="B2099" s="2" t="s">
        <v>3632</v>
      </c>
      <c r="C2099" s="2" t="s">
        <v>2703</v>
      </c>
      <c r="D2099" s="2" t="s">
        <v>785</v>
      </c>
      <c r="E2099" s="2" t="s">
        <v>787</v>
      </c>
      <c r="F2099" s="2">
        <v>6480.0</v>
      </c>
      <c r="G2099" s="2">
        <v>4.96</v>
      </c>
      <c r="H2099" s="2">
        <v>1306.5</v>
      </c>
      <c r="I2099" s="2" t="s">
        <v>138</v>
      </c>
    </row>
    <row r="2100" ht="15.75" customHeight="1">
      <c r="A2100" s="2" t="s">
        <v>3633</v>
      </c>
      <c r="B2100" s="2" t="s">
        <v>3634</v>
      </c>
      <c r="C2100" s="2" t="s">
        <v>2703</v>
      </c>
      <c r="D2100" s="2" t="s">
        <v>1076</v>
      </c>
      <c r="E2100" s="2" t="s">
        <v>1078</v>
      </c>
      <c r="F2100" s="2">
        <v>951.0</v>
      </c>
      <c r="G2100" s="2">
        <v>7.34</v>
      </c>
      <c r="H2100" s="2">
        <v>129.6</v>
      </c>
      <c r="I2100" s="2" t="s">
        <v>27</v>
      </c>
    </row>
    <row r="2101" ht="15.75" customHeight="1">
      <c r="A2101" s="2" t="s">
        <v>5821</v>
      </c>
      <c r="B2101" s="2" t="s">
        <v>5822</v>
      </c>
      <c r="C2101" s="2" t="s">
        <v>2703</v>
      </c>
      <c r="D2101" s="2" t="s">
        <v>883</v>
      </c>
      <c r="E2101" s="2" t="s">
        <v>885</v>
      </c>
      <c r="F2101" s="2">
        <v>123.0</v>
      </c>
      <c r="G2101" s="2">
        <v>6.61</v>
      </c>
      <c r="H2101" s="2">
        <v>18.6</v>
      </c>
      <c r="I2101" s="2" t="s">
        <v>47</v>
      </c>
    </row>
    <row r="2102" ht="15.75" customHeight="1">
      <c r="A2102" s="2" t="s">
        <v>5823</v>
      </c>
      <c r="B2102" s="2" t="s">
        <v>5824</v>
      </c>
      <c r="C2102" s="2" t="s">
        <v>2703</v>
      </c>
      <c r="D2102" s="2" t="s">
        <v>873</v>
      </c>
      <c r="E2102" s="2" t="s">
        <v>876</v>
      </c>
      <c r="F2102" s="2">
        <v>162.0</v>
      </c>
      <c r="G2102" s="2">
        <v>5.2</v>
      </c>
      <c r="H2102" s="2">
        <v>31.2</v>
      </c>
      <c r="I2102" s="2" t="s">
        <v>47</v>
      </c>
    </row>
    <row r="2103" ht="15.75" customHeight="1">
      <c r="A2103" s="2" t="s">
        <v>3635</v>
      </c>
      <c r="B2103" s="2" t="s">
        <v>3636</v>
      </c>
      <c r="C2103" s="2" t="s">
        <v>2703</v>
      </c>
      <c r="D2103" s="2" t="s">
        <v>1076</v>
      </c>
      <c r="E2103" s="2" t="s">
        <v>1078</v>
      </c>
      <c r="F2103" s="2">
        <v>2284.0</v>
      </c>
      <c r="G2103" s="2">
        <v>4.6</v>
      </c>
      <c r="H2103" s="2">
        <v>496.5</v>
      </c>
      <c r="I2103" s="2" t="s">
        <v>138</v>
      </c>
    </row>
    <row r="2104" ht="15.75" customHeight="1">
      <c r="A2104" s="2" t="s">
        <v>5817</v>
      </c>
      <c r="B2104" s="2" t="s">
        <v>5818</v>
      </c>
      <c r="C2104" s="2" t="s">
        <v>2703</v>
      </c>
      <c r="D2104" s="2" t="s">
        <v>957</v>
      </c>
      <c r="E2104" s="2" t="s">
        <v>958</v>
      </c>
      <c r="F2104" s="2">
        <v>370.0</v>
      </c>
      <c r="G2104" s="2">
        <v>8.77</v>
      </c>
      <c r="H2104" s="2">
        <v>42.2</v>
      </c>
      <c r="I2104" s="2" t="s">
        <v>47</v>
      </c>
    </row>
    <row r="2105" ht="15.75" customHeight="1">
      <c r="A2105" s="2" t="s">
        <v>5819</v>
      </c>
      <c r="B2105" s="2" t="s">
        <v>5820</v>
      </c>
      <c r="C2105" s="2" t="s">
        <v>2703</v>
      </c>
      <c r="D2105" s="2" t="s">
        <v>883</v>
      </c>
      <c r="E2105" s="2" t="s">
        <v>885</v>
      </c>
      <c r="F2105" s="2">
        <v>130.0</v>
      </c>
      <c r="G2105" s="2">
        <v>4.04</v>
      </c>
      <c r="H2105" s="2">
        <v>32.2</v>
      </c>
      <c r="I2105" s="2" t="s">
        <v>47</v>
      </c>
    </row>
    <row r="2106" ht="15.75" customHeight="1">
      <c r="A2106" s="2" t="s">
        <v>3637</v>
      </c>
      <c r="B2106" s="2" t="s">
        <v>3638</v>
      </c>
      <c r="C2106" s="2" t="s">
        <v>2703</v>
      </c>
      <c r="D2106" s="2" t="s">
        <v>977</v>
      </c>
      <c r="E2106" s="2" t="s">
        <v>978</v>
      </c>
      <c r="F2106" s="2">
        <v>1421.0</v>
      </c>
      <c r="G2106" s="2">
        <v>6.46</v>
      </c>
      <c r="H2106" s="2">
        <v>220.0</v>
      </c>
      <c r="I2106" s="2" t="s">
        <v>27</v>
      </c>
    </row>
    <row r="2107" ht="15.75" customHeight="1">
      <c r="A2107" s="2" t="s">
        <v>5825</v>
      </c>
      <c r="B2107" s="2" t="s">
        <v>5826</v>
      </c>
      <c r="C2107" s="2" t="s">
        <v>2703</v>
      </c>
      <c r="D2107" s="2" t="s">
        <v>985</v>
      </c>
      <c r="E2107" s="2" t="s">
        <v>988</v>
      </c>
      <c r="F2107" s="2">
        <v>379.0</v>
      </c>
      <c r="G2107" s="2">
        <v>6.95</v>
      </c>
      <c r="H2107" s="2">
        <v>54.5</v>
      </c>
      <c r="I2107" s="2" t="s">
        <v>47</v>
      </c>
    </row>
    <row r="2108" ht="15.75" customHeight="1">
      <c r="A2108" s="2" t="s">
        <v>3639</v>
      </c>
      <c r="B2108" s="2" t="s">
        <v>3640</v>
      </c>
      <c r="C2108" s="2" t="s">
        <v>2703</v>
      </c>
      <c r="D2108" s="2" t="s">
        <v>865</v>
      </c>
      <c r="E2108" s="2" t="s">
        <v>866</v>
      </c>
      <c r="F2108" s="2">
        <v>1380.0</v>
      </c>
      <c r="G2108" s="2">
        <v>7.88</v>
      </c>
      <c r="H2108" s="2">
        <v>175.1</v>
      </c>
      <c r="I2108" s="2" t="s">
        <v>27</v>
      </c>
    </row>
    <row r="2109" ht="15.75" customHeight="1">
      <c r="A2109" s="2" t="s">
        <v>5829</v>
      </c>
      <c r="B2109" s="2" t="s">
        <v>5830</v>
      </c>
      <c r="C2109" s="2" t="s">
        <v>2703</v>
      </c>
      <c r="D2109" s="2" t="s">
        <v>883</v>
      </c>
      <c r="E2109" s="2" t="s">
        <v>885</v>
      </c>
      <c r="F2109" s="2">
        <v>33.0</v>
      </c>
      <c r="G2109" s="2">
        <v>4.39</v>
      </c>
      <c r="H2109" s="2">
        <v>7.5</v>
      </c>
      <c r="I2109" s="2" t="s">
        <v>47</v>
      </c>
    </row>
    <row r="2110" ht="15.75" customHeight="1">
      <c r="A2110" s="2" t="s">
        <v>5831</v>
      </c>
      <c r="B2110" s="2" t="s">
        <v>5832</v>
      </c>
      <c r="C2110" s="2" t="s">
        <v>2703</v>
      </c>
      <c r="D2110" s="2" t="s">
        <v>993</v>
      </c>
      <c r="E2110" s="2" t="s">
        <v>994</v>
      </c>
      <c r="F2110" s="2">
        <v>283.0</v>
      </c>
      <c r="G2110" s="2">
        <v>6.66</v>
      </c>
      <c r="H2110" s="2">
        <v>42.5</v>
      </c>
      <c r="I2110" s="2" t="s">
        <v>47</v>
      </c>
    </row>
    <row r="2111" ht="15.75" customHeight="1">
      <c r="A2111" s="2" t="s">
        <v>5833</v>
      </c>
      <c r="B2111" s="2" t="s">
        <v>5834</v>
      </c>
      <c r="C2111" s="2" t="s">
        <v>2703</v>
      </c>
      <c r="D2111" s="2" t="s">
        <v>883</v>
      </c>
      <c r="E2111" s="2" t="s">
        <v>885</v>
      </c>
      <c r="F2111" s="2">
        <v>158.0</v>
      </c>
      <c r="G2111" s="2">
        <v>4.59</v>
      </c>
      <c r="H2111" s="2">
        <v>34.4</v>
      </c>
      <c r="I2111" s="2" t="s">
        <v>47</v>
      </c>
    </row>
    <row r="2112" ht="15.75" customHeight="1">
      <c r="A2112" s="2" t="s">
        <v>3642</v>
      </c>
      <c r="B2112" s="2" t="s">
        <v>3644</v>
      </c>
      <c r="C2112" s="2" t="s">
        <v>2703</v>
      </c>
      <c r="D2112" s="2" t="s">
        <v>817</v>
      </c>
      <c r="E2112" s="2" t="s">
        <v>818</v>
      </c>
      <c r="F2112" s="2">
        <v>1218.0</v>
      </c>
      <c r="G2112" s="2">
        <v>11.49</v>
      </c>
      <c r="H2112" s="2">
        <v>106.0</v>
      </c>
      <c r="I2112" s="2" t="s">
        <v>27</v>
      </c>
    </row>
    <row r="2113" ht="15.75" customHeight="1">
      <c r="A2113" s="2" t="s">
        <v>3647</v>
      </c>
      <c r="B2113" s="2" t="s">
        <v>3648</v>
      </c>
      <c r="C2113" s="2" t="s">
        <v>2703</v>
      </c>
      <c r="D2113" s="2" t="s">
        <v>993</v>
      </c>
      <c r="E2113" s="2" t="s">
        <v>994</v>
      </c>
      <c r="F2113" s="2">
        <v>1341.0</v>
      </c>
      <c r="G2113" s="2">
        <v>9.9</v>
      </c>
      <c r="H2113" s="2">
        <v>135.5</v>
      </c>
      <c r="I2113" s="2" t="s">
        <v>27</v>
      </c>
    </row>
    <row r="2114" ht="15.75" customHeight="1">
      <c r="A2114" s="2" t="s">
        <v>5835</v>
      </c>
      <c r="B2114" s="2" t="s">
        <v>5836</v>
      </c>
      <c r="C2114" s="2" t="s">
        <v>2703</v>
      </c>
      <c r="D2114" s="2" t="s">
        <v>993</v>
      </c>
      <c r="E2114" s="2" t="s">
        <v>994</v>
      </c>
      <c r="F2114" s="2">
        <v>233.0</v>
      </c>
      <c r="G2114" s="2">
        <v>13.44</v>
      </c>
      <c r="H2114" s="2">
        <v>17.3</v>
      </c>
      <c r="I2114" s="2" t="s">
        <v>47</v>
      </c>
    </row>
    <row r="2115" ht="15.75" customHeight="1">
      <c r="A2115" s="2" t="s">
        <v>5359</v>
      </c>
      <c r="B2115" s="2" t="s">
        <v>5360</v>
      </c>
      <c r="C2115" s="2" t="s">
        <v>2703</v>
      </c>
      <c r="D2115" s="2" t="s">
        <v>973</v>
      </c>
      <c r="E2115" s="2" t="s">
        <v>974</v>
      </c>
      <c r="F2115" s="2">
        <v>411.0</v>
      </c>
      <c r="G2115" s="2">
        <v>10.5</v>
      </c>
      <c r="H2115" s="2">
        <v>39.1</v>
      </c>
      <c r="I2115" s="2" t="s">
        <v>47</v>
      </c>
    </row>
    <row r="2116" ht="15.75" customHeight="1">
      <c r="A2116" s="2" t="s">
        <v>5284</v>
      </c>
      <c r="B2116" s="2" t="s">
        <v>5285</v>
      </c>
      <c r="C2116" s="2" t="s">
        <v>2703</v>
      </c>
      <c r="D2116" s="2" t="s">
        <v>977</v>
      </c>
      <c r="E2116" s="2" t="s">
        <v>978</v>
      </c>
      <c r="F2116" s="2">
        <v>297.0</v>
      </c>
      <c r="G2116" s="2">
        <v>5.77</v>
      </c>
      <c r="H2116" s="2">
        <v>51.5</v>
      </c>
      <c r="I2116" s="2" t="s">
        <v>47</v>
      </c>
    </row>
    <row r="2117" ht="15.75" customHeight="1">
      <c r="A2117" s="2" t="s">
        <v>5288</v>
      </c>
      <c r="B2117" s="2" t="s">
        <v>5289</v>
      </c>
      <c r="C2117" s="2" t="s">
        <v>2703</v>
      </c>
      <c r="D2117" s="2" t="s">
        <v>883</v>
      </c>
      <c r="E2117" s="2" t="s">
        <v>885</v>
      </c>
      <c r="F2117" s="2">
        <v>48.0</v>
      </c>
      <c r="G2117" s="2">
        <v>1.33</v>
      </c>
      <c r="H2117" s="2">
        <v>36.1</v>
      </c>
      <c r="I2117" s="2" t="s">
        <v>47</v>
      </c>
    </row>
    <row r="2118" ht="15.75" customHeight="1">
      <c r="A2118" s="2" t="s">
        <v>3649</v>
      </c>
      <c r="B2118" s="2" t="s">
        <v>3650</v>
      </c>
      <c r="C2118" s="2" t="s">
        <v>2703</v>
      </c>
      <c r="D2118" s="2" t="s">
        <v>977</v>
      </c>
      <c r="E2118" s="2" t="s">
        <v>978</v>
      </c>
      <c r="F2118" s="2">
        <v>922.0</v>
      </c>
      <c r="G2118" s="2">
        <v>10.97</v>
      </c>
      <c r="H2118" s="2">
        <v>84.0</v>
      </c>
      <c r="I2118" s="2" t="s">
        <v>27</v>
      </c>
    </row>
    <row r="2119" ht="15.75" customHeight="1">
      <c r="A2119" s="2" t="s">
        <v>5294</v>
      </c>
      <c r="B2119" s="2" t="s">
        <v>5295</v>
      </c>
      <c r="C2119" s="2" t="s">
        <v>2703</v>
      </c>
      <c r="D2119" s="2" t="s">
        <v>973</v>
      </c>
      <c r="E2119" s="2" t="s">
        <v>974</v>
      </c>
      <c r="F2119" s="2">
        <v>283.0</v>
      </c>
      <c r="G2119" s="2">
        <v>1.85</v>
      </c>
      <c r="H2119" s="2">
        <v>153.0</v>
      </c>
      <c r="I2119" s="2" t="s">
        <v>47</v>
      </c>
    </row>
    <row r="2120" ht="15.75" customHeight="1">
      <c r="A2120" s="2" t="s">
        <v>5297</v>
      </c>
      <c r="B2120" s="2" t="s">
        <v>5299</v>
      </c>
      <c r="C2120" s="2" t="s">
        <v>2703</v>
      </c>
      <c r="D2120" s="2" t="s">
        <v>1019</v>
      </c>
      <c r="E2120" s="2" t="s">
        <v>1021</v>
      </c>
      <c r="F2120" s="2">
        <v>121.0</v>
      </c>
      <c r="G2120" s="2">
        <v>4.51</v>
      </c>
      <c r="H2120" s="2">
        <v>26.8</v>
      </c>
      <c r="I2120" s="2" t="s">
        <v>47</v>
      </c>
    </row>
    <row r="2121" ht="15.75" customHeight="1">
      <c r="A2121" s="2" t="s">
        <v>5304</v>
      </c>
      <c r="B2121" s="2" t="s">
        <v>5306</v>
      </c>
      <c r="C2121" s="2" t="s">
        <v>2703</v>
      </c>
      <c r="D2121" s="2" t="s">
        <v>886</v>
      </c>
      <c r="E2121" s="2" t="s">
        <v>887</v>
      </c>
      <c r="F2121" s="2">
        <v>281.0</v>
      </c>
      <c r="G2121" s="2">
        <v>7.22</v>
      </c>
      <c r="H2121" s="2">
        <v>38.9</v>
      </c>
      <c r="I2121" s="2" t="s">
        <v>47</v>
      </c>
    </row>
    <row r="2122" ht="15.75" customHeight="1">
      <c r="A2122" s="2" t="s">
        <v>3653</v>
      </c>
      <c r="B2122" s="2" t="s">
        <v>3654</v>
      </c>
      <c r="C2122" s="2" t="s">
        <v>2703</v>
      </c>
      <c r="D2122" s="2" t="s">
        <v>1019</v>
      </c>
      <c r="E2122" s="2" t="s">
        <v>1021</v>
      </c>
      <c r="F2122" s="2">
        <v>598.0</v>
      </c>
      <c r="G2122" s="2">
        <v>8.62</v>
      </c>
      <c r="H2122" s="2">
        <v>69.4</v>
      </c>
      <c r="I2122" s="2" t="s">
        <v>27</v>
      </c>
    </row>
    <row r="2123" ht="15.75" customHeight="1">
      <c r="A2123" s="2" t="s">
        <v>5353</v>
      </c>
      <c r="B2123" s="2" t="s">
        <v>5354</v>
      </c>
      <c r="C2123" s="2" t="s">
        <v>2703</v>
      </c>
      <c r="D2123" s="2" t="s">
        <v>973</v>
      </c>
      <c r="E2123" s="2" t="s">
        <v>974</v>
      </c>
      <c r="F2123" s="2">
        <v>180.0</v>
      </c>
      <c r="G2123" s="2">
        <v>7.19</v>
      </c>
      <c r="H2123" s="2">
        <v>25.0</v>
      </c>
      <c r="I2123" s="2" t="s">
        <v>47</v>
      </c>
    </row>
    <row r="2124" ht="15.75" customHeight="1">
      <c r="A2124" s="2" t="s">
        <v>3655</v>
      </c>
      <c r="B2124" s="2" t="s">
        <v>3656</v>
      </c>
      <c r="C2124" s="2" t="s">
        <v>2703</v>
      </c>
      <c r="D2124" s="2" t="s">
        <v>943</v>
      </c>
      <c r="E2124" s="2" t="s">
        <v>945</v>
      </c>
      <c r="F2124" s="2">
        <v>844.0</v>
      </c>
      <c r="G2124" s="2">
        <v>9.58</v>
      </c>
      <c r="H2124" s="2">
        <v>88.1</v>
      </c>
      <c r="I2124" s="2" t="s">
        <v>27</v>
      </c>
    </row>
    <row r="2125" ht="15.75" customHeight="1">
      <c r="A2125" s="2" t="s">
        <v>5363</v>
      </c>
      <c r="B2125" s="2" t="s">
        <v>5365</v>
      </c>
      <c r="C2125" s="2" t="s">
        <v>2703</v>
      </c>
      <c r="D2125" s="2" t="s">
        <v>977</v>
      </c>
      <c r="E2125" s="2" t="s">
        <v>978</v>
      </c>
      <c r="F2125" s="2">
        <v>209.0</v>
      </c>
      <c r="G2125" s="2">
        <v>3.03</v>
      </c>
      <c r="H2125" s="2">
        <v>69.0</v>
      </c>
      <c r="I2125" s="2" t="s">
        <v>47</v>
      </c>
    </row>
    <row r="2126" ht="15.75" customHeight="1">
      <c r="A2126" s="2" t="s">
        <v>3657</v>
      </c>
      <c r="B2126" s="2" t="s">
        <v>3658</v>
      </c>
      <c r="C2126" s="2" t="s">
        <v>3659</v>
      </c>
      <c r="D2126" s="2" t="s">
        <v>807</v>
      </c>
      <c r="E2126" s="2" t="s">
        <v>808</v>
      </c>
      <c r="F2126" s="2">
        <v>1994.0</v>
      </c>
      <c r="G2126" s="2">
        <v>9.95</v>
      </c>
      <c r="H2126" s="2">
        <v>200.4</v>
      </c>
      <c r="I2126" s="2" t="s">
        <v>27</v>
      </c>
    </row>
    <row r="2127" ht="15.75" customHeight="1">
      <c r="A2127" s="2" t="s">
        <v>5837</v>
      </c>
      <c r="B2127" s="2" t="s">
        <v>5838</v>
      </c>
      <c r="C2127" s="2" t="s">
        <v>3659</v>
      </c>
      <c r="D2127" s="2" t="s">
        <v>997</v>
      </c>
      <c r="E2127" s="2" t="s">
        <v>999</v>
      </c>
      <c r="F2127" s="2">
        <v>208.0</v>
      </c>
      <c r="G2127" s="2">
        <v>4.28</v>
      </c>
      <c r="H2127" s="2">
        <v>48.6</v>
      </c>
      <c r="I2127" s="2" t="s">
        <v>47</v>
      </c>
    </row>
    <row r="2128" ht="15.75" customHeight="1">
      <c r="A2128" s="2" t="s">
        <v>3660</v>
      </c>
      <c r="B2128" s="2" t="s">
        <v>3661</v>
      </c>
      <c r="C2128" s="2" t="s">
        <v>3659</v>
      </c>
      <c r="D2128" s="2" t="s">
        <v>807</v>
      </c>
      <c r="E2128" s="2" t="s">
        <v>808</v>
      </c>
      <c r="F2128" s="2">
        <v>576.0</v>
      </c>
      <c r="G2128" s="2">
        <v>3.07</v>
      </c>
      <c r="H2128" s="2">
        <v>187.6</v>
      </c>
      <c r="I2128" s="2" t="s">
        <v>27</v>
      </c>
    </row>
    <row r="2129" ht="15.75" customHeight="1">
      <c r="A2129" s="2" t="s">
        <v>3662</v>
      </c>
      <c r="B2129" s="2" t="s">
        <v>3663</v>
      </c>
      <c r="C2129" s="2" t="s">
        <v>3659</v>
      </c>
      <c r="D2129" s="2" t="s">
        <v>1082</v>
      </c>
      <c r="E2129" s="2" t="s">
        <v>1084</v>
      </c>
      <c r="F2129" s="2">
        <v>7873.0</v>
      </c>
      <c r="G2129" s="2">
        <v>5.82</v>
      </c>
      <c r="H2129" s="2">
        <v>1352.7</v>
      </c>
      <c r="I2129" s="2" t="s">
        <v>138</v>
      </c>
    </row>
    <row r="2130" ht="15.75" customHeight="1">
      <c r="A2130" s="2" t="s">
        <v>3664</v>
      </c>
      <c r="B2130" s="2" t="s">
        <v>3667</v>
      </c>
      <c r="C2130" s="2" t="s">
        <v>3659</v>
      </c>
      <c r="D2130" s="2" t="s">
        <v>997</v>
      </c>
      <c r="E2130" s="2" t="s">
        <v>999</v>
      </c>
      <c r="F2130" s="2">
        <v>974.0</v>
      </c>
      <c r="G2130" s="2">
        <v>5.08</v>
      </c>
      <c r="H2130" s="2">
        <v>191.7</v>
      </c>
      <c r="I2130" s="2" t="s">
        <v>27</v>
      </c>
    </row>
    <row r="2131" ht="15.75" customHeight="1">
      <c r="A2131" s="2" t="s">
        <v>3668</v>
      </c>
      <c r="B2131" s="2" t="s">
        <v>3669</v>
      </c>
      <c r="C2131" s="2" t="s">
        <v>3659</v>
      </c>
      <c r="D2131" s="2" t="s">
        <v>997</v>
      </c>
      <c r="E2131" s="2" t="s">
        <v>999</v>
      </c>
      <c r="F2131" s="2">
        <v>320.0</v>
      </c>
      <c r="G2131" s="2">
        <v>7.29</v>
      </c>
      <c r="H2131" s="2">
        <v>43.9</v>
      </c>
      <c r="I2131" s="2" t="s">
        <v>47</v>
      </c>
    </row>
    <row r="2132" ht="15.75" customHeight="1">
      <c r="A2132" s="2" t="s">
        <v>3670</v>
      </c>
      <c r="B2132" s="2" t="s">
        <v>3671</v>
      </c>
      <c r="C2132" s="2" t="s">
        <v>3659</v>
      </c>
      <c r="D2132" s="2" t="s">
        <v>1082</v>
      </c>
      <c r="E2132" s="2" t="s">
        <v>1084</v>
      </c>
      <c r="F2132" s="2">
        <v>783.0</v>
      </c>
      <c r="G2132" s="2">
        <v>4.87</v>
      </c>
      <c r="H2132" s="2">
        <v>160.8</v>
      </c>
      <c r="I2132" s="2" t="s">
        <v>27</v>
      </c>
    </row>
    <row r="2133" ht="15.75" customHeight="1">
      <c r="A2133" s="2" t="s">
        <v>3672</v>
      </c>
      <c r="B2133" s="2" t="s">
        <v>3673</v>
      </c>
      <c r="C2133" s="2" t="s">
        <v>3659</v>
      </c>
      <c r="D2133" s="2" t="s">
        <v>962</v>
      </c>
      <c r="E2133" s="2" t="s">
        <v>965</v>
      </c>
      <c r="F2133" s="2">
        <v>802.0</v>
      </c>
      <c r="G2133" s="2">
        <v>14.45</v>
      </c>
      <c r="H2133" s="2">
        <v>55.5</v>
      </c>
      <c r="I2133" s="2" t="s">
        <v>27</v>
      </c>
    </row>
    <row r="2134" ht="15.75" customHeight="1">
      <c r="A2134" s="2" t="s">
        <v>5839</v>
      </c>
      <c r="B2134" s="2" t="s">
        <v>5840</v>
      </c>
      <c r="C2134" s="2" t="s">
        <v>3659</v>
      </c>
      <c r="D2134" s="2" t="s">
        <v>904</v>
      </c>
      <c r="E2134" s="2" t="s">
        <v>906</v>
      </c>
      <c r="F2134" s="2">
        <v>287.0</v>
      </c>
      <c r="G2134" s="2">
        <v>6.27</v>
      </c>
      <c r="H2134" s="2">
        <v>45.8</v>
      </c>
      <c r="I2134" s="2" t="s">
        <v>47</v>
      </c>
    </row>
    <row r="2135" ht="15.75" customHeight="1">
      <c r="A2135" s="2" t="s">
        <v>5841</v>
      </c>
      <c r="B2135" s="2" t="s">
        <v>5842</v>
      </c>
      <c r="C2135" s="2" t="s">
        <v>3659</v>
      </c>
      <c r="D2135" s="2" t="s">
        <v>962</v>
      </c>
      <c r="E2135" s="2" t="s">
        <v>965</v>
      </c>
      <c r="F2135" s="2">
        <v>254.0</v>
      </c>
      <c r="G2135" s="2">
        <v>2.97</v>
      </c>
      <c r="H2135" s="2">
        <v>85.5</v>
      </c>
      <c r="I2135" s="2" t="s">
        <v>47</v>
      </c>
    </row>
    <row r="2136" ht="15.75" customHeight="1">
      <c r="A2136" s="2" t="s">
        <v>3676</v>
      </c>
      <c r="B2136" s="2" t="s">
        <v>3677</v>
      </c>
      <c r="C2136" s="2" t="s">
        <v>3659</v>
      </c>
      <c r="D2136" s="2" t="s">
        <v>904</v>
      </c>
      <c r="E2136" s="2" t="s">
        <v>906</v>
      </c>
      <c r="F2136" s="2">
        <v>621.0</v>
      </c>
      <c r="G2136" s="2">
        <v>7.4</v>
      </c>
      <c r="H2136" s="2">
        <v>83.9</v>
      </c>
      <c r="I2136" s="2" t="s">
        <v>27</v>
      </c>
    </row>
    <row r="2137" ht="15.75" customHeight="1">
      <c r="A2137" s="2" t="s">
        <v>5843</v>
      </c>
      <c r="B2137" s="2" t="s">
        <v>5844</v>
      </c>
      <c r="C2137" s="2" t="s">
        <v>3659</v>
      </c>
      <c r="D2137" s="2" t="s">
        <v>904</v>
      </c>
      <c r="E2137" s="2" t="s">
        <v>906</v>
      </c>
      <c r="F2137" s="2">
        <v>255.0</v>
      </c>
      <c r="G2137" s="2">
        <v>3.27</v>
      </c>
      <c r="H2137" s="2">
        <v>78.0</v>
      </c>
      <c r="I2137" s="2" t="s">
        <v>47</v>
      </c>
    </row>
    <row r="2138" ht="15.75" customHeight="1">
      <c r="A2138" s="2" t="s">
        <v>3678</v>
      </c>
      <c r="B2138" s="2" t="s">
        <v>3679</v>
      </c>
      <c r="C2138" s="2" t="s">
        <v>3659</v>
      </c>
      <c r="D2138" s="2" t="s">
        <v>1082</v>
      </c>
      <c r="E2138" s="2" t="s">
        <v>1084</v>
      </c>
      <c r="F2138" s="2">
        <v>1871.0</v>
      </c>
      <c r="G2138" s="2">
        <v>6.11</v>
      </c>
      <c r="H2138" s="2">
        <v>306.2</v>
      </c>
      <c r="I2138" s="2" t="s">
        <v>27</v>
      </c>
    </row>
    <row r="2139" ht="15.75" customHeight="1">
      <c r="A2139" s="2" t="s">
        <v>3680</v>
      </c>
      <c r="B2139" s="2" t="s">
        <v>3681</v>
      </c>
      <c r="C2139" s="2" t="s">
        <v>3659</v>
      </c>
      <c r="D2139" s="2" t="s">
        <v>833</v>
      </c>
      <c r="E2139" s="2" t="s">
        <v>835</v>
      </c>
      <c r="F2139" s="2">
        <v>9598.0</v>
      </c>
      <c r="G2139" s="2">
        <v>33.2</v>
      </c>
      <c r="H2139" s="2">
        <v>289.1</v>
      </c>
      <c r="I2139" s="2" t="s">
        <v>138</v>
      </c>
    </row>
    <row r="2140" ht="15.75" customHeight="1">
      <c r="A2140" s="2" t="s">
        <v>3682</v>
      </c>
      <c r="B2140" s="2" t="s">
        <v>3683</v>
      </c>
      <c r="C2140" s="2" t="s">
        <v>3659</v>
      </c>
      <c r="D2140" s="2" t="s">
        <v>809</v>
      </c>
      <c r="E2140" s="2" t="s">
        <v>811</v>
      </c>
      <c r="F2140" s="2">
        <v>261.0</v>
      </c>
      <c r="G2140" s="2">
        <v>5.1</v>
      </c>
      <c r="H2140" s="2">
        <v>51.2</v>
      </c>
      <c r="I2140" s="2" t="s">
        <v>47</v>
      </c>
    </row>
    <row r="2141" ht="15.75" customHeight="1">
      <c r="A2141" s="2" t="s">
        <v>5845</v>
      </c>
      <c r="B2141" s="2" t="s">
        <v>5846</v>
      </c>
      <c r="C2141" s="2" t="s">
        <v>3659</v>
      </c>
      <c r="D2141" s="2" t="s">
        <v>809</v>
      </c>
      <c r="E2141" s="2" t="s">
        <v>811</v>
      </c>
      <c r="F2141" s="2">
        <v>185.0</v>
      </c>
      <c r="G2141" s="2">
        <v>5.89</v>
      </c>
      <c r="H2141" s="2">
        <v>31.4</v>
      </c>
      <c r="I2141" s="2" t="s">
        <v>47</v>
      </c>
    </row>
    <row r="2142" ht="15.75" customHeight="1">
      <c r="A2142" s="2" t="s">
        <v>3684</v>
      </c>
      <c r="B2142" s="2" t="s">
        <v>3685</v>
      </c>
      <c r="C2142" s="2" t="s">
        <v>3659</v>
      </c>
      <c r="D2142" s="2" t="s">
        <v>807</v>
      </c>
      <c r="E2142" s="2" t="s">
        <v>808</v>
      </c>
      <c r="F2142" s="2">
        <v>3902.0</v>
      </c>
      <c r="G2142" s="2">
        <v>10.44</v>
      </c>
      <c r="H2142" s="2">
        <v>373.8</v>
      </c>
      <c r="I2142" s="2" t="s">
        <v>138</v>
      </c>
    </row>
    <row r="2143" ht="15.75" customHeight="1">
      <c r="A2143" s="2" t="s">
        <v>5847</v>
      </c>
      <c r="B2143" s="2" t="s">
        <v>5848</v>
      </c>
      <c r="C2143" s="2" t="s">
        <v>3659</v>
      </c>
      <c r="D2143" s="2" t="s">
        <v>951</v>
      </c>
      <c r="E2143" s="2" t="s">
        <v>953</v>
      </c>
      <c r="F2143" s="2">
        <v>194.0</v>
      </c>
      <c r="G2143" s="2">
        <v>4.86</v>
      </c>
      <c r="H2143" s="2">
        <v>39.9</v>
      </c>
      <c r="I2143" s="2" t="s">
        <v>47</v>
      </c>
    </row>
    <row r="2144" ht="15.75" customHeight="1">
      <c r="A2144" s="2" t="s">
        <v>5849</v>
      </c>
      <c r="B2144" s="2" t="s">
        <v>5850</v>
      </c>
      <c r="C2144" s="2" t="s">
        <v>3659</v>
      </c>
      <c r="D2144" s="2" t="s">
        <v>899</v>
      </c>
      <c r="E2144" s="2" t="s">
        <v>900</v>
      </c>
      <c r="F2144" s="2">
        <v>264.0</v>
      </c>
      <c r="G2144" s="2">
        <v>10.24</v>
      </c>
      <c r="H2144" s="2">
        <v>25.8</v>
      </c>
      <c r="I2144" s="2" t="s">
        <v>47</v>
      </c>
    </row>
    <row r="2145" ht="15.75" customHeight="1">
      <c r="A2145" s="2" t="s">
        <v>5851</v>
      </c>
      <c r="B2145" s="2" t="s">
        <v>5852</v>
      </c>
      <c r="C2145" s="2" t="s">
        <v>3659</v>
      </c>
      <c r="D2145" s="2" t="s">
        <v>1042</v>
      </c>
      <c r="E2145" s="2" t="s">
        <v>1043</v>
      </c>
      <c r="F2145" s="2">
        <v>624.0</v>
      </c>
      <c r="G2145" s="2">
        <v>9.23</v>
      </c>
      <c r="H2145" s="2">
        <v>67.6</v>
      </c>
      <c r="I2145" s="2" t="s">
        <v>27</v>
      </c>
    </row>
    <row r="2146" ht="15.75" customHeight="1">
      <c r="A2146" s="2" t="s">
        <v>5853</v>
      </c>
      <c r="B2146" s="2" t="s">
        <v>5854</v>
      </c>
      <c r="C2146" s="2" t="s">
        <v>3659</v>
      </c>
      <c r="D2146" s="2" t="s">
        <v>951</v>
      </c>
      <c r="E2146" s="2" t="s">
        <v>953</v>
      </c>
      <c r="F2146" s="2">
        <v>365.0</v>
      </c>
      <c r="G2146" s="2">
        <v>13.97</v>
      </c>
      <c r="H2146" s="2">
        <v>26.1</v>
      </c>
      <c r="I2146" s="2" t="s">
        <v>47</v>
      </c>
    </row>
    <row r="2147" ht="15.75" customHeight="1">
      <c r="A2147" s="2" t="s">
        <v>5855</v>
      </c>
      <c r="B2147" s="2" t="s">
        <v>5856</v>
      </c>
      <c r="C2147" s="2" t="s">
        <v>3659</v>
      </c>
      <c r="D2147" s="2" t="s">
        <v>861</v>
      </c>
      <c r="E2147" s="2" t="s">
        <v>862</v>
      </c>
      <c r="F2147" s="2">
        <v>291.0</v>
      </c>
      <c r="G2147" s="2">
        <v>9.99</v>
      </c>
      <c r="H2147" s="2">
        <v>29.1</v>
      </c>
      <c r="I2147" s="2" t="s">
        <v>47</v>
      </c>
    </row>
    <row r="2148" ht="15.75" customHeight="1">
      <c r="A2148" s="2" t="s">
        <v>3686</v>
      </c>
      <c r="B2148" s="2" t="s">
        <v>3687</v>
      </c>
      <c r="C2148" s="2" t="s">
        <v>3659</v>
      </c>
      <c r="D2148" s="2" t="s">
        <v>792</v>
      </c>
      <c r="E2148" s="2" t="s">
        <v>793</v>
      </c>
      <c r="F2148" s="2">
        <v>2823.0</v>
      </c>
      <c r="G2148" s="2">
        <v>7.82</v>
      </c>
      <c r="H2148" s="2">
        <v>361.0</v>
      </c>
      <c r="I2148" s="2" t="s">
        <v>138</v>
      </c>
    </row>
    <row r="2149" ht="15.75" customHeight="1">
      <c r="A2149" s="2" t="s">
        <v>3688</v>
      </c>
      <c r="B2149" s="2" t="s">
        <v>3689</v>
      </c>
      <c r="C2149" s="2" t="s">
        <v>3659</v>
      </c>
      <c r="D2149" s="2" t="s">
        <v>962</v>
      </c>
      <c r="E2149" s="2" t="s">
        <v>965</v>
      </c>
      <c r="F2149" s="2">
        <v>973.0</v>
      </c>
      <c r="G2149" s="2">
        <v>10.54</v>
      </c>
      <c r="H2149" s="2">
        <v>92.3</v>
      </c>
      <c r="I2149" s="2" t="s">
        <v>27</v>
      </c>
    </row>
    <row r="2150" ht="15.75" customHeight="1">
      <c r="A2150" s="2" t="s">
        <v>3692</v>
      </c>
      <c r="B2150" s="2" t="s">
        <v>3693</v>
      </c>
      <c r="C2150" s="2" t="s">
        <v>3659</v>
      </c>
      <c r="D2150" s="2" t="s">
        <v>892</v>
      </c>
      <c r="E2150" s="2" t="s">
        <v>893</v>
      </c>
      <c r="F2150" s="2">
        <v>2033.0</v>
      </c>
      <c r="G2150" s="2">
        <v>5.64</v>
      </c>
      <c r="H2150" s="2">
        <v>360.5</v>
      </c>
      <c r="I2150" s="2" t="s">
        <v>138</v>
      </c>
    </row>
    <row r="2151" ht="15.75" customHeight="1">
      <c r="A2151" s="2" t="s">
        <v>5857</v>
      </c>
      <c r="B2151" s="2" t="s">
        <v>5858</v>
      </c>
      <c r="C2151" s="2" t="s">
        <v>3659</v>
      </c>
      <c r="D2151" s="2" t="s">
        <v>951</v>
      </c>
      <c r="E2151" s="2" t="s">
        <v>953</v>
      </c>
      <c r="F2151" s="2">
        <v>118.0</v>
      </c>
      <c r="G2151" s="2">
        <v>3.4</v>
      </c>
      <c r="H2151" s="2">
        <v>34.7</v>
      </c>
      <c r="I2151" s="2" t="s">
        <v>47</v>
      </c>
    </row>
    <row r="2152" ht="15.75" customHeight="1">
      <c r="A2152" s="2" t="s">
        <v>5859</v>
      </c>
      <c r="B2152" s="2" t="s">
        <v>5860</v>
      </c>
      <c r="C2152" s="2" t="s">
        <v>3659</v>
      </c>
      <c r="D2152" s="2" t="s">
        <v>904</v>
      </c>
      <c r="E2152" s="2" t="s">
        <v>906</v>
      </c>
      <c r="F2152" s="2">
        <v>211.0</v>
      </c>
      <c r="G2152" s="2">
        <v>4.57</v>
      </c>
      <c r="H2152" s="2">
        <v>46.2</v>
      </c>
      <c r="I2152" s="2" t="s">
        <v>47</v>
      </c>
    </row>
    <row r="2153" ht="15.75" customHeight="1">
      <c r="A2153" s="2" t="s">
        <v>5861</v>
      </c>
      <c r="B2153" s="2" t="s">
        <v>5862</v>
      </c>
      <c r="C2153" s="2" t="s">
        <v>3659</v>
      </c>
      <c r="D2153" s="2" t="s">
        <v>792</v>
      </c>
      <c r="E2153" s="2" t="s">
        <v>793</v>
      </c>
      <c r="F2153" s="2">
        <v>676.0</v>
      </c>
      <c r="G2153" s="2">
        <v>3.65</v>
      </c>
      <c r="H2153" s="2">
        <v>185.2</v>
      </c>
      <c r="I2153" s="2" t="s">
        <v>27</v>
      </c>
    </row>
    <row r="2154" ht="15.75" customHeight="1">
      <c r="A2154" s="2" t="s">
        <v>3694</v>
      </c>
      <c r="B2154" s="2" t="s">
        <v>3695</v>
      </c>
      <c r="C2154" s="2" t="s">
        <v>3659</v>
      </c>
      <c r="D2154" s="2" t="s">
        <v>792</v>
      </c>
      <c r="E2154" s="2" t="s">
        <v>793</v>
      </c>
      <c r="F2154" s="2">
        <v>469.0</v>
      </c>
      <c r="G2154" s="2">
        <v>6.87</v>
      </c>
      <c r="H2154" s="2">
        <v>68.3</v>
      </c>
      <c r="I2154" s="2" t="s">
        <v>47</v>
      </c>
    </row>
    <row r="2155" ht="15.75" customHeight="1">
      <c r="A2155" s="2" t="s">
        <v>5863</v>
      </c>
      <c r="B2155" s="2" t="s">
        <v>5864</v>
      </c>
      <c r="C2155" s="2" t="s">
        <v>3659</v>
      </c>
      <c r="D2155" s="2" t="s">
        <v>904</v>
      </c>
      <c r="E2155" s="2" t="s">
        <v>906</v>
      </c>
      <c r="F2155" s="2">
        <v>297.0</v>
      </c>
      <c r="G2155" s="2">
        <v>8.67</v>
      </c>
      <c r="H2155" s="2">
        <v>34.3</v>
      </c>
      <c r="I2155" s="2" t="s">
        <v>47</v>
      </c>
    </row>
    <row r="2156" ht="15.75" customHeight="1">
      <c r="A2156" s="2" t="s">
        <v>3696</v>
      </c>
      <c r="B2156" s="2" t="s">
        <v>3697</v>
      </c>
      <c r="C2156" s="2" t="s">
        <v>3659</v>
      </c>
      <c r="D2156" s="2" t="s">
        <v>1042</v>
      </c>
      <c r="E2156" s="2" t="s">
        <v>1043</v>
      </c>
      <c r="F2156" s="2">
        <v>1523.0</v>
      </c>
      <c r="G2156" s="2">
        <v>7.25</v>
      </c>
      <c r="H2156" s="2">
        <v>210.1</v>
      </c>
      <c r="I2156" s="2" t="s">
        <v>27</v>
      </c>
    </row>
    <row r="2157" ht="15.75" customHeight="1">
      <c r="A2157" s="2" t="s">
        <v>3698</v>
      </c>
      <c r="B2157" s="2" t="s">
        <v>3699</v>
      </c>
      <c r="C2157" s="2" t="s">
        <v>3659</v>
      </c>
      <c r="D2157" s="2" t="s">
        <v>807</v>
      </c>
      <c r="E2157" s="2" t="s">
        <v>808</v>
      </c>
      <c r="F2157" s="2">
        <v>4641.0</v>
      </c>
      <c r="G2157" s="2">
        <v>4.83</v>
      </c>
      <c r="H2157" s="2">
        <v>960.9</v>
      </c>
      <c r="I2157" s="2" t="s">
        <v>138</v>
      </c>
    </row>
    <row r="2158" ht="15.75" customHeight="1">
      <c r="A2158" s="2" t="s">
        <v>3700</v>
      </c>
      <c r="B2158" s="2" t="s">
        <v>3701</v>
      </c>
      <c r="C2158" s="2" t="s">
        <v>3659</v>
      </c>
      <c r="D2158" s="2" t="s">
        <v>807</v>
      </c>
      <c r="E2158" s="2" t="s">
        <v>808</v>
      </c>
      <c r="F2158" s="2">
        <v>4571.0</v>
      </c>
      <c r="G2158" s="2">
        <v>4.32</v>
      </c>
      <c r="H2158" s="2">
        <v>1058.1</v>
      </c>
      <c r="I2158" s="2" t="s">
        <v>138</v>
      </c>
    </row>
    <row r="2159" ht="15.75" customHeight="1">
      <c r="A2159" s="2" t="s">
        <v>3702</v>
      </c>
      <c r="B2159" s="2" t="s">
        <v>3703</v>
      </c>
      <c r="C2159" s="2" t="s">
        <v>3659</v>
      </c>
      <c r="D2159" s="2" t="s">
        <v>792</v>
      </c>
      <c r="E2159" s="2" t="s">
        <v>793</v>
      </c>
      <c r="F2159" s="2">
        <v>2133.0</v>
      </c>
      <c r="G2159" s="2">
        <v>3.97</v>
      </c>
      <c r="H2159" s="2">
        <v>537.3</v>
      </c>
      <c r="I2159" s="2" t="s">
        <v>138</v>
      </c>
    </row>
    <row r="2160" ht="15.75" customHeight="1">
      <c r="A2160" s="2" t="s">
        <v>3704</v>
      </c>
      <c r="B2160" s="2" t="s">
        <v>3705</v>
      </c>
      <c r="C2160" s="2" t="s">
        <v>3659</v>
      </c>
      <c r="D2160" s="2" t="s">
        <v>792</v>
      </c>
      <c r="E2160" s="2" t="s">
        <v>793</v>
      </c>
      <c r="F2160" s="2">
        <v>5825.0</v>
      </c>
      <c r="G2160" s="2">
        <v>6.04</v>
      </c>
      <c r="H2160" s="2">
        <v>964.4</v>
      </c>
      <c r="I2160" s="2" t="s">
        <v>138</v>
      </c>
    </row>
    <row r="2161" ht="15.75" customHeight="1">
      <c r="A2161" s="2" t="s">
        <v>3706</v>
      </c>
      <c r="B2161" s="2" t="s">
        <v>3707</v>
      </c>
      <c r="C2161" s="2" t="s">
        <v>3659</v>
      </c>
      <c r="D2161" s="2" t="s">
        <v>1004</v>
      </c>
      <c r="E2161" s="2" t="s">
        <v>1006</v>
      </c>
      <c r="F2161" s="2">
        <v>700.0</v>
      </c>
      <c r="G2161" s="2">
        <v>7.89</v>
      </c>
      <c r="H2161" s="2">
        <v>88.7</v>
      </c>
      <c r="I2161" s="2" t="s">
        <v>27</v>
      </c>
    </row>
    <row r="2162" ht="15.75" customHeight="1">
      <c r="A2162" s="2" t="s">
        <v>3708</v>
      </c>
      <c r="B2162" s="2" t="s">
        <v>3709</v>
      </c>
      <c r="C2162" s="2" t="s">
        <v>3659</v>
      </c>
      <c r="D2162" s="2" t="s">
        <v>1082</v>
      </c>
      <c r="E2162" s="2" t="s">
        <v>1084</v>
      </c>
      <c r="F2162" s="2">
        <v>2833.0</v>
      </c>
      <c r="G2162" s="2">
        <v>5.12</v>
      </c>
      <c r="H2162" s="2">
        <v>553.3</v>
      </c>
      <c r="I2162" s="2" t="s">
        <v>138</v>
      </c>
    </row>
    <row r="2163" ht="15.75" customHeight="1">
      <c r="A2163" s="2" t="s">
        <v>3712</v>
      </c>
      <c r="B2163" s="2" t="s">
        <v>3713</v>
      </c>
      <c r="C2163" s="2" t="s">
        <v>3659</v>
      </c>
      <c r="D2163" s="2" t="s">
        <v>1042</v>
      </c>
      <c r="E2163" s="2" t="s">
        <v>1043</v>
      </c>
      <c r="F2163" s="2">
        <v>4389.0</v>
      </c>
      <c r="G2163" s="2">
        <v>13.63</v>
      </c>
      <c r="H2163" s="2">
        <v>322.0</v>
      </c>
      <c r="I2163" s="2" t="s">
        <v>138</v>
      </c>
    </row>
    <row r="2164" ht="15.75" customHeight="1">
      <c r="A2164" s="2" t="s">
        <v>3714</v>
      </c>
      <c r="B2164" s="2" t="s">
        <v>3716</v>
      </c>
      <c r="C2164" s="2" t="s">
        <v>3659</v>
      </c>
      <c r="D2164" s="2" t="s">
        <v>1038</v>
      </c>
      <c r="E2164" s="2" t="s">
        <v>1039</v>
      </c>
      <c r="F2164" s="2">
        <v>960.0</v>
      </c>
      <c r="G2164" s="2">
        <v>6.29</v>
      </c>
      <c r="H2164" s="2">
        <v>152.6</v>
      </c>
      <c r="I2164" s="2" t="s">
        <v>27</v>
      </c>
    </row>
    <row r="2165" ht="15.75" customHeight="1">
      <c r="A2165" s="2" t="s">
        <v>3718</v>
      </c>
      <c r="B2165" s="2" t="s">
        <v>3719</v>
      </c>
      <c r="C2165" s="2" t="s">
        <v>3659</v>
      </c>
      <c r="D2165" s="2" t="s">
        <v>833</v>
      </c>
      <c r="E2165" s="2" t="s">
        <v>835</v>
      </c>
      <c r="F2165" s="2">
        <v>9431.0</v>
      </c>
      <c r="G2165" s="2">
        <v>22.37</v>
      </c>
      <c r="H2165" s="2">
        <v>421.6</v>
      </c>
      <c r="I2165" s="2" t="s">
        <v>138</v>
      </c>
    </row>
    <row r="2166" ht="15.75" customHeight="1">
      <c r="A2166" s="2" t="s">
        <v>3720</v>
      </c>
      <c r="B2166" s="2" t="s">
        <v>3721</v>
      </c>
      <c r="C2166" s="2" t="s">
        <v>3659</v>
      </c>
      <c r="D2166" s="2" t="s">
        <v>1082</v>
      </c>
      <c r="E2166" s="2" t="s">
        <v>1084</v>
      </c>
      <c r="F2166" s="2">
        <v>42875.0</v>
      </c>
      <c r="G2166" s="2">
        <v>11.88</v>
      </c>
      <c r="H2166" s="2">
        <v>3609.0</v>
      </c>
      <c r="I2166" s="2" t="s">
        <v>805</v>
      </c>
    </row>
    <row r="2167" ht="15.75" customHeight="1">
      <c r="A2167" s="2" t="s">
        <v>3722</v>
      </c>
      <c r="B2167" s="2" t="s">
        <v>3723</v>
      </c>
      <c r="C2167" s="2" t="s">
        <v>3659</v>
      </c>
      <c r="D2167" s="2" t="s">
        <v>1082</v>
      </c>
      <c r="E2167" s="2" t="s">
        <v>1084</v>
      </c>
      <c r="F2167" s="2">
        <v>1038.0</v>
      </c>
      <c r="G2167" s="2">
        <v>4.33</v>
      </c>
      <c r="H2167" s="2">
        <v>239.7</v>
      </c>
      <c r="I2167" s="2" t="s">
        <v>27</v>
      </c>
    </row>
    <row r="2168" ht="15.75" customHeight="1">
      <c r="A2168" s="2" t="s">
        <v>3724</v>
      </c>
      <c r="B2168" s="2" t="s">
        <v>3725</v>
      </c>
      <c r="C2168" s="2" t="s">
        <v>3659</v>
      </c>
      <c r="D2168" s="2" t="s">
        <v>809</v>
      </c>
      <c r="E2168" s="2" t="s">
        <v>811</v>
      </c>
      <c r="F2168" s="2">
        <v>885.0</v>
      </c>
      <c r="G2168" s="2">
        <v>6.59</v>
      </c>
      <c r="H2168" s="2">
        <v>134.3</v>
      </c>
      <c r="I2168" s="2" t="s">
        <v>27</v>
      </c>
    </row>
    <row r="2169" ht="15.75" customHeight="1">
      <c r="A2169" s="2" t="s">
        <v>3726</v>
      </c>
      <c r="B2169" s="2" t="s">
        <v>3727</v>
      </c>
      <c r="C2169" s="2" t="s">
        <v>3659</v>
      </c>
      <c r="D2169" s="2" t="s">
        <v>904</v>
      </c>
      <c r="E2169" s="2" t="s">
        <v>906</v>
      </c>
      <c r="F2169" s="2">
        <v>1489.0</v>
      </c>
      <c r="G2169" s="2">
        <v>6.26</v>
      </c>
      <c r="H2169" s="2">
        <v>237.9</v>
      </c>
      <c r="I2169" s="2" t="s">
        <v>27</v>
      </c>
    </row>
    <row r="2170" ht="15.75" customHeight="1">
      <c r="A2170" s="2" t="s">
        <v>3728</v>
      </c>
      <c r="B2170" s="2" t="s">
        <v>3729</v>
      </c>
      <c r="C2170" s="2" t="s">
        <v>3659</v>
      </c>
      <c r="D2170" s="2" t="s">
        <v>899</v>
      </c>
      <c r="E2170" s="2" t="s">
        <v>900</v>
      </c>
      <c r="F2170" s="2">
        <v>733.0</v>
      </c>
      <c r="G2170" s="2">
        <v>6.69</v>
      </c>
      <c r="H2170" s="2">
        <v>109.6</v>
      </c>
      <c r="I2170" s="2" t="s">
        <v>27</v>
      </c>
    </row>
    <row r="2171" ht="15.75" customHeight="1">
      <c r="A2171" s="2" t="s">
        <v>5865</v>
      </c>
      <c r="B2171" s="2" t="s">
        <v>5866</v>
      </c>
      <c r="C2171" s="2" t="s">
        <v>3659</v>
      </c>
      <c r="D2171" s="2" t="s">
        <v>1004</v>
      </c>
      <c r="E2171" s="2" t="s">
        <v>1006</v>
      </c>
      <c r="F2171" s="2">
        <v>141.0</v>
      </c>
      <c r="G2171" s="2">
        <v>2.72</v>
      </c>
      <c r="H2171" s="2">
        <v>51.8</v>
      </c>
      <c r="I2171" s="2" t="s">
        <v>47</v>
      </c>
    </row>
    <row r="2172" ht="15.75" customHeight="1">
      <c r="A2172" s="2" t="s">
        <v>3731</v>
      </c>
      <c r="B2172" s="2" t="s">
        <v>3732</v>
      </c>
      <c r="C2172" s="2" t="s">
        <v>3659</v>
      </c>
      <c r="D2172" s="2" t="s">
        <v>792</v>
      </c>
      <c r="E2172" s="2" t="s">
        <v>793</v>
      </c>
      <c r="F2172" s="2">
        <v>10051.0</v>
      </c>
      <c r="G2172" s="2">
        <v>5.97</v>
      </c>
      <c r="H2172" s="2">
        <v>1683.6</v>
      </c>
      <c r="I2172" s="2" t="s">
        <v>805</v>
      </c>
    </row>
    <row r="2173" ht="15.75" customHeight="1">
      <c r="A2173" s="2" t="s">
        <v>3733</v>
      </c>
      <c r="B2173" s="2" t="s">
        <v>3734</v>
      </c>
      <c r="C2173" s="2" t="s">
        <v>3659</v>
      </c>
      <c r="D2173" s="2" t="s">
        <v>792</v>
      </c>
      <c r="E2173" s="2" t="s">
        <v>793</v>
      </c>
      <c r="F2173" s="2">
        <v>548.0</v>
      </c>
      <c r="G2173" s="2">
        <v>4.29</v>
      </c>
      <c r="H2173" s="2">
        <v>127.7</v>
      </c>
      <c r="I2173" s="2" t="s">
        <v>27</v>
      </c>
    </row>
    <row r="2174" ht="15.75" customHeight="1">
      <c r="A2174" s="2" t="s">
        <v>3735</v>
      </c>
      <c r="B2174" s="2" t="s">
        <v>3736</v>
      </c>
      <c r="C2174" s="2" t="s">
        <v>3659</v>
      </c>
      <c r="D2174" s="2" t="s">
        <v>792</v>
      </c>
      <c r="E2174" s="2" t="s">
        <v>793</v>
      </c>
      <c r="F2174" s="2">
        <v>4625.0</v>
      </c>
      <c r="G2174" s="2">
        <v>5.09</v>
      </c>
      <c r="H2174" s="2">
        <v>908.6</v>
      </c>
      <c r="I2174" s="2" t="s">
        <v>138</v>
      </c>
    </row>
    <row r="2175" ht="15.75" customHeight="1">
      <c r="A2175" s="2" t="s">
        <v>3737</v>
      </c>
      <c r="B2175" s="2" t="s">
        <v>3738</v>
      </c>
      <c r="C2175" s="2" t="s">
        <v>3659</v>
      </c>
      <c r="D2175" s="2" t="s">
        <v>899</v>
      </c>
      <c r="E2175" s="2" t="s">
        <v>900</v>
      </c>
      <c r="F2175" s="2">
        <v>1513.0</v>
      </c>
      <c r="G2175" s="2">
        <v>9.75</v>
      </c>
      <c r="H2175" s="2">
        <v>155.2</v>
      </c>
      <c r="I2175" s="2" t="s">
        <v>27</v>
      </c>
    </row>
    <row r="2176" ht="15.75" customHeight="1">
      <c r="A2176" s="2" t="s">
        <v>5867</v>
      </c>
      <c r="B2176" s="2" t="s">
        <v>5868</v>
      </c>
      <c r="C2176" s="2" t="s">
        <v>3659</v>
      </c>
      <c r="D2176" s="2" t="s">
        <v>892</v>
      </c>
      <c r="E2176" s="2" t="s">
        <v>893</v>
      </c>
      <c r="F2176" s="2">
        <v>424.0</v>
      </c>
      <c r="G2176" s="2">
        <v>7.55</v>
      </c>
      <c r="H2176" s="2">
        <v>56.2</v>
      </c>
      <c r="I2176" s="2" t="s">
        <v>47</v>
      </c>
    </row>
    <row r="2177" ht="15.75" customHeight="1">
      <c r="A2177" s="2" t="s">
        <v>3739</v>
      </c>
      <c r="B2177" s="2" t="s">
        <v>3740</v>
      </c>
      <c r="C2177" s="2" t="s">
        <v>3659</v>
      </c>
      <c r="D2177" s="2" t="s">
        <v>833</v>
      </c>
      <c r="E2177" s="2" t="s">
        <v>835</v>
      </c>
      <c r="F2177" s="2">
        <v>684.0</v>
      </c>
      <c r="G2177" s="2">
        <v>15.22</v>
      </c>
      <c r="H2177" s="2">
        <v>44.9</v>
      </c>
      <c r="I2177" s="2" t="s">
        <v>27</v>
      </c>
    </row>
    <row r="2178" ht="15.75" customHeight="1">
      <c r="A2178" s="2" t="s">
        <v>3741</v>
      </c>
      <c r="B2178" s="2" t="s">
        <v>3742</v>
      </c>
      <c r="C2178" s="2" t="s">
        <v>3659</v>
      </c>
      <c r="D2178" s="2" t="s">
        <v>892</v>
      </c>
      <c r="E2178" s="2" t="s">
        <v>893</v>
      </c>
      <c r="F2178" s="2">
        <v>617.0</v>
      </c>
      <c r="G2178" s="2">
        <v>13.36</v>
      </c>
      <c r="H2178" s="2">
        <v>46.2</v>
      </c>
      <c r="I2178" s="2" t="s">
        <v>27</v>
      </c>
    </row>
    <row r="2179" ht="15.75" customHeight="1">
      <c r="A2179" s="2" t="s">
        <v>3743</v>
      </c>
      <c r="B2179" s="2" t="s">
        <v>3744</v>
      </c>
      <c r="C2179" s="2" t="s">
        <v>3659</v>
      </c>
      <c r="D2179" s="2" t="s">
        <v>962</v>
      </c>
      <c r="E2179" s="2" t="s">
        <v>965</v>
      </c>
      <c r="F2179" s="2">
        <v>521.0</v>
      </c>
      <c r="G2179" s="2">
        <v>9.27</v>
      </c>
      <c r="H2179" s="2">
        <v>56.2</v>
      </c>
      <c r="I2179" s="2" t="s">
        <v>27</v>
      </c>
    </row>
    <row r="2180" ht="15.75" customHeight="1">
      <c r="A2180" s="2" t="s">
        <v>3747</v>
      </c>
      <c r="B2180" s="2" t="s">
        <v>3748</v>
      </c>
      <c r="C2180" s="2" t="s">
        <v>3659</v>
      </c>
      <c r="D2180" s="2" t="s">
        <v>892</v>
      </c>
      <c r="E2180" s="2" t="s">
        <v>893</v>
      </c>
      <c r="F2180" s="2">
        <v>608.0</v>
      </c>
      <c r="G2180" s="2">
        <v>5.76</v>
      </c>
      <c r="H2180" s="2">
        <v>105.6</v>
      </c>
      <c r="I2180" s="2" t="s">
        <v>27</v>
      </c>
    </row>
    <row r="2181" ht="15.75" customHeight="1">
      <c r="A2181" s="2" t="s">
        <v>3749</v>
      </c>
      <c r="B2181" s="2" t="s">
        <v>3750</v>
      </c>
      <c r="C2181" s="2" t="s">
        <v>3659</v>
      </c>
      <c r="D2181" s="2" t="s">
        <v>888</v>
      </c>
      <c r="E2181" s="2" t="s">
        <v>889</v>
      </c>
      <c r="F2181" s="2">
        <v>5309.0</v>
      </c>
      <c r="G2181" s="2">
        <v>14.43</v>
      </c>
      <c r="H2181" s="2">
        <v>367.9</v>
      </c>
      <c r="I2181" s="2" t="s">
        <v>138</v>
      </c>
    </row>
    <row r="2182" ht="15.75" customHeight="1">
      <c r="A2182" s="2" t="s">
        <v>5869</v>
      </c>
      <c r="B2182" s="2" t="s">
        <v>5870</v>
      </c>
      <c r="C2182" s="2" t="s">
        <v>3659</v>
      </c>
      <c r="D2182" s="2" t="s">
        <v>1004</v>
      </c>
      <c r="E2182" s="2" t="s">
        <v>1006</v>
      </c>
      <c r="F2182" s="2">
        <v>189.0</v>
      </c>
      <c r="G2182" s="2">
        <v>3.42</v>
      </c>
      <c r="H2182" s="2">
        <v>55.3</v>
      </c>
      <c r="I2182" s="2" t="s">
        <v>47</v>
      </c>
    </row>
    <row r="2183" ht="15.75" customHeight="1">
      <c r="A2183" s="2" t="s">
        <v>5871</v>
      </c>
      <c r="B2183" s="2" t="s">
        <v>5872</v>
      </c>
      <c r="C2183" s="2" t="s">
        <v>3659</v>
      </c>
      <c r="D2183" s="2" t="s">
        <v>1042</v>
      </c>
      <c r="E2183" s="2" t="s">
        <v>1043</v>
      </c>
      <c r="F2183" s="2">
        <v>293.0</v>
      </c>
      <c r="G2183" s="2">
        <v>2.98</v>
      </c>
      <c r="H2183" s="2">
        <v>98.3</v>
      </c>
      <c r="I2183" s="2" t="s">
        <v>47</v>
      </c>
    </row>
    <row r="2184" ht="15.75" customHeight="1">
      <c r="A2184" s="2" t="s">
        <v>3751</v>
      </c>
      <c r="B2184" s="2" t="s">
        <v>3752</v>
      </c>
      <c r="C2184" s="2" t="s">
        <v>3659</v>
      </c>
      <c r="D2184" s="2" t="s">
        <v>1004</v>
      </c>
      <c r="E2184" s="2" t="s">
        <v>1006</v>
      </c>
      <c r="F2184" s="2">
        <v>2547.0</v>
      </c>
      <c r="G2184" s="2">
        <v>27.28</v>
      </c>
      <c r="H2184" s="2">
        <v>93.4</v>
      </c>
      <c r="I2184" s="2" t="s">
        <v>138</v>
      </c>
    </row>
    <row r="2185" ht="15.75" customHeight="1">
      <c r="A2185" s="2" t="s">
        <v>5873</v>
      </c>
      <c r="B2185" s="2" t="s">
        <v>5874</v>
      </c>
      <c r="C2185" s="2" t="s">
        <v>3659</v>
      </c>
      <c r="D2185" s="2" t="s">
        <v>1004</v>
      </c>
      <c r="E2185" s="2" t="s">
        <v>1006</v>
      </c>
      <c r="F2185" s="2">
        <v>295.0</v>
      </c>
      <c r="G2185" s="2">
        <v>8.56</v>
      </c>
      <c r="H2185" s="2">
        <v>34.5</v>
      </c>
      <c r="I2185" s="2" t="s">
        <v>47</v>
      </c>
    </row>
    <row r="2186" ht="15.75" customHeight="1">
      <c r="A2186" s="2" t="s">
        <v>5875</v>
      </c>
      <c r="B2186" s="2" t="s">
        <v>5876</v>
      </c>
      <c r="C2186" s="2" t="s">
        <v>3659</v>
      </c>
      <c r="D2186" s="2" t="s">
        <v>951</v>
      </c>
      <c r="E2186" s="2" t="s">
        <v>953</v>
      </c>
      <c r="F2186" s="2">
        <v>46.0</v>
      </c>
      <c r="G2186" s="2">
        <v>3.02</v>
      </c>
      <c r="H2186" s="2">
        <v>15.2</v>
      </c>
      <c r="I2186" s="2" t="s">
        <v>47</v>
      </c>
    </row>
    <row r="2187" ht="15.75" customHeight="1">
      <c r="A2187" s="2" t="s">
        <v>3753</v>
      </c>
      <c r="B2187" s="2" t="s">
        <v>3754</v>
      </c>
      <c r="C2187" s="2" t="s">
        <v>3659</v>
      </c>
      <c r="D2187" s="2" t="s">
        <v>904</v>
      </c>
      <c r="E2187" s="2" t="s">
        <v>906</v>
      </c>
      <c r="F2187" s="2">
        <v>1840.0</v>
      </c>
      <c r="G2187" s="2">
        <v>9.3</v>
      </c>
      <c r="H2187" s="2">
        <v>197.8</v>
      </c>
      <c r="I2187" s="2" t="s">
        <v>27</v>
      </c>
    </row>
    <row r="2188" ht="15.75" customHeight="1">
      <c r="A2188" s="2" t="s">
        <v>5877</v>
      </c>
      <c r="B2188" s="2" t="s">
        <v>5878</v>
      </c>
      <c r="C2188" s="2" t="s">
        <v>3659</v>
      </c>
      <c r="D2188" s="2" t="s">
        <v>997</v>
      </c>
      <c r="E2188" s="2" t="s">
        <v>999</v>
      </c>
      <c r="F2188" s="2">
        <v>174.0</v>
      </c>
      <c r="G2188" s="2">
        <v>3.1</v>
      </c>
      <c r="H2188" s="2">
        <v>56.1</v>
      </c>
      <c r="I2188" s="2" t="s">
        <v>47</v>
      </c>
    </row>
    <row r="2189" ht="15.75" customHeight="1">
      <c r="A2189" s="2" t="s">
        <v>3757</v>
      </c>
      <c r="B2189" s="2" t="s">
        <v>3758</v>
      </c>
      <c r="C2189" s="2" t="s">
        <v>3659</v>
      </c>
      <c r="D2189" s="2" t="s">
        <v>807</v>
      </c>
      <c r="E2189" s="2" t="s">
        <v>808</v>
      </c>
      <c r="F2189" s="2">
        <v>17435.0</v>
      </c>
      <c r="G2189" s="2">
        <v>13.01</v>
      </c>
      <c r="H2189" s="2">
        <v>1340.1</v>
      </c>
      <c r="I2189" s="2" t="s">
        <v>805</v>
      </c>
    </row>
    <row r="2190" ht="15.75" customHeight="1">
      <c r="A2190" s="2" t="s">
        <v>5879</v>
      </c>
      <c r="B2190" s="2" t="s">
        <v>5880</v>
      </c>
      <c r="C2190" s="2" t="s">
        <v>3659</v>
      </c>
      <c r="D2190" s="2" t="s">
        <v>951</v>
      </c>
      <c r="E2190" s="2" t="s">
        <v>953</v>
      </c>
      <c r="F2190" s="2">
        <v>33.0</v>
      </c>
      <c r="G2190" s="2">
        <v>2.23</v>
      </c>
      <c r="H2190" s="2">
        <v>14.8</v>
      </c>
      <c r="I2190" s="2" t="s">
        <v>47</v>
      </c>
    </row>
    <row r="2191" ht="15.75" customHeight="1">
      <c r="A2191" s="2" t="s">
        <v>5881</v>
      </c>
      <c r="B2191" s="2" t="s">
        <v>5882</v>
      </c>
      <c r="C2191" s="2" t="s">
        <v>3659</v>
      </c>
      <c r="D2191" s="2" t="s">
        <v>833</v>
      </c>
      <c r="E2191" s="2" t="s">
        <v>835</v>
      </c>
      <c r="F2191" s="2">
        <v>536.0</v>
      </c>
      <c r="G2191" s="2">
        <v>4.77</v>
      </c>
      <c r="H2191" s="2">
        <v>112.4</v>
      </c>
      <c r="I2191" s="2" t="s">
        <v>27</v>
      </c>
    </row>
    <row r="2192" ht="15.75" customHeight="1">
      <c r="A2192" s="2" t="s">
        <v>5883</v>
      </c>
      <c r="B2192" s="2" t="s">
        <v>5884</v>
      </c>
      <c r="C2192" s="2" t="s">
        <v>3659</v>
      </c>
      <c r="D2192" s="2" t="s">
        <v>997</v>
      </c>
      <c r="E2192" s="2" t="s">
        <v>999</v>
      </c>
      <c r="F2192" s="2">
        <v>330.0</v>
      </c>
      <c r="G2192" s="2">
        <v>5.16</v>
      </c>
      <c r="H2192" s="2">
        <v>64.0</v>
      </c>
      <c r="I2192" s="2" t="s">
        <v>47</v>
      </c>
    </row>
    <row r="2193" ht="15.75" customHeight="1">
      <c r="A2193" s="2" t="s">
        <v>5885</v>
      </c>
      <c r="B2193" s="2" t="s">
        <v>5886</v>
      </c>
      <c r="C2193" s="2" t="s">
        <v>3659</v>
      </c>
      <c r="D2193" s="2" t="s">
        <v>899</v>
      </c>
      <c r="E2193" s="2" t="s">
        <v>900</v>
      </c>
      <c r="F2193" s="2">
        <v>302.0</v>
      </c>
      <c r="G2193" s="2">
        <v>8.59</v>
      </c>
      <c r="H2193" s="2">
        <v>35.2</v>
      </c>
      <c r="I2193" s="2" t="s">
        <v>47</v>
      </c>
    </row>
    <row r="2194" ht="15.75" customHeight="1">
      <c r="A2194" s="2" t="s">
        <v>3759</v>
      </c>
      <c r="B2194" s="2" t="s">
        <v>3760</v>
      </c>
      <c r="C2194" s="2" t="s">
        <v>3659</v>
      </c>
      <c r="D2194" s="2" t="s">
        <v>1082</v>
      </c>
      <c r="E2194" s="2" t="s">
        <v>1084</v>
      </c>
      <c r="F2194" s="2">
        <v>1429.0</v>
      </c>
      <c r="G2194" s="2">
        <v>9.32</v>
      </c>
      <c r="H2194" s="2">
        <v>153.3</v>
      </c>
      <c r="I2194" s="2" t="s">
        <v>27</v>
      </c>
    </row>
    <row r="2195" ht="15.75" customHeight="1">
      <c r="A2195" s="2" t="s">
        <v>5887</v>
      </c>
      <c r="B2195" s="2" t="s">
        <v>5888</v>
      </c>
      <c r="C2195" s="2" t="s">
        <v>3659</v>
      </c>
      <c r="D2195" s="2" t="s">
        <v>904</v>
      </c>
      <c r="E2195" s="2" t="s">
        <v>906</v>
      </c>
      <c r="F2195" s="2">
        <v>264.0</v>
      </c>
      <c r="G2195" s="2">
        <v>6.78</v>
      </c>
      <c r="H2195" s="2">
        <v>38.9</v>
      </c>
      <c r="I2195" s="2" t="s">
        <v>47</v>
      </c>
    </row>
    <row r="2196" ht="15.75" customHeight="1">
      <c r="A2196" s="2" t="s">
        <v>5889</v>
      </c>
      <c r="B2196" s="2" t="s">
        <v>5890</v>
      </c>
      <c r="C2196" s="2" t="s">
        <v>3659</v>
      </c>
      <c r="D2196" s="2" t="s">
        <v>1004</v>
      </c>
      <c r="E2196" s="2" t="s">
        <v>1006</v>
      </c>
      <c r="F2196" s="2">
        <v>408.0</v>
      </c>
      <c r="G2196" s="2">
        <v>3.54</v>
      </c>
      <c r="H2196" s="2">
        <v>115.3</v>
      </c>
      <c r="I2196" s="2" t="s">
        <v>47</v>
      </c>
    </row>
    <row r="2197" ht="15.75" customHeight="1">
      <c r="A2197" s="2" t="s">
        <v>5891</v>
      </c>
      <c r="B2197" s="2" t="s">
        <v>5892</v>
      </c>
      <c r="C2197" s="2" t="s">
        <v>3659</v>
      </c>
      <c r="D2197" s="2" t="s">
        <v>904</v>
      </c>
      <c r="E2197" s="2" t="s">
        <v>906</v>
      </c>
      <c r="F2197" s="2">
        <v>213.0</v>
      </c>
      <c r="G2197" s="2">
        <v>5.31</v>
      </c>
      <c r="H2197" s="2">
        <v>40.1</v>
      </c>
      <c r="I2197" s="2" t="s">
        <v>47</v>
      </c>
    </row>
    <row r="2198" ht="15.75" customHeight="1">
      <c r="A2198" s="2" t="s">
        <v>5893</v>
      </c>
      <c r="B2198" s="2" t="s">
        <v>5894</v>
      </c>
      <c r="C2198" s="2" t="s">
        <v>3659</v>
      </c>
      <c r="D2198" s="2" t="s">
        <v>904</v>
      </c>
      <c r="E2198" s="2" t="s">
        <v>906</v>
      </c>
      <c r="F2198" s="2">
        <v>237.0</v>
      </c>
      <c r="G2198" s="2">
        <v>3.95</v>
      </c>
      <c r="H2198" s="2">
        <v>60.0</v>
      </c>
      <c r="I2198" s="2" t="s">
        <v>47</v>
      </c>
    </row>
    <row r="2199" ht="15.75" customHeight="1">
      <c r="A2199" s="2" t="s">
        <v>3761</v>
      </c>
      <c r="B2199" s="2" t="s">
        <v>3762</v>
      </c>
      <c r="C2199" s="2" t="s">
        <v>3659</v>
      </c>
      <c r="D2199" s="2" t="s">
        <v>823</v>
      </c>
      <c r="E2199" s="2" t="s">
        <v>824</v>
      </c>
      <c r="F2199" s="2">
        <v>1324.0</v>
      </c>
      <c r="G2199" s="2">
        <v>26.83</v>
      </c>
      <c r="H2199" s="2">
        <v>49.3</v>
      </c>
      <c r="I2199" s="2" t="s">
        <v>27</v>
      </c>
    </row>
    <row r="2200" ht="15.75" customHeight="1">
      <c r="A2200" s="2" t="s">
        <v>5895</v>
      </c>
      <c r="B2200" s="2" t="s">
        <v>5896</v>
      </c>
      <c r="C2200" s="2" t="s">
        <v>3659</v>
      </c>
      <c r="D2200" s="2" t="s">
        <v>1042</v>
      </c>
      <c r="E2200" s="2" t="s">
        <v>1043</v>
      </c>
      <c r="F2200" s="2">
        <v>208.0</v>
      </c>
      <c r="G2200" s="2">
        <v>6.81</v>
      </c>
      <c r="H2200" s="2">
        <v>30.5</v>
      </c>
      <c r="I2200" s="2" t="s">
        <v>47</v>
      </c>
    </row>
    <row r="2201" ht="15.75" customHeight="1">
      <c r="A2201" s="2" t="s">
        <v>5897</v>
      </c>
      <c r="B2201" s="2" t="s">
        <v>5898</v>
      </c>
      <c r="C2201" s="2" t="s">
        <v>3659</v>
      </c>
      <c r="D2201" s="2" t="s">
        <v>792</v>
      </c>
      <c r="E2201" s="2" t="s">
        <v>793</v>
      </c>
      <c r="F2201" s="2">
        <v>355.0</v>
      </c>
      <c r="G2201" s="2">
        <v>2.98</v>
      </c>
      <c r="H2201" s="2">
        <v>119.1</v>
      </c>
      <c r="I2201" s="2" t="s">
        <v>47</v>
      </c>
    </row>
    <row r="2202" ht="15.75" customHeight="1">
      <c r="A2202" s="2" t="s">
        <v>3763</v>
      </c>
      <c r="B2202" s="2" t="s">
        <v>3764</v>
      </c>
      <c r="C2202" s="2" t="s">
        <v>3659</v>
      </c>
      <c r="D2202" s="2" t="s">
        <v>1042</v>
      </c>
      <c r="E2202" s="2" t="s">
        <v>1043</v>
      </c>
      <c r="F2202" s="2">
        <v>1220.0</v>
      </c>
      <c r="G2202" s="2">
        <v>5.79</v>
      </c>
      <c r="H2202" s="2">
        <v>210.7</v>
      </c>
      <c r="I2202" s="2" t="s">
        <v>27</v>
      </c>
    </row>
    <row r="2203" ht="15.75" customHeight="1">
      <c r="A2203" s="2" t="s">
        <v>5899</v>
      </c>
      <c r="B2203" s="2" t="s">
        <v>5900</v>
      </c>
      <c r="C2203" s="2" t="s">
        <v>3659</v>
      </c>
      <c r="D2203" s="2" t="s">
        <v>997</v>
      </c>
      <c r="E2203" s="2" t="s">
        <v>999</v>
      </c>
      <c r="F2203" s="2">
        <v>83.0</v>
      </c>
      <c r="G2203" s="2">
        <v>4.57</v>
      </c>
      <c r="H2203" s="2">
        <v>18.2</v>
      </c>
      <c r="I2203" s="2" t="s">
        <v>47</v>
      </c>
    </row>
    <row r="2204" ht="15.75" customHeight="1">
      <c r="A2204" s="2" t="s">
        <v>3765</v>
      </c>
      <c r="B2204" s="2" t="s">
        <v>3766</v>
      </c>
      <c r="C2204" s="2" t="s">
        <v>3659</v>
      </c>
      <c r="D2204" s="2" t="s">
        <v>997</v>
      </c>
      <c r="E2204" s="2" t="s">
        <v>999</v>
      </c>
      <c r="F2204" s="2">
        <v>3779.0</v>
      </c>
      <c r="G2204" s="2">
        <v>5.78</v>
      </c>
      <c r="H2204" s="2">
        <v>653.8</v>
      </c>
      <c r="I2204" s="2" t="s">
        <v>138</v>
      </c>
    </row>
    <row r="2205" ht="15.75" customHeight="1">
      <c r="A2205" s="2" t="s">
        <v>3767</v>
      </c>
      <c r="B2205" s="2" t="s">
        <v>3768</v>
      </c>
      <c r="C2205" s="2" t="s">
        <v>3659</v>
      </c>
      <c r="D2205" s="2" t="s">
        <v>1038</v>
      </c>
      <c r="E2205" s="2" t="s">
        <v>1039</v>
      </c>
      <c r="F2205" s="2">
        <v>434.0</v>
      </c>
      <c r="G2205" s="2">
        <v>7.97</v>
      </c>
      <c r="H2205" s="2">
        <v>54.5</v>
      </c>
      <c r="I2205" s="2" t="s">
        <v>47</v>
      </c>
    </row>
    <row r="2206" ht="15.75" customHeight="1">
      <c r="A2206" s="2" t="s">
        <v>5901</v>
      </c>
      <c r="B2206" s="2" t="s">
        <v>5902</v>
      </c>
      <c r="C2206" s="2" t="s">
        <v>3659</v>
      </c>
      <c r="D2206" s="2" t="s">
        <v>997</v>
      </c>
      <c r="E2206" s="2" t="s">
        <v>999</v>
      </c>
      <c r="F2206" s="2">
        <v>308.0</v>
      </c>
      <c r="G2206" s="2">
        <v>7.63</v>
      </c>
      <c r="H2206" s="2">
        <v>40.4</v>
      </c>
      <c r="I2206" s="2" t="s">
        <v>47</v>
      </c>
    </row>
    <row r="2207" ht="15.75" customHeight="1">
      <c r="A2207" s="2" t="s">
        <v>3769</v>
      </c>
      <c r="B2207" s="2" t="s">
        <v>3770</v>
      </c>
      <c r="C2207" s="2" t="s">
        <v>3659</v>
      </c>
      <c r="D2207" s="2" t="s">
        <v>792</v>
      </c>
      <c r="E2207" s="2" t="s">
        <v>793</v>
      </c>
      <c r="F2207" s="2">
        <v>7331.0</v>
      </c>
      <c r="G2207" s="2">
        <v>6.29</v>
      </c>
      <c r="H2207" s="2">
        <v>1165.5</v>
      </c>
      <c r="I2207" s="2" t="s">
        <v>138</v>
      </c>
    </row>
    <row r="2208" ht="15.75" customHeight="1">
      <c r="A2208" s="2" t="s">
        <v>5903</v>
      </c>
      <c r="B2208" s="2" t="s">
        <v>5904</v>
      </c>
      <c r="C2208" s="2" t="s">
        <v>3659</v>
      </c>
      <c r="D2208" s="2" t="s">
        <v>904</v>
      </c>
      <c r="E2208" s="2" t="s">
        <v>906</v>
      </c>
      <c r="F2208" s="2">
        <v>199.0</v>
      </c>
      <c r="G2208" s="2">
        <v>6.14</v>
      </c>
      <c r="H2208" s="2">
        <v>32.4</v>
      </c>
      <c r="I2208" s="2" t="s">
        <v>47</v>
      </c>
    </row>
    <row r="2209" ht="15.75" customHeight="1">
      <c r="A2209" s="2" t="s">
        <v>5905</v>
      </c>
      <c r="B2209" s="2" t="s">
        <v>5906</v>
      </c>
      <c r="C2209" s="2" t="s">
        <v>3659</v>
      </c>
      <c r="D2209" s="2" t="s">
        <v>1082</v>
      </c>
      <c r="E2209" s="2" t="s">
        <v>1084</v>
      </c>
      <c r="F2209" s="2">
        <v>129.0</v>
      </c>
      <c r="G2209" s="2">
        <v>3.39</v>
      </c>
      <c r="H2209" s="2">
        <v>38.1</v>
      </c>
      <c r="I2209" s="2" t="s">
        <v>47</v>
      </c>
    </row>
    <row r="2210" ht="15.75" customHeight="1">
      <c r="A2210" s="2" t="s">
        <v>3771</v>
      </c>
      <c r="B2210" s="2" t="s">
        <v>3772</v>
      </c>
      <c r="C2210" s="2" t="s">
        <v>3659</v>
      </c>
      <c r="D2210" s="2" t="s">
        <v>904</v>
      </c>
      <c r="E2210" s="2" t="s">
        <v>906</v>
      </c>
      <c r="F2210" s="2">
        <v>417.0</v>
      </c>
      <c r="G2210" s="2">
        <v>7.64</v>
      </c>
      <c r="H2210" s="2">
        <v>54.6</v>
      </c>
      <c r="I2210" s="2" t="s">
        <v>47</v>
      </c>
    </row>
    <row r="2211" ht="15.75" customHeight="1">
      <c r="A2211" s="2" t="s">
        <v>5907</v>
      </c>
      <c r="B2211" s="2" t="s">
        <v>5908</v>
      </c>
      <c r="C2211" s="2" t="s">
        <v>3659</v>
      </c>
      <c r="D2211" s="2" t="s">
        <v>962</v>
      </c>
      <c r="E2211" s="2" t="s">
        <v>965</v>
      </c>
      <c r="F2211" s="2">
        <v>354.0</v>
      </c>
      <c r="G2211" s="2">
        <v>3.27</v>
      </c>
      <c r="H2211" s="2">
        <v>108.3</v>
      </c>
      <c r="I2211" s="2" t="s">
        <v>47</v>
      </c>
    </row>
    <row r="2212" ht="15.75" customHeight="1">
      <c r="A2212" s="2" t="s">
        <v>3773</v>
      </c>
      <c r="B2212" s="2" t="s">
        <v>3774</v>
      </c>
      <c r="C2212" s="2" t="s">
        <v>3659</v>
      </c>
      <c r="D2212" s="2" t="s">
        <v>833</v>
      </c>
      <c r="E2212" s="2" t="s">
        <v>835</v>
      </c>
      <c r="F2212" s="2">
        <v>1018.0</v>
      </c>
      <c r="G2212" s="2">
        <v>4.54</v>
      </c>
      <c r="H2212" s="2">
        <v>224.2</v>
      </c>
      <c r="I2212" s="2" t="s">
        <v>27</v>
      </c>
    </row>
    <row r="2213" ht="15.75" customHeight="1">
      <c r="A2213" s="2" t="s">
        <v>5909</v>
      </c>
      <c r="B2213" s="2" t="s">
        <v>5910</v>
      </c>
      <c r="C2213" s="2" t="s">
        <v>3659</v>
      </c>
      <c r="D2213" s="2" t="s">
        <v>892</v>
      </c>
      <c r="E2213" s="2" t="s">
        <v>893</v>
      </c>
      <c r="F2213" s="2">
        <v>410.0</v>
      </c>
      <c r="G2213" s="2">
        <v>13.28</v>
      </c>
      <c r="H2213" s="2">
        <v>30.9</v>
      </c>
      <c r="I2213" s="2" t="s">
        <v>47</v>
      </c>
    </row>
    <row r="2214" ht="15.75" customHeight="1">
      <c r="A2214" s="2" t="s">
        <v>5913</v>
      </c>
      <c r="B2214" s="2" t="s">
        <v>5914</v>
      </c>
      <c r="C2214" s="2" t="s">
        <v>3659</v>
      </c>
      <c r="D2214" s="2" t="s">
        <v>904</v>
      </c>
      <c r="E2214" s="2" t="s">
        <v>906</v>
      </c>
      <c r="F2214" s="2">
        <v>98.0</v>
      </c>
      <c r="G2214" s="2">
        <v>4.57</v>
      </c>
      <c r="H2214" s="2">
        <v>21.4</v>
      </c>
      <c r="I2214" s="2" t="s">
        <v>47</v>
      </c>
    </row>
    <row r="2215" ht="15.75" customHeight="1">
      <c r="A2215" s="2" t="s">
        <v>5915</v>
      </c>
      <c r="B2215" s="2" t="s">
        <v>5916</v>
      </c>
      <c r="C2215" s="2" t="s">
        <v>3659</v>
      </c>
      <c r="D2215" s="2" t="s">
        <v>904</v>
      </c>
      <c r="E2215" s="2" t="s">
        <v>906</v>
      </c>
      <c r="F2215" s="2">
        <v>403.0</v>
      </c>
      <c r="G2215" s="2">
        <v>8.13</v>
      </c>
      <c r="H2215" s="2">
        <v>49.6</v>
      </c>
      <c r="I2215" s="2" t="s">
        <v>47</v>
      </c>
    </row>
    <row r="2216" ht="15.75" customHeight="1">
      <c r="A2216" s="2" t="s">
        <v>5917</v>
      </c>
      <c r="B2216" s="2" t="s">
        <v>5918</v>
      </c>
      <c r="C2216" s="2" t="s">
        <v>3659</v>
      </c>
      <c r="D2216" s="2" t="s">
        <v>997</v>
      </c>
      <c r="E2216" s="2" t="s">
        <v>999</v>
      </c>
      <c r="F2216" s="2">
        <v>241.0</v>
      </c>
      <c r="G2216" s="2">
        <v>4.91</v>
      </c>
      <c r="H2216" s="2">
        <v>49.1</v>
      </c>
      <c r="I2216" s="2" t="s">
        <v>47</v>
      </c>
    </row>
    <row r="2217" ht="15.75" customHeight="1">
      <c r="A2217" s="2" t="s">
        <v>3775</v>
      </c>
      <c r="B2217" s="2" t="s">
        <v>3776</v>
      </c>
      <c r="C2217" s="2" t="s">
        <v>3659</v>
      </c>
      <c r="D2217" s="2" t="s">
        <v>809</v>
      </c>
      <c r="E2217" s="2" t="s">
        <v>811</v>
      </c>
      <c r="F2217" s="2">
        <v>379.0</v>
      </c>
      <c r="G2217" s="2">
        <v>9.29</v>
      </c>
      <c r="H2217" s="2">
        <v>40.8</v>
      </c>
      <c r="I2217" s="2" t="s">
        <v>47</v>
      </c>
    </row>
    <row r="2218" ht="15.75" customHeight="1">
      <c r="A2218" s="2" t="s">
        <v>5919</v>
      </c>
      <c r="B2218" s="2" t="s">
        <v>5920</v>
      </c>
      <c r="C2218" s="2" t="s">
        <v>3659</v>
      </c>
      <c r="D2218" s="2" t="s">
        <v>833</v>
      </c>
      <c r="E2218" s="2" t="s">
        <v>835</v>
      </c>
      <c r="F2218" s="2">
        <v>222.0</v>
      </c>
      <c r="G2218" s="2">
        <v>4.21</v>
      </c>
      <c r="H2218" s="2">
        <v>52.7</v>
      </c>
      <c r="I2218" s="2" t="s">
        <v>47</v>
      </c>
    </row>
    <row r="2219" ht="15.75" customHeight="1">
      <c r="A2219" s="2" t="s">
        <v>3777</v>
      </c>
      <c r="B2219" s="2" t="s">
        <v>3778</v>
      </c>
      <c r="C2219" s="2" t="s">
        <v>3659</v>
      </c>
      <c r="D2219" s="2" t="s">
        <v>997</v>
      </c>
      <c r="E2219" s="2" t="s">
        <v>999</v>
      </c>
      <c r="F2219" s="2">
        <v>528.0</v>
      </c>
      <c r="G2219" s="2">
        <v>9.95</v>
      </c>
      <c r="H2219" s="2">
        <v>53.1</v>
      </c>
      <c r="I2219" s="2" t="s">
        <v>27</v>
      </c>
    </row>
    <row r="2220" ht="15.75" customHeight="1">
      <c r="A2220" s="2" t="s">
        <v>3779</v>
      </c>
      <c r="B2220" s="2" t="s">
        <v>3780</v>
      </c>
      <c r="C2220" s="2" t="s">
        <v>3659</v>
      </c>
      <c r="D2220" s="2" t="s">
        <v>1082</v>
      </c>
      <c r="E2220" s="2" t="s">
        <v>1084</v>
      </c>
      <c r="F2220" s="2">
        <v>1003.0</v>
      </c>
      <c r="G2220" s="2">
        <v>5.04</v>
      </c>
      <c r="H2220" s="2">
        <v>199.0</v>
      </c>
      <c r="I2220" s="2" t="s">
        <v>27</v>
      </c>
    </row>
    <row r="2221" ht="15.75" customHeight="1">
      <c r="A2221" s="2" t="s">
        <v>3781</v>
      </c>
      <c r="B2221" s="2" t="s">
        <v>3782</v>
      </c>
      <c r="C2221" s="2" t="s">
        <v>3659</v>
      </c>
      <c r="D2221" s="2" t="s">
        <v>1082</v>
      </c>
      <c r="E2221" s="2" t="s">
        <v>1084</v>
      </c>
      <c r="F2221" s="2">
        <v>5559.0</v>
      </c>
      <c r="G2221" s="2">
        <v>5.94</v>
      </c>
      <c r="H2221" s="2">
        <v>935.9</v>
      </c>
      <c r="I2221" s="2" t="s">
        <v>138</v>
      </c>
    </row>
    <row r="2222" ht="15.75" customHeight="1">
      <c r="A2222" s="2" t="s">
        <v>3783</v>
      </c>
      <c r="B2222" s="2" t="s">
        <v>3784</v>
      </c>
      <c r="C2222" s="2" t="s">
        <v>3659</v>
      </c>
      <c r="D2222" s="2" t="s">
        <v>899</v>
      </c>
      <c r="E2222" s="2" t="s">
        <v>900</v>
      </c>
      <c r="F2222" s="2">
        <v>2014.0</v>
      </c>
      <c r="G2222" s="2">
        <v>13.16</v>
      </c>
      <c r="H2222" s="2">
        <v>153.0</v>
      </c>
      <c r="I2222" s="2" t="s">
        <v>138</v>
      </c>
    </row>
    <row r="2223" ht="15.75" customHeight="1">
      <c r="A2223" s="2" t="s">
        <v>6699</v>
      </c>
      <c r="B2223" s="2" t="s">
        <v>6700</v>
      </c>
      <c r="C2223" s="2" t="s">
        <v>3659</v>
      </c>
      <c r="D2223" s="2" t="s">
        <v>1004</v>
      </c>
      <c r="E2223" s="2" t="s">
        <v>1006</v>
      </c>
      <c r="F2223" s="2">
        <v>355.0</v>
      </c>
      <c r="G2223" s="2">
        <v>9.49</v>
      </c>
      <c r="H2223" s="2">
        <v>37.4</v>
      </c>
      <c r="I2223" s="2" t="s">
        <v>47</v>
      </c>
    </row>
    <row r="2224" ht="15.75" customHeight="1">
      <c r="A2224" s="2" t="s">
        <v>5921</v>
      </c>
      <c r="B2224" s="2" t="s">
        <v>5922</v>
      </c>
      <c r="C2224" s="2" t="s">
        <v>3659</v>
      </c>
      <c r="D2224" s="2" t="s">
        <v>1004</v>
      </c>
      <c r="E2224" s="2" t="s">
        <v>1006</v>
      </c>
      <c r="F2224" s="2">
        <v>133.0</v>
      </c>
      <c r="G2224" s="2">
        <v>2.63</v>
      </c>
      <c r="H2224" s="2">
        <v>50.6</v>
      </c>
      <c r="I2224" s="2" t="s">
        <v>47</v>
      </c>
    </row>
    <row r="2225" ht="15.75" customHeight="1">
      <c r="A2225" s="2" t="s">
        <v>5929</v>
      </c>
      <c r="B2225" s="2" t="s">
        <v>5930</v>
      </c>
      <c r="C2225" s="2" t="s">
        <v>3659</v>
      </c>
      <c r="D2225" s="2" t="s">
        <v>861</v>
      </c>
      <c r="E2225" s="2" t="s">
        <v>862</v>
      </c>
      <c r="F2225" s="2">
        <v>503.0</v>
      </c>
      <c r="G2225" s="2">
        <v>9.26</v>
      </c>
      <c r="H2225" s="2">
        <v>54.3</v>
      </c>
      <c r="I2225" s="2" t="s">
        <v>27</v>
      </c>
    </row>
    <row r="2226" ht="15.75" customHeight="1">
      <c r="A2226" s="2" t="s">
        <v>5927</v>
      </c>
      <c r="B2226" s="2" t="s">
        <v>5928</v>
      </c>
      <c r="C2226" s="2" t="s">
        <v>3659</v>
      </c>
      <c r="D2226" s="2" t="s">
        <v>861</v>
      </c>
      <c r="E2226" s="2" t="s">
        <v>862</v>
      </c>
      <c r="F2226" s="2">
        <v>427.0</v>
      </c>
      <c r="G2226" s="2">
        <v>5.45</v>
      </c>
      <c r="H2226" s="2">
        <v>78.3</v>
      </c>
      <c r="I2226" s="2" t="s">
        <v>47</v>
      </c>
    </row>
    <row r="2227" ht="15.75" customHeight="1">
      <c r="A2227" s="2" t="s">
        <v>3785</v>
      </c>
      <c r="B2227" s="2" t="s">
        <v>3787</v>
      </c>
      <c r="C2227" s="2" t="s">
        <v>3659</v>
      </c>
      <c r="D2227" s="2" t="s">
        <v>833</v>
      </c>
      <c r="E2227" s="2" t="s">
        <v>835</v>
      </c>
      <c r="F2227" s="2">
        <v>1062.0</v>
      </c>
      <c r="G2227" s="2">
        <v>7.78</v>
      </c>
      <c r="H2227" s="2">
        <v>136.5</v>
      </c>
      <c r="I2227" s="2" t="s">
        <v>27</v>
      </c>
    </row>
    <row r="2228" ht="15.75" customHeight="1">
      <c r="A2228" s="2" t="s">
        <v>5931</v>
      </c>
      <c r="B2228" s="2" t="s">
        <v>5932</v>
      </c>
      <c r="C2228" s="2" t="s">
        <v>3659</v>
      </c>
      <c r="D2228" s="2" t="s">
        <v>1038</v>
      </c>
      <c r="E2228" s="2" t="s">
        <v>1039</v>
      </c>
      <c r="F2228" s="2">
        <v>212.0</v>
      </c>
      <c r="G2228" s="2">
        <v>2.04</v>
      </c>
      <c r="H2228" s="2">
        <v>103.9</v>
      </c>
      <c r="I2228" s="2" t="s">
        <v>47</v>
      </c>
    </row>
    <row r="2229" ht="15.75" customHeight="1">
      <c r="A2229" s="2" t="s">
        <v>3789</v>
      </c>
      <c r="B2229" s="2" t="s">
        <v>3791</v>
      </c>
      <c r="C2229" s="2" t="s">
        <v>3659</v>
      </c>
      <c r="D2229" s="2" t="s">
        <v>809</v>
      </c>
      <c r="E2229" s="2" t="s">
        <v>811</v>
      </c>
      <c r="F2229" s="2">
        <v>12951.0</v>
      </c>
      <c r="G2229" s="2">
        <v>14.49</v>
      </c>
      <c r="H2229" s="2">
        <v>893.8</v>
      </c>
      <c r="I2229" s="2" t="s">
        <v>805</v>
      </c>
    </row>
    <row r="2230" ht="15.75" customHeight="1">
      <c r="A2230" s="2" t="s">
        <v>5935</v>
      </c>
      <c r="B2230" s="2" t="s">
        <v>5936</v>
      </c>
      <c r="C2230" s="2" t="s">
        <v>3659</v>
      </c>
      <c r="D2230" s="2" t="s">
        <v>1004</v>
      </c>
      <c r="E2230" s="2" t="s">
        <v>1006</v>
      </c>
      <c r="F2230" s="2">
        <v>213.0</v>
      </c>
      <c r="G2230" s="2">
        <v>2.8</v>
      </c>
      <c r="H2230" s="2">
        <v>76.1</v>
      </c>
      <c r="I2230" s="2" t="s">
        <v>47</v>
      </c>
    </row>
    <row r="2231" ht="15.75" customHeight="1">
      <c r="A2231" s="2" t="s">
        <v>5937</v>
      </c>
      <c r="B2231" s="2" t="s">
        <v>5938</v>
      </c>
      <c r="C2231" s="2" t="s">
        <v>3659</v>
      </c>
      <c r="D2231" s="2" t="s">
        <v>904</v>
      </c>
      <c r="E2231" s="2" t="s">
        <v>906</v>
      </c>
      <c r="F2231" s="2">
        <v>277.0</v>
      </c>
      <c r="G2231" s="2">
        <v>7.63</v>
      </c>
      <c r="H2231" s="2">
        <v>36.3</v>
      </c>
      <c r="I2231" s="2" t="s">
        <v>47</v>
      </c>
    </row>
    <row r="2232" ht="15.75" customHeight="1">
      <c r="A2232" s="2" t="s">
        <v>3793</v>
      </c>
      <c r="B2232" s="2" t="s">
        <v>3794</v>
      </c>
      <c r="C2232" s="2" t="s">
        <v>3659</v>
      </c>
      <c r="D2232" s="2" t="s">
        <v>904</v>
      </c>
      <c r="E2232" s="2" t="s">
        <v>906</v>
      </c>
      <c r="F2232" s="2">
        <v>482.0</v>
      </c>
      <c r="G2232" s="2">
        <v>8.48</v>
      </c>
      <c r="H2232" s="2">
        <v>56.8</v>
      </c>
      <c r="I2232" s="2" t="s">
        <v>47</v>
      </c>
    </row>
    <row r="2233" ht="15.75" customHeight="1">
      <c r="A2233" s="2" t="s">
        <v>5939</v>
      </c>
      <c r="B2233" s="2" t="s">
        <v>5940</v>
      </c>
      <c r="C2233" s="2" t="s">
        <v>3659</v>
      </c>
      <c r="D2233" s="2" t="s">
        <v>904</v>
      </c>
      <c r="E2233" s="2" t="s">
        <v>906</v>
      </c>
      <c r="F2233" s="2">
        <v>553.0</v>
      </c>
      <c r="G2233" s="2">
        <v>8.88</v>
      </c>
      <c r="H2233" s="2">
        <v>62.3</v>
      </c>
      <c r="I2233" s="2" t="s">
        <v>27</v>
      </c>
    </row>
    <row r="2234" ht="15.75" customHeight="1">
      <c r="A2234" s="2" t="s">
        <v>5941</v>
      </c>
      <c r="B2234" s="2" t="s">
        <v>5942</v>
      </c>
      <c r="C2234" s="2" t="s">
        <v>3659</v>
      </c>
      <c r="D2234" s="2" t="s">
        <v>1004</v>
      </c>
      <c r="E2234" s="2" t="s">
        <v>1006</v>
      </c>
      <c r="F2234" s="2">
        <v>164.0</v>
      </c>
      <c r="G2234" s="2">
        <v>5.54</v>
      </c>
      <c r="H2234" s="2">
        <v>29.6</v>
      </c>
      <c r="I2234" s="2" t="s">
        <v>47</v>
      </c>
    </row>
    <row r="2235" ht="15.75" customHeight="1">
      <c r="A2235" s="2" t="s">
        <v>3795</v>
      </c>
      <c r="B2235" s="2" t="s">
        <v>3796</v>
      </c>
      <c r="C2235" s="2" t="s">
        <v>3659</v>
      </c>
      <c r="D2235" s="2" t="s">
        <v>904</v>
      </c>
      <c r="E2235" s="2" t="s">
        <v>906</v>
      </c>
      <c r="F2235" s="2">
        <v>485.0</v>
      </c>
      <c r="G2235" s="2">
        <v>5.68</v>
      </c>
      <c r="H2235" s="2">
        <v>85.4</v>
      </c>
      <c r="I2235" s="2" t="s">
        <v>47</v>
      </c>
    </row>
    <row r="2236" ht="15.75" customHeight="1">
      <c r="A2236" s="2" t="s">
        <v>5943</v>
      </c>
      <c r="B2236" s="2" t="s">
        <v>5944</v>
      </c>
      <c r="C2236" s="2" t="s">
        <v>3659</v>
      </c>
      <c r="D2236" s="2" t="s">
        <v>809</v>
      </c>
      <c r="E2236" s="2" t="s">
        <v>811</v>
      </c>
      <c r="F2236" s="2">
        <v>162.0</v>
      </c>
      <c r="G2236" s="2">
        <v>5.85</v>
      </c>
      <c r="H2236" s="2">
        <v>27.7</v>
      </c>
      <c r="I2236" s="2" t="s">
        <v>47</v>
      </c>
    </row>
    <row r="2237" ht="15.75" customHeight="1">
      <c r="A2237" s="2" t="s">
        <v>3797</v>
      </c>
      <c r="B2237" s="2" t="s">
        <v>3798</v>
      </c>
      <c r="C2237" s="2" t="s">
        <v>3659</v>
      </c>
      <c r="D2237" s="2" t="s">
        <v>997</v>
      </c>
      <c r="E2237" s="2" t="s">
        <v>999</v>
      </c>
      <c r="F2237" s="2">
        <v>920.0</v>
      </c>
      <c r="G2237" s="2">
        <v>7.51</v>
      </c>
      <c r="H2237" s="2">
        <v>122.5</v>
      </c>
      <c r="I2237" s="2" t="s">
        <v>27</v>
      </c>
    </row>
    <row r="2238" ht="15.75" customHeight="1">
      <c r="A2238" s="2" t="s">
        <v>5947</v>
      </c>
      <c r="B2238" s="2" t="s">
        <v>5948</v>
      </c>
      <c r="C2238" s="2" t="s">
        <v>3659</v>
      </c>
      <c r="D2238" s="2" t="s">
        <v>792</v>
      </c>
      <c r="E2238" s="2" t="s">
        <v>793</v>
      </c>
      <c r="F2238" s="2">
        <v>460.0</v>
      </c>
      <c r="G2238" s="2">
        <v>5.04</v>
      </c>
      <c r="H2238" s="2">
        <v>91.3</v>
      </c>
      <c r="I2238" s="2" t="s">
        <v>47</v>
      </c>
    </row>
    <row r="2239" ht="15.75" customHeight="1">
      <c r="A2239" s="2" t="s">
        <v>5951</v>
      </c>
      <c r="B2239" s="2" t="s">
        <v>5952</v>
      </c>
      <c r="C2239" s="2" t="s">
        <v>3659</v>
      </c>
      <c r="D2239" s="2" t="s">
        <v>997</v>
      </c>
      <c r="E2239" s="2" t="s">
        <v>999</v>
      </c>
      <c r="F2239" s="2">
        <v>351.0</v>
      </c>
      <c r="G2239" s="2">
        <v>5.76</v>
      </c>
      <c r="H2239" s="2">
        <v>60.9</v>
      </c>
      <c r="I2239" s="2" t="s">
        <v>47</v>
      </c>
    </row>
    <row r="2240" ht="15.75" customHeight="1">
      <c r="A2240" s="2" t="s">
        <v>5949</v>
      </c>
      <c r="B2240" s="2" t="s">
        <v>5950</v>
      </c>
      <c r="C2240" s="2" t="s">
        <v>3659</v>
      </c>
      <c r="D2240" s="2" t="s">
        <v>997</v>
      </c>
      <c r="E2240" s="2" t="s">
        <v>999</v>
      </c>
      <c r="F2240" s="2">
        <v>180.0</v>
      </c>
      <c r="G2240" s="2">
        <v>3.97</v>
      </c>
      <c r="H2240" s="2">
        <v>45.3</v>
      </c>
      <c r="I2240" s="2" t="s">
        <v>47</v>
      </c>
    </row>
    <row r="2241" ht="15.75" customHeight="1">
      <c r="A2241" s="2" t="s">
        <v>3799</v>
      </c>
      <c r="B2241" s="2" t="s">
        <v>3800</v>
      </c>
      <c r="C2241" s="2" t="s">
        <v>3659</v>
      </c>
      <c r="D2241" s="2" t="s">
        <v>951</v>
      </c>
      <c r="E2241" s="2" t="s">
        <v>953</v>
      </c>
      <c r="F2241" s="2">
        <v>546.0</v>
      </c>
      <c r="G2241" s="2">
        <v>15.99</v>
      </c>
      <c r="H2241" s="2">
        <v>34.1</v>
      </c>
      <c r="I2241" s="2" t="s">
        <v>27</v>
      </c>
    </row>
    <row r="2242" ht="15.75" customHeight="1">
      <c r="A2242" s="2" t="s">
        <v>5953</v>
      </c>
      <c r="B2242" s="2" t="s">
        <v>5954</v>
      </c>
      <c r="C2242" s="2" t="s">
        <v>3659</v>
      </c>
      <c r="D2242" s="2" t="s">
        <v>809</v>
      </c>
      <c r="E2242" s="2" t="s">
        <v>811</v>
      </c>
      <c r="F2242" s="2">
        <v>436.0</v>
      </c>
      <c r="G2242" s="2">
        <v>2.96</v>
      </c>
      <c r="H2242" s="2">
        <v>147.3</v>
      </c>
      <c r="I2242" s="2" t="s">
        <v>47</v>
      </c>
    </row>
    <row r="2243" ht="15.75" customHeight="1">
      <c r="A2243" s="2" t="s">
        <v>3801</v>
      </c>
      <c r="B2243" s="2" t="s">
        <v>3802</v>
      </c>
      <c r="C2243" s="2" t="s">
        <v>3659</v>
      </c>
      <c r="D2243" s="2" t="s">
        <v>892</v>
      </c>
      <c r="E2243" s="2" t="s">
        <v>893</v>
      </c>
      <c r="F2243" s="2">
        <v>458.0</v>
      </c>
      <c r="G2243" s="2">
        <v>4.73</v>
      </c>
      <c r="H2243" s="2">
        <v>96.8</v>
      </c>
      <c r="I2243" s="2" t="s">
        <v>47</v>
      </c>
    </row>
    <row r="2244" ht="15.75" customHeight="1">
      <c r="A2244" s="2" t="s">
        <v>3803</v>
      </c>
      <c r="B2244" s="2" t="s">
        <v>3804</v>
      </c>
      <c r="C2244" s="2" t="s">
        <v>3659</v>
      </c>
      <c r="D2244" s="2" t="s">
        <v>792</v>
      </c>
      <c r="E2244" s="2" t="s">
        <v>793</v>
      </c>
      <c r="F2244" s="2">
        <v>9189.0</v>
      </c>
      <c r="G2244" s="2">
        <v>16.82</v>
      </c>
      <c r="H2244" s="2">
        <v>546.3</v>
      </c>
      <c r="I2244" s="2" t="s">
        <v>138</v>
      </c>
    </row>
    <row r="2245" ht="15.75" customHeight="1">
      <c r="A2245" s="2" t="s">
        <v>5955</v>
      </c>
      <c r="B2245" s="2" t="s">
        <v>5956</v>
      </c>
      <c r="C2245" s="2" t="s">
        <v>3659</v>
      </c>
      <c r="D2245" s="2" t="s">
        <v>951</v>
      </c>
      <c r="E2245" s="2" t="s">
        <v>953</v>
      </c>
      <c r="F2245" s="2">
        <v>367.0</v>
      </c>
      <c r="G2245" s="2">
        <v>13.23</v>
      </c>
      <c r="H2245" s="2">
        <v>27.7</v>
      </c>
      <c r="I2245" s="2" t="s">
        <v>47</v>
      </c>
    </row>
    <row r="2246" ht="15.75" customHeight="1">
      <c r="A2246" s="2" t="s">
        <v>3805</v>
      </c>
      <c r="B2246" s="2" t="s">
        <v>3806</v>
      </c>
      <c r="C2246" s="2" t="s">
        <v>3659</v>
      </c>
      <c r="D2246" s="2" t="s">
        <v>1038</v>
      </c>
      <c r="E2246" s="2" t="s">
        <v>1039</v>
      </c>
      <c r="F2246" s="2">
        <v>4568.0</v>
      </c>
      <c r="G2246" s="2">
        <v>9.29</v>
      </c>
      <c r="H2246" s="2">
        <v>491.7</v>
      </c>
      <c r="I2246" s="2" t="s">
        <v>138</v>
      </c>
    </row>
    <row r="2247" ht="15.75" customHeight="1">
      <c r="A2247" s="2" t="s">
        <v>5957</v>
      </c>
      <c r="B2247" s="2" t="s">
        <v>5958</v>
      </c>
      <c r="C2247" s="2" t="s">
        <v>3659</v>
      </c>
      <c r="D2247" s="2" t="s">
        <v>997</v>
      </c>
      <c r="E2247" s="2" t="s">
        <v>999</v>
      </c>
      <c r="F2247" s="2">
        <v>93.0</v>
      </c>
      <c r="G2247" s="2">
        <v>4.08</v>
      </c>
      <c r="H2247" s="2">
        <v>22.8</v>
      </c>
      <c r="I2247" s="2" t="s">
        <v>47</v>
      </c>
    </row>
    <row r="2248" ht="15.75" customHeight="1">
      <c r="A2248" s="2" t="s">
        <v>5959</v>
      </c>
      <c r="B2248" s="2" t="s">
        <v>5960</v>
      </c>
      <c r="C2248" s="2" t="s">
        <v>3659</v>
      </c>
      <c r="D2248" s="2" t="s">
        <v>904</v>
      </c>
      <c r="E2248" s="2" t="s">
        <v>906</v>
      </c>
      <c r="F2248" s="2">
        <v>671.0</v>
      </c>
      <c r="G2248" s="2">
        <v>7.38</v>
      </c>
      <c r="H2248" s="2">
        <v>90.9</v>
      </c>
      <c r="I2248" s="2" t="s">
        <v>27</v>
      </c>
    </row>
    <row r="2249" ht="15.75" customHeight="1">
      <c r="A2249" s="2" t="s">
        <v>3807</v>
      </c>
      <c r="B2249" s="2" t="s">
        <v>3808</v>
      </c>
      <c r="C2249" s="2" t="s">
        <v>3659</v>
      </c>
      <c r="D2249" s="2" t="s">
        <v>997</v>
      </c>
      <c r="E2249" s="2" t="s">
        <v>999</v>
      </c>
      <c r="F2249" s="2">
        <v>286.0</v>
      </c>
      <c r="G2249" s="2">
        <v>4.7</v>
      </c>
      <c r="H2249" s="2">
        <v>60.9</v>
      </c>
      <c r="I2249" s="2" t="s">
        <v>47</v>
      </c>
    </row>
    <row r="2250" ht="15.75" customHeight="1">
      <c r="A2250" s="2" t="s">
        <v>3809</v>
      </c>
      <c r="B2250" s="2" t="s">
        <v>3810</v>
      </c>
      <c r="C2250" s="2" t="s">
        <v>3659</v>
      </c>
      <c r="D2250" s="2" t="s">
        <v>792</v>
      </c>
      <c r="E2250" s="2" t="s">
        <v>793</v>
      </c>
      <c r="F2250" s="2">
        <v>5093.0</v>
      </c>
      <c r="G2250" s="2">
        <v>7.35</v>
      </c>
      <c r="H2250" s="2">
        <v>692.9</v>
      </c>
      <c r="I2250" s="2" t="s">
        <v>138</v>
      </c>
    </row>
    <row r="2251" ht="15.75" customHeight="1">
      <c r="A2251" s="2" t="s">
        <v>3813</v>
      </c>
      <c r="B2251" s="2" t="s">
        <v>3814</v>
      </c>
      <c r="C2251" s="2" t="s">
        <v>3659</v>
      </c>
      <c r="D2251" s="2" t="s">
        <v>807</v>
      </c>
      <c r="E2251" s="2" t="s">
        <v>808</v>
      </c>
      <c r="F2251" s="2">
        <v>7937.0</v>
      </c>
      <c r="G2251" s="2">
        <v>2.72</v>
      </c>
      <c r="H2251" s="2">
        <v>2918.0</v>
      </c>
      <c r="I2251" s="2" t="s">
        <v>138</v>
      </c>
    </row>
    <row r="2252" ht="15.75" customHeight="1">
      <c r="A2252" s="2" t="s">
        <v>5961</v>
      </c>
      <c r="B2252" s="2" t="s">
        <v>5962</v>
      </c>
      <c r="C2252" s="2" t="s">
        <v>3659</v>
      </c>
      <c r="D2252" s="2" t="s">
        <v>951</v>
      </c>
      <c r="E2252" s="2" t="s">
        <v>953</v>
      </c>
      <c r="F2252" s="2">
        <v>112.0</v>
      </c>
      <c r="G2252" s="2">
        <v>6.82</v>
      </c>
      <c r="H2252" s="2">
        <v>16.4</v>
      </c>
      <c r="I2252" s="2" t="s">
        <v>47</v>
      </c>
    </row>
    <row r="2253" ht="15.75" customHeight="1">
      <c r="A2253" s="2" t="s">
        <v>5963</v>
      </c>
      <c r="B2253" s="2" t="s">
        <v>5964</v>
      </c>
      <c r="C2253" s="2" t="s">
        <v>3659</v>
      </c>
      <c r="D2253" s="2" t="s">
        <v>904</v>
      </c>
      <c r="E2253" s="2" t="s">
        <v>906</v>
      </c>
      <c r="F2253" s="2">
        <v>304.0</v>
      </c>
      <c r="G2253" s="2">
        <v>4.6</v>
      </c>
      <c r="H2253" s="2">
        <v>66.1</v>
      </c>
      <c r="I2253" s="2" t="s">
        <v>47</v>
      </c>
    </row>
    <row r="2254" ht="15.75" customHeight="1">
      <c r="A2254" s="2" t="s">
        <v>5965</v>
      </c>
      <c r="B2254" s="2" t="s">
        <v>5966</v>
      </c>
      <c r="C2254" s="2" t="s">
        <v>3659</v>
      </c>
      <c r="D2254" s="2" t="s">
        <v>1004</v>
      </c>
      <c r="E2254" s="2" t="s">
        <v>1006</v>
      </c>
      <c r="F2254" s="2">
        <v>95.0</v>
      </c>
      <c r="G2254" s="2">
        <v>4.64</v>
      </c>
      <c r="H2254" s="2">
        <v>20.5</v>
      </c>
      <c r="I2254" s="2" t="s">
        <v>47</v>
      </c>
    </row>
    <row r="2255" ht="15.75" customHeight="1">
      <c r="A2255" s="2" t="s">
        <v>3815</v>
      </c>
      <c r="B2255" s="2" t="s">
        <v>3816</v>
      </c>
      <c r="C2255" s="2" t="s">
        <v>3659</v>
      </c>
      <c r="D2255" s="2" t="s">
        <v>899</v>
      </c>
      <c r="E2255" s="2" t="s">
        <v>900</v>
      </c>
      <c r="F2255" s="2">
        <v>715.0</v>
      </c>
      <c r="G2255" s="2">
        <v>11.6</v>
      </c>
      <c r="H2255" s="2">
        <v>61.6</v>
      </c>
      <c r="I2255" s="2" t="s">
        <v>27</v>
      </c>
    </row>
    <row r="2256" ht="15.75" customHeight="1">
      <c r="A2256" s="2" t="s">
        <v>3817</v>
      </c>
      <c r="B2256" s="2" t="s">
        <v>3818</v>
      </c>
      <c r="C2256" s="2" t="s">
        <v>3659</v>
      </c>
      <c r="D2256" s="2" t="s">
        <v>833</v>
      </c>
      <c r="E2256" s="2" t="s">
        <v>835</v>
      </c>
      <c r="F2256" s="2">
        <v>4859.0</v>
      </c>
      <c r="G2256" s="2">
        <v>9.59</v>
      </c>
      <c r="H2256" s="2">
        <v>506.7</v>
      </c>
      <c r="I2256" s="2" t="s">
        <v>138</v>
      </c>
    </row>
    <row r="2257" ht="15.75" customHeight="1">
      <c r="A2257" s="2" t="s">
        <v>3819</v>
      </c>
      <c r="B2257" s="2" t="s">
        <v>3820</v>
      </c>
      <c r="C2257" s="2" t="s">
        <v>3659</v>
      </c>
      <c r="D2257" s="2" t="s">
        <v>792</v>
      </c>
      <c r="E2257" s="2" t="s">
        <v>793</v>
      </c>
      <c r="F2257" s="2">
        <v>907.0</v>
      </c>
      <c r="G2257" s="2">
        <v>5.36</v>
      </c>
      <c r="H2257" s="2">
        <v>169.2</v>
      </c>
      <c r="I2257" s="2" t="s">
        <v>27</v>
      </c>
    </row>
    <row r="2258" ht="15.75" customHeight="1">
      <c r="A2258" s="2" t="s">
        <v>5967</v>
      </c>
      <c r="B2258" s="2" t="s">
        <v>5968</v>
      </c>
      <c r="C2258" s="2" t="s">
        <v>3659</v>
      </c>
      <c r="D2258" s="2" t="s">
        <v>899</v>
      </c>
      <c r="E2258" s="2" t="s">
        <v>900</v>
      </c>
      <c r="F2258" s="2">
        <v>160.0</v>
      </c>
      <c r="G2258" s="2">
        <v>3.21</v>
      </c>
      <c r="H2258" s="2">
        <v>49.8</v>
      </c>
      <c r="I2258" s="2" t="s">
        <v>47</v>
      </c>
    </row>
    <row r="2259" ht="15.75" customHeight="1">
      <c r="A2259" s="2" t="s">
        <v>3821</v>
      </c>
      <c r="B2259" s="2" t="s">
        <v>3822</v>
      </c>
      <c r="C2259" s="2" t="s">
        <v>3659</v>
      </c>
      <c r="D2259" s="2" t="s">
        <v>962</v>
      </c>
      <c r="E2259" s="2" t="s">
        <v>965</v>
      </c>
      <c r="F2259" s="2">
        <v>490.0</v>
      </c>
      <c r="G2259" s="2">
        <v>8.66</v>
      </c>
      <c r="H2259" s="2">
        <v>56.6</v>
      </c>
      <c r="I2259" s="2" t="s">
        <v>47</v>
      </c>
    </row>
    <row r="2260" ht="15.75" customHeight="1">
      <c r="A2260" s="2" t="s">
        <v>5969</v>
      </c>
      <c r="B2260" s="2" t="s">
        <v>5970</v>
      </c>
      <c r="C2260" s="2" t="s">
        <v>3659</v>
      </c>
      <c r="D2260" s="2" t="s">
        <v>1004</v>
      </c>
      <c r="E2260" s="2" t="s">
        <v>1006</v>
      </c>
      <c r="F2260" s="2">
        <v>46.0</v>
      </c>
      <c r="G2260" s="2">
        <v>3.46</v>
      </c>
      <c r="H2260" s="2">
        <v>13.3</v>
      </c>
      <c r="I2260" s="2" t="s">
        <v>47</v>
      </c>
    </row>
    <row r="2261" ht="15.75" customHeight="1">
      <c r="A2261" s="2" t="s">
        <v>5971</v>
      </c>
      <c r="B2261" s="2" t="s">
        <v>5972</v>
      </c>
      <c r="C2261" s="2" t="s">
        <v>3659</v>
      </c>
      <c r="D2261" s="2" t="s">
        <v>1082</v>
      </c>
      <c r="E2261" s="2" t="s">
        <v>1084</v>
      </c>
      <c r="F2261" s="2">
        <v>478.0</v>
      </c>
      <c r="G2261" s="2">
        <v>4.6</v>
      </c>
      <c r="H2261" s="2">
        <v>103.9</v>
      </c>
      <c r="I2261" s="2" t="s">
        <v>47</v>
      </c>
    </row>
    <row r="2262" ht="15.75" customHeight="1">
      <c r="A2262" s="2" t="s">
        <v>5973</v>
      </c>
      <c r="B2262" s="2" t="s">
        <v>5974</v>
      </c>
      <c r="C2262" s="2" t="s">
        <v>3659</v>
      </c>
      <c r="D2262" s="2" t="s">
        <v>1038</v>
      </c>
      <c r="E2262" s="2" t="s">
        <v>1039</v>
      </c>
      <c r="F2262" s="2">
        <v>450.0</v>
      </c>
      <c r="G2262" s="2">
        <v>6.2</v>
      </c>
      <c r="H2262" s="2">
        <v>72.6</v>
      </c>
      <c r="I2262" s="2" t="s">
        <v>47</v>
      </c>
    </row>
    <row r="2263" ht="15.75" customHeight="1">
      <c r="A2263" s="2" t="s">
        <v>3823</v>
      </c>
      <c r="B2263" s="2" t="s">
        <v>3824</v>
      </c>
      <c r="C2263" s="2" t="s">
        <v>3659</v>
      </c>
      <c r="D2263" s="2" t="s">
        <v>1082</v>
      </c>
      <c r="E2263" s="2" t="s">
        <v>1084</v>
      </c>
      <c r="F2263" s="2">
        <v>255.0</v>
      </c>
      <c r="G2263" s="2">
        <v>3.51</v>
      </c>
      <c r="H2263" s="2">
        <v>72.6</v>
      </c>
      <c r="I2263" s="2" t="s">
        <v>47</v>
      </c>
    </row>
    <row r="2264" ht="15.75" customHeight="1">
      <c r="A2264" s="2" t="s">
        <v>3825</v>
      </c>
      <c r="B2264" s="2" t="s">
        <v>3826</v>
      </c>
      <c r="C2264" s="2" t="s">
        <v>3659</v>
      </c>
      <c r="D2264" s="2" t="s">
        <v>1082</v>
      </c>
      <c r="E2264" s="2" t="s">
        <v>1084</v>
      </c>
      <c r="F2264" s="2">
        <v>389.0</v>
      </c>
      <c r="G2264" s="2">
        <v>5.87</v>
      </c>
      <c r="H2264" s="2">
        <v>66.3</v>
      </c>
      <c r="I2264" s="2" t="s">
        <v>47</v>
      </c>
    </row>
    <row r="2265" ht="15.75" customHeight="1">
      <c r="A2265" s="2" t="s">
        <v>3827</v>
      </c>
      <c r="B2265" s="2" t="s">
        <v>3828</v>
      </c>
      <c r="C2265" s="2" t="s">
        <v>3659</v>
      </c>
      <c r="D2265" s="2" t="s">
        <v>789</v>
      </c>
      <c r="E2265" s="2" t="s">
        <v>790</v>
      </c>
      <c r="F2265" s="2">
        <v>839.0</v>
      </c>
      <c r="G2265" s="2">
        <v>3.96</v>
      </c>
      <c r="H2265" s="2">
        <v>211.9</v>
      </c>
      <c r="I2265" s="2" t="s">
        <v>27</v>
      </c>
    </row>
    <row r="2266" ht="15.75" customHeight="1">
      <c r="A2266" s="2" t="s">
        <v>3829</v>
      </c>
      <c r="B2266" s="2" t="s">
        <v>3831</v>
      </c>
      <c r="C2266" s="2" t="s">
        <v>3659</v>
      </c>
      <c r="D2266" s="2" t="s">
        <v>962</v>
      </c>
      <c r="E2266" s="2" t="s">
        <v>965</v>
      </c>
      <c r="F2266" s="2">
        <v>260.0</v>
      </c>
      <c r="G2266" s="2">
        <v>3.16</v>
      </c>
      <c r="H2266" s="2">
        <v>82.3</v>
      </c>
      <c r="I2266" s="2" t="s">
        <v>47</v>
      </c>
    </row>
    <row r="2267" ht="15.75" customHeight="1">
      <c r="A2267" s="2" t="s">
        <v>5975</v>
      </c>
      <c r="B2267" s="2" t="s">
        <v>5976</v>
      </c>
      <c r="C2267" s="2" t="s">
        <v>3659</v>
      </c>
      <c r="D2267" s="2" t="s">
        <v>899</v>
      </c>
      <c r="E2267" s="2" t="s">
        <v>900</v>
      </c>
      <c r="F2267" s="2">
        <v>529.0</v>
      </c>
      <c r="G2267" s="2">
        <v>12.72</v>
      </c>
      <c r="H2267" s="2">
        <v>41.6</v>
      </c>
      <c r="I2267" s="2" t="s">
        <v>27</v>
      </c>
    </row>
    <row r="2268" ht="15.75" customHeight="1">
      <c r="A2268" s="2" t="s">
        <v>5979</v>
      </c>
      <c r="B2268" s="2" t="s">
        <v>5980</v>
      </c>
      <c r="C2268" s="2" t="s">
        <v>3659</v>
      </c>
      <c r="D2268" s="2" t="s">
        <v>1082</v>
      </c>
      <c r="E2268" s="2" t="s">
        <v>1084</v>
      </c>
      <c r="F2268" s="2">
        <v>254.0</v>
      </c>
      <c r="G2268" s="2">
        <v>3.4</v>
      </c>
      <c r="H2268" s="2">
        <v>74.7</v>
      </c>
      <c r="I2268" s="2" t="s">
        <v>47</v>
      </c>
    </row>
    <row r="2269" ht="15.75" customHeight="1">
      <c r="A2269" s="2" t="s">
        <v>5977</v>
      </c>
      <c r="B2269" s="2" t="s">
        <v>5978</v>
      </c>
      <c r="C2269" s="2" t="s">
        <v>3659</v>
      </c>
      <c r="D2269" s="2" t="s">
        <v>1082</v>
      </c>
      <c r="E2269" s="2" t="s">
        <v>1084</v>
      </c>
      <c r="F2269" s="2">
        <v>514.0</v>
      </c>
      <c r="G2269" s="2">
        <v>4.72</v>
      </c>
      <c r="H2269" s="2">
        <v>108.9</v>
      </c>
      <c r="I2269" s="2" t="s">
        <v>27</v>
      </c>
    </row>
    <row r="2270" ht="15.75" customHeight="1">
      <c r="A2270" s="2" t="s">
        <v>5981</v>
      </c>
      <c r="B2270" s="2" t="s">
        <v>5982</v>
      </c>
      <c r="C2270" s="2" t="s">
        <v>3659</v>
      </c>
      <c r="D2270" s="2" t="s">
        <v>833</v>
      </c>
      <c r="E2270" s="2" t="s">
        <v>835</v>
      </c>
      <c r="F2270" s="2">
        <v>615.0</v>
      </c>
      <c r="G2270" s="2">
        <v>14.53</v>
      </c>
      <c r="H2270" s="2">
        <v>42.3</v>
      </c>
      <c r="I2270" s="2" t="s">
        <v>27</v>
      </c>
    </row>
    <row r="2271" ht="15.75" customHeight="1">
      <c r="A2271" s="2" t="s">
        <v>5984</v>
      </c>
      <c r="B2271" s="2" t="s">
        <v>5985</v>
      </c>
      <c r="C2271" s="2" t="s">
        <v>3659</v>
      </c>
      <c r="D2271" s="2" t="s">
        <v>962</v>
      </c>
      <c r="E2271" s="2" t="s">
        <v>965</v>
      </c>
      <c r="F2271" s="2">
        <v>637.0</v>
      </c>
      <c r="G2271" s="2">
        <v>10.67</v>
      </c>
      <c r="H2271" s="2">
        <v>59.7</v>
      </c>
      <c r="I2271" s="2" t="s">
        <v>27</v>
      </c>
    </row>
    <row r="2272" ht="15.75" customHeight="1">
      <c r="A2272" s="2" t="s">
        <v>5986</v>
      </c>
      <c r="B2272" s="2" t="s">
        <v>5987</v>
      </c>
      <c r="C2272" s="2" t="s">
        <v>3659</v>
      </c>
      <c r="D2272" s="2" t="s">
        <v>840</v>
      </c>
      <c r="E2272" s="2" t="s">
        <v>842</v>
      </c>
      <c r="F2272" s="2">
        <v>597.0</v>
      </c>
      <c r="G2272" s="2">
        <v>8.56</v>
      </c>
      <c r="H2272" s="2">
        <v>69.7</v>
      </c>
      <c r="I2272" s="2" t="s">
        <v>27</v>
      </c>
    </row>
    <row r="2273" ht="15.75" customHeight="1">
      <c r="A2273" s="2" t="s">
        <v>5983</v>
      </c>
      <c r="B2273" s="2" t="s">
        <v>2839</v>
      </c>
      <c r="C2273" s="2" t="s">
        <v>3659</v>
      </c>
      <c r="D2273" s="2" t="s">
        <v>1004</v>
      </c>
      <c r="E2273" s="2" t="s">
        <v>1006</v>
      </c>
      <c r="F2273" s="2">
        <v>659.0</v>
      </c>
      <c r="G2273" s="2">
        <v>27.09</v>
      </c>
      <c r="H2273" s="2">
        <v>24.3</v>
      </c>
      <c r="I2273" s="2" t="s">
        <v>27</v>
      </c>
    </row>
    <row r="2274" ht="15.75" customHeight="1">
      <c r="A2274" s="2" t="s">
        <v>5988</v>
      </c>
      <c r="B2274" s="2" t="s">
        <v>5989</v>
      </c>
      <c r="C2274" s="2" t="s">
        <v>3659</v>
      </c>
      <c r="D2274" s="2" t="s">
        <v>899</v>
      </c>
      <c r="E2274" s="2" t="s">
        <v>900</v>
      </c>
      <c r="F2274" s="2">
        <v>68.0</v>
      </c>
      <c r="G2274" s="2">
        <v>1.74</v>
      </c>
      <c r="H2274" s="2">
        <v>39.1</v>
      </c>
      <c r="I2274" s="2" t="s">
        <v>47</v>
      </c>
    </row>
    <row r="2275" ht="15.75" customHeight="1">
      <c r="A2275" s="2" t="s">
        <v>3833</v>
      </c>
      <c r="B2275" s="2" t="s">
        <v>3834</v>
      </c>
      <c r="C2275" s="2" t="s">
        <v>3659</v>
      </c>
      <c r="D2275" s="2" t="s">
        <v>1004</v>
      </c>
      <c r="E2275" s="2" t="s">
        <v>1006</v>
      </c>
      <c r="F2275" s="2">
        <v>578.0</v>
      </c>
      <c r="G2275" s="2">
        <v>9.22</v>
      </c>
      <c r="H2275" s="2">
        <v>62.7</v>
      </c>
      <c r="I2275" s="2" t="s">
        <v>27</v>
      </c>
    </row>
    <row r="2276" ht="15.75" customHeight="1">
      <c r="A2276" s="2" t="s">
        <v>3835</v>
      </c>
      <c r="B2276" s="2" t="s">
        <v>3836</v>
      </c>
      <c r="C2276" s="2" t="s">
        <v>3659</v>
      </c>
      <c r="D2276" s="2" t="s">
        <v>899</v>
      </c>
      <c r="E2276" s="2" t="s">
        <v>900</v>
      </c>
      <c r="F2276" s="2">
        <v>511.0</v>
      </c>
      <c r="G2276" s="2">
        <v>6.16</v>
      </c>
      <c r="H2276" s="2">
        <v>83.0</v>
      </c>
      <c r="I2276" s="2" t="s">
        <v>27</v>
      </c>
    </row>
    <row r="2277" ht="15.75" customHeight="1">
      <c r="A2277" s="2" t="s">
        <v>3837</v>
      </c>
      <c r="B2277" s="2" t="s">
        <v>3838</v>
      </c>
      <c r="C2277" s="2" t="s">
        <v>3659</v>
      </c>
      <c r="D2277" s="2" t="s">
        <v>823</v>
      </c>
      <c r="E2277" s="2" t="s">
        <v>824</v>
      </c>
      <c r="F2277" s="2">
        <v>40539.0</v>
      </c>
      <c r="G2277" s="2">
        <v>7.79</v>
      </c>
      <c r="H2277" s="2">
        <v>5204.0</v>
      </c>
      <c r="I2277" s="2" t="s">
        <v>805</v>
      </c>
    </row>
    <row r="2278" ht="15.75" customHeight="1">
      <c r="A2278" s="2" t="s">
        <v>3839</v>
      </c>
      <c r="B2278" s="2" t="s">
        <v>3840</v>
      </c>
      <c r="C2278" s="2" t="s">
        <v>3659</v>
      </c>
      <c r="D2278" s="2" t="s">
        <v>1042</v>
      </c>
      <c r="E2278" s="2" t="s">
        <v>1043</v>
      </c>
      <c r="F2278" s="2">
        <v>788.0</v>
      </c>
      <c r="G2278" s="2">
        <v>8.1</v>
      </c>
      <c r="H2278" s="2">
        <v>97.3</v>
      </c>
      <c r="I2278" s="2" t="s">
        <v>27</v>
      </c>
    </row>
    <row r="2279" ht="15.75" customHeight="1">
      <c r="A2279" s="2" t="s">
        <v>3841</v>
      </c>
      <c r="B2279" s="2" t="s">
        <v>3842</v>
      </c>
      <c r="C2279" s="2" t="s">
        <v>3659</v>
      </c>
      <c r="D2279" s="2" t="s">
        <v>792</v>
      </c>
      <c r="E2279" s="2" t="s">
        <v>793</v>
      </c>
      <c r="F2279" s="2">
        <v>568.0</v>
      </c>
      <c r="G2279" s="2">
        <v>4.03</v>
      </c>
      <c r="H2279" s="2">
        <v>140.9</v>
      </c>
      <c r="I2279" s="2" t="s">
        <v>27</v>
      </c>
    </row>
    <row r="2280" ht="15.75" customHeight="1">
      <c r="A2280" s="2" t="s">
        <v>5990</v>
      </c>
      <c r="B2280" s="2" t="s">
        <v>5991</v>
      </c>
      <c r="C2280" s="2" t="s">
        <v>3659</v>
      </c>
      <c r="D2280" s="2" t="s">
        <v>1004</v>
      </c>
      <c r="E2280" s="2" t="s">
        <v>1006</v>
      </c>
      <c r="F2280" s="2">
        <v>239.0</v>
      </c>
      <c r="G2280" s="2">
        <v>5.0</v>
      </c>
      <c r="H2280" s="2">
        <v>47.8</v>
      </c>
      <c r="I2280" s="2" t="s">
        <v>47</v>
      </c>
    </row>
    <row r="2281" ht="15.75" customHeight="1">
      <c r="A2281" s="2" t="s">
        <v>3843</v>
      </c>
      <c r="B2281" s="2" t="s">
        <v>3844</v>
      </c>
      <c r="C2281" s="2" t="s">
        <v>3659</v>
      </c>
      <c r="D2281" s="2" t="s">
        <v>1038</v>
      </c>
      <c r="E2281" s="2" t="s">
        <v>1039</v>
      </c>
      <c r="F2281" s="2">
        <v>1156.0</v>
      </c>
      <c r="G2281" s="2">
        <v>12.2</v>
      </c>
      <c r="H2281" s="2">
        <v>94.8</v>
      </c>
      <c r="I2281" s="2" t="s">
        <v>27</v>
      </c>
    </row>
    <row r="2282" ht="15.75" customHeight="1">
      <c r="A2282" s="2" t="s">
        <v>5992</v>
      </c>
      <c r="B2282" s="2" t="s">
        <v>5993</v>
      </c>
      <c r="C2282" s="2" t="s">
        <v>3659</v>
      </c>
      <c r="D2282" s="2" t="s">
        <v>861</v>
      </c>
      <c r="E2282" s="2" t="s">
        <v>862</v>
      </c>
      <c r="F2282" s="2">
        <v>223.0</v>
      </c>
      <c r="G2282" s="2">
        <v>8.78</v>
      </c>
      <c r="H2282" s="2">
        <v>25.4</v>
      </c>
      <c r="I2282" s="2" t="s">
        <v>47</v>
      </c>
    </row>
    <row r="2283" ht="15.75" customHeight="1">
      <c r="A2283" s="2" t="s">
        <v>3847</v>
      </c>
      <c r="B2283" s="2" t="s">
        <v>3848</v>
      </c>
      <c r="C2283" s="2" t="s">
        <v>3659</v>
      </c>
      <c r="D2283" s="2" t="s">
        <v>1004</v>
      </c>
      <c r="E2283" s="2" t="s">
        <v>1006</v>
      </c>
      <c r="F2283" s="2">
        <v>582.0</v>
      </c>
      <c r="G2283" s="2">
        <v>12.02</v>
      </c>
      <c r="H2283" s="2">
        <v>48.4</v>
      </c>
      <c r="I2283" s="2" t="s">
        <v>27</v>
      </c>
    </row>
    <row r="2284" ht="15.75" customHeight="1">
      <c r="A2284" s="2" t="s">
        <v>5994</v>
      </c>
      <c r="B2284" s="2" t="s">
        <v>5995</v>
      </c>
      <c r="C2284" s="2" t="s">
        <v>3659</v>
      </c>
      <c r="D2284" s="2" t="s">
        <v>1042</v>
      </c>
      <c r="E2284" s="2" t="s">
        <v>1043</v>
      </c>
      <c r="F2284" s="2">
        <v>236.0</v>
      </c>
      <c r="G2284" s="2">
        <v>7.65</v>
      </c>
      <c r="H2284" s="2">
        <v>30.8</v>
      </c>
      <c r="I2284" s="2" t="s">
        <v>47</v>
      </c>
    </row>
    <row r="2285" ht="15.75" customHeight="1">
      <c r="A2285" s="2" t="s">
        <v>3851</v>
      </c>
      <c r="B2285" s="2" t="s">
        <v>3852</v>
      </c>
      <c r="C2285" s="2" t="s">
        <v>3659</v>
      </c>
      <c r="D2285" s="2" t="s">
        <v>951</v>
      </c>
      <c r="E2285" s="2" t="s">
        <v>953</v>
      </c>
      <c r="F2285" s="2">
        <v>860.0</v>
      </c>
      <c r="G2285" s="2">
        <v>22.36</v>
      </c>
      <c r="H2285" s="2">
        <v>38.5</v>
      </c>
      <c r="I2285" s="2" t="s">
        <v>27</v>
      </c>
    </row>
    <row r="2286" ht="15.75" customHeight="1">
      <c r="A2286" s="2" t="s">
        <v>5996</v>
      </c>
      <c r="B2286" s="2" t="s">
        <v>5997</v>
      </c>
      <c r="C2286" s="2" t="s">
        <v>3659</v>
      </c>
      <c r="D2286" s="2" t="s">
        <v>962</v>
      </c>
      <c r="E2286" s="2" t="s">
        <v>965</v>
      </c>
      <c r="F2286" s="2">
        <v>260.0</v>
      </c>
      <c r="G2286" s="2">
        <v>6.39</v>
      </c>
      <c r="H2286" s="2">
        <v>40.7</v>
      </c>
      <c r="I2286" s="2" t="s">
        <v>47</v>
      </c>
    </row>
    <row r="2287" ht="15.75" customHeight="1">
      <c r="A2287" s="2" t="s">
        <v>3853</v>
      </c>
      <c r="B2287" s="2" t="s">
        <v>3854</v>
      </c>
      <c r="C2287" s="2" t="s">
        <v>3659</v>
      </c>
      <c r="D2287" s="2" t="s">
        <v>807</v>
      </c>
      <c r="E2287" s="2" t="s">
        <v>808</v>
      </c>
      <c r="F2287" s="2">
        <v>2398.0</v>
      </c>
      <c r="G2287" s="2">
        <v>9.12</v>
      </c>
      <c r="H2287" s="2">
        <v>262.9</v>
      </c>
      <c r="I2287" s="2" t="s">
        <v>138</v>
      </c>
    </row>
    <row r="2288" ht="15.75" customHeight="1">
      <c r="A2288" s="2" t="s">
        <v>5998</v>
      </c>
      <c r="B2288" s="2" t="s">
        <v>5999</v>
      </c>
      <c r="C2288" s="2" t="s">
        <v>3659</v>
      </c>
      <c r="D2288" s="2" t="s">
        <v>1004</v>
      </c>
      <c r="E2288" s="2" t="s">
        <v>1006</v>
      </c>
      <c r="F2288" s="2">
        <v>147.0</v>
      </c>
      <c r="G2288" s="2">
        <v>5.45</v>
      </c>
      <c r="H2288" s="2">
        <v>27.0</v>
      </c>
      <c r="I2288" s="2" t="s">
        <v>47</v>
      </c>
    </row>
    <row r="2289" ht="15.75" customHeight="1">
      <c r="A2289" s="2" t="s">
        <v>6000</v>
      </c>
      <c r="B2289" s="2" t="s">
        <v>6001</v>
      </c>
      <c r="C2289" s="2" t="s">
        <v>3659</v>
      </c>
      <c r="D2289" s="2" t="s">
        <v>1082</v>
      </c>
      <c r="E2289" s="2" t="s">
        <v>1084</v>
      </c>
      <c r="F2289" s="2">
        <v>366.0</v>
      </c>
      <c r="G2289" s="2">
        <v>4.12</v>
      </c>
      <c r="H2289" s="2">
        <v>88.8</v>
      </c>
      <c r="I2289" s="2" t="s">
        <v>47</v>
      </c>
    </row>
    <row r="2290" ht="15.75" customHeight="1">
      <c r="A2290" s="2" t="s">
        <v>3855</v>
      </c>
      <c r="B2290" s="2" t="s">
        <v>3856</v>
      </c>
      <c r="C2290" s="2" t="s">
        <v>3659</v>
      </c>
      <c r="D2290" s="2" t="s">
        <v>1038</v>
      </c>
      <c r="E2290" s="2" t="s">
        <v>1039</v>
      </c>
      <c r="F2290" s="2">
        <v>5283.0</v>
      </c>
      <c r="G2290" s="2">
        <v>10.76</v>
      </c>
      <c r="H2290" s="2">
        <v>491.0</v>
      </c>
      <c r="I2290" s="2" t="s">
        <v>138</v>
      </c>
    </row>
    <row r="2291" ht="15.75" customHeight="1">
      <c r="A2291" s="2" t="s">
        <v>6006</v>
      </c>
      <c r="B2291" s="2" t="s">
        <v>6007</v>
      </c>
      <c r="C2291" s="2" t="s">
        <v>3659</v>
      </c>
      <c r="D2291" s="2" t="s">
        <v>1004</v>
      </c>
      <c r="E2291" s="2" t="s">
        <v>1006</v>
      </c>
      <c r="F2291" s="2">
        <v>295.0</v>
      </c>
      <c r="G2291" s="2">
        <v>7.75</v>
      </c>
      <c r="H2291" s="2">
        <v>38.1</v>
      </c>
      <c r="I2291" s="2" t="s">
        <v>47</v>
      </c>
    </row>
    <row r="2292" ht="15.75" customHeight="1">
      <c r="A2292" s="2" t="s">
        <v>3857</v>
      </c>
      <c r="B2292" s="2" t="s">
        <v>3858</v>
      </c>
      <c r="C2292" s="2" t="s">
        <v>3659</v>
      </c>
      <c r="D2292" s="2" t="s">
        <v>899</v>
      </c>
      <c r="E2292" s="2" t="s">
        <v>900</v>
      </c>
      <c r="F2292" s="2">
        <v>868.0</v>
      </c>
      <c r="G2292" s="2">
        <v>10.68</v>
      </c>
      <c r="H2292" s="2">
        <v>81.3</v>
      </c>
      <c r="I2292" s="2" t="s">
        <v>27</v>
      </c>
    </row>
    <row r="2293" ht="15.75" customHeight="1">
      <c r="A2293" s="2" t="s">
        <v>3859</v>
      </c>
      <c r="B2293" s="2" t="s">
        <v>3860</v>
      </c>
      <c r="C2293" s="2" t="s">
        <v>3659</v>
      </c>
      <c r="D2293" s="2" t="s">
        <v>792</v>
      </c>
      <c r="E2293" s="2" t="s">
        <v>793</v>
      </c>
      <c r="F2293" s="2">
        <v>21424.0</v>
      </c>
      <c r="G2293" s="2">
        <v>16.43</v>
      </c>
      <c r="H2293" s="2">
        <v>1304.0</v>
      </c>
      <c r="I2293" s="2" t="s">
        <v>805</v>
      </c>
    </row>
    <row r="2294" ht="15.75" customHeight="1">
      <c r="A2294" s="2" t="s">
        <v>6004</v>
      </c>
      <c r="B2294" s="2" t="s">
        <v>6005</v>
      </c>
      <c r="C2294" s="2" t="s">
        <v>3659</v>
      </c>
      <c r="D2294" s="2" t="s">
        <v>861</v>
      </c>
      <c r="E2294" s="2" t="s">
        <v>862</v>
      </c>
      <c r="F2294" s="2">
        <v>387.0</v>
      </c>
      <c r="G2294" s="2">
        <v>6.19</v>
      </c>
      <c r="H2294" s="2">
        <v>62.5</v>
      </c>
      <c r="I2294" s="2" t="s">
        <v>47</v>
      </c>
    </row>
    <row r="2295" ht="15.75" customHeight="1">
      <c r="A2295" s="2" t="s">
        <v>6002</v>
      </c>
      <c r="B2295" s="2" t="s">
        <v>6003</v>
      </c>
      <c r="C2295" s="2" t="s">
        <v>3659</v>
      </c>
      <c r="D2295" s="2" t="s">
        <v>899</v>
      </c>
      <c r="E2295" s="2" t="s">
        <v>900</v>
      </c>
      <c r="F2295" s="2">
        <v>156.0</v>
      </c>
      <c r="G2295" s="2">
        <v>3.05</v>
      </c>
      <c r="H2295" s="2">
        <v>51.1</v>
      </c>
      <c r="I2295" s="2" t="s">
        <v>47</v>
      </c>
    </row>
    <row r="2296" ht="15.75" customHeight="1">
      <c r="A2296" s="2" t="s">
        <v>3861</v>
      </c>
      <c r="B2296" s="2" t="s">
        <v>3862</v>
      </c>
      <c r="C2296" s="2" t="s">
        <v>3659</v>
      </c>
      <c r="D2296" s="2" t="s">
        <v>809</v>
      </c>
      <c r="E2296" s="2" t="s">
        <v>811</v>
      </c>
      <c r="F2296" s="2">
        <v>634.0</v>
      </c>
      <c r="G2296" s="2">
        <v>7.27</v>
      </c>
      <c r="H2296" s="2">
        <v>87.2</v>
      </c>
      <c r="I2296" s="2" t="s">
        <v>27</v>
      </c>
    </row>
    <row r="2297" ht="15.75" customHeight="1">
      <c r="A2297" s="2" t="s">
        <v>3863</v>
      </c>
      <c r="B2297" s="2" t="s">
        <v>3864</v>
      </c>
      <c r="C2297" s="2" t="s">
        <v>3659</v>
      </c>
      <c r="D2297" s="2" t="s">
        <v>1042</v>
      </c>
      <c r="E2297" s="2" t="s">
        <v>1043</v>
      </c>
      <c r="F2297" s="2">
        <v>1324.0</v>
      </c>
      <c r="G2297" s="2">
        <v>7.3</v>
      </c>
      <c r="H2297" s="2">
        <v>181.4</v>
      </c>
      <c r="I2297" s="2" t="s">
        <v>27</v>
      </c>
    </row>
    <row r="2298" ht="15.75" customHeight="1">
      <c r="A2298" s="2" t="s">
        <v>3865</v>
      </c>
      <c r="B2298" s="2" t="s">
        <v>3866</v>
      </c>
      <c r="C2298" s="2" t="s">
        <v>3659</v>
      </c>
      <c r="D2298" s="2" t="s">
        <v>997</v>
      </c>
      <c r="E2298" s="2" t="s">
        <v>999</v>
      </c>
      <c r="F2298" s="2">
        <v>1503.0</v>
      </c>
      <c r="G2298" s="2">
        <v>20.76</v>
      </c>
      <c r="H2298" s="2">
        <v>72.4</v>
      </c>
      <c r="I2298" s="2" t="s">
        <v>27</v>
      </c>
    </row>
    <row r="2299" ht="15.75" customHeight="1">
      <c r="A2299" s="2" t="s">
        <v>6008</v>
      </c>
      <c r="B2299" s="2" t="s">
        <v>6009</v>
      </c>
      <c r="C2299" s="2" t="s">
        <v>3659</v>
      </c>
      <c r="D2299" s="2" t="s">
        <v>1004</v>
      </c>
      <c r="E2299" s="2" t="s">
        <v>1006</v>
      </c>
      <c r="F2299" s="2">
        <v>237.0</v>
      </c>
      <c r="G2299" s="2">
        <v>11.57</v>
      </c>
      <c r="H2299" s="2">
        <v>20.5</v>
      </c>
      <c r="I2299" s="2" t="s">
        <v>47</v>
      </c>
    </row>
    <row r="2300" ht="15.75" customHeight="1">
      <c r="A2300" s="2" t="s">
        <v>3867</v>
      </c>
      <c r="B2300" s="2" t="s">
        <v>3868</v>
      </c>
      <c r="C2300" s="2" t="s">
        <v>3659</v>
      </c>
      <c r="D2300" s="2" t="s">
        <v>899</v>
      </c>
      <c r="E2300" s="2" t="s">
        <v>900</v>
      </c>
      <c r="F2300" s="2">
        <v>753.0</v>
      </c>
      <c r="G2300" s="2">
        <v>13.41</v>
      </c>
      <c r="H2300" s="2">
        <v>56.2</v>
      </c>
      <c r="I2300" s="2" t="s">
        <v>27</v>
      </c>
    </row>
    <row r="2301" ht="15.75" customHeight="1">
      <c r="A2301" s="2" t="s">
        <v>6010</v>
      </c>
      <c r="B2301" s="2" t="s">
        <v>6011</v>
      </c>
      <c r="C2301" s="2" t="s">
        <v>3659</v>
      </c>
      <c r="D2301" s="2" t="s">
        <v>1038</v>
      </c>
      <c r="E2301" s="2" t="s">
        <v>1039</v>
      </c>
      <c r="F2301" s="2">
        <v>284.0</v>
      </c>
      <c r="G2301" s="2">
        <v>6.88</v>
      </c>
      <c r="H2301" s="2">
        <v>41.3</v>
      </c>
      <c r="I2301" s="2" t="s">
        <v>47</v>
      </c>
    </row>
    <row r="2302" ht="15.75" customHeight="1">
      <c r="A2302" s="2" t="s">
        <v>6012</v>
      </c>
      <c r="B2302" s="2" t="s">
        <v>6013</v>
      </c>
      <c r="C2302" s="2" t="s">
        <v>3659</v>
      </c>
      <c r="D2302" s="2" t="s">
        <v>997</v>
      </c>
      <c r="E2302" s="2" t="s">
        <v>999</v>
      </c>
      <c r="F2302" s="2">
        <v>225.0</v>
      </c>
      <c r="G2302" s="2">
        <v>6.37</v>
      </c>
      <c r="H2302" s="2">
        <v>35.3</v>
      </c>
      <c r="I2302" s="2" t="s">
        <v>47</v>
      </c>
    </row>
    <row r="2303" ht="15.75" customHeight="1">
      <c r="A2303" s="2" t="s">
        <v>3869</v>
      </c>
      <c r="B2303" s="2" t="s">
        <v>3870</v>
      </c>
      <c r="C2303" s="2" t="s">
        <v>3659</v>
      </c>
      <c r="D2303" s="2" t="s">
        <v>807</v>
      </c>
      <c r="E2303" s="2" t="s">
        <v>808</v>
      </c>
      <c r="F2303" s="2">
        <v>12146.0</v>
      </c>
      <c r="G2303" s="2">
        <v>7.81</v>
      </c>
      <c r="H2303" s="2">
        <v>1555.2</v>
      </c>
      <c r="I2303" s="2" t="s">
        <v>805</v>
      </c>
    </row>
    <row r="2304" ht="15.75" customHeight="1">
      <c r="A2304" s="2" t="s">
        <v>6014</v>
      </c>
      <c r="B2304" s="2" t="s">
        <v>6015</v>
      </c>
      <c r="C2304" s="2" t="s">
        <v>3659</v>
      </c>
      <c r="D2304" s="2" t="s">
        <v>1004</v>
      </c>
      <c r="E2304" s="2" t="s">
        <v>1006</v>
      </c>
      <c r="F2304" s="2">
        <v>172.0</v>
      </c>
      <c r="G2304" s="2">
        <v>3.81</v>
      </c>
      <c r="H2304" s="2">
        <v>45.1</v>
      </c>
      <c r="I2304" s="2" t="s">
        <v>47</v>
      </c>
    </row>
    <row r="2305" ht="15.75" customHeight="1">
      <c r="A2305" s="2" t="s">
        <v>3871</v>
      </c>
      <c r="B2305" s="2" t="s">
        <v>3872</v>
      </c>
      <c r="C2305" s="2" t="s">
        <v>3659</v>
      </c>
      <c r="D2305" s="2" t="s">
        <v>792</v>
      </c>
      <c r="E2305" s="2" t="s">
        <v>793</v>
      </c>
      <c r="F2305" s="2">
        <v>2834.0</v>
      </c>
      <c r="G2305" s="2">
        <v>5.52</v>
      </c>
      <c r="H2305" s="2">
        <v>513.4</v>
      </c>
      <c r="I2305" s="2" t="s">
        <v>138</v>
      </c>
    </row>
    <row r="2306" ht="15.75" customHeight="1">
      <c r="A2306" s="2" t="s">
        <v>6016</v>
      </c>
      <c r="B2306" s="2" t="s">
        <v>6017</v>
      </c>
      <c r="C2306" s="2" t="s">
        <v>3659</v>
      </c>
      <c r="D2306" s="2" t="s">
        <v>997</v>
      </c>
      <c r="E2306" s="2" t="s">
        <v>999</v>
      </c>
      <c r="F2306" s="2">
        <v>132.0</v>
      </c>
      <c r="G2306" s="2">
        <v>3.24</v>
      </c>
      <c r="H2306" s="2">
        <v>40.7</v>
      </c>
      <c r="I2306" s="2" t="s">
        <v>47</v>
      </c>
    </row>
    <row r="2307" ht="15.75" customHeight="1">
      <c r="A2307" s="2" t="s">
        <v>3873</v>
      </c>
      <c r="B2307" s="2" t="s">
        <v>3874</v>
      </c>
      <c r="C2307" s="2" t="s">
        <v>3659</v>
      </c>
      <c r="D2307" s="2" t="s">
        <v>792</v>
      </c>
      <c r="E2307" s="2" t="s">
        <v>793</v>
      </c>
      <c r="F2307" s="2">
        <v>1243.0</v>
      </c>
      <c r="G2307" s="2">
        <v>9.52</v>
      </c>
      <c r="H2307" s="2">
        <v>130.6</v>
      </c>
      <c r="I2307" s="2" t="s">
        <v>27</v>
      </c>
    </row>
    <row r="2308" ht="15.75" customHeight="1">
      <c r="A2308" s="2" t="s">
        <v>5911</v>
      </c>
      <c r="B2308" s="2" t="s">
        <v>5912</v>
      </c>
      <c r="C2308" s="2" t="s">
        <v>3659</v>
      </c>
      <c r="D2308" s="2" t="s">
        <v>899</v>
      </c>
      <c r="E2308" s="2" t="s">
        <v>900</v>
      </c>
      <c r="F2308" s="2">
        <v>139.0</v>
      </c>
      <c r="G2308" s="2">
        <v>7.4</v>
      </c>
      <c r="H2308" s="2">
        <v>18.8</v>
      </c>
      <c r="I2308" s="2" t="s">
        <v>47</v>
      </c>
    </row>
    <row r="2309" ht="15.75" customHeight="1">
      <c r="A2309" s="2" t="s">
        <v>5923</v>
      </c>
      <c r="B2309" s="2" t="s">
        <v>5924</v>
      </c>
      <c r="C2309" s="2" t="s">
        <v>3659</v>
      </c>
      <c r="D2309" s="2" t="s">
        <v>951</v>
      </c>
      <c r="E2309" s="2" t="s">
        <v>953</v>
      </c>
      <c r="F2309" s="2">
        <v>280.0</v>
      </c>
      <c r="G2309" s="2">
        <v>6.07</v>
      </c>
      <c r="H2309" s="2">
        <v>46.1</v>
      </c>
      <c r="I2309" s="2" t="s">
        <v>47</v>
      </c>
    </row>
    <row r="2310" ht="15.75" customHeight="1">
      <c r="A2310" s="2" t="s">
        <v>5925</v>
      </c>
      <c r="B2310" s="2" t="s">
        <v>5926</v>
      </c>
      <c r="C2310" s="2" t="s">
        <v>3659</v>
      </c>
      <c r="D2310" s="2" t="s">
        <v>997</v>
      </c>
      <c r="E2310" s="2" t="s">
        <v>999</v>
      </c>
      <c r="F2310" s="2">
        <v>114.0</v>
      </c>
      <c r="G2310" s="2">
        <v>3.08</v>
      </c>
      <c r="H2310" s="2">
        <v>37.0</v>
      </c>
      <c r="I2310" s="2" t="s">
        <v>47</v>
      </c>
    </row>
    <row r="2311" ht="15.75" customHeight="1">
      <c r="A2311" s="2" t="s">
        <v>5933</v>
      </c>
      <c r="B2311" s="2" t="s">
        <v>5934</v>
      </c>
      <c r="C2311" s="2" t="s">
        <v>3659</v>
      </c>
      <c r="D2311" s="2" t="s">
        <v>807</v>
      </c>
      <c r="E2311" s="2" t="s">
        <v>808</v>
      </c>
      <c r="F2311" s="2">
        <v>330.0</v>
      </c>
      <c r="G2311" s="2">
        <v>4.16</v>
      </c>
      <c r="H2311" s="2">
        <v>79.3</v>
      </c>
      <c r="I2311" s="2" t="s">
        <v>47</v>
      </c>
    </row>
    <row r="2312" ht="15.75" customHeight="1">
      <c r="A2312" s="2" t="s">
        <v>5945</v>
      </c>
      <c r="B2312" s="2" t="s">
        <v>5946</v>
      </c>
      <c r="C2312" s="2" t="s">
        <v>3659</v>
      </c>
      <c r="D2312" s="2" t="s">
        <v>904</v>
      </c>
      <c r="E2312" s="2" t="s">
        <v>906</v>
      </c>
      <c r="F2312" s="2">
        <v>155.0</v>
      </c>
      <c r="G2312" s="2">
        <v>4.24</v>
      </c>
      <c r="H2312" s="2">
        <v>36.6</v>
      </c>
      <c r="I2312" s="2" t="s">
        <v>47</v>
      </c>
    </row>
    <row r="2313" ht="15.75" customHeight="1">
      <c r="A2313" s="2" t="s">
        <v>3875</v>
      </c>
      <c r="B2313" s="2" t="s">
        <v>3876</v>
      </c>
      <c r="C2313" s="2" t="s">
        <v>3659</v>
      </c>
      <c r="D2313" s="2" t="s">
        <v>792</v>
      </c>
      <c r="E2313" s="2" t="s">
        <v>793</v>
      </c>
      <c r="F2313" s="2">
        <v>25224.0</v>
      </c>
      <c r="G2313" s="2">
        <v>9.46</v>
      </c>
      <c r="H2313" s="2">
        <v>2666.4</v>
      </c>
      <c r="I2313" s="2" t="s">
        <v>805</v>
      </c>
    </row>
    <row r="2314" ht="15.75" customHeight="1">
      <c r="A2314" s="2" t="s">
        <v>6018</v>
      </c>
      <c r="B2314" s="2" t="s">
        <v>6019</v>
      </c>
      <c r="C2314" s="2" t="s">
        <v>3659</v>
      </c>
      <c r="D2314" s="2" t="s">
        <v>1042</v>
      </c>
      <c r="E2314" s="2" t="s">
        <v>1043</v>
      </c>
      <c r="F2314" s="2">
        <v>734.0</v>
      </c>
      <c r="G2314" s="2">
        <v>4.8</v>
      </c>
      <c r="H2314" s="2">
        <v>152.9</v>
      </c>
      <c r="I2314" s="2" t="s">
        <v>27</v>
      </c>
    </row>
    <row r="2315" ht="15.75" customHeight="1">
      <c r="A2315" s="2" t="s">
        <v>6020</v>
      </c>
      <c r="B2315" s="2" t="s">
        <v>6021</v>
      </c>
      <c r="C2315" s="2" t="s">
        <v>3659</v>
      </c>
      <c r="D2315" s="2" t="s">
        <v>1038</v>
      </c>
      <c r="E2315" s="2" t="s">
        <v>1039</v>
      </c>
      <c r="F2315" s="2">
        <v>421.0</v>
      </c>
      <c r="G2315" s="2">
        <v>9.53</v>
      </c>
      <c r="H2315" s="2">
        <v>44.2</v>
      </c>
      <c r="I2315" s="2" t="s">
        <v>47</v>
      </c>
    </row>
    <row r="2316" ht="15.75" customHeight="1">
      <c r="A2316" s="2" t="s">
        <v>3877</v>
      </c>
      <c r="B2316" s="2" t="s">
        <v>3878</v>
      </c>
      <c r="C2316" s="2" t="s">
        <v>3659</v>
      </c>
      <c r="D2316" s="2" t="s">
        <v>840</v>
      </c>
      <c r="E2316" s="2" t="s">
        <v>842</v>
      </c>
      <c r="F2316" s="2">
        <v>67571.0</v>
      </c>
      <c r="G2316" s="2">
        <v>36.8</v>
      </c>
      <c r="H2316" s="2">
        <v>1836.2</v>
      </c>
      <c r="I2316" s="2" t="s">
        <v>3730</v>
      </c>
    </row>
    <row r="2317" ht="15.75" customHeight="1">
      <c r="A2317" s="2" t="s">
        <v>3879</v>
      </c>
      <c r="B2317" s="2" t="s">
        <v>3880</v>
      </c>
      <c r="C2317" s="2" t="s">
        <v>3659</v>
      </c>
      <c r="D2317" s="2" t="s">
        <v>792</v>
      </c>
      <c r="E2317" s="2" t="s">
        <v>793</v>
      </c>
      <c r="F2317" s="2">
        <v>5369.0</v>
      </c>
      <c r="G2317" s="2">
        <v>4.61</v>
      </c>
      <c r="H2317" s="2">
        <v>1164.6</v>
      </c>
      <c r="I2317" s="2" t="s">
        <v>138</v>
      </c>
    </row>
    <row r="2318" ht="15.75" customHeight="1">
      <c r="A2318" s="2" t="s">
        <v>3881</v>
      </c>
      <c r="B2318" s="2" t="s">
        <v>3882</v>
      </c>
      <c r="C2318" s="2" t="s">
        <v>3659</v>
      </c>
      <c r="D2318" s="2" t="s">
        <v>792</v>
      </c>
      <c r="E2318" s="2" t="s">
        <v>793</v>
      </c>
      <c r="F2318" s="2">
        <v>1595.0</v>
      </c>
      <c r="G2318" s="2">
        <v>10.91</v>
      </c>
      <c r="H2318" s="2">
        <v>146.2</v>
      </c>
      <c r="I2318" s="2" t="s">
        <v>27</v>
      </c>
    </row>
    <row r="2319" ht="15.75" customHeight="1">
      <c r="A2319" s="2" t="s">
        <v>3883</v>
      </c>
      <c r="B2319" s="2" t="s">
        <v>3884</v>
      </c>
      <c r="C2319" s="2" t="s">
        <v>3659</v>
      </c>
      <c r="D2319" s="2" t="s">
        <v>792</v>
      </c>
      <c r="E2319" s="2" t="s">
        <v>793</v>
      </c>
      <c r="F2319" s="2">
        <v>1762.0</v>
      </c>
      <c r="G2319" s="2">
        <v>9.91</v>
      </c>
      <c r="H2319" s="2">
        <v>177.8</v>
      </c>
      <c r="I2319" s="2" t="s">
        <v>27</v>
      </c>
    </row>
    <row r="2320" ht="15.75" customHeight="1">
      <c r="A2320" s="2" t="s">
        <v>3885</v>
      </c>
      <c r="B2320" s="2" t="s">
        <v>3886</v>
      </c>
      <c r="C2320" s="2" t="s">
        <v>3659</v>
      </c>
      <c r="D2320" s="2" t="s">
        <v>904</v>
      </c>
      <c r="E2320" s="2" t="s">
        <v>906</v>
      </c>
      <c r="F2320" s="2">
        <v>683.0</v>
      </c>
      <c r="G2320" s="2">
        <v>5.62</v>
      </c>
      <c r="H2320" s="2">
        <v>121.5</v>
      </c>
      <c r="I2320" s="2" t="s">
        <v>27</v>
      </c>
    </row>
    <row r="2321" ht="15.75" customHeight="1">
      <c r="A2321" s="2" t="s">
        <v>6024</v>
      </c>
      <c r="B2321" s="2" t="s">
        <v>6025</v>
      </c>
      <c r="C2321" s="2" t="s">
        <v>3659</v>
      </c>
      <c r="D2321" s="2" t="s">
        <v>904</v>
      </c>
      <c r="E2321" s="2" t="s">
        <v>906</v>
      </c>
      <c r="F2321" s="2">
        <v>352.0</v>
      </c>
      <c r="G2321" s="2">
        <v>4.73</v>
      </c>
      <c r="H2321" s="2">
        <v>74.4</v>
      </c>
      <c r="I2321" s="2" t="s">
        <v>47</v>
      </c>
    </row>
    <row r="2322" ht="15.75" customHeight="1">
      <c r="A2322" s="2" t="s">
        <v>3887</v>
      </c>
      <c r="B2322" s="2" t="s">
        <v>3888</v>
      </c>
      <c r="C2322" s="2" t="s">
        <v>3659</v>
      </c>
      <c r="D2322" s="2" t="s">
        <v>792</v>
      </c>
      <c r="E2322" s="2" t="s">
        <v>793</v>
      </c>
      <c r="F2322" s="2">
        <v>1263.0</v>
      </c>
      <c r="G2322" s="2">
        <v>1.78</v>
      </c>
      <c r="H2322" s="2">
        <v>709.6</v>
      </c>
      <c r="I2322" s="2" t="s">
        <v>27</v>
      </c>
    </row>
    <row r="2323" ht="15.75" customHeight="1">
      <c r="A2323" s="2" t="s">
        <v>3889</v>
      </c>
      <c r="B2323" s="2" t="s">
        <v>3890</v>
      </c>
      <c r="C2323" s="2" t="s">
        <v>3659</v>
      </c>
      <c r="D2323" s="2" t="s">
        <v>809</v>
      </c>
      <c r="E2323" s="2" t="s">
        <v>811</v>
      </c>
      <c r="F2323" s="2">
        <v>2582.0</v>
      </c>
      <c r="G2323" s="2">
        <v>16.06</v>
      </c>
      <c r="H2323" s="2">
        <v>160.8</v>
      </c>
      <c r="I2323" s="2" t="s">
        <v>138</v>
      </c>
    </row>
    <row r="2324" ht="15.75" customHeight="1">
      <c r="A2324" s="2" t="s">
        <v>3891</v>
      </c>
      <c r="B2324" s="2" t="s">
        <v>3892</v>
      </c>
      <c r="C2324" s="2" t="s">
        <v>3659</v>
      </c>
      <c r="D2324" s="2" t="s">
        <v>951</v>
      </c>
      <c r="E2324" s="2" t="s">
        <v>953</v>
      </c>
      <c r="F2324" s="2">
        <v>669.0</v>
      </c>
      <c r="G2324" s="2">
        <v>13.32</v>
      </c>
      <c r="H2324" s="2">
        <v>50.2</v>
      </c>
      <c r="I2324" s="2" t="s">
        <v>27</v>
      </c>
    </row>
    <row r="2325" ht="15.75" customHeight="1">
      <c r="A2325" s="2" t="s">
        <v>3893</v>
      </c>
      <c r="B2325" s="2" t="s">
        <v>3894</v>
      </c>
      <c r="C2325" s="2" t="s">
        <v>3659</v>
      </c>
      <c r="D2325" s="2" t="s">
        <v>1042</v>
      </c>
      <c r="E2325" s="2" t="s">
        <v>1043</v>
      </c>
      <c r="F2325" s="2">
        <v>407.0</v>
      </c>
      <c r="G2325" s="2">
        <v>5.72</v>
      </c>
      <c r="H2325" s="2">
        <v>71.2</v>
      </c>
      <c r="I2325" s="2" t="s">
        <v>47</v>
      </c>
    </row>
    <row r="2326" ht="15.75" customHeight="1">
      <c r="A2326" s="2" t="s">
        <v>3895</v>
      </c>
      <c r="B2326" s="2" t="s">
        <v>3896</v>
      </c>
      <c r="C2326" s="2" t="s">
        <v>3659</v>
      </c>
      <c r="D2326" s="2" t="s">
        <v>899</v>
      </c>
      <c r="E2326" s="2" t="s">
        <v>900</v>
      </c>
      <c r="F2326" s="2">
        <v>1943.0</v>
      </c>
      <c r="G2326" s="2">
        <v>15.67</v>
      </c>
      <c r="H2326" s="2">
        <v>124.0</v>
      </c>
      <c r="I2326" s="2" t="s">
        <v>27</v>
      </c>
    </row>
    <row r="2327" ht="15.75" customHeight="1">
      <c r="A2327" s="2" t="s">
        <v>3897</v>
      </c>
      <c r="B2327" s="2" t="s">
        <v>3898</v>
      </c>
      <c r="C2327" s="2" t="s">
        <v>3659</v>
      </c>
      <c r="D2327" s="2" t="s">
        <v>833</v>
      </c>
      <c r="E2327" s="2" t="s">
        <v>835</v>
      </c>
      <c r="F2327" s="2">
        <v>1301.0</v>
      </c>
      <c r="G2327" s="2">
        <v>4.66</v>
      </c>
      <c r="H2327" s="2">
        <v>279.2</v>
      </c>
      <c r="I2327" s="2" t="s">
        <v>27</v>
      </c>
    </row>
    <row r="2328" ht="15.75" customHeight="1">
      <c r="A2328" s="2" t="s">
        <v>6026</v>
      </c>
      <c r="B2328" s="2" t="s">
        <v>6027</v>
      </c>
      <c r="C2328" s="2" t="s">
        <v>3659</v>
      </c>
      <c r="D2328" s="2" t="s">
        <v>809</v>
      </c>
      <c r="E2328" s="2" t="s">
        <v>811</v>
      </c>
      <c r="F2328" s="2">
        <v>295.0</v>
      </c>
      <c r="G2328" s="2">
        <v>5.36</v>
      </c>
      <c r="H2328" s="2">
        <v>55.0</v>
      </c>
      <c r="I2328" s="2" t="s">
        <v>47</v>
      </c>
    </row>
    <row r="2329" ht="15.75" customHeight="1">
      <c r="A2329" s="2" t="s">
        <v>3899</v>
      </c>
      <c r="B2329" s="2" t="s">
        <v>3900</v>
      </c>
      <c r="C2329" s="2" t="s">
        <v>3659</v>
      </c>
      <c r="D2329" s="2" t="s">
        <v>809</v>
      </c>
      <c r="E2329" s="2" t="s">
        <v>811</v>
      </c>
      <c r="F2329" s="2">
        <v>521.0</v>
      </c>
      <c r="G2329" s="2">
        <v>6.21</v>
      </c>
      <c r="H2329" s="2">
        <v>83.9</v>
      </c>
      <c r="I2329" s="2" t="s">
        <v>27</v>
      </c>
    </row>
    <row r="2330" ht="15.75" customHeight="1">
      <c r="A2330" s="2" t="s">
        <v>6028</v>
      </c>
      <c r="B2330" s="2" t="s">
        <v>6029</v>
      </c>
      <c r="C2330" s="2" t="s">
        <v>3659</v>
      </c>
      <c r="D2330" s="2" t="s">
        <v>904</v>
      </c>
      <c r="E2330" s="2" t="s">
        <v>906</v>
      </c>
      <c r="F2330" s="2">
        <v>66.0</v>
      </c>
      <c r="G2330" s="2">
        <v>1.77</v>
      </c>
      <c r="H2330" s="2">
        <v>37.3</v>
      </c>
      <c r="I2330" s="2" t="s">
        <v>47</v>
      </c>
    </row>
    <row r="2331" ht="15.75" customHeight="1">
      <c r="A2331" s="2" t="s">
        <v>6030</v>
      </c>
      <c r="B2331" s="2" t="s">
        <v>6031</v>
      </c>
      <c r="C2331" s="2" t="s">
        <v>3659</v>
      </c>
      <c r="D2331" s="2" t="s">
        <v>951</v>
      </c>
      <c r="E2331" s="2" t="s">
        <v>953</v>
      </c>
      <c r="F2331" s="2">
        <v>168.0</v>
      </c>
      <c r="G2331" s="2">
        <v>3.62</v>
      </c>
      <c r="H2331" s="2">
        <v>46.4</v>
      </c>
      <c r="I2331" s="2" t="s">
        <v>47</v>
      </c>
    </row>
    <row r="2332" ht="15.75" customHeight="1">
      <c r="A2332" s="2" t="s">
        <v>6032</v>
      </c>
      <c r="B2332" s="2" t="s">
        <v>6033</v>
      </c>
      <c r="C2332" s="2" t="s">
        <v>3659</v>
      </c>
      <c r="D2332" s="2" t="s">
        <v>904</v>
      </c>
      <c r="E2332" s="2" t="s">
        <v>906</v>
      </c>
      <c r="F2332" s="2">
        <v>223.0</v>
      </c>
      <c r="G2332" s="2">
        <v>2.98</v>
      </c>
      <c r="H2332" s="2">
        <v>74.8</v>
      </c>
      <c r="I2332" s="2" t="s">
        <v>47</v>
      </c>
    </row>
    <row r="2333" ht="15.75" customHeight="1">
      <c r="A2333" s="2" t="s">
        <v>3901</v>
      </c>
      <c r="B2333" s="2" t="s">
        <v>3902</v>
      </c>
      <c r="C2333" s="2" t="s">
        <v>3659</v>
      </c>
      <c r="D2333" s="2" t="s">
        <v>899</v>
      </c>
      <c r="E2333" s="2" t="s">
        <v>900</v>
      </c>
      <c r="F2333" s="2">
        <v>474.0</v>
      </c>
      <c r="G2333" s="2">
        <v>5.61</v>
      </c>
      <c r="H2333" s="2">
        <v>84.5</v>
      </c>
      <c r="I2333" s="2" t="s">
        <v>47</v>
      </c>
    </row>
    <row r="2334" ht="15.75" customHeight="1">
      <c r="A2334" s="2" t="s">
        <v>3903</v>
      </c>
      <c r="B2334" s="2" t="s">
        <v>3904</v>
      </c>
      <c r="C2334" s="2" t="s">
        <v>3659</v>
      </c>
      <c r="D2334" s="2" t="s">
        <v>807</v>
      </c>
      <c r="E2334" s="2" t="s">
        <v>808</v>
      </c>
      <c r="F2334" s="2">
        <v>819.0</v>
      </c>
      <c r="G2334" s="2">
        <v>8.52</v>
      </c>
      <c r="H2334" s="2">
        <v>96.1</v>
      </c>
      <c r="I2334" s="2" t="s">
        <v>27</v>
      </c>
    </row>
    <row r="2335" ht="15.75" customHeight="1">
      <c r="A2335" s="2" t="s">
        <v>6034</v>
      </c>
      <c r="B2335" s="2" t="s">
        <v>6035</v>
      </c>
      <c r="C2335" s="2" t="s">
        <v>3659</v>
      </c>
      <c r="D2335" s="2" t="s">
        <v>861</v>
      </c>
      <c r="E2335" s="2" t="s">
        <v>862</v>
      </c>
      <c r="F2335" s="2">
        <v>638.0</v>
      </c>
      <c r="G2335" s="2">
        <v>6.32</v>
      </c>
      <c r="H2335" s="2">
        <v>100.9</v>
      </c>
      <c r="I2335" s="2" t="s">
        <v>27</v>
      </c>
    </row>
    <row r="2336" ht="15.75" customHeight="1">
      <c r="A2336" s="2" t="s">
        <v>3905</v>
      </c>
      <c r="B2336" s="2" t="s">
        <v>3906</v>
      </c>
      <c r="C2336" s="2" t="s">
        <v>3659</v>
      </c>
      <c r="D2336" s="2" t="s">
        <v>789</v>
      </c>
      <c r="E2336" s="2" t="s">
        <v>790</v>
      </c>
      <c r="F2336" s="2">
        <v>17909.0</v>
      </c>
      <c r="G2336" s="2">
        <v>20.95</v>
      </c>
      <c r="H2336" s="2">
        <v>854.8</v>
      </c>
      <c r="I2336" s="2" t="s">
        <v>805</v>
      </c>
    </row>
    <row r="2337" ht="15.75" customHeight="1">
      <c r="A2337" s="2" t="s">
        <v>3907</v>
      </c>
      <c r="B2337" s="2" t="s">
        <v>3908</v>
      </c>
      <c r="C2337" s="2" t="s">
        <v>3659</v>
      </c>
      <c r="D2337" s="2" t="s">
        <v>792</v>
      </c>
      <c r="E2337" s="2" t="s">
        <v>793</v>
      </c>
      <c r="F2337" s="2">
        <v>2593.0</v>
      </c>
      <c r="G2337" s="2">
        <v>3.14</v>
      </c>
      <c r="H2337" s="2">
        <v>825.8</v>
      </c>
      <c r="I2337" s="2" t="s">
        <v>138</v>
      </c>
    </row>
    <row r="2338" ht="15.75" customHeight="1">
      <c r="A2338" s="2" t="s">
        <v>6038</v>
      </c>
      <c r="B2338" s="2" t="s">
        <v>6039</v>
      </c>
      <c r="C2338" s="2" t="s">
        <v>3659</v>
      </c>
      <c r="D2338" s="2" t="s">
        <v>792</v>
      </c>
      <c r="E2338" s="2" t="s">
        <v>793</v>
      </c>
      <c r="F2338" s="2">
        <v>331.0</v>
      </c>
      <c r="G2338" s="2">
        <v>5.55</v>
      </c>
      <c r="H2338" s="2">
        <v>59.6</v>
      </c>
      <c r="I2338" s="2" t="s">
        <v>47</v>
      </c>
    </row>
    <row r="2339" ht="15.75" customHeight="1">
      <c r="A2339" s="2" t="s">
        <v>6040</v>
      </c>
      <c r="B2339" s="2" t="s">
        <v>593</v>
      </c>
      <c r="C2339" s="2" t="s">
        <v>3659</v>
      </c>
      <c r="D2339" s="2" t="s">
        <v>899</v>
      </c>
      <c r="E2339" s="2" t="s">
        <v>900</v>
      </c>
      <c r="F2339" s="2">
        <v>150.0</v>
      </c>
      <c r="G2339" s="2">
        <v>9.54</v>
      </c>
      <c r="H2339" s="2">
        <v>15.7</v>
      </c>
      <c r="I2339" s="2" t="s">
        <v>47</v>
      </c>
    </row>
    <row r="2340" ht="15.75" customHeight="1">
      <c r="A2340" s="2" t="s">
        <v>3909</v>
      </c>
      <c r="B2340" s="2" t="s">
        <v>3910</v>
      </c>
      <c r="C2340" s="2" t="s">
        <v>3659</v>
      </c>
      <c r="D2340" s="2" t="s">
        <v>899</v>
      </c>
      <c r="E2340" s="2" t="s">
        <v>900</v>
      </c>
      <c r="F2340" s="2">
        <v>423.0</v>
      </c>
      <c r="G2340" s="2">
        <v>11.86</v>
      </c>
      <c r="H2340" s="2">
        <v>35.7</v>
      </c>
      <c r="I2340" s="2" t="s">
        <v>47</v>
      </c>
    </row>
    <row r="2341" ht="15.75" customHeight="1">
      <c r="A2341" s="2" t="s">
        <v>6041</v>
      </c>
      <c r="B2341" s="2" t="s">
        <v>6042</v>
      </c>
      <c r="C2341" s="2" t="s">
        <v>3659</v>
      </c>
      <c r="D2341" s="2" t="s">
        <v>904</v>
      </c>
      <c r="E2341" s="2" t="s">
        <v>906</v>
      </c>
      <c r="F2341" s="2">
        <v>247.0</v>
      </c>
      <c r="G2341" s="2">
        <v>8.27</v>
      </c>
      <c r="H2341" s="2">
        <v>29.9</v>
      </c>
      <c r="I2341" s="2" t="s">
        <v>47</v>
      </c>
    </row>
    <row r="2342" ht="15.75" customHeight="1">
      <c r="A2342" s="2" t="s">
        <v>3913</v>
      </c>
      <c r="B2342" s="2" t="s">
        <v>3914</v>
      </c>
      <c r="C2342" s="2" t="s">
        <v>3659</v>
      </c>
      <c r="D2342" s="2" t="s">
        <v>792</v>
      </c>
      <c r="E2342" s="2" t="s">
        <v>793</v>
      </c>
      <c r="F2342" s="2">
        <v>2785.0</v>
      </c>
      <c r="G2342" s="2">
        <v>7.94</v>
      </c>
      <c r="H2342" s="2">
        <v>350.8</v>
      </c>
      <c r="I2342" s="2" t="s">
        <v>138</v>
      </c>
    </row>
    <row r="2343" ht="15.75" customHeight="1">
      <c r="A2343" s="2" t="s">
        <v>6043</v>
      </c>
      <c r="B2343" s="2" t="s">
        <v>6044</v>
      </c>
      <c r="C2343" s="2" t="s">
        <v>3659</v>
      </c>
      <c r="D2343" s="2" t="s">
        <v>899</v>
      </c>
      <c r="E2343" s="2" t="s">
        <v>900</v>
      </c>
      <c r="F2343" s="2">
        <v>174.0</v>
      </c>
      <c r="G2343" s="2">
        <v>4.75</v>
      </c>
      <c r="H2343" s="2">
        <v>36.6</v>
      </c>
      <c r="I2343" s="2" t="s">
        <v>47</v>
      </c>
    </row>
    <row r="2344" ht="15.75" customHeight="1">
      <c r="A2344" s="2" t="s">
        <v>6045</v>
      </c>
      <c r="B2344" s="2" t="s">
        <v>6046</v>
      </c>
      <c r="C2344" s="2" t="s">
        <v>3659</v>
      </c>
      <c r="D2344" s="2" t="s">
        <v>997</v>
      </c>
      <c r="E2344" s="2" t="s">
        <v>999</v>
      </c>
      <c r="F2344" s="2">
        <v>293.0</v>
      </c>
      <c r="G2344" s="2">
        <v>6.22</v>
      </c>
      <c r="H2344" s="2">
        <v>47.1</v>
      </c>
      <c r="I2344" s="2" t="s">
        <v>47</v>
      </c>
    </row>
    <row r="2345" ht="15.75" customHeight="1">
      <c r="A2345" s="2" t="s">
        <v>3915</v>
      </c>
      <c r="B2345" s="2" t="s">
        <v>3916</v>
      </c>
      <c r="C2345" s="2" t="s">
        <v>3659</v>
      </c>
      <c r="D2345" s="2" t="s">
        <v>833</v>
      </c>
      <c r="E2345" s="2" t="s">
        <v>835</v>
      </c>
      <c r="F2345" s="2">
        <v>593.0</v>
      </c>
      <c r="G2345" s="2">
        <v>18.05</v>
      </c>
      <c r="H2345" s="2">
        <v>32.9</v>
      </c>
      <c r="I2345" s="2" t="s">
        <v>27</v>
      </c>
    </row>
    <row r="2346" ht="15.75" customHeight="1">
      <c r="A2346" s="2" t="s">
        <v>6047</v>
      </c>
      <c r="B2346" s="2" t="s">
        <v>6048</v>
      </c>
      <c r="C2346" s="2" t="s">
        <v>3659</v>
      </c>
      <c r="D2346" s="2" t="s">
        <v>951</v>
      </c>
      <c r="E2346" s="2" t="s">
        <v>953</v>
      </c>
      <c r="F2346" s="2">
        <v>186.0</v>
      </c>
      <c r="G2346" s="2">
        <v>7.3</v>
      </c>
      <c r="H2346" s="2">
        <v>25.5</v>
      </c>
      <c r="I2346" s="2" t="s">
        <v>47</v>
      </c>
    </row>
    <row r="2347" ht="15.75" customHeight="1">
      <c r="A2347" s="2" t="s">
        <v>6049</v>
      </c>
      <c r="B2347" s="2" t="s">
        <v>6050</v>
      </c>
      <c r="C2347" s="2" t="s">
        <v>3659</v>
      </c>
      <c r="D2347" s="2" t="s">
        <v>962</v>
      </c>
      <c r="E2347" s="2" t="s">
        <v>965</v>
      </c>
      <c r="F2347" s="2">
        <v>312.0</v>
      </c>
      <c r="G2347" s="2">
        <v>6.41</v>
      </c>
      <c r="H2347" s="2">
        <v>48.7</v>
      </c>
      <c r="I2347" s="2" t="s">
        <v>47</v>
      </c>
    </row>
    <row r="2348" ht="15.75" customHeight="1">
      <c r="A2348" s="2" t="s">
        <v>3917</v>
      </c>
      <c r="B2348" s="2" t="s">
        <v>3918</v>
      </c>
      <c r="C2348" s="2" t="s">
        <v>3659</v>
      </c>
      <c r="D2348" s="2" t="s">
        <v>962</v>
      </c>
      <c r="E2348" s="2" t="s">
        <v>965</v>
      </c>
      <c r="F2348" s="2">
        <v>805.0</v>
      </c>
      <c r="G2348" s="2">
        <v>6.18</v>
      </c>
      <c r="H2348" s="2">
        <v>130.3</v>
      </c>
      <c r="I2348" s="2" t="s">
        <v>27</v>
      </c>
    </row>
    <row r="2349" ht="15.75" customHeight="1">
      <c r="A2349" s="2" t="s">
        <v>3919</v>
      </c>
      <c r="B2349" s="2" t="s">
        <v>3920</v>
      </c>
      <c r="C2349" s="2" t="s">
        <v>3659</v>
      </c>
      <c r="D2349" s="2" t="s">
        <v>861</v>
      </c>
      <c r="E2349" s="2" t="s">
        <v>862</v>
      </c>
      <c r="F2349" s="2">
        <v>907.0</v>
      </c>
      <c r="G2349" s="2">
        <v>10.0</v>
      </c>
      <c r="H2349" s="2">
        <v>90.7</v>
      </c>
      <c r="I2349" s="2" t="s">
        <v>27</v>
      </c>
    </row>
    <row r="2350" ht="15.75" customHeight="1">
      <c r="A2350" s="2" t="s">
        <v>6051</v>
      </c>
      <c r="B2350" s="2" t="s">
        <v>6052</v>
      </c>
      <c r="C2350" s="2" t="s">
        <v>3659</v>
      </c>
      <c r="D2350" s="2" t="s">
        <v>809</v>
      </c>
      <c r="E2350" s="2" t="s">
        <v>811</v>
      </c>
      <c r="F2350" s="2">
        <v>132.0</v>
      </c>
      <c r="G2350" s="2">
        <v>4.65</v>
      </c>
      <c r="H2350" s="2">
        <v>28.4</v>
      </c>
      <c r="I2350" s="2" t="s">
        <v>47</v>
      </c>
    </row>
    <row r="2351" ht="15.75" customHeight="1">
      <c r="A2351" s="2" t="s">
        <v>3921</v>
      </c>
      <c r="B2351" s="2" t="s">
        <v>3922</v>
      </c>
      <c r="C2351" s="2" t="s">
        <v>3659</v>
      </c>
      <c r="D2351" s="2" t="s">
        <v>809</v>
      </c>
      <c r="E2351" s="2" t="s">
        <v>811</v>
      </c>
      <c r="F2351" s="2">
        <v>1073.0</v>
      </c>
      <c r="G2351" s="2">
        <v>16.42</v>
      </c>
      <c r="H2351" s="2">
        <v>65.3</v>
      </c>
      <c r="I2351" s="2" t="s">
        <v>27</v>
      </c>
    </row>
    <row r="2352" ht="15.75" customHeight="1">
      <c r="A2352" s="2" t="s">
        <v>6053</v>
      </c>
      <c r="B2352" s="2" t="s">
        <v>6054</v>
      </c>
      <c r="C2352" s="2" t="s">
        <v>3659</v>
      </c>
      <c r="D2352" s="2" t="s">
        <v>1004</v>
      </c>
      <c r="E2352" s="2" t="s">
        <v>1006</v>
      </c>
      <c r="F2352" s="2">
        <v>222.0</v>
      </c>
      <c r="G2352" s="2">
        <v>9.85</v>
      </c>
      <c r="H2352" s="2">
        <v>22.5</v>
      </c>
      <c r="I2352" s="2" t="s">
        <v>47</v>
      </c>
    </row>
    <row r="2353" ht="15.75" customHeight="1">
      <c r="A2353" s="2" t="s">
        <v>3923</v>
      </c>
      <c r="B2353" s="2" t="s">
        <v>3924</v>
      </c>
      <c r="C2353" s="2" t="s">
        <v>3659</v>
      </c>
      <c r="D2353" s="2" t="s">
        <v>823</v>
      </c>
      <c r="E2353" s="2" t="s">
        <v>824</v>
      </c>
      <c r="F2353" s="2">
        <v>2443.0</v>
      </c>
      <c r="G2353" s="2">
        <v>16.44</v>
      </c>
      <c r="H2353" s="2">
        <v>148.6</v>
      </c>
      <c r="I2353" s="2" t="s">
        <v>138</v>
      </c>
    </row>
    <row r="2354" ht="15.75" customHeight="1">
      <c r="A2354" s="2" t="s">
        <v>3925</v>
      </c>
      <c r="B2354" s="2" t="s">
        <v>3927</v>
      </c>
      <c r="C2354" s="2" t="s">
        <v>3659</v>
      </c>
      <c r="D2354" s="2" t="s">
        <v>899</v>
      </c>
      <c r="E2354" s="2" t="s">
        <v>900</v>
      </c>
      <c r="F2354" s="2">
        <v>354.0</v>
      </c>
      <c r="G2354" s="2">
        <v>7.17</v>
      </c>
      <c r="H2354" s="2">
        <v>49.4</v>
      </c>
      <c r="I2354" s="2" t="s">
        <v>47</v>
      </c>
    </row>
    <row r="2355" ht="15.75" customHeight="1">
      <c r="A2355" s="2" t="s">
        <v>6057</v>
      </c>
      <c r="B2355" s="2" t="s">
        <v>6058</v>
      </c>
      <c r="C2355" s="2" t="s">
        <v>3659</v>
      </c>
      <c r="D2355" s="2" t="s">
        <v>1004</v>
      </c>
      <c r="E2355" s="2" t="s">
        <v>1006</v>
      </c>
      <c r="F2355" s="2">
        <v>83.0</v>
      </c>
      <c r="G2355" s="2">
        <v>2.33</v>
      </c>
      <c r="H2355" s="2">
        <v>35.6</v>
      </c>
      <c r="I2355" s="2" t="s">
        <v>47</v>
      </c>
    </row>
    <row r="2356" ht="15.75" customHeight="1">
      <c r="A2356" s="2" t="s">
        <v>6055</v>
      </c>
      <c r="B2356" s="2" t="s">
        <v>6056</v>
      </c>
      <c r="C2356" s="2" t="s">
        <v>3659</v>
      </c>
      <c r="D2356" s="2" t="s">
        <v>823</v>
      </c>
      <c r="E2356" s="2" t="s">
        <v>824</v>
      </c>
      <c r="F2356" s="2">
        <v>572.0</v>
      </c>
      <c r="G2356" s="2">
        <v>2.12</v>
      </c>
      <c r="H2356" s="2">
        <v>269.8</v>
      </c>
      <c r="I2356" s="2" t="s">
        <v>27</v>
      </c>
    </row>
    <row r="2357" ht="15.75" customHeight="1">
      <c r="A2357" s="2" t="s">
        <v>3929</v>
      </c>
      <c r="B2357" s="2" t="s">
        <v>3930</v>
      </c>
      <c r="C2357" s="2" t="s">
        <v>3659</v>
      </c>
      <c r="D2357" s="2" t="s">
        <v>840</v>
      </c>
      <c r="E2357" s="2" t="s">
        <v>842</v>
      </c>
      <c r="F2357" s="2">
        <v>2638.0</v>
      </c>
      <c r="G2357" s="2">
        <v>8.77</v>
      </c>
      <c r="H2357" s="2">
        <v>300.8</v>
      </c>
      <c r="I2357" s="2" t="s">
        <v>138</v>
      </c>
    </row>
    <row r="2358" ht="15.75" customHeight="1">
      <c r="A2358" s="2" t="s">
        <v>3931</v>
      </c>
      <c r="B2358" s="2" t="s">
        <v>3932</v>
      </c>
      <c r="C2358" s="2" t="s">
        <v>3659</v>
      </c>
      <c r="D2358" s="2" t="s">
        <v>1038</v>
      </c>
      <c r="E2358" s="2" t="s">
        <v>1039</v>
      </c>
      <c r="F2358" s="2">
        <v>2258.0</v>
      </c>
      <c r="G2358" s="2">
        <v>2.6</v>
      </c>
      <c r="H2358" s="2">
        <v>868.5</v>
      </c>
      <c r="I2358" s="2" t="s">
        <v>138</v>
      </c>
    </row>
    <row r="2359" ht="15.75" customHeight="1">
      <c r="A2359" s="2" t="s">
        <v>6059</v>
      </c>
      <c r="B2359" s="2" t="s">
        <v>6060</v>
      </c>
      <c r="C2359" s="2" t="s">
        <v>3659</v>
      </c>
      <c r="D2359" s="2" t="s">
        <v>809</v>
      </c>
      <c r="E2359" s="2" t="s">
        <v>811</v>
      </c>
      <c r="F2359" s="2">
        <v>309.0</v>
      </c>
      <c r="G2359" s="2">
        <v>9.8</v>
      </c>
      <c r="H2359" s="2">
        <v>31.5</v>
      </c>
      <c r="I2359" s="2" t="s">
        <v>47</v>
      </c>
    </row>
    <row r="2360" ht="15.75" customHeight="1">
      <c r="A2360" s="2" t="s">
        <v>6061</v>
      </c>
      <c r="B2360" s="2" t="s">
        <v>6062</v>
      </c>
      <c r="C2360" s="2" t="s">
        <v>3659</v>
      </c>
      <c r="D2360" s="2" t="s">
        <v>904</v>
      </c>
      <c r="E2360" s="2" t="s">
        <v>906</v>
      </c>
      <c r="F2360" s="2">
        <v>76.0</v>
      </c>
      <c r="G2360" s="2">
        <v>5.79</v>
      </c>
      <c r="H2360" s="2">
        <v>13.1</v>
      </c>
      <c r="I2360" s="2" t="s">
        <v>47</v>
      </c>
    </row>
    <row r="2361" ht="15.75" customHeight="1">
      <c r="A2361" s="2" t="s">
        <v>6063</v>
      </c>
      <c r="B2361" s="2" t="s">
        <v>6064</v>
      </c>
      <c r="C2361" s="2" t="s">
        <v>3659</v>
      </c>
      <c r="D2361" s="2" t="s">
        <v>904</v>
      </c>
      <c r="E2361" s="2" t="s">
        <v>906</v>
      </c>
      <c r="F2361" s="2">
        <v>111.0</v>
      </c>
      <c r="G2361" s="2">
        <v>4.06</v>
      </c>
      <c r="H2361" s="2">
        <v>27.3</v>
      </c>
      <c r="I2361" s="2" t="s">
        <v>47</v>
      </c>
    </row>
    <row r="2362" ht="15.75" customHeight="1">
      <c r="A2362" s="2" t="s">
        <v>3933</v>
      </c>
      <c r="B2362" s="2" t="s">
        <v>3934</v>
      </c>
      <c r="C2362" s="2" t="s">
        <v>3659</v>
      </c>
      <c r="D2362" s="2" t="s">
        <v>840</v>
      </c>
      <c r="E2362" s="2" t="s">
        <v>842</v>
      </c>
      <c r="F2362" s="2">
        <v>5438.0</v>
      </c>
      <c r="G2362" s="2">
        <v>9.18</v>
      </c>
      <c r="H2362" s="2">
        <v>592.4</v>
      </c>
      <c r="I2362" s="2" t="s">
        <v>138</v>
      </c>
    </row>
    <row r="2363" ht="15.75" customHeight="1">
      <c r="A2363" s="2" t="s">
        <v>3937</v>
      </c>
      <c r="B2363" s="2" t="s">
        <v>3938</v>
      </c>
      <c r="C2363" s="2" t="s">
        <v>3659</v>
      </c>
      <c r="D2363" s="2" t="s">
        <v>962</v>
      </c>
      <c r="E2363" s="2" t="s">
        <v>965</v>
      </c>
      <c r="F2363" s="2">
        <v>770.0</v>
      </c>
      <c r="G2363" s="2">
        <v>10.23</v>
      </c>
      <c r="H2363" s="2">
        <v>75.3</v>
      </c>
      <c r="I2363" s="2" t="s">
        <v>27</v>
      </c>
    </row>
    <row r="2364" ht="15.75" customHeight="1">
      <c r="A2364" s="2" t="s">
        <v>6065</v>
      </c>
      <c r="B2364" s="2" t="s">
        <v>6066</v>
      </c>
      <c r="C2364" s="2" t="s">
        <v>3659</v>
      </c>
      <c r="D2364" s="2" t="s">
        <v>951</v>
      </c>
      <c r="E2364" s="2" t="s">
        <v>953</v>
      </c>
      <c r="F2364" s="2">
        <v>146.0</v>
      </c>
      <c r="G2364" s="2">
        <v>4.55</v>
      </c>
      <c r="H2364" s="2">
        <v>32.1</v>
      </c>
      <c r="I2364" s="2" t="s">
        <v>47</v>
      </c>
    </row>
    <row r="2365" ht="15.75" customHeight="1">
      <c r="A2365" s="2" t="s">
        <v>3939</v>
      </c>
      <c r="B2365" s="2" t="s">
        <v>3940</v>
      </c>
      <c r="C2365" s="2" t="s">
        <v>3659</v>
      </c>
      <c r="D2365" s="2" t="s">
        <v>951</v>
      </c>
      <c r="E2365" s="2" t="s">
        <v>953</v>
      </c>
      <c r="F2365" s="2">
        <v>550.0</v>
      </c>
      <c r="G2365" s="2">
        <v>14.75</v>
      </c>
      <c r="H2365" s="2">
        <v>37.3</v>
      </c>
      <c r="I2365" s="2" t="s">
        <v>27</v>
      </c>
    </row>
    <row r="2366" ht="15.75" customHeight="1">
      <c r="A2366" s="2" t="s">
        <v>6067</v>
      </c>
      <c r="B2366" s="2" t="s">
        <v>6068</v>
      </c>
      <c r="C2366" s="2" t="s">
        <v>3659</v>
      </c>
      <c r="D2366" s="2" t="s">
        <v>997</v>
      </c>
      <c r="E2366" s="2" t="s">
        <v>999</v>
      </c>
      <c r="F2366" s="2">
        <v>479.0</v>
      </c>
      <c r="G2366" s="2">
        <v>7.94</v>
      </c>
      <c r="H2366" s="2">
        <v>60.3</v>
      </c>
      <c r="I2366" s="2" t="s">
        <v>47</v>
      </c>
    </row>
    <row r="2367" ht="15.75" customHeight="1">
      <c r="A2367" s="2" t="s">
        <v>3941</v>
      </c>
      <c r="B2367" s="2" t="s">
        <v>3942</v>
      </c>
      <c r="C2367" s="2" t="s">
        <v>3659</v>
      </c>
      <c r="D2367" s="2" t="s">
        <v>789</v>
      </c>
      <c r="E2367" s="2" t="s">
        <v>790</v>
      </c>
      <c r="F2367" s="2">
        <v>7830.0</v>
      </c>
      <c r="G2367" s="2">
        <v>5.6</v>
      </c>
      <c r="H2367" s="2">
        <v>1398.2</v>
      </c>
      <c r="I2367" s="2" t="s">
        <v>138</v>
      </c>
    </row>
    <row r="2368" ht="15.75" customHeight="1">
      <c r="A2368" s="2" t="s">
        <v>3943</v>
      </c>
      <c r="B2368" s="2" t="s">
        <v>3944</v>
      </c>
      <c r="C2368" s="2" t="s">
        <v>3659</v>
      </c>
      <c r="D2368" s="2" t="s">
        <v>789</v>
      </c>
      <c r="E2368" s="2" t="s">
        <v>790</v>
      </c>
      <c r="F2368" s="2">
        <v>10176.0</v>
      </c>
      <c r="G2368" s="2">
        <v>8.72</v>
      </c>
      <c r="H2368" s="2">
        <v>1167.0</v>
      </c>
      <c r="I2368" s="2" t="s">
        <v>805</v>
      </c>
    </row>
    <row r="2369" ht="15.75" customHeight="1">
      <c r="A2369" s="2" t="s">
        <v>6069</v>
      </c>
      <c r="B2369" s="2" t="s">
        <v>6070</v>
      </c>
      <c r="C2369" s="2" t="s">
        <v>3659</v>
      </c>
      <c r="D2369" s="2" t="s">
        <v>861</v>
      </c>
      <c r="E2369" s="2" t="s">
        <v>862</v>
      </c>
      <c r="F2369" s="2">
        <v>505.0</v>
      </c>
      <c r="G2369" s="2">
        <v>10.23</v>
      </c>
      <c r="H2369" s="2">
        <v>49.4</v>
      </c>
      <c r="I2369" s="2" t="s">
        <v>27</v>
      </c>
    </row>
    <row r="2370" ht="15.75" customHeight="1">
      <c r="A2370" s="2" t="s">
        <v>6071</v>
      </c>
      <c r="B2370" s="2" t="s">
        <v>6072</v>
      </c>
      <c r="C2370" s="2" t="s">
        <v>3659</v>
      </c>
      <c r="D2370" s="2" t="s">
        <v>904</v>
      </c>
      <c r="E2370" s="2" t="s">
        <v>906</v>
      </c>
      <c r="F2370" s="2">
        <v>76.0</v>
      </c>
      <c r="G2370" s="2">
        <v>2.13</v>
      </c>
      <c r="H2370" s="2">
        <v>35.7</v>
      </c>
      <c r="I2370" s="2" t="s">
        <v>47</v>
      </c>
    </row>
    <row r="2371" ht="15.75" customHeight="1">
      <c r="A2371" s="2" t="s">
        <v>3947</v>
      </c>
      <c r="B2371" s="2" t="s">
        <v>3948</v>
      </c>
      <c r="C2371" s="2" t="s">
        <v>3659</v>
      </c>
      <c r="D2371" s="2" t="s">
        <v>833</v>
      </c>
      <c r="E2371" s="2" t="s">
        <v>835</v>
      </c>
      <c r="F2371" s="2">
        <v>597.0</v>
      </c>
      <c r="G2371" s="2">
        <v>13.85</v>
      </c>
      <c r="H2371" s="2">
        <v>43.1</v>
      </c>
      <c r="I2371" s="2" t="s">
        <v>27</v>
      </c>
    </row>
    <row r="2372" ht="15.75" customHeight="1">
      <c r="A2372" s="2" t="s">
        <v>6074</v>
      </c>
      <c r="B2372" s="2" t="s">
        <v>6075</v>
      </c>
      <c r="C2372" s="2" t="s">
        <v>3659</v>
      </c>
      <c r="D2372" s="2" t="s">
        <v>1004</v>
      </c>
      <c r="E2372" s="2" t="s">
        <v>1006</v>
      </c>
      <c r="F2372" s="2">
        <v>318.0</v>
      </c>
      <c r="G2372" s="2">
        <v>7.58</v>
      </c>
      <c r="H2372" s="2">
        <v>42.0</v>
      </c>
      <c r="I2372" s="2" t="s">
        <v>47</v>
      </c>
    </row>
    <row r="2373" ht="15.75" customHeight="1">
      <c r="A2373" s="2" t="s">
        <v>3949</v>
      </c>
      <c r="B2373" s="2" t="s">
        <v>3950</v>
      </c>
      <c r="C2373" s="2" t="s">
        <v>3659</v>
      </c>
      <c r="D2373" s="2" t="s">
        <v>997</v>
      </c>
      <c r="E2373" s="2" t="s">
        <v>999</v>
      </c>
      <c r="F2373" s="2">
        <v>1939.0</v>
      </c>
      <c r="G2373" s="2">
        <v>11.42</v>
      </c>
      <c r="H2373" s="2">
        <v>169.8</v>
      </c>
      <c r="I2373" s="2" t="s">
        <v>27</v>
      </c>
    </row>
    <row r="2374" ht="15.75" customHeight="1">
      <c r="A2374" s="2" t="s">
        <v>6076</v>
      </c>
      <c r="B2374" s="2" t="s">
        <v>6077</v>
      </c>
      <c r="C2374" s="2" t="s">
        <v>3659</v>
      </c>
      <c r="D2374" s="2" t="s">
        <v>1004</v>
      </c>
      <c r="E2374" s="2" t="s">
        <v>1006</v>
      </c>
      <c r="F2374" s="2">
        <v>333.0</v>
      </c>
      <c r="G2374" s="2">
        <v>6.61</v>
      </c>
      <c r="H2374" s="2">
        <v>50.4</v>
      </c>
      <c r="I2374" s="2" t="s">
        <v>47</v>
      </c>
    </row>
    <row r="2375" ht="15.75" customHeight="1">
      <c r="A2375" s="2" t="s">
        <v>3951</v>
      </c>
      <c r="B2375" s="2" t="s">
        <v>3952</v>
      </c>
      <c r="C2375" s="2" t="s">
        <v>3659</v>
      </c>
      <c r="D2375" s="2" t="s">
        <v>861</v>
      </c>
      <c r="E2375" s="2" t="s">
        <v>862</v>
      </c>
      <c r="F2375" s="2">
        <v>815.0</v>
      </c>
      <c r="G2375" s="2">
        <v>11.81</v>
      </c>
      <c r="H2375" s="2">
        <v>69.0</v>
      </c>
      <c r="I2375" s="2" t="s">
        <v>27</v>
      </c>
    </row>
    <row r="2376" ht="15.75" customHeight="1">
      <c r="A2376" s="2" t="s">
        <v>6073</v>
      </c>
      <c r="B2376" s="2" t="s">
        <v>265</v>
      </c>
      <c r="C2376" s="2" t="s">
        <v>3659</v>
      </c>
      <c r="D2376" s="2" t="s">
        <v>951</v>
      </c>
      <c r="E2376" s="2" t="s">
        <v>953</v>
      </c>
      <c r="F2376" s="2">
        <v>159.0</v>
      </c>
      <c r="G2376" s="2">
        <v>6.92</v>
      </c>
      <c r="H2376" s="2">
        <v>23.0</v>
      </c>
      <c r="I2376" s="2" t="s">
        <v>47</v>
      </c>
    </row>
    <row r="2377" ht="15.75" customHeight="1">
      <c r="A2377" s="2" t="s">
        <v>3953</v>
      </c>
      <c r="B2377" s="2" t="s">
        <v>3954</v>
      </c>
      <c r="C2377" s="2" t="s">
        <v>3659</v>
      </c>
      <c r="D2377" s="2" t="s">
        <v>951</v>
      </c>
      <c r="E2377" s="2" t="s">
        <v>953</v>
      </c>
      <c r="F2377" s="2">
        <v>463.0</v>
      </c>
      <c r="G2377" s="2">
        <v>20.43</v>
      </c>
      <c r="H2377" s="2">
        <v>22.7</v>
      </c>
      <c r="I2377" s="2" t="s">
        <v>47</v>
      </c>
    </row>
    <row r="2378" ht="15.75" customHeight="1">
      <c r="A2378" s="2" t="s">
        <v>3955</v>
      </c>
      <c r="B2378" s="2" t="s">
        <v>3956</v>
      </c>
      <c r="C2378" s="2" t="s">
        <v>3659</v>
      </c>
      <c r="D2378" s="2" t="s">
        <v>809</v>
      </c>
      <c r="E2378" s="2" t="s">
        <v>811</v>
      </c>
      <c r="F2378" s="2">
        <v>5129.0</v>
      </c>
      <c r="G2378" s="2">
        <v>10.1</v>
      </c>
      <c r="H2378" s="2">
        <v>507.8</v>
      </c>
      <c r="I2378" s="2" t="s">
        <v>138</v>
      </c>
    </row>
    <row r="2379" ht="15.75" customHeight="1">
      <c r="A2379" s="2" t="s">
        <v>3959</v>
      </c>
      <c r="B2379" s="2" t="s">
        <v>3960</v>
      </c>
      <c r="C2379" s="2" t="s">
        <v>3659</v>
      </c>
      <c r="D2379" s="2" t="s">
        <v>792</v>
      </c>
      <c r="E2379" s="2" t="s">
        <v>793</v>
      </c>
      <c r="F2379" s="2">
        <v>1784.0</v>
      </c>
      <c r="G2379" s="2">
        <v>4.17</v>
      </c>
      <c r="H2379" s="2">
        <v>427.8</v>
      </c>
      <c r="I2379" s="2" t="s">
        <v>27</v>
      </c>
    </row>
    <row r="2380" ht="15.75" customHeight="1">
      <c r="A2380" s="2" t="s">
        <v>3961</v>
      </c>
      <c r="B2380" s="2" t="s">
        <v>3962</v>
      </c>
      <c r="C2380" s="2" t="s">
        <v>3659</v>
      </c>
      <c r="D2380" s="2" t="s">
        <v>1082</v>
      </c>
      <c r="E2380" s="2" t="s">
        <v>1084</v>
      </c>
      <c r="F2380" s="2">
        <v>5683.0</v>
      </c>
      <c r="G2380" s="2">
        <v>11.23</v>
      </c>
      <c r="H2380" s="2">
        <v>506.1</v>
      </c>
      <c r="I2380" s="2" t="s">
        <v>138</v>
      </c>
    </row>
    <row r="2381" ht="15.75" customHeight="1">
      <c r="A2381" s="2" t="s">
        <v>3963</v>
      </c>
      <c r="B2381" s="2" t="s">
        <v>3964</v>
      </c>
      <c r="C2381" s="2" t="s">
        <v>3659</v>
      </c>
      <c r="D2381" s="2" t="s">
        <v>823</v>
      </c>
      <c r="E2381" s="2" t="s">
        <v>824</v>
      </c>
      <c r="F2381" s="2">
        <v>1311.0</v>
      </c>
      <c r="G2381" s="2">
        <v>10.52</v>
      </c>
      <c r="H2381" s="2">
        <v>124.6</v>
      </c>
      <c r="I2381" s="2" t="s">
        <v>27</v>
      </c>
    </row>
    <row r="2382" ht="15.75" customHeight="1">
      <c r="A2382" s="2" t="s">
        <v>3965</v>
      </c>
      <c r="B2382" s="2" t="s">
        <v>3966</v>
      </c>
      <c r="C2382" s="2" t="s">
        <v>3659</v>
      </c>
      <c r="D2382" s="2" t="s">
        <v>833</v>
      </c>
      <c r="E2382" s="2" t="s">
        <v>835</v>
      </c>
      <c r="F2382" s="2">
        <v>1124.0</v>
      </c>
      <c r="G2382" s="2">
        <v>14.72</v>
      </c>
      <c r="H2382" s="2">
        <v>76.4</v>
      </c>
      <c r="I2382" s="2" t="s">
        <v>27</v>
      </c>
    </row>
    <row r="2383" ht="15.75" customHeight="1">
      <c r="A2383" s="2" t="s">
        <v>6078</v>
      </c>
      <c r="B2383" s="2" t="s">
        <v>6079</v>
      </c>
      <c r="C2383" s="2" t="s">
        <v>3659</v>
      </c>
      <c r="D2383" s="2" t="s">
        <v>904</v>
      </c>
      <c r="E2383" s="2" t="s">
        <v>906</v>
      </c>
      <c r="F2383" s="2">
        <v>94.0</v>
      </c>
      <c r="G2383" s="2">
        <v>3.1</v>
      </c>
      <c r="H2383" s="2">
        <v>30.3</v>
      </c>
      <c r="I2383" s="2" t="s">
        <v>47</v>
      </c>
    </row>
    <row r="2384" ht="15.75" customHeight="1">
      <c r="A2384" s="2" t="s">
        <v>6080</v>
      </c>
      <c r="B2384" s="2" t="s">
        <v>6081</v>
      </c>
      <c r="C2384" s="2" t="s">
        <v>3659</v>
      </c>
      <c r="D2384" s="2" t="s">
        <v>833</v>
      </c>
      <c r="E2384" s="2" t="s">
        <v>835</v>
      </c>
      <c r="F2384" s="2">
        <v>391.0</v>
      </c>
      <c r="G2384" s="2">
        <v>3.72</v>
      </c>
      <c r="H2384" s="2">
        <v>105.1</v>
      </c>
      <c r="I2384" s="2" t="s">
        <v>47</v>
      </c>
    </row>
    <row r="2385" ht="15.75" customHeight="1">
      <c r="A2385" s="2" t="s">
        <v>3967</v>
      </c>
      <c r="B2385" s="2" t="s">
        <v>3968</v>
      </c>
      <c r="C2385" s="2" t="s">
        <v>3659</v>
      </c>
      <c r="D2385" s="2" t="s">
        <v>861</v>
      </c>
      <c r="E2385" s="2" t="s">
        <v>862</v>
      </c>
      <c r="F2385" s="2">
        <v>4829.0</v>
      </c>
      <c r="G2385" s="2">
        <v>9.41</v>
      </c>
      <c r="H2385" s="2">
        <v>513.2</v>
      </c>
      <c r="I2385" s="2" t="s">
        <v>138</v>
      </c>
    </row>
    <row r="2386" ht="15.75" customHeight="1">
      <c r="A2386" s="2" t="s">
        <v>3969</v>
      </c>
      <c r="B2386" s="2" t="s">
        <v>3970</v>
      </c>
      <c r="C2386" s="2" t="s">
        <v>3659</v>
      </c>
      <c r="D2386" s="2" t="s">
        <v>792</v>
      </c>
      <c r="E2386" s="2" t="s">
        <v>793</v>
      </c>
      <c r="F2386" s="2">
        <v>6766.0</v>
      </c>
      <c r="G2386" s="2">
        <v>11.04</v>
      </c>
      <c r="H2386" s="2">
        <v>612.9</v>
      </c>
      <c r="I2386" s="2" t="s">
        <v>138</v>
      </c>
    </row>
    <row r="2387" ht="15.75" customHeight="1">
      <c r="A2387" s="2" t="s">
        <v>3971</v>
      </c>
      <c r="B2387" s="2" t="s">
        <v>3972</v>
      </c>
      <c r="C2387" s="2" t="s">
        <v>3659</v>
      </c>
      <c r="D2387" s="2" t="s">
        <v>792</v>
      </c>
      <c r="E2387" s="2" t="s">
        <v>793</v>
      </c>
      <c r="F2387" s="2">
        <v>709.0</v>
      </c>
      <c r="G2387" s="2">
        <v>12.07</v>
      </c>
      <c r="H2387" s="2">
        <v>58.7</v>
      </c>
      <c r="I2387" s="2" t="s">
        <v>27</v>
      </c>
    </row>
    <row r="2388" ht="15.75" customHeight="1">
      <c r="A2388" s="2" t="s">
        <v>6082</v>
      </c>
      <c r="B2388" s="2" t="s">
        <v>6083</v>
      </c>
      <c r="C2388" s="2" t="s">
        <v>3659</v>
      </c>
      <c r="D2388" s="2" t="s">
        <v>962</v>
      </c>
      <c r="E2388" s="2" t="s">
        <v>965</v>
      </c>
      <c r="F2388" s="2">
        <v>826.0</v>
      </c>
      <c r="G2388" s="2">
        <v>9.19</v>
      </c>
      <c r="H2388" s="2">
        <v>89.9</v>
      </c>
      <c r="I2388" s="2" t="s">
        <v>27</v>
      </c>
    </row>
    <row r="2389" ht="15.75" customHeight="1">
      <c r="A2389" s="2" t="s">
        <v>6084</v>
      </c>
      <c r="B2389" s="2" t="s">
        <v>6085</v>
      </c>
      <c r="C2389" s="2" t="s">
        <v>3659</v>
      </c>
      <c r="D2389" s="2" t="s">
        <v>997</v>
      </c>
      <c r="E2389" s="2" t="s">
        <v>999</v>
      </c>
      <c r="F2389" s="2">
        <v>286.0</v>
      </c>
      <c r="G2389" s="2">
        <v>5.53</v>
      </c>
      <c r="H2389" s="2">
        <v>51.7</v>
      </c>
      <c r="I2389" s="2" t="s">
        <v>47</v>
      </c>
    </row>
    <row r="2390" ht="15.75" customHeight="1">
      <c r="A2390" s="2" t="s">
        <v>3975</v>
      </c>
      <c r="B2390" s="2" t="s">
        <v>3976</v>
      </c>
      <c r="C2390" s="2" t="s">
        <v>3659</v>
      </c>
      <c r="D2390" s="2" t="s">
        <v>861</v>
      </c>
      <c r="E2390" s="2" t="s">
        <v>862</v>
      </c>
      <c r="F2390" s="2">
        <v>593.0</v>
      </c>
      <c r="G2390" s="2">
        <v>13.82</v>
      </c>
      <c r="H2390" s="2">
        <v>42.9</v>
      </c>
      <c r="I2390" s="2" t="s">
        <v>27</v>
      </c>
    </row>
    <row r="2391" ht="15.75" customHeight="1">
      <c r="A2391" s="2" t="s">
        <v>3977</v>
      </c>
      <c r="B2391" s="2" t="s">
        <v>3978</v>
      </c>
      <c r="C2391" s="2" t="s">
        <v>3659</v>
      </c>
      <c r="D2391" s="2" t="s">
        <v>789</v>
      </c>
      <c r="E2391" s="2" t="s">
        <v>790</v>
      </c>
      <c r="F2391" s="2">
        <v>6139.0</v>
      </c>
      <c r="G2391" s="2">
        <v>10.45</v>
      </c>
      <c r="H2391" s="2">
        <v>587.5</v>
      </c>
      <c r="I2391" s="2" t="s">
        <v>138</v>
      </c>
    </row>
    <row r="2392" ht="15.75" customHeight="1">
      <c r="A2392" s="2" t="s">
        <v>6086</v>
      </c>
      <c r="B2392" s="2" t="s">
        <v>6087</v>
      </c>
      <c r="C2392" s="2" t="s">
        <v>3659</v>
      </c>
      <c r="D2392" s="2" t="s">
        <v>899</v>
      </c>
      <c r="E2392" s="2" t="s">
        <v>900</v>
      </c>
      <c r="F2392" s="2">
        <v>296.0</v>
      </c>
      <c r="G2392" s="2">
        <v>8.8</v>
      </c>
      <c r="H2392" s="2">
        <v>33.6</v>
      </c>
      <c r="I2392" s="2" t="s">
        <v>47</v>
      </c>
    </row>
    <row r="2393" ht="15.75" customHeight="1">
      <c r="A2393" s="2" t="s">
        <v>3979</v>
      </c>
      <c r="B2393" s="2" t="s">
        <v>3980</v>
      </c>
      <c r="C2393" s="2" t="s">
        <v>3659</v>
      </c>
      <c r="D2393" s="2" t="s">
        <v>792</v>
      </c>
      <c r="E2393" s="2" t="s">
        <v>793</v>
      </c>
      <c r="F2393" s="2">
        <v>5867.0</v>
      </c>
      <c r="G2393" s="2">
        <v>9.6</v>
      </c>
      <c r="H2393" s="2">
        <v>611.1</v>
      </c>
      <c r="I2393" s="2" t="s">
        <v>138</v>
      </c>
    </row>
    <row r="2394" ht="15.75" customHeight="1">
      <c r="A2394" s="2" t="s">
        <v>3981</v>
      </c>
      <c r="B2394" s="2" t="s">
        <v>3982</v>
      </c>
      <c r="C2394" s="2" t="s">
        <v>3659</v>
      </c>
      <c r="D2394" s="2" t="s">
        <v>789</v>
      </c>
      <c r="E2394" s="2" t="s">
        <v>790</v>
      </c>
      <c r="F2394" s="2">
        <v>2939.0</v>
      </c>
      <c r="G2394" s="2">
        <v>3.43</v>
      </c>
      <c r="H2394" s="2">
        <v>856.9</v>
      </c>
      <c r="I2394" s="2" t="s">
        <v>138</v>
      </c>
    </row>
    <row r="2395" ht="15.75" customHeight="1">
      <c r="A2395" s="2" t="s">
        <v>3985</v>
      </c>
      <c r="B2395" s="2" t="s">
        <v>3986</v>
      </c>
      <c r="C2395" s="2" t="s">
        <v>3659</v>
      </c>
      <c r="D2395" s="2" t="s">
        <v>792</v>
      </c>
      <c r="E2395" s="2" t="s">
        <v>793</v>
      </c>
      <c r="F2395" s="2">
        <v>622.0</v>
      </c>
      <c r="G2395" s="2">
        <v>2.11</v>
      </c>
      <c r="H2395" s="2">
        <v>294.8</v>
      </c>
      <c r="I2395" s="2" t="s">
        <v>27</v>
      </c>
    </row>
    <row r="2396" ht="15.75" customHeight="1">
      <c r="A2396" s="2" t="s">
        <v>6088</v>
      </c>
      <c r="B2396" s="2" t="s">
        <v>6089</v>
      </c>
      <c r="C2396" s="2" t="s">
        <v>3659</v>
      </c>
      <c r="D2396" s="2" t="s">
        <v>904</v>
      </c>
      <c r="E2396" s="2" t="s">
        <v>906</v>
      </c>
      <c r="F2396" s="2">
        <v>1399.0</v>
      </c>
      <c r="G2396" s="2">
        <v>10.75</v>
      </c>
      <c r="H2396" s="2">
        <v>130.1</v>
      </c>
      <c r="I2396" s="2" t="s">
        <v>27</v>
      </c>
    </row>
    <row r="2397" ht="15.75" customHeight="1">
      <c r="A2397" s="2" t="s">
        <v>6090</v>
      </c>
      <c r="B2397" s="2" t="s">
        <v>1148</v>
      </c>
      <c r="C2397" s="2" t="s">
        <v>3659</v>
      </c>
      <c r="D2397" s="2" t="s">
        <v>1038</v>
      </c>
      <c r="E2397" s="2" t="s">
        <v>1039</v>
      </c>
      <c r="F2397" s="2">
        <v>301.0</v>
      </c>
      <c r="G2397" s="2">
        <v>5.37</v>
      </c>
      <c r="H2397" s="2">
        <v>56.1</v>
      </c>
      <c r="I2397" s="2" t="s">
        <v>47</v>
      </c>
    </row>
    <row r="2398" ht="15.75" customHeight="1">
      <c r="A2398" s="2" t="s">
        <v>6091</v>
      </c>
      <c r="B2398" s="2" t="s">
        <v>6092</v>
      </c>
      <c r="C2398" s="2" t="s">
        <v>3659</v>
      </c>
      <c r="D2398" s="2" t="s">
        <v>823</v>
      </c>
      <c r="E2398" s="2" t="s">
        <v>824</v>
      </c>
      <c r="F2398" s="2">
        <v>378.0</v>
      </c>
      <c r="G2398" s="2">
        <v>5.88</v>
      </c>
      <c r="H2398" s="2">
        <v>64.3</v>
      </c>
      <c r="I2398" s="2" t="s">
        <v>47</v>
      </c>
    </row>
    <row r="2399" ht="15.75" customHeight="1">
      <c r="A2399" s="2" t="s">
        <v>3989</v>
      </c>
      <c r="B2399" s="2" t="s">
        <v>3990</v>
      </c>
      <c r="C2399" s="2" t="s">
        <v>3659</v>
      </c>
      <c r="D2399" s="2" t="s">
        <v>792</v>
      </c>
      <c r="E2399" s="2" t="s">
        <v>793</v>
      </c>
      <c r="F2399" s="2">
        <v>511.0</v>
      </c>
      <c r="G2399" s="2">
        <v>2.61</v>
      </c>
      <c r="H2399" s="2">
        <v>195.8</v>
      </c>
      <c r="I2399" s="2" t="s">
        <v>27</v>
      </c>
    </row>
    <row r="2400" ht="15.75" customHeight="1">
      <c r="A2400" s="2" t="s">
        <v>3992</v>
      </c>
      <c r="B2400" s="2" t="s">
        <v>3994</v>
      </c>
      <c r="C2400" s="2" t="s">
        <v>3659</v>
      </c>
      <c r="D2400" s="2" t="s">
        <v>833</v>
      </c>
      <c r="E2400" s="2" t="s">
        <v>835</v>
      </c>
      <c r="F2400" s="2">
        <v>2181.0</v>
      </c>
      <c r="G2400" s="2">
        <v>12.8</v>
      </c>
      <c r="H2400" s="2">
        <v>170.4</v>
      </c>
      <c r="I2400" s="2" t="s">
        <v>138</v>
      </c>
    </row>
    <row r="2401" ht="15.75" customHeight="1">
      <c r="A2401" s="2" t="s">
        <v>3995</v>
      </c>
      <c r="B2401" s="2" t="s">
        <v>3996</v>
      </c>
      <c r="C2401" s="2" t="s">
        <v>3659</v>
      </c>
      <c r="D2401" s="2" t="s">
        <v>962</v>
      </c>
      <c r="E2401" s="2" t="s">
        <v>965</v>
      </c>
      <c r="F2401" s="2">
        <v>836.0</v>
      </c>
      <c r="G2401" s="2">
        <v>6.39</v>
      </c>
      <c r="H2401" s="2">
        <v>130.8</v>
      </c>
      <c r="I2401" s="2" t="s">
        <v>27</v>
      </c>
    </row>
    <row r="2402" ht="15.75" customHeight="1">
      <c r="A2402" s="2" t="s">
        <v>6101</v>
      </c>
      <c r="B2402" s="2" t="s">
        <v>6102</v>
      </c>
      <c r="C2402" s="2" t="s">
        <v>3659</v>
      </c>
      <c r="D2402" s="2" t="s">
        <v>951</v>
      </c>
      <c r="E2402" s="2" t="s">
        <v>953</v>
      </c>
      <c r="F2402" s="2">
        <v>241.0</v>
      </c>
      <c r="G2402" s="2">
        <v>11.69</v>
      </c>
      <c r="H2402" s="2">
        <v>20.6</v>
      </c>
      <c r="I2402" s="2" t="s">
        <v>47</v>
      </c>
    </row>
    <row r="2403" ht="15.75" customHeight="1">
      <c r="A2403" s="2" t="s">
        <v>3999</v>
      </c>
      <c r="B2403" s="2" t="s">
        <v>4000</v>
      </c>
      <c r="C2403" s="2" t="s">
        <v>3659</v>
      </c>
      <c r="D2403" s="2" t="s">
        <v>833</v>
      </c>
      <c r="E2403" s="2" t="s">
        <v>835</v>
      </c>
      <c r="F2403" s="2">
        <v>1594.0</v>
      </c>
      <c r="G2403" s="2">
        <v>20.18</v>
      </c>
      <c r="H2403" s="2">
        <v>79.0</v>
      </c>
      <c r="I2403" s="2" t="s">
        <v>27</v>
      </c>
    </row>
    <row r="2404" ht="15.75" customHeight="1">
      <c r="A2404" s="2" t="s">
        <v>4003</v>
      </c>
      <c r="B2404" s="2" t="s">
        <v>4005</v>
      </c>
      <c r="C2404" s="2" t="s">
        <v>3659</v>
      </c>
      <c r="D2404" s="2" t="s">
        <v>951</v>
      </c>
      <c r="E2404" s="2" t="s">
        <v>953</v>
      </c>
      <c r="F2404" s="2">
        <v>237.0</v>
      </c>
      <c r="G2404" s="2">
        <v>4.98</v>
      </c>
      <c r="H2404" s="2">
        <v>47.6</v>
      </c>
      <c r="I2404" s="2" t="s">
        <v>47</v>
      </c>
    </row>
    <row r="2405" ht="15.75" customHeight="1">
      <c r="A2405" s="2" t="s">
        <v>6103</v>
      </c>
      <c r="B2405" s="2" t="s">
        <v>6104</v>
      </c>
      <c r="C2405" s="2" t="s">
        <v>3659</v>
      </c>
      <c r="D2405" s="2" t="s">
        <v>1004</v>
      </c>
      <c r="E2405" s="2" t="s">
        <v>1006</v>
      </c>
      <c r="F2405" s="2">
        <v>238.0</v>
      </c>
      <c r="G2405" s="2">
        <v>6.92</v>
      </c>
      <c r="H2405" s="2">
        <v>34.4</v>
      </c>
      <c r="I2405" s="2" t="s">
        <v>47</v>
      </c>
    </row>
    <row r="2406" ht="15.75" customHeight="1">
      <c r="A2406" s="2" t="s">
        <v>6107</v>
      </c>
      <c r="B2406" s="2" t="s">
        <v>6108</v>
      </c>
      <c r="C2406" s="2" t="s">
        <v>3659</v>
      </c>
      <c r="D2406" s="2" t="s">
        <v>951</v>
      </c>
      <c r="E2406" s="2" t="s">
        <v>953</v>
      </c>
      <c r="F2406" s="2">
        <v>230.0</v>
      </c>
      <c r="G2406" s="2">
        <v>9.24</v>
      </c>
      <c r="H2406" s="2">
        <v>24.9</v>
      </c>
      <c r="I2406" s="2" t="s">
        <v>47</v>
      </c>
    </row>
    <row r="2407" ht="15.75" customHeight="1">
      <c r="A2407" s="2" t="s">
        <v>6111</v>
      </c>
      <c r="B2407" s="2" t="s">
        <v>6112</v>
      </c>
      <c r="C2407" s="2" t="s">
        <v>3659</v>
      </c>
      <c r="D2407" s="2" t="s">
        <v>833</v>
      </c>
      <c r="E2407" s="2" t="s">
        <v>835</v>
      </c>
      <c r="F2407" s="2">
        <v>338.0</v>
      </c>
      <c r="G2407" s="2">
        <v>5.4</v>
      </c>
      <c r="H2407" s="2">
        <v>62.6</v>
      </c>
      <c r="I2407" s="2" t="s">
        <v>47</v>
      </c>
    </row>
    <row r="2408" ht="15.75" customHeight="1">
      <c r="A2408" s="2" t="s">
        <v>6113</v>
      </c>
      <c r="B2408" s="2" t="s">
        <v>6114</v>
      </c>
      <c r="C2408" s="2" t="s">
        <v>3659</v>
      </c>
      <c r="D2408" s="2" t="s">
        <v>997</v>
      </c>
      <c r="E2408" s="2" t="s">
        <v>999</v>
      </c>
      <c r="F2408" s="2">
        <v>396.0</v>
      </c>
      <c r="G2408" s="2">
        <v>7.1</v>
      </c>
      <c r="H2408" s="2">
        <v>55.8</v>
      </c>
      <c r="I2408" s="2" t="s">
        <v>47</v>
      </c>
    </row>
    <row r="2409" ht="15.75" customHeight="1">
      <c r="A2409" s="2" t="s">
        <v>6115</v>
      </c>
      <c r="B2409" s="2" t="s">
        <v>6116</v>
      </c>
      <c r="C2409" s="2" t="s">
        <v>3659</v>
      </c>
      <c r="D2409" s="2" t="s">
        <v>840</v>
      </c>
      <c r="E2409" s="2" t="s">
        <v>842</v>
      </c>
      <c r="F2409" s="2">
        <v>223.0</v>
      </c>
      <c r="G2409" s="2">
        <v>7.36</v>
      </c>
      <c r="H2409" s="2">
        <v>30.3</v>
      </c>
      <c r="I2409" s="2" t="s">
        <v>47</v>
      </c>
    </row>
    <row r="2410" ht="15.75" customHeight="1">
      <c r="A2410" s="2" t="s">
        <v>6117</v>
      </c>
      <c r="B2410" s="2" t="s">
        <v>6118</v>
      </c>
      <c r="C2410" s="2" t="s">
        <v>3659</v>
      </c>
      <c r="D2410" s="2" t="s">
        <v>962</v>
      </c>
      <c r="E2410" s="2" t="s">
        <v>965</v>
      </c>
      <c r="F2410" s="2">
        <v>461.0</v>
      </c>
      <c r="G2410" s="2">
        <v>5.89</v>
      </c>
      <c r="H2410" s="2">
        <v>78.3</v>
      </c>
      <c r="I2410" s="2" t="s">
        <v>47</v>
      </c>
    </row>
    <row r="2411" ht="15.75" customHeight="1">
      <c r="A2411" s="2" t="s">
        <v>4007</v>
      </c>
      <c r="B2411" s="2" t="s">
        <v>4008</v>
      </c>
      <c r="C2411" s="2" t="s">
        <v>3659</v>
      </c>
      <c r="D2411" s="2" t="s">
        <v>962</v>
      </c>
      <c r="E2411" s="2" t="s">
        <v>965</v>
      </c>
      <c r="F2411" s="2">
        <v>1594.0</v>
      </c>
      <c r="G2411" s="2">
        <v>9.38</v>
      </c>
      <c r="H2411" s="2">
        <v>169.9</v>
      </c>
      <c r="I2411" s="2" t="s">
        <v>27</v>
      </c>
    </row>
    <row r="2412" ht="15.75" customHeight="1">
      <c r="A2412" s="2" t="s">
        <v>4009</v>
      </c>
      <c r="B2412" s="2" t="s">
        <v>4010</v>
      </c>
      <c r="C2412" s="2" t="s">
        <v>3659</v>
      </c>
      <c r="D2412" s="2" t="s">
        <v>792</v>
      </c>
      <c r="E2412" s="2" t="s">
        <v>793</v>
      </c>
      <c r="F2412" s="2">
        <v>1753.0</v>
      </c>
      <c r="G2412" s="2">
        <v>3.6</v>
      </c>
      <c r="H2412" s="2">
        <v>486.9</v>
      </c>
      <c r="I2412" s="2" t="s">
        <v>27</v>
      </c>
    </row>
    <row r="2413" ht="15.75" customHeight="1">
      <c r="A2413" s="2" t="s">
        <v>4011</v>
      </c>
      <c r="B2413" s="2" t="s">
        <v>4012</v>
      </c>
      <c r="C2413" s="2" t="s">
        <v>3659</v>
      </c>
      <c r="D2413" s="2" t="s">
        <v>807</v>
      </c>
      <c r="E2413" s="2" t="s">
        <v>808</v>
      </c>
      <c r="F2413" s="2">
        <v>1979.0</v>
      </c>
      <c r="G2413" s="2">
        <v>2.51</v>
      </c>
      <c r="H2413" s="2">
        <v>788.4</v>
      </c>
      <c r="I2413" s="2" t="s">
        <v>27</v>
      </c>
    </row>
    <row r="2414" ht="15.75" customHeight="1">
      <c r="A2414" s="2" t="s">
        <v>6119</v>
      </c>
      <c r="B2414" s="2" t="s">
        <v>6120</v>
      </c>
      <c r="C2414" s="2" t="s">
        <v>3659</v>
      </c>
      <c r="D2414" s="2" t="s">
        <v>809</v>
      </c>
      <c r="E2414" s="2" t="s">
        <v>811</v>
      </c>
      <c r="F2414" s="2">
        <v>304.0</v>
      </c>
      <c r="G2414" s="2">
        <v>4.41</v>
      </c>
      <c r="H2414" s="2">
        <v>68.9</v>
      </c>
      <c r="I2414" s="2" t="s">
        <v>47</v>
      </c>
    </row>
    <row r="2415" ht="15.75" customHeight="1">
      <c r="A2415" s="2" t="s">
        <v>4013</v>
      </c>
      <c r="B2415" s="2" t="s">
        <v>4014</v>
      </c>
      <c r="C2415" s="2" t="s">
        <v>3659</v>
      </c>
      <c r="D2415" s="2" t="s">
        <v>792</v>
      </c>
      <c r="E2415" s="2" t="s">
        <v>793</v>
      </c>
      <c r="F2415" s="2">
        <v>913.0</v>
      </c>
      <c r="G2415" s="2">
        <v>5.32</v>
      </c>
      <c r="H2415" s="2">
        <v>171.6</v>
      </c>
      <c r="I2415" s="2" t="s">
        <v>27</v>
      </c>
    </row>
    <row r="2416" ht="15.75" customHeight="1">
      <c r="A2416" s="2" t="s">
        <v>6121</v>
      </c>
      <c r="B2416" s="2" t="s">
        <v>6122</v>
      </c>
      <c r="C2416" s="2" t="s">
        <v>3659</v>
      </c>
      <c r="D2416" s="2" t="s">
        <v>792</v>
      </c>
      <c r="E2416" s="2" t="s">
        <v>793</v>
      </c>
      <c r="F2416" s="2">
        <v>354.0</v>
      </c>
      <c r="G2416" s="2">
        <v>3.99</v>
      </c>
      <c r="H2416" s="2">
        <v>88.7</v>
      </c>
      <c r="I2416" s="2" t="s">
        <v>47</v>
      </c>
    </row>
    <row r="2417" ht="15.75" customHeight="1">
      <c r="A2417" s="2" t="s">
        <v>6125</v>
      </c>
      <c r="B2417" s="2" t="s">
        <v>6126</v>
      </c>
      <c r="C2417" s="2" t="s">
        <v>3659</v>
      </c>
      <c r="D2417" s="2" t="s">
        <v>904</v>
      </c>
      <c r="E2417" s="2" t="s">
        <v>906</v>
      </c>
      <c r="F2417" s="2">
        <v>224.0</v>
      </c>
      <c r="G2417" s="2">
        <v>5.18</v>
      </c>
      <c r="H2417" s="2">
        <v>43.2</v>
      </c>
      <c r="I2417" s="2" t="s">
        <v>47</v>
      </c>
    </row>
    <row r="2418" ht="15.75" customHeight="1">
      <c r="A2418" s="2" t="s">
        <v>6123</v>
      </c>
      <c r="B2418" s="2" t="s">
        <v>6124</v>
      </c>
      <c r="C2418" s="2" t="s">
        <v>3659</v>
      </c>
      <c r="D2418" s="2" t="s">
        <v>809</v>
      </c>
      <c r="E2418" s="2" t="s">
        <v>811</v>
      </c>
      <c r="F2418" s="2">
        <v>342.0</v>
      </c>
      <c r="G2418" s="2">
        <v>3.12</v>
      </c>
      <c r="H2418" s="2">
        <v>109.6</v>
      </c>
      <c r="I2418" s="2" t="s">
        <v>47</v>
      </c>
    </row>
    <row r="2419" ht="15.75" customHeight="1">
      <c r="A2419" s="2" t="s">
        <v>6133</v>
      </c>
      <c r="B2419" s="2" t="s">
        <v>6134</v>
      </c>
      <c r="C2419" s="2" t="s">
        <v>3659</v>
      </c>
      <c r="D2419" s="2" t="s">
        <v>904</v>
      </c>
      <c r="E2419" s="2" t="s">
        <v>906</v>
      </c>
      <c r="F2419" s="2">
        <v>111.0</v>
      </c>
      <c r="G2419" s="2">
        <v>4.59</v>
      </c>
      <c r="H2419" s="2">
        <v>24.2</v>
      </c>
      <c r="I2419" s="2" t="s">
        <v>47</v>
      </c>
    </row>
    <row r="2420" ht="15.75" customHeight="1">
      <c r="A2420" s="2" t="s">
        <v>4015</v>
      </c>
      <c r="B2420" s="2" t="s">
        <v>4016</v>
      </c>
      <c r="C2420" s="2" t="s">
        <v>3659</v>
      </c>
      <c r="D2420" s="2" t="s">
        <v>1082</v>
      </c>
      <c r="E2420" s="2" t="s">
        <v>1084</v>
      </c>
      <c r="F2420" s="2">
        <v>1267.0</v>
      </c>
      <c r="G2420" s="2">
        <v>8.58</v>
      </c>
      <c r="H2420" s="2">
        <v>147.7</v>
      </c>
      <c r="I2420" s="2" t="s">
        <v>27</v>
      </c>
    </row>
    <row r="2421" ht="15.75" customHeight="1">
      <c r="A2421" s="2" t="s">
        <v>4017</v>
      </c>
      <c r="B2421" s="2" t="s">
        <v>4018</v>
      </c>
      <c r="C2421" s="2" t="s">
        <v>3659</v>
      </c>
      <c r="D2421" s="2" t="s">
        <v>1082</v>
      </c>
      <c r="E2421" s="2" t="s">
        <v>1084</v>
      </c>
      <c r="F2421" s="2">
        <v>629.0</v>
      </c>
      <c r="G2421" s="2">
        <v>3.52</v>
      </c>
      <c r="H2421" s="2">
        <v>178.7</v>
      </c>
      <c r="I2421" s="2" t="s">
        <v>27</v>
      </c>
    </row>
    <row r="2422" ht="15.75" customHeight="1">
      <c r="A2422" s="2" t="s">
        <v>4020</v>
      </c>
      <c r="B2422" s="2" t="s">
        <v>4022</v>
      </c>
      <c r="C2422" s="2" t="s">
        <v>3659</v>
      </c>
      <c r="D2422" s="2" t="s">
        <v>833</v>
      </c>
      <c r="E2422" s="2" t="s">
        <v>835</v>
      </c>
      <c r="F2422" s="2">
        <v>932.0</v>
      </c>
      <c r="G2422" s="2">
        <v>7.02</v>
      </c>
      <c r="H2422" s="2">
        <v>132.8</v>
      </c>
      <c r="I2422" s="2" t="s">
        <v>27</v>
      </c>
    </row>
    <row r="2423" ht="15.75" customHeight="1">
      <c r="A2423" s="2" t="s">
        <v>6135</v>
      </c>
      <c r="B2423" s="2" t="s">
        <v>6136</v>
      </c>
      <c r="C2423" s="2" t="s">
        <v>3659</v>
      </c>
      <c r="D2423" s="2" t="s">
        <v>997</v>
      </c>
      <c r="E2423" s="2" t="s">
        <v>999</v>
      </c>
      <c r="F2423" s="2">
        <v>228.0</v>
      </c>
      <c r="G2423" s="2">
        <v>4.99</v>
      </c>
      <c r="H2423" s="2">
        <v>45.7</v>
      </c>
      <c r="I2423" s="2" t="s">
        <v>47</v>
      </c>
    </row>
    <row r="2424" ht="15.75" customHeight="1">
      <c r="A2424" s="2" t="s">
        <v>6137</v>
      </c>
      <c r="B2424" s="2" t="s">
        <v>6138</v>
      </c>
      <c r="C2424" s="2" t="s">
        <v>3659</v>
      </c>
      <c r="D2424" s="2" t="s">
        <v>833</v>
      </c>
      <c r="E2424" s="2" t="s">
        <v>835</v>
      </c>
      <c r="F2424" s="2">
        <v>604.0</v>
      </c>
      <c r="G2424" s="2">
        <v>14.46</v>
      </c>
      <c r="H2424" s="2">
        <v>41.8</v>
      </c>
      <c r="I2424" s="2" t="s">
        <v>27</v>
      </c>
    </row>
    <row r="2425" ht="15.75" customHeight="1">
      <c r="A2425" s="2" t="s">
        <v>4023</v>
      </c>
      <c r="B2425" s="2" t="s">
        <v>4024</v>
      </c>
      <c r="C2425" s="2" t="s">
        <v>3659</v>
      </c>
      <c r="D2425" s="2" t="s">
        <v>792</v>
      </c>
      <c r="E2425" s="2" t="s">
        <v>793</v>
      </c>
      <c r="F2425" s="2">
        <v>861.0</v>
      </c>
      <c r="G2425" s="2">
        <v>3.95</v>
      </c>
      <c r="H2425" s="2">
        <v>218.0</v>
      </c>
      <c r="I2425" s="2" t="s">
        <v>27</v>
      </c>
    </row>
    <row r="2426" ht="15.75" customHeight="1">
      <c r="A2426" s="2" t="s">
        <v>4025</v>
      </c>
      <c r="B2426" s="2" t="s">
        <v>4026</v>
      </c>
      <c r="C2426" s="2" t="s">
        <v>3659</v>
      </c>
      <c r="D2426" s="2" t="s">
        <v>892</v>
      </c>
      <c r="E2426" s="2" t="s">
        <v>893</v>
      </c>
      <c r="F2426" s="2">
        <v>1770.0</v>
      </c>
      <c r="G2426" s="2">
        <v>9.06</v>
      </c>
      <c r="H2426" s="2">
        <v>195.4</v>
      </c>
      <c r="I2426" s="2" t="s">
        <v>27</v>
      </c>
    </row>
    <row r="2427" ht="15.75" customHeight="1">
      <c r="A2427" s="2" t="s">
        <v>4027</v>
      </c>
      <c r="B2427" s="2" t="s">
        <v>4028</v>
      </c>
      <c r="C2427" s="2" t="s">
        <v>3659</v>
      </c>
      <c r="D2427" s="2" t="s">
        <v>792</v>
      </c>
      <c r="E2427" s="2" t="s">
        <v>793</v>
      </c>
      <c r="F2427" s="2">
        <v>1242.0</v>
      </c>
      <c r="G2427" s="2">
        <v>7.71</v>
      </c>
      <c r="H2427" s="2">
        <v>161.1</v>
      </c>
      <c r="I2427" s="2" t="s">
        <v>27</v>
      </c>
    </row>
    <row r="2428" ht="15.75" customHeight="1">
      <c r="A2428" s="2" t="s">
        <v>4029</v>
      </c>
      <c r="B2428" s="2" t="s">
        <v>4030</v>
      </c>
      <c r="C2428" s="2" t="s">
        <v>3659</v>
      </c>
      <c r="D2428" s="2" t="s">
        <v>1082</v>
      </c>
      <c r="E2428" s="2" t="s">
        <v>1084</v>
      </c>
      <c r="F2428" s="2">
        <v>991.0</v>
      </c>
      <c r="G2428" s="2">
        <v>5.51</v>
      </c>
      <c r="H2428" s="2">
        <v>179.9</v>
      </c>
      <c r="I2428" s="2" t="s">
        <v>27</v>
      </c>
    </row>
    <row r="2429" ht="15.75" customHeight="1">
      <c r="A2429" s="2" t="s">
        <v>6139</v>
      </c>
      <c r="B2429" s="2" t="s">
        <v>6140</v>
      </c>
      <c r="C2429" s="2" t="s">
        <v>3659</v>
      </c>
      <c r="D2429" s="2" t="s">
        <v>1082</v>
      </c>
      <c r="E2429" s="2" t="s">
        <v>1084</v>
      </c>
      <c r="F2429" s="2">
        <v>496.0</v>
      </c>
      <c r="G2429" s="2">
        <v>5.86</v>
      </c>
      <c r="H2429" s="2">
        <v>84.6</v>
      </c>
      <c r="I2429" s="2" t="s">
        <v>47</v>
      </c>
    </row>
    <row r="2430" ht="15.75" customHeight="1">
      <c r="A2430" s="2" t="s">
        <v>6141</v>
      </c>
      <c r="B2430" s="2" t="s">
        <v>6142</v>
      </c>
      <c r="C2430" s="2" t="s">
        <v>3659</v>
      </c>
      <c r="D2430" s="2" t="s">
        <v>1004</v>
      </c>
      <c r="E2430" s="2" t="s">
        <v>1006</v>
      </c>
      <c r="F2430" s="2">
        <v>354.0</v>
      </c>
      <c r="G2430" s="2">
        <v>11.05</v>
      </c>
      <c r="H2430" s="2">
        <v>32.0</v>
      </c>
      <c r="I2430" s="2" t="s">
        <v>47</v>
      </c>
    </row>
    <row r="2431" ht="15.75" customHeight="1">
      <c r="A2431" s="2" t="s">
        <v>4031</v>
      </c>
      <c r="B2431" s="2" t="s">
        <v>4032</v>
      </c>
      <c r="C2431" s="2" t="s">
        <v>3659</v>
      </c>
      <c r="D2431" s="2" t="s">
        <v>1042</v>
      </c>
      <c r="E2431" s="2" t="s">
        <v>1043</v>
      </c>
      <c r="F2431" s="2">
        <v>850.0</v>
      </c>
      <c r="G2431" s="2">
        <v>11.61</v>
      </c>
      <c r="H2431" s="2">
        <v>73.2</v>
      </c>
      <c r="I2431" s="2" t="s">
        <v>27</v>
      </c>
    </row>
    <row r="2432" ht="15.75" customHeight="1">
      <c r="A2432" s="2" t="s">
        <v>4033</v>
      </c>
      <c r="B2432" s="2" t="s">
        <v>4034</v>
      </c>
      <c r="C2432" s="2" t="s">
        <v>3659</v>
      </c>
      <c r="D2432" s="2" t="s">
        <v>899</v>
      </c>
      <c r="E2432" s="2" t="s">
        <v>900</v>
      </c>
      <c r="F2432" s="2">
        <v>510.0</v>
      </c>
      <c r="G2432" s="2">
        <v>20.58</v>
      </c>
      <c r="H2432" s="2">
        <v>24.8</v>
      </c>
      <c r="I2432" s="2" t="s">
        <v>27</v>
      </c>
    </row>
    <row r="2433" ht="15.75" customHeight="1">
      <c r="A2433" s="2" t="s">
        <v>6145</v>
      </c>
      <c r="B2433" s="2" t="s">
        <v>6146</v>
      </c>
      <c r="C2433" s="2" t="s">
        <v>3659</v>
      </c>
      <c r="D2433" s="2" t="s">
        <v>1004</v>
      </c>
      <c r="E2433" s="2" t="s">
        <v>1006</v>
      </c>
      <c r="F2433" s="2">
        <v>227.0</v>
      </c>
      <c r="G2433" s="2">
        <v>5.55</v>
      </c>
      <c r="H2433" s="2">
        <v>40.9</v>
      </c>
      <c r="I2433" s="2" t="s">
        <v>47</v>
      </c>
    </row>
    <row r="2434" ht="15.75" customHeight="1">
      <c r="A2434" s="2" t="s">
        <v>4035</v>
      </c>
      <c r="B2434" s="2" t="s">
        <v>4036</v>
      </c>
      <c r="C2434" s="2" t="s">
        <v>3659</v>
      </c>
      <c r="D2434" s="2" t="s">
        <v>1028</v>
      </c>
      <c r="E2434" s="2" t="s">
        <v>1029</v>
      </c>
      <c r="F2434" s="2">
        <v>2947.0</v>
      </c>
      <c r="G2434" s="2">
        <v>12.91</v>
      </c>
      <c r="H2434" s="2">
        <v>228.3</v>
      </c>
      <c r="I2434" s="2" t="s">
        <v>138</v>
      </c>
    </row>
    <row r="2435" ht="15.75" customHeight="1">
      <c r="A2435" s="2" t="s">
        <v>6147</v>
      </c>
      <c r="B2435" s="2" t="s">
        <v>1260</v>
      </c>
      <c r="C2435" s="2" t="s">
        <v>3659</v>
      </c>
      <c r="D2435" s="2" t="s">
        <v>1004</v>
      </c>
      <c r="E2435" s="2" t="s">
        <v>1006</v>
      </c>
      <c r="F2435" s="2">
        <v>109.0</v>
      </c>
      <c r="G2435" s="2">
        <v>2.84</v>
      </c>
      <c r="H2435" s="2">
        <v>38.4</v>
      </c>
      <c r="I2435" s="2" t="s">
        <v>47</v>
      </c>
    </row>
    <row r="2436" ht="15.75" customHeight="1">
      <c r="A2436" s="2" t="s">
        <v>4037</v>
      </c>
      <c r="B2436" s="2" t="s">
        <v>4038</v>
      </c>
      <c r="C2436" s="2" t="s">
        <v>3659</v>
      </c>
      <c r="D2436" s="2" t="s">
        <v>1004</v>
      </c>
      <c r="E2436" s="2" t="s">
        <v>1006</v>
      </c>
      <c r="F2436" s="2">
        <v>877.0</v>
      </c>
      <c r="G2436" s="2">
        <v>4.62</v>
      </c>
      <c r="H2436" s="2">
        <v>189.8</v>
      </c>
      <c r="I2436" s="2" t="s">
        <v>27</v>
      </c>
    </row>
    <row r="2437" ht="15.75" customHeight="1">
      <c r="A2437" s="2" t="s">
        <v>6143</v>
      </c>
      <c r="B2437" s="2" t="s">
        <v>6144</v>
      </c>
      <c r="C2437" s="2" t="s">
        <v>3659</v>
      </c>
      <c r="D2437" s="2" t="s">
        <v>833</v>
      </c>
      <c r="E2437" s="2" t="s">
        <v>835</v>
      </c>
      <c r="F2437" s="2">
        <v>469.0</v>
      </c>
      <c r="G2437" s="2">
        <v>10.96</v>
      </c>
      <c r="H2437" s="2">
        <v>42.8</v>
      </c>
      <c r="I2437" s="2" t="s">
        <v>47</v>
      </c>
    </row>
    <row r="2438" ht="15.75" customHeight="1">
      <c r="A2438" s="2" t="s">
        <v>4039</v>
      </c>
      <c r="B2438" s="2" t="s">
        <v>4040</v>
      </c>
      <c r="C2438" s="2" t="s">
        <v>3659</v>
      </c>
      <c r="D2438" s="2" t="s">
        <v>997</v>
      </c>
      <c r="E2438" s="2" t="s">
        <v>999</v>
      </c>
      <c r="F2438" s="2">
        <v>401.0</v>
      </c>
      <c r="G2438" s="2">
        <v>9.27</v>
      </c>
      <c r="H2438" s="2">
        <v>43.3</v>
      </c>
      <c r="I2438" s="2" t="s">
        <v>47</v>
      </c>
    </row>
    <row r="2439" ht="15.75" customHeight="1">
      <c r="A2439" s="2" t="s">
        <v>6154</v>
      </c>
      <c r="B2439" s="2" t="s">
        <v>6155</v>
      </c>
      <c r="C2439" s="2" t="s">
        <v>3659</v>
      </c>
      <c r="D2439" s="2" t="s">
        <v>1004</v>
      </c>
      <c r="E2439" s="2" t="s">
        <v>1006</v>
      </c>
      <c r="F2439" s="2">
        <v>92.0</v>
      </c>
      <c r="G2439" s="2">
        <v>3.98</v>
      </c>
      <c r="H2439" s="2">
        <v>23.1</v>
      </c>
      <c r="I2439" s="2" t="s">
        <v>47</v>
      </c>
    </row>
    <row r="2440" ht="15.75" customHeight="1">
      <c r="A2440" s="2" t="s">
        <v>6148</v>
      </c>
      <c r="B2440" s="2" t="s">
        <v>6149</v>
      </c>
      <c r="C2440" s="2" t="s">
        <v>3659</v>
      </c>
      <c r="D2440" s="2" t="s">
        <v>1004</v>
      </c>
      <c r="E2440" s="2" t="s">
        <v>1006</v>
      </c>
      <c r="F2440" s="2">
        <v>97.0</v>
      </c>
      <c r="G2440" s="2">
        <v>5.66</v>
      </c>
      <c r="H2440" s="2">
        <v>17.1</v>
      </c>
      <c r="I2440" s="2" t="s">
        <v>47</v>
      </c>
    </row>
    <row r="2441" ht="15.75" customHeight="1">
      <c r="A2441" s="2" t="s">
        <v>6150</v>
      </c>
      <c r="B2441" s="2" t="s">
        <v>6151</v>
      </c>
      <c r="C2441" s="2" t="s">
        <v>3659</v>
      </c>
      <c r="D2441" s="2" t="s">
        <v>997</v>
      </c>
      <c r="E2441" s="2" t="s">
        <v>999</v>
      </c>
      <c r="F2441" s="2">
        <v>273.0</v>
      </c>
      <c r="G2441" s="2">
        <v>6.21</v>
      </c>
      <c r="H2441" s="2">
        <v>44.0</v>
      </c>
      <c r="I2441" s="2" t="s">
        <v>47</v>
      </c>
    </row>
    <row r="2442" ht="15.75" customHeight="1">
      <c r="A2442" s="2" t="s">
        <v>6152</v>
      </c>
      <c r="B2442" s="2" t="s">
        <v>6153</v>
      </c>
      <c r="C2442" s="2" t="s">
        <v>3659</v>
      </c>
      <c r="D2442" s="2" t="s">
        <v>1004</v>
      </c>
      <c r="E2442" s="2" t="s">
        <v>1006</v>
      </c>
      <c r="F2442" s="2">
        <v>105.0</v>
      </c>
      <c r="G2442" s="2">
        <v>3.86</v>
      </c>
      <c r="H2442" s="2">
        <v>27.2</v>
      </c>
      <c r="I2442" s="2" t="s">
        <v>47</v>
      </c>
    </row>
    <row r="2443" ht="15.75" customHeight="1">
      <c r="A2443" s="2" t="s">
        <v>6156</v>
      </c>
      <c r="B2443" s="2" t="s">
        <v>6157</v>
      </c>
      <c r="C2443" s="2" t="s">
        <v>3659</v>
      </c>
      <c r="D2443" s="2" t="s">
        <v>1004</v>
      </c>
      <c r="E2443" s="2" t="s">
        <v>1006</v>
      </c>
      <c r="F2443" s="2">
        <v>212.0</v>
      </c>
      <c r="G2443" s="2">
        <v>5.94</v>
      </c>
      <c r="H2443" s="2">
        <v>35.7</v>
      </c>
      <c r="I2443" s="2" t="s">
        <v>47</v>
      </c>
    </row>
    <row r="2444" ht="15.75" customHeight="1">
      <c r="A2444" s="2" t="s">
        <v>6158</v>
      </c>
      <c r="B2444" s="2" t="s">
        <v>6159</v>
      </c>
      <c r="C2444" s="2" t="s">
        <v>3659</v>
      </c>
      <c r="D2444" s="2" t="s">
        <v>904</v>
      </c>
      <c r="E2444" s="2" t="s">
        <v>906</v>
      </c>
      <c r="F2444" s="2">
        <v>119.0</v>
      </c>
      <c r="G2444" s="2">
        <v>5.46</v>
      </c>
      <c r="H2444" s="2">
        <v>21.8</v>
      </c>
      <c r="I2444" s="2" t="s">
        <v>47</v>
      </c>
    </row>
    <row r="2445" ht="15.75" customHeight="1">
      <c r="A2445" s="2" t="s">
        <v>6160</v>
      </c>
      <c r="B2445" s="2" t="s">
        <v>6161</v>
      </c>
      <c r="C2445" s="2" t="s">
        <v>3659</v>
      </c>
      <c r="D2445" s="2" t="s">
        <v>1004</v>
      </c>
      <c r="E2445" s="2" t="s">
        <v>1006</v>
      </c>
      <c r="F2445" s="2">
        <v>148.0</v>
      </c>
      <c r="G2445" s="2">
        <v>3.01</v>
      </c>
      <c r="H2445" s="2">
        <v>49.2</v>
      </c>
      <c r="I2445" s="2" t="s">
        <v>47</v>
      </c>
    </row>
    <row r="2446" ht="15.75" customHeight="1">
      <c r="A2446" s="2" t="s">
        <v>4043</v>
      </c>
      <c r="B2446" s="2" t="s">
        <v>4044</v>
      </c>
      <c r="C2446" s="2" t="s">
        <v>3659</v>
      </c>
      <c r="D2446" s="2" t="s">
        <v>792</v>
      </c>
      <c r="E2446" s="2" t="s">
        <v>793</v>
      </c>
      <c r="F2446" s="2">
        <v>1632.0</v>
      </c>
      <c r="G2446" s="2">
        <v>1.99</v>
      </c>
      <c r="H2446" s="2">
        <v>820.1</v>
      </c>
      <c r="I2446" s="2" t="s">
        <v>27</v>
      </c>
    </row>
    <row r="2447" ht="15.75" customHeight="1">
      <c r="A2447" s="2" t="s">
        <v>4045</v>
      </c>
      <c r="B2447" s="2" t="s">
        <v>4046</v>
      </c>
      <c r="C2447" s="2" t="s">
        <v>3659</v>
      </c>
      <c r="D2447" s="2" t="s">
        <v>792</v>
      </c>
      <c r="E2447" s="2" t="s">
        <v>793</v>
      </c>
      <c r="F2447" s="2">
        <v>1108.0</v>
      </c>
      <c r="G2447" s="2">
        <v>2.42</v>
      </c>
      <c r="H2447" s="2">
        <v>457.9</v>
      </c>
      <c r="I2447" s="2" t="s">
        <v>27</v>
      </c>
    </row>
    <row r="2448" ht="15.75" customHeight="1">
      <c r="A2448" s="2" t="s">
        <v>4047</v>
      </c>
      <c r="B2448" s="2" t="s">
        <v>4048</v>
      </c>
      <c r="C2448" s="2" t="s">
        <v>3659</v>
      </c>
      <c r="D2448" s="2" t="s">
        <v>807</v>
      </c>
      <c r="E2448" s="2" t="s">
        <v>808</v>
      </c>
      <c r="F2448" s="2">
        <v>6087.0</v>
      </c>
      <c r="G2448" s="2">
        <v>4.14</v>
      </c>
      <c r="H2448" s="2">
        <v>1470.3</v>
      </c>
      <c r="I2448" s="2" t="s">
        <v>138</v>
      </c>
    </row>
    <row r="2449" ht="15.75" customHeight="1">
      <c r="A2449" s="2" t="s">
        <v>6162</v>
      </c>
      <c r="B2449" s="2" t="s">
        <v>6163</v>
      </c>
      <c r="C2449" s="2" t="s">
        <v>3659</v>
      </c>
      <c r="D2449" s="2" t="s">
        <v>1004</v>
      </c>
      <c r="E2449" s="2" t="s">
        <v>1006</v>
      </c>
      <c r="F2449" s="2">
        <v>116.0</v>
      </c>
      <c r="G2449" s="2">
        <v>2.26</v>
      </c>
      <c r="H2449" s="2">
        <v>51.3</v>
      </c>
      <c r="I2449" s="2" t="s">
        <v>47</v>
      </c>
    </row>
    <row r="2450" ht="15.75" customHeight="1">
      <c r="A2450" s="2" t="s">
        <v>4049</v>
      </c>
      <c r="B2450" s="2" t="s">
        <v>4050</v>
      </c>
      <c r="C2450" s="2" t="s">
        <v>3659</v>
      </c>
      <c r="D2450" s="2" t="s">
        <v>809</v>
      </c>
      <c r="E2450" s="2" t="s">
        <v>811</v>
      </c>
      <c r="F2450" s="2">
        <v>893.0</v>
      </c>
      <c r="G2450" s="2">
        <v>20.02</v>
      </c>
      <c r="H2450" s="2">
        <v>44.6</v>
      </c>
      <c r="I2450" s="2" t="s">
        <v>27</v>
      </c>
    </row>
    <row r="2451" ht="15.75" customHeight="1">
      <c r="A2451" s="2" t="s">
        <v>4051</v>
      </c>
      <c r="B2451" s="2" t="s">
        <v>4052</v>
      </c>
      <c r="C2451" s="2" t="s">
        <v>3659</v>
      </c>
      <c r="D2451" s="2" t="s">
        <v>1038</v>
      </c>
      <c r="E2451" s="2" t="s">
        <v>1039</v>
      </c>
      <c r="F2451" s="2">
        <v>604.0</v>
      </c>
      <c r="G2451" s="2">
        <v>4.89</v>
      </c>
      <c r="H2451" s="2">
        <v>123.5</v>
      </c>
      <c r="I2451" s="2" t="s">
        <v>27</v>
      </c>
    </row>
    <row r="2452" ht="15.75" customHeight="1">
      <c r="A2452" s="2" t="s">
        <v>4053</v>
      </c>
      <c r="B2452" s="2" t="s">
        <v>4054</v>
      </c>
      <c r="C2452" s="2" t="s">
        <v>3659</v>
      </c>
      <c r="D2452" s="2" t="s">
        <v>792</v>
      </c>
      <c r="E2452" s="2" t="s">
        <v>793</v>
      </c>
      <c r="F2452" s="2">
        <v>791.0</v>
      </c>
      <c r="G2452" s="2">
        <v>8.03</v>
      </c>
      <c r="H2452" s="2">
        <v>98.5</v>
      </c>
      <c r="I2452" s="2" t="s">
        <v>27</v>
      </c>
    </row>
    <row r="2453" ht="15.75" customHeight="1">
      <c r="A2453" s="2" t="s">
        <v>6166</v>
      </c>
      <c r="B2453" s="2" t="s">
        <v>6167</v>
      </c>
      <c r="C2453" s="2" t="s">
        <v>3659</v>
      </c>
      <c r="D2453" s="2" t="s">
        <v>899</v>
      </c>
      <c r="E2453" s="2" t="s">
        <v>900</v>
      </c>
      <c r="F2453" s="2">
        <v>62.0</v>
      </c>
      <c r="G2453" s="2">
        <v>2.47</v>
      </c>
      <c r="H2453" s="2">
        <v>25.1</v>
      </c>
      <c r="I2453" s="2" t="s">
        <v>47</v>
      </c>
    </row>
    <row r="2454" ht="15.75" customHeight="1">
      <c r="A2454" s="2" t="s">
        <v>6168</v>
      </c>
      <c r="B2454" s="2" t="s">
        <v>6169</v>
      </c>
      <c r="C2454" s="2" t="s">
        <v>3659</v>
      </c>
      <c r="D2454" s="2" t="s">
        <v>1038</v>
      </c>
      <c r="E2454" s="2" t="s">
        <v>1039</v>
      </c>
      <c r="F2454" s="2">
        <v>233.0</v>
      </c>
      <c r="G2454" s="2">
        <v>2.97</v>
      </c>
      <c r="H2454" s="2">
        <v>78.5</v>
      </c>
      <c r="I2454" s="2" t="s">
        <v>47</v>
      </c>
    </row>
    <row r="2455" ht="15.75" customHeight="1">
      <c r="A2455" s="2" t="s">
        <v>4057</v>
      </c>
      <c r="B2455" s="2" t="s">
        <v>4058</v>
      </c>
      <c r="C2455" s="2" t="s">
        <v>3659</v>
      </c>
      <c r="D2455" s="2" t="s">
        <v>951</v>
      </c>
      <c r="E2455" s="2" t="s">
        <v>953</v>
      </c>
      <c r="F2455" s="2">
        <v>579.0</v>
      </c>
      <c r="G2455" s="2">
        <v>17.23</v>
      </c>
      <c r="H2455" s="2">
        <v>33.6</v>
      </c>
      <c r="I2455" s="2" t="s">
        <v>27</v>
      </c>
    </row>
    <row r="2456" ht="15.75" customHeight="1">
      <c r="A2456" s="2" t="s">
        <v>4061</v>
      </c>
      <c r="B2456" s="2" t="s">
        <v>4062</v>
      </c>
      <c r="C2456" s="2" t="s">
        <v>3659</v>
      </c>
      <c r="D2456" s="2" t="s">
        <v>951</v>
      </c>
      <c r="E2456" s="2" t="s">
        <v>953</v>
      </c>
      <c r="F2456" s="2">
        <v>2362.0</v>
      </c>
      <c r="G2456" s="2">
        <v>18.87</v>
      </c>
      <c r="H2456" s="2">
        <v>125.2</v>
      </c>
      <c r="I2456" s="2" t="s">
        <v>138</v>
      </c>
    </row>
    <row r="2457" ht="15.75" customHeight="1">
      <c r="A2457" s="2" t="s">
        <v>6164</v>
      </c>
      <c r="B2457" s="2" t="s">
        <v>6165</v>
      </c>
      <c r="C2457" s="2" t="s">
        <v>3659</v>
      </c>
      <c r="D2457" s="2" t="s">
        <v>997</v>
      </c>
      <c r="E2457" s="2" t="s">
        <v>999</v>
      </c>
      <c r="F2457" s="2">
        <v>239.0</v>
      </c>
      <c r="G2457" s="2">
        <v>5.69</v>
      </c>
      <c r="H2457" s="2">
        <v>42.0</v>
      </c>
      <c r="I2457" s="2" t="s">
        <v>47</v>
      </c>
    </row>
    <row r="2458" ht="15.75" customHeight="1">
      <c r="A2458" s="2" t="s">
        <v>4063</v>
      </c>
      <c r="B2458" s="2" t="s">
        <v>4064</v>
      </c>
      <c r="C2458" s="2" t="s">
        <v>3659</v>
      </c>
      <c r="D2458" s="2" t="s">
        <v>840</v>
      </c>
      <c r="E2458" s="2" t="s">
        <v>842</v>
      </c>
      <c r="F2458" s="2">
        <v>1403.0</v>
      </c>
      <c r="G2458" s="2">
        <v>7.97</v>
      </c>
      <c r="H2458" s="2">
        <v>176.0</v>
      </c>
      <c r="I2458" s="2" t="s">
        <v>27</v>
      </c>
    </row>
    <row r="2459" ht="15.75" customHeight="1">
      <c r="A2459" s="2" t="s">
        <v>4065</v>
      </c>
      <c r="B2459" s="2" t="s">
        <v>4066</v>
      </c>
      <c r="C2459" s="2" t="s">
        <v>3659</v>
      </c>
      <c r="D2459" s="2" t="s">
        <v>1004</v>
      </c>
      <c r="E2459" s="2" t="s">
        <v>1006</v>
      </c>
      <c r="F2459" s="2">
        <v>3259.0</v>
      </c>
      <c r="G2459" s="2">
        <v>15.26</v>
      </c>
      <c r="H2459" s="2">
        <v>213.6</v>
      </c>
      <c r="I2459" s="2" t="s">
        <v>138</v>
      </c>
    </row>
    <row r="2460" ht="15.75" customHeight="1">
      <c r="A2460" s="2" t="s">
        <v>6170</v>
      </c>
      <c r="B2460" s="2" t="s">
        <v>6171</v>
      </c>
      <c r="C2460" s="2" t="s">
        <v>3659</v>
      </c>
      <c r="D2460" s="2" t="s">
        <v>904</v>
      </c>
      <c r="E2460" s="2" t="s">
        <v>906</v>
      </c>
      <c r="F2460" s="2">
        <v>239.0</v>
      </c>
      <c r="G2460" s="2">
        <v>5.12</v>
      </c>
      <c r="H2460" s="2">
        <v>46.7</v>
      </c>
      <c r="I2460" s="2" t="s">
        <v>47</v>
      </c>
    </row>
    <row r="2461" ht="15.75" customHeight="1">
      <c r="A2461" s="2" t="s">
        <v>6172</v>
      </c>
      <c r="B2461" s="2" t="s">
        <v>6173</v>
      </c>
      <c r="C2461" s="2" t="s">
        <v>3659</v>
      </c>
      <c r="D2461" s="2" t="s">
        <v>904</v>
      </c>
      <c r="E2461" s="2" t="s">
        <v>906</v>
      </c>
      <c r="F2461" s="2">
        <v>400.0</v>
      </c>
      <c r="G2461" s="2">
        <v>3.62</v>
      </c>
      <c r="H2461" s="2">
        <v>110.5</v>
      </c>
      <c r="I2461" s="2" t="s">
        <v>47</v>
      </c>
    </row>
    <row r="2462" ht="15.75" customHeight="1">
      <c r="A2462" s="2" t="s">
        <v>6174</v>
      </c>
      <c r="B2462" s="2" t="s">
        <v>6175</v>
      </c>
      <c r="C2462" s="2" t="s">
        <v>3659</v>
      </c>
      <c r="D2462" s="2" t="s">
        <v>899</v>
      </c>
      <c r="E2462" s="2" t="s">
        <v>900</v>
      </c>
      <c r="F2462" s="2">
        <v>208.0</v>
      </c>
      <c r="G2462" s="2">
        <v>4.19</v>
      </c>
      <c r="H2462" s="2">
        <v>49.6</v>
      </c>
      <c r="I2462" s="2" t="s">
        <v>47</v>
      </c>
    </row>
    <row r="2463" ht="15.75" customHeight="1">
      <c r="A2463" s="2" t="s">
        <v>4069</v>
      </c>
      <c r="B2463" s="2" t="s">
        <v>4070</v>
      </c>
      <c r="C2463" s="2" t="s">
        <v>3659</v>
      </c>
      <c r="D2463" s="2" t="s">
        <v>792</v>
      </c>
      <c r="E2463" s="2" t="s">
        <v>793</v>
      </c>
      <c r="F2463" s="2">
        <v>296.0</v>
      </c>
      <c r="G2463" s="2">
        <v>5.84</v>
      </c>
      <c r="H2463" s="2">
        <v>50.7</v>
      </c>
      <c r="I2463" s="2" t="s">
        <v>47</v>
      </c>
    </row>
    <row r="2464" ht="15.75" customHeight="1">
      <c r="A2464" s="2" t="s">
        <v>4071</v>
      </c>
      <c r="B2464" s="2" t="s">
        <v>4072</v>
      </c>
      <c r="C2464" s="2" t="s">
        <v>3659</v>
      </c>
      <c r="D2464" s="2" t="s">
        <v>1004</v>
      </c>
      <c r="E2464" s="2" t="s">
        <v>1006</v>
      </c>
      <c r="F2464" s="2">
        <v>774.0</v>
      </c>
      <c r="G2464" s="2">
        <v>5.94</v>
      </c>
      <c r="H2464" s="2">
        <v>130.3</v>
      </c>
      <c r="I2464" s="2" t="s">
        <v>27</v>
      </c>
    </row>
    <row r="2465" ht="15.75" customHeight="1">
      <c r="A2465" s="2" t="s">
        <v>6176</v>
      </c>
      <c r="B2465" s="2" t="s">
        <v>6177</v>
      </c>
      <c r="C2465" s="2" t="s">
        <v>3659</v>
      </c>
      <c r="D2465" s="2" t="s">
        <v>904</v>
      </c>
      <c r="E2465" s="2" t="s">
        <v>906</v>
      </c>
      <c r="F2465" s="2">
        <v>215.0</v>
      </c>
      <c r="G2465" s="2">
        <v>6.22</v>
      </c>
      <c r="H2465" s="2">
        <v>34.6</v>
      </c>
      <c r="I2465" s="2" t="s">
        <v>47</v>
      </c>
    </row>
    <row r="2466" ht="15.75" customHeight="1">
      <c r="A2466" s="2" t="s">
        <v>4073</v>
      </c>
      <c r="B2466" s="2" t="s">
        <v>4074</v>
      </c>
      <c r="C2466" s="2" t="s">
        <v>3659</v>
      </c>
      <c r="D2466" s="2" t="s">
        <v>1082</v>
      </c>
      <c r="E2466" s="2" t="s">
        <v>1084</v>
      </c>
      <c r="F2466" s="2">
        <v>768.0</v>
      </c>
      <c r="G2466" s="2">
        <v>9.03</v>
      </c>
      <c r="H2466" s="2">
        <v>85.0</v>
      </c>
      <c r="I2466" s="2" t="s">
        <v>27</v>
      </c>
    </row>
    <row r="2467" ht="15.75" customHeight="1">
      <c r="A2467" s="2" t="s">
        <v>6178</v>
      </c>
      <c r="B2467" s="2" t="s">
        <v>6179</v>
      </c>
      <c r="C2467" s="2" t="s">
        <v>3659</v>
      </c>
      <c r="D2467" s="2" t="s">
        <v>1004</v>
      </c>
      <c r="E2467" s="2" t="s">
        <v>1006</v>
      </c>
      <c r="F2467" s="2">
        <v>122.0</v>
      </c>
      <c r="G2467" s="2">
        <v>10.92</v>
      </c>
      <c r="H2467" s="2">
        <v>11.2</v>
      </c>
      <c r="I2467" s="2" t="s">
        <v>47</v>
      </c>
    </row>
    <row r="2468" ht="15.75" customHeight="1">
      <c r="A2468" s="2" t="s">
        <v>4075</v>
      </c>
      <c r="B2468" s="2" t="s">
        <v>4076</v>
      </c>
      <c r="C2468" s="2" t="s">
        <v>3659</v>
      </c>
      <c r="D2468" s="2" t="s">
        <v>807</v>
      </c>
      <c r="E2468" s="2" t="s">
        <v>808</v>
      </c>
      <c r="F2468" s="2">
        <v>2072.0</v>
      </c>
      <c r="G2468" s="2">
        <v>5.93</v>
      </c>
      <c r="H2468" s="2">
        <v>349.4</v>
      </c>
      <c r="I2468" s="2" t="s">
        <v>138</v>
      </c>
    </row>
    <row r="2469" ht="15.75" customHeight="1">
      <c r="A2469" s="2" t="s">
        <v>6180</v>
      </c>
      <c r="B2469" s="2" t="s">
        <v>6181</v>
      </c>
      <c r="C2469" s="2" t="s">
        <v>3659</v>
      </c>
      <c r="D2469" s="2" t="s">
        <v>904</v>
      </c>
      <c r="E2469" s="2" t="s">
        <v>906</v>
      </c>
      <c r="F2469" s="2">
        <v>155.0</v>
      </c>
      <c r="G2469" s="2">
        <v>2.61</v>
      </c>
      <c r="H2469" s="2">
        <v>59.4</v>
      </c>
      <c r="I2469" s="2" t="s">
        <v>47</v>
      </c>
    </row>
    <row r="2470" ht="15.75" customHeight="1">
      <c r="A2470" s="2" t="s">
        <v>4077</v>
      </c>
      <c r="B2470" s="2" t="s">
        <v>4078</v>
      </c>
      <c r="C2470" s="2" t="s">
        <v>3659</v>
      </c>
      <c r="D2470" s="2" t="s">
        <v>792</v>
      </c>
      <c r="E2470" s="2" t="s">
        <v>793</v>
      </c>
      <c r="F2470" s="2">
        <v>982.0</v>
      </c>
      <c r="G2470" s="2">
        <v>3.87</v>
      </c>
      <c r="H2470" s="2">
        <v>253.7</v>
      </c>
      <c r="I2470" s="2" t="s">
        <v>27</v>
      </c>
    </row>
    <row r="2471" ht="15.75" customHeight="1">
      <c r="A2471" s="2" t="s">
        <v>6182</v>
      </c>
      <c r="B2471" s="2" t="s">
        <v>6183</v>
      </c>
      <c r="C2471" s="2" t="s">
        <v>3659</v>
      </c>
      <c r="D2471" s="2" t="s">
        <v>997</v>
      </c>
      <c r="E2471" s="2" t="s">
        <v>999</v>
      </c>
      <c r="F2471" s="2">
        <v>151.0</v>
      </c>
      <c r="G2471" s="2">
        <v>3.63</v>
      </c>
      <c r="H2471" s="2">
        <v>41.6</v>
      </c>
      <c r="I2471" s="2" t="s">
        <v>47</v>
      </c>
    </row>
    <row r="2472" ht="15.75" customHeight="1">
      <c r="A2472" s="2" t="s">
        <v>6184</v>
      </c>
      <c r="B2472" s="2" t="s">
        <v>6185</v>
      </c>
      <c r="C2472" s="2" t="s">
        <v>3659</v>
      </c>
      <c r="D2472" s="2" t="s">
        <v>997</v>
      </c>
      <c r="E2472" s="2" t="s">
        <v>999</v>
      </c>
      <c r="F2472" s="2">
        <v>86.0</v>
      </c>
      <c r="G2472" s="2">
        <v>3.35</v>
      </c>
      <c r="H2472" s="2">
        <v>25.7</v>
      </c>
      <c r="I2472" s="2" t="s">
        <v>47</v>
      </c>
    </row>
    <row r="2473" ht="15.75" customHeight="1">
      <c r="A2473" s="2" t="s">
        <v>4079</v>
      </c>
      <c r="B2473" s="2" t="s">
        <v>4080</v>
      </c>
      <c r="C2473" s="2" t="s">
        <v>3659</v>
      </c>
      <c r="D2473" s="2" t="s">
        <v>792</v>
      </c>
      <c r="E2473" s="2" t="s">
        <v>793</v>
      </c>
      <c r="F2473" s="2">
        <v>2525.0</v>
      </c>
      <c r="G2473" s="2">
        <v>15.29</v>
      </c>
      <c r="H2473" s="2">
        <v>165.1</v>
      </c>
      <c r="I2473" s="2" t="s">
        <v>138</v>
      </c>
    </row>
    <row r="2474" ht="15.75" customHeight="1">
      <c r="A2474" s="2" t="s">
        <v>4081</v>
      </c>
      <c r="B2474" s="2" t="s">
        <v>4082</v>
      </c>
      <c r="C2474" s="2" t="s">
        <v>3659</v>
      </c>
      <c r="D2474" s="2" t="s">
        <v>792</v>
      </c>
      <c r="E2474" s="2" t="s">
        <v>793</v>
      </c>
      <c r="F2474" s="2">
        <v>941.0</v>
      </c>
      <c r="G2474" s="2">
        <v>2.23</v>
      </c>
      <c r="H2474" s="2">
        <v>422.0</v>
      </c>
      <c r="I2474" s="2" t="s">
        <v>27</v>
      </c>
    </row>
    <row r="2475" ht="15.75" customHeight="1">
      <c r="A2475" s="2" t="s">
        <v>6186</v>
      </c>
      <c r="B2475" s="2" t="s">
        <v>6187</v>
      </c>
      <c r="C2475" s="2" t="s">
        <v>3659</v>
      </c>
      <c r="D2475" s="2" t="s">
        <v>904</v>
      </c>
      <c r="E2475" s="2" t="s">
        <v>906</v>
      </c>
      <c r="F2475" s="2">
        <v>195.0</v>
      </c>
      <c r="G2475" s="2">
        <v>2.68</v>
      </c>
      <c r="H2475" s="2">
        <v>72.8</v>
      </c>
      <c r="I2475" s="2" t="s">
        <v>47</v>
      </c>
    </row>
    <row r="2476" ht="15.75" customHeight="1">
      <c r="A2476" s="2" t="s">
        <v>4083</v>
      </c>
      <c r="B2476" s="2" t="s">
        <v>4084</v>
      </c>
      <c r="C2476" s="2" t="s">
        <v>3659</v>
      </c>
      <c r="D2476" s="2" t="s">
        <v>899</v>
      </c>
      <c r="E2476" s="2" t="s">
        <v>900</v>
      </c>
      <c r="F2476" s="2">
        <v>659.0</v>
      </c>
      <c r="G2476" s="2">
        <v>13.32</v>
      </c>
      <c r="H2476" s="2">
        <v>49.5</v>
      </c>
      <c r="I2476" s="2" t="s">
        <v>27</v>
      </c>
    </row>
    <row r="2477" ht="15.75" customHeight="1">
      <c r="A2477" s="2" t="s">
        <v>6190</v>
      </c>
      <c r="B2477" s="2" t="s">
        <v>6191</v>
      </c>
      <c r="C2477" s="2" t="s">
        <v>3659</v>
      </c>
      <c r="D2477" s="2" t="s">
        <v>807</v>
      </c>
      <c r="E2477" s="2" t="s">
        <v>808</v>
      </c>
      <c r="F2477" s="2">
        <v>360.0</v>
      </c>
      <c r="G2477" s="2">
        <v>3.32</v>
      </c>
      <c r="H2477" s="2">
        <v>108.4</v>
      </c>
      <c r="I2477" s="2" t="s">
        <v>47</v>
      </c>
    </row>
    <row r="2478" ht="15.75" customHeight="1">
      <c r="A2478" s="2" t="s">
        <v>6188</v>
      </c>
      <c r="B2478" s="2" t="s">
        <v>6189</v>
      </c>
      <c r="C2478" s="2" t="s">
        <v>3659</v>
      </c>
      <c r="D2478" s="2" t="s">
        <v>904</v>
      </c>
      <c r="E2478" s="2" t="s">
        <v>906</v>
      </c>
      <c r="F2478" s="2">
        <v>327.0</v>
      </c>
      <c r="G2478" s="2">
        <v>9.96</v>
      </c>
      <c r="H2478" s="2">
        <v>32.8</v>
      </c>
      <c r="I2478" s="2" t="s">
        <v>47</v>
      </c>
    </row>
    <row r="2479" ht="15.75" customHeight="1">
      <c r="A2479" s="2" t="s">
        <v>6192</v>
      </c>
      <c r="B2479" s="2" t="s">
        <v>6193</v>
      </c>
      <c r="C2479" s="2" t="s">
        <v>3659</v>
      </c>
      <c r="D2479" s="2" t="s">
        <v>1004</v>
      </c>
      <c r="E2479" s="2" t="s">
        <v>1006</v>
      </c>
      <c r="F2479" s="2">
        <v>127.0</v>
      </c>
      <c r="G2479" s="2">
        <v>5.67</v>
      </c>
      <c r="H2479" s="2">
        <v>22.4</v>
      </c>
      <c r="I2479" s="2" t="s">
        <v>47</v>
      </c>
    </row>
    <row r="2480" ht="15.75" customHeight="1">
      <c r="A2480" s="2" t="s">
        <v>4085</v>
      </c>
      <c r="B2480" s="2" t="s">
        <v>4086</v>
      </c>
      <c r="C2480" s="2" t="s">
        <v>3659</v>
      </c>
      <c r="D2480" s="2" t="s">
        <v>1038</v>
      </c>
      <c r="E2480" s="2" t="s">
        <v>1039</v>
      </c>
      <c r="F2480" s="2">
        <v>1391.0</v>
      </c>
      <c r="G2480" s="2">
        <v>5.48</v>
      </c>
      <c r="H2480" s="2">
        <v>253.8</v>
      </c>
      <c r="I2480" s="2" t="s">
        <v>27</v>
      </c>
    </row>
    <row r="2481" ht="15.75" customHeight="1">
      <c r="A2481" s="2" t="s">
        <v>4089</v>
      </c>
      <c r="B2481" s="2" t="s">
        <v>4090</v>
      </c>
      <c r="C2481" s="2" t="s">
        <v>3659</v>
      </c>
      <c r="D2481" s="2" t="s">
        <v>1038</v>
      </c>
      <c r="E2481" s="2" t="s">
        <v>1039</v>
      </c>
      <c r="F2481" s="2">
        <v>632.0</v>
      </c>
      <c r="G2481" s="2">
        <v>11.62</v>
      </c>
      <c r="H2481" s="2">
        <v>54.4</v>
      </c>
      <c r="I2481" s="2" t="s">
        <v>27</v>
      </c>
    </row>
    <row r="2482" ht="15.75" customHeight="1">
      <c r="A2482" s="2" t="s">
        <v>6194</v>
      </c>
      <c r="B2482" s="2" t="s">
        <v>6195</v>
      </c>
      <c r="C2482" s="2" t="s">
        <v>3659</v>
      </c>
      <c r="D2482" s="2" t="s">
        <v>904</v>
      </c>
      <c r="E2482" s="2" t="s">
        <v>906</v>
      </c>
      <c r="F2482" s="2">
        <v>383.0</v>
      </c>
      <c r="G2482" s="2">
        <v>10.79</v>
      </c>
      <c r="H2482" s="2">
        <v>35.5</v>
      </c>
      <c r="I2482" s="2" t="s">
        <v>47</v>
      </c>
    </row>
    <row r="2483" ht="15.75" customHeight="1">
      <c r="A2483" s="2" t="s">
        <v>4091</v>
      </c>
      <c r="B2483" s="2" t="s">
        <v>4092</v>
      </c>
      <c r="C2483" s="2" t="s">
        <v>3659</v>
      </c>
      <c r="D2483" s="2" t="s">
        <v>807</v>
      </c>
      <c r="E2483" s="2" t="s">
        <v>808</v>
      </c>
      <c r="F2483" s="2">
        <v>6644.0</v>
      </c>
      <c r="G2483" s="2">
        <v>3.19</v>
      </c>
      <c r="H2483" s="2">
        <v>2082.8</v>
      </c>
      <c r="I2483" s="2" t="s">
        <v>138</v>
      </c>
    </row>
    <row r="2484" ht="15.75" customHeight="1">
      <c r="A2484" s="2" t="s">
        <v>6196</v>
      </c>
      <c r="B2484" s="2" t="s">
        <v>6197</v>
      </c>
      <c r="C2484" s="2" t="s">
        <v>3659</v>
      </c>
      <c r="D2484" s="2" t="s">
        <v>899</v>
      </c>
      <c r="E2484" s="2" t="s">
        <v>900</v>
      </c>
      <c r="F2484" s="2">
        <v>290.0</v>
      </c>
      <c r="G2484" s="2">
        <v>2.17</v>
      </c>
      <c r="H2484" s="2">
        <v>133.6</v>
      </c>
      <c r="I2484" s="2" t="s">
        <v>47</v>
      </c>
    </row>
    <row r="2485" ht="15.75" customHeight="1">
      <c r="A2485" s="2" t="s">
        <v>6198</v>
      </c>
      <c r="B2485" s="2" t="s">
        <v>6199</v>
      </c>
      <c r="C2485" s="2" t="s">
        <v>3659</v>
      </c>
      <c r="D2485" s="2" t="s">
        <v>904</v>
      </c>
      <c r="E2485" s="2" t="s">
        <v>906</v>
      </c>
      <c r="F2485" s="2">
        <v>32.0</v>
      </c>
      <c r="G2485" s="2">
        <v>2.82</v>
      </c>
      <c r="H2485" s="2">
        <v>11.3</v>
      </c>
      <c r="I2485" s="2" t="s">
        <v>47</v>
      </c>
    </row>
    <row r="2486" ht="15.75" customHeight="1">
      <c r="A2486" s="2" t="s">
        <v>4093</v>
      </c>
      <c r="B2486" s="2" t="s">
        <v>4094</v>
      </c>
      <c r="C2486" s="2" t="s">
        <v>3659</v>
      </c>
      <c r="D2486" s="2" t="s">
        <v>809</v>
      </c>
      <c r="E2486" s="2" t="s">
        <v>811</v>
      </c>
      <c r="F2486" s="2">
        <v>1470.0</v>
      </c>
      <c r="G2486" s="2">
        <v>7.79</v>
      </c>
      <c r="H2486" s="2">
        <v>188.7</v>
      </c>
      <c r="I2486" s="2" t="s">
        <v>27</v>
      </c>
    </row>
    <row r="2487" ht="15.75" customHeight="1">
      <c r="A2487" s="2" t="s">
        <v>4095</v>
      </c>
      <c r="B2487" s="2" t="s">
        <v>4096</v>
      </c>
      <c r="C2487" s="2" t="s">
        <v>3659</v>
      </c>
      <c r="D2487" s="2" t="s">
        <v>997</v>
      </c>
      <c r="E2487" s="2" t="s">
        <v>999</v>
      </c>
      <c r="F2487" s="2">
        <v>353.0</v>
      </c>
      <c r="G2487" s="2">
        <v>6.4</v>
      </c>
      <c r="H2487" s="2">
        <v>55.2</v>
      </c>
      <c r="I2487" s="2" t="s">
        <v>47</v>
      </c>
    </row>
    <row r="2488" ht="15.75" customHeight="1">
      <c r="A2488" s="2" t="s">
        <v>4097</v>
      </c>
      <c r="B2488" s="2" t="s">
        <v>4098</v>
      </c>
      <c r="C2488" s="2" t="s">
        <v>3659</v>
      </c>
      <c r="D2488" s="2" t="s">
        <v>792</v>
      </c>
      <c r="E2488" s="2" t="s">
        <v>793</v>
      </c>
      <c r="F2488" s="2">
        <v>1381.0</v>
      </c>
      <c r="G2488" s="2">
        <v>5.45</v>
      </c>
      <c r="H2488" s="2">
        <v>253.4</v>
      </c>
      <c r="I2488" s="2" t="s">
        <v>27</v>
      </c>
    </row>
    <row r="2489" ht="15.75" customHeight="1">
      <c r="A2489" s="2" t="s">
        <v>4099</v>
      </c>
      <c r="B2489" s="2" t="s">
        <v>4100</v>
      </c>
      <c r="C2489" s="2" t="s">
        <v>3659</v>
      </c>
      <c r="D2489" s="2" t="s">
        <v>888</v>
      </c>
      <c r="E2489" s="2" t="s">
        <v>889</v>
      </c>
      <c r="F2489" s="2">
        <v>1067.0</v>
      </c>
      <c r="G2489" s="2">
        <v>15.8</v>
      </c>
      <c r="H2489" s="2">
        <v>67.5</v>
      </c>
      <c r="I2489" s="2" t="s">
        <v>27</v>
      </c>
    </row>
    <row r="2490" ht="15.75" customHeight="1">
      <c r="A2490" s="2" t="s">
        <v>6202</v>
      </c>
      <c r="B2490" s="2" t="s">
        <v>6203</v>
      </c>
      <c r="C2490" s="2" t="s">
        <v>3659</v>
      </c>
      <c r="D2490" s="2" t="s">
        <v>899</v>
      </c>
      <c r="E2490" s="2" t="s">
        <v>900</v>
      </c>
      <c r="F2490" s="2">
        <v>149.0</v>
      </c>
      <c r="G2490" s="2">
        <v>3.58</v>
      </c>
      <c r="H2490" s="2">
        <v>41.6</v>
      </c>
      <c r="I2490" s="2" t="s">
        <v>47</v>
      </c>
    </row>
    <row r="2491" ht="15.75" customHeight="1">
      <c r="A2491" s="2" t="s">
        <v>6204</v>
      </c>
      <c r="B2491" s="2" t="s">
        <v>6205</v>
      </c>
      <c r="C2491" s="2" t="s">
        <v>3659</v>
      </c>
      <c r="D2491" s="2" t="s">
        <v>1004</v>
      </c>
      <c r="E2491" s="2" t="s">
        <v>1006</v>
      </c>
      <c r="F2491" s="2">
        <v>13.0</v>
      </c>
      <c r="G2491" s="2">
        <v>2.23</v>
      </c>
      <c r="H2491" s="2">
        <v>5.8</v>
      </c>
      <c r="I2491" s="2" t="s">
        <v>47</v>
      </c>
    </row>
    <row r="2492" ht="15.75" customHeight="1">
      <c r="A2492" s="2" t="s">
        <v>6206</v>
      </c>
      <c r="B2492" s="2" t="s">
        <v>6207</v>
      </c>
      <c r="C2492" s="2" t="s">
        <v>3659</v>
      </c>
      <c r="D2492" s="2" t="s">
        <v>899</v>
      </c>
      <c r="E2492" s="2" t="s">
        <v>900</v>
      </c>
      <c r="F2492" s="2">
        <v>275.0</v>
      </c>
      <c r="G2492" s="2">
        <v>1.17</v>
      </c>
      <c r="H2492" s="2">
        <v>235.0</v>
      </c>
      <c r="I2492" s="2" t="s">
        <v>47</v>
      </c>
    </row>
    <row r="2493" ht="15.75" customHeight="1">
      <c r="A2493" s="2" t="s">
        <v>6200</v>
      </c>
      <c r="B2493" s="2" t="s">
        <v>6201</v>
      </c>
      <c r="C2493" s="2" t="s">
        <v>3659</v>
      </c>
      <c r="D2493" s="2" t="s">
        <v>1082</v>
      </c>
      <c r="E2493" s="2" t="s">
        <v>1084</v>
      </c>
      <c r="F2493" s="2">
        <v>408.0</v>
      </c>
      <c r="G2493" s="2">
        <v>4.49</v>
      </c>
      <c r="H2493" s="2">
        <v>90.9</v>
      </c>
      <c r="I2493" s="2" t="s">
        <v>47</v>
      </c>
    </row>
    <row r="2494" ht="15.75" customHeight="1">
      <c r="A2494" s="2" t="s">
        <v>4103</v>
      </c>
      <c r="B2494" s="2" t="s">
        <v>4104</v>
      </c>
      <c r="C2494" s="2" t="s">
        <v>3659</v>
      </c>
      <c r="D2494" s="2" t="s">
        <v>1042</v>
      </c>
      <c r="E2494" s="2" t="s">
        <v>1043</v>
      </c>
      <c r="F2494" s="2">
        <v>5479.0</v>
      </c>
      <c r="G2494" s="2">
        <v>26.22</v>
      </c>
      <c r="H2494" s="2">
        <v>209.0</v>
      </c>
      <c r="I2494" s="2" t="s">
        <v>138</v>
      </c>
    </row>
    <row r="2495" ht="15.75" customHeight="1">
      <c r="A2495" s="2" t="s">
        <v>4105</v>
      </c>
      <c r="B2495" s="2" t="s">
        <v>4106</v>
      </c>
      <c r="C2495" s="2" t="s">
        <v>3659</v>
      </c>
      <c r="D2495" s="2" t="s">
        <v>904</v>
      </c>
      <c r="E2495" s="2" t="s">
        <v>906</v>
      </c>
      <c r="F2495" s="2">
        <v>676.0</v>
      </c>
      <c r="G2495" s="2">
        <v>7.08</v>
      </c>
      <c r="H2495" s="2">
        <v>95.5</v>
      </c>
      <c r="I2495" s="2" t="s">
        <v>27</v>
      </c>
    </row>
    <row r="2496" ht="15.75" customHeight="1">
      <c r="A2496" s="2" t="s">
        <v>4107</v>
      </c>
      <c r="B2496" s="2" t="s">
        <v>4108</v>
      </c>
      <c r="C2496" s="2" t="s">
        <v>3659</v>
      </c>
      <c r="D2496" s="2" t="s">
        <v>792</v>
      </c>
      <c r="E2496" s="2" t="s">
        <v>793</v>
      </c>
      <c r="F2496" s="2">
        <v>5064.0</v>
      </c>
      <c r="G2496" s="2">
        <v>4.46</v>
      </c>
      <c r="H2496" s="2">
        <v>1135.4</v>
      </c>
      <c r="I2496" s="2" t="s">
        <v>138</v>
      </c>
    </row>
    <row r="2497" ht="15.75" customHeight="1">
      <c r="A2497" s="2" t="s">
        <v>4109</v>
      </c>
      <c r="B2497" s="2" t="s">
        <v>4110</v>
      </c>
      <c r="C2497" s="2" t="s">
        <v>3659</v>
      </c>
      <c r="D2497" s="2" t="s">
        <v>792</v>
      </c>
      <c r="E2497" s="2" t="s">
        <v>793</v>
      </c>
      <c r="F2497" s="2">
        <v>4396.0</v>
      </c>
      <c r="G2497" s="2">
        <v>5.62</v>
      </c>
      <c r="H2497" s="2">
        <v>782.2</v>
      </c>
      <c r="I2497" s="2" t="s">
        <v>138</v>
      </c>
    </row>
    <row r="2498" ht="15.75" customHeight="1">
      <c r="A2498" s="2" t="s">
        <v>6208</v>
      </c>
      <c r="B2498" s="2" t="s">
        <v>6209</v>
      </c>
      <c r="C2498" s="2" t="s">
        <v>3659</v>
      </c>
      <c r="D2498" s="2" t="s">
        <v>861</v>
      </c>
      <c r="E2498" s="2" t="s">
        <v>862</v>
      </c>
      <c r="F2498" s="2">
        <v>308.0</v>
      </c>
      <c r="G2498" s="2">
        <v>5.64</v>
      </c>
      <c r="H2498" s="2">
        <v>54.6</v>
      </c>
      <c r="I2498" s="2" t="s">
        <v>47</v>
      </c>
    </row>
    <row r="2499" ht="15.75" customHeight="1">
      <c r="A2499" s="2" t="s">
        <v>4111</v>
      </c>
      <c r="B2499" s="2" t="s">
        <v>4112</v>
      </c>
      <c r="C2499" s="2" t="s">
        <v>3659</v>
      </c>
      <c r="D2499" s="2" t="s">
        <v>833</v>
      </c>
      <c r="E2499" s="2" t="s">
        <v>835</v>
      </c>
      <c r="F2499" s="2">
        <v>1196.0</v>
      </c>
      <c r="G2499" s="2">
        <v>5.7</v>
      </c>
      <c r="H2499" s="2">
        <v>209.8</v>
      </c>
      <c r="I2499" s="2" t="s">
        <v>27</v>
      </c>
    </row>
    <row r="2500" ht="15.75" customHeight="1">
      <c r="A2500" s="2" t="s">
        <v>6210</v>
      </c>
      <c r="B2500" s="2" t="s">
        <v>5461</v>
      </c>
      <c r="C2500" s="2" t="s">
        <v>3659</v>
      </c>
      <c r="D2500" s="2" t="s">
        <v>904</v>
      </c>
      <c r="E2500" s="2" t="s">
        <v>906</v>
      </c>
      <c r="F2500" s="2">
        <v>201.0</v>
      </c>
      <c r="G2500" s="2">
        <v>3.42</v>
      </c>
      <c r="H2500" s="2">
        <v>58.8</v>
      </c>
      <c r="I2500" s="2" t="s">
        <v>47</v>
      </c>
    </row>
    <row r="2501" ht="15.75" customHeight="1">
      <c r="A2501" s="2" t="s">
        <v>4113</v>
      </c>
      <c r="B2501" s="2" t="s">
        <v>4114</v>
      </c>
      <c r="C2501" s="2" t="s">
        <v>3659</v>
      </c>
      <c r="D2501" s="2" t="s">
        <v>792</v>
      </c>
      <c r="E2501" s="2" t="s">
        <v>793</v>
      </c>
      <c r="F2501" s="2">
        <v>944.0</v>
      </c>
      <c r="G2501" s="2">
        <v>3.31</v>
      </c>
      <c r="H2501" s="2">
        <v>285.2</v>
      </c>
      <c r="I2501" s="2" t="s">
        <v>27</v>
      </c>
    </row>
    <row r="2502" ht="15.75" customHeight="1">
      <c r="A2502" s="2" t="s">
        <v>6211</v>
      </c>
      <c r="B2502" s="2" t="s">
        <v>6212</v>
      </c>
      <c r="C2502" s="2" t="s">
        <v>3659</v>
      </c>
      <c r="D2502" s="2" t="s">
        <v>1038</v>
      </c>
      <c r="E2502" s="2" t="s">
        <v>1039</v>
      </c>
      <c r="F2502" s="2">
        <v>454.0</v>
      </c>
      <c r="G2502" s="2">
        <v>4.89</v>
      </c>
      <c r="H2502" s="2">
        <v>92.8</v>
      </c>
      <c r="I2502" s="2" t="s">
        <v>47</v>
      </c>
    </row>
    <row r="2503" ht="15.75" customHeight="1">
      <c r="A2503" s="2" t="s">
        <v>6213</v>
      </c>
      <c r="B2503" s="2" t="s">
        <v>6214</v>
      </c>
      <c r="C2503" s="2" t="s">
        <v>3659</v>
      </c>
      <c r="D2503" s="2" t="s">
        <v>997</v>
      </c>
      <c r="E2503" s="2" t="s">
        <v>999</v>
      </c>
      <c r="F2503" s="2">
        <v>260.0</v>
      </c>
      <c r="G2503" s="2">
        <v>6.63</v>
      </c>
      <c r="H2503" s="2">
        <v>39.2</v>
      </c>
      <c r="I2503" s="2" t="s">
        <v>47</v>
      </c>
    </row>
    <row r="2504" ht="15.75" customHeight="1">
      <c r="A2504" s="2" t="s">
        <v>4117</v>
      </c>
      <c r="B2504" s="2" t="s">
        <v>4118</v>
      </c>
      <c r="C2504" s="2" t="s">
        <v>3659</v>
      </c>
      <c r="D2504" s="2" t="s">
        <v>840</v>
      </c>
      <c r="E2504" s="2" t="s">
        <v>842</v>
      </c>
      <c r="F2504" s="2">
        <v>1439.0</v>
      </c>
      <c r="G2504" s="2">
        <v>13.25</v>
      </c>
      <c r="H2504" s="2">
        <v>108.6</v>
      </c>
      <c r="I2504" s="2" t="s">
        <v>27</v>
      </c>
    </row>
    <row r="2505" ht="15.75" customHeight="1">
      <c r="A2505" s="2" t="s">
        <v>6215</v>
      </c>
      <c r="B2505" s="2" t="s">
        <v>6216</v>
      </c>
      <c r="C2505" s="2" t="s">
        <v>3659</v>
      </c>
      <c r="D2505" s="2" t="s">
        <v>904</v>
      </c>
      <c r="E2505" s="2" t="s">
        <v>906</v>
      </c>
      <c r="F2505" s="2">
        <v>205.0</v>
      </c>
      <c r="G2505" s="2">
        <v>3.18</v>
      </c>
      <c r="H2505" s="2">
        <v>64.5</v>
      </c>
      <c r="I2505" s="2" t="s">
        <v>47</v>
      </c>
    </row>
    <row r="2506" ht="15.75" customHeight="1">
      <c r="A2506" s="2" t="s">
        <v>6217</v>
      </c>
      <c r="B2506" s="2" t="s">
        <v>6218</v>
      </c>
      <c r="C2506" s="2" t="s">
        <v>3659</v>
      </c>
      <c r="D2506" s="2" t="s">
        <v>997</v>
      </c>
      <c r="E2506" s="2" t="s">
        <v>999</v>
      </c>
      <c r="F2506" s="2">
        <v>191.0</v>
      </c>
      <c r="G2506" s="2">
        <v>5.08</v>
      </c>
      <c r="H2506" s="2">
        <v>37.6</v>
      </c>
      <c r="I2506" s="2" t="s">
        <v>47</v>
      </c>
    </row>
    <row r="2507" ht="15.75" customHeight="1">
      <c r="A2507" s="2" t="s">
        <v>6219</v>
      </c>
      <c r="B2507" s="2" t="s">
        <v>6220</v>
      </c>
      <c r="C2507" s="2" t="s">
        <v>3659</v>
      </c>
      <c r="D2507" s="2" t="s">
        <v>1004</v>
      </c>
      <c r="E2507" s="2" t="s">
        <v>1006</v>
      </c>
      <c r="F2507" s="2">
        <v>51.0</v>
      </c>
      <c r="G2507" s="2">
        <v>2.38</v>
      </c>
      <c r="H2507" s="2">
        <v>21.4</v>
      </c>
      <c r="I2507" s="2" t="s">
        <v>47</v>
      </c>
    </row>
    <row r="2508" ht="15.75" customHeight="1">
      <c r="A2508" s="2" t="s">
        <v>4121</v>
      </c>
      <c r="B2508" s="2" t="s">
        <v>4122</v>
      </c>
      <c r="C2508" s="2" t="s">
        <v>3659</v>
      </c>
      <c r="D2508" s="2" t="s">
        <v>1042</v>
      </c>
      <c r="E2508" s="2" t="s">
        <v>1043</v>
      </c>
      <c r="F2508" s="2">
        <v>1270.0</v>
      </c>
      <c r="G2508" s="2">
        <v>8.45</v>
      </c>
      <c r="H2508" s="2">
        <v>150.3</v>
      </c>
      <c r="I2508" s="2" t="s">
        <v>27</v>
      </c>
    </row>
    <row r="2509" ht="15.75" customHeight="1">
      <c r="A2509" s="2" t="s">
        <v>4123</v>
      </c>
      <c r="B2509" s="2" t="s">
        <v>4124</v>
      </c>
      <c r="C2509" s="2" t="s">
        <v>3659</v>
      </c>
      <c r="D2509" s="2" t="s">
        <v>807</v>
      </c>
      <c r="E2509" s="2" t="s">
        <v>808</v>
      </c>
      <c r="F2509" s="2">
        <v>12247.0</v>
      </c>
      <c r="G2509" s="2">
        <v>10.81</v>
      </c>
      <c r="H2509" s="2">
        <v>1132.9</v>
      </c>
      <c r="I2509" s="2" t="s">
        <v>805</v>
      </c>
    </row>
    <row r="2510" ht="15.75" customHeight="1">
      <c r="A2510" s="2" t="s">
        <v>4127</v>
      </c>
      <c r="B2510" s="2" t="s">
        <v>4128</v>
      </c>
      <c r="C2510" s="2" t="s">
        <v>3659</v>
      </c>
      <c r="D2510" s="2" t="s">
        <v>1038</v>
      </c>
      <c r="E2510" s="2" t="s">
        <v>1039</v>
      </c>
      <c r="F2510" s="2">
        <v>206.0</v>
      </c>
      <c r="G2510" s="2">
        <v>6.11</v>
      </c>
      <c r="H2510" s="2">
        <v>33.7</v>
      </c>
      <c r="I2510" s="2" t="s">
        <v>47</v>
      </c>
    </row>
    <row r="2511" ht="15.75" customHeight="1">
      <c r="A2511" s="2" t="s">
        <v>6224</v>
      </c>
      <c r="B2511" s="2" t="s">
        <v>6225</v>
      </c>
      <c r="C2511" s="2" t="s">
        <v>3659</v>
      </c>
      <c r="D2511" s="2" t="s">
        <v>962</v>
      </c>
      <c r="E2511" s="2" t="s">
        <v>965</v>
      </c>
      <c r="F2511" s="2">
        <v>189.0</v>
      </c>
      <c r="G2511" s="2">
        <v>5.44</v>
      </c>
      <c r="H2511" s="2">
        <v>34.7</v>
      </c>
      <c r="I2511" s="2" t="s">
        <v>47</v>
      </c>
    </row>
    <row r="2512" ht="15.75" customHeight="1">
      <c r="A2512" s="2" t="s">
        <v>4129</v>
      </c>
      <c r="B2512" s="2" t="s">
        <v>4130</v>
      </c>
      <c r="C2512" s="2" t="s">
        <v>3659</v>
      </c>
      <c r="D2512" s="2" t="s">
        <v>904</v>
      </c>
      <c r="E2512" s="2" t="s">
        <v>906</v>
      </c>
      <c r="F2512" s="2">
        <v>465.0</v>
      </c>
      <c r="G2512" s="2">
        <v>4.03</v>
      </c>
      <c r="H2512" s="2">
        <v>115.4</v>
      </c>
      <c r="I2512" s="2" t="s">
        <v>47</v>
      </c>
    </row>
    <row r="2513" ht="15.75" customHeight="1">
      <c r="A2513" s="2" t="s">
        <v>6221</v>
      </c>
      <c r="B2513" s="2" t="s">
        <v>6222</v>
      </c>
      <c r="C2513" s="2" t="s">
        <v>3659</v>
      </c>
      <c r="D2513" s="2" t="s">
        <v>1004</v>
      </c>
      <c r="E2513" s="2" t="s">
        <v>1006</v>
      </c>
      <c r="F2513" s="2">
        <v>214.0</v>
      </c>
      <c r="G2513" s="2">
        <v>6.81</v>
      </c>
      <c r="H2513" s="2">
        <v>31.4</v>
      </c>
      <c r="I2513" s="2" t="s">
        <v>47</v>
      </c>
    </row>
    <row r="2514" ht="15.75" customHeight="1">
      <c r="A2514" s="2" t="s">
        <v>6223</v>
      </c>
      <c r="B2514" s="2" t="s">
        <v>1431</v>
      </c>
      <c r="C2514" s="2" t="s">
        <v>3659</v>
      </c>
      <c r="D2514" s="2" t="s">
        <v>904</v>
      </c>
      <c r="E2514" s="2" t="s">
        <v>906</v>
      </c>
      <c r="F2514" s="2">
        <v>308.0</v>
      </c>
      <c r="G2514" s="2">
        <v>4.07</v>
      </c>
      <c r="H2514" s="2">
        <v>75.7</v>
      </c>
      <c r="I2514" s="2" t="s">
        <v>47</v>
      </c>
    </row>
    <row r="2515" ht="15.75" customHeight="1">
      <c r="A2515" s="2" t="s">
        <v>6226</v>
      </c>
      <c r="B2515" s="2" t="s">
        <v>6227</v>
      </c>
      <c r="C2515" s="2" t="s">
        <v>3659</v>
      </c>
      <c r="D2515" s="2" t="s">
        <v>997</v>
      </c>
      <c r="E2515" s="2" t="s">
        <v>999</v>
      </c>
      <c r="F2515" s="2">
        <v>351.0</v>
      </c>
      <c r="G2515" s="2">
        <v>16.77</v>
      </c>
      <c r="H2515" s="2">
        <v>20.9</v>
      </c>
      <c r="I2515" s="2" t="s">
        <v>47</v>
      </c>
    </row>
    <row r="2516" ht="15.75" customHeight="1">
      <c r="A2516" s="2" t="s">
        <v>4133</v>
      </c>
      <c r="B2516" s="2" t="s">
        <v>4134</v>
      </c>
      <c r="C2516" s="2" t="s">
        <v>3659</v>
      </c>
      <c r="D2516" s="2" t="s">
        <v>833</v>
      </c>
      <c r="E2516" s="2" t="s">
        <v>835</v>
      </c>
      <c r="F2516" s="2">
        <v>1724.0</v>
      </c>
      <c r="G2516" s="2">
        <v>8.92</v>
      </c>
      <c r="H2516" s="2">
        <v>193.3</v>
      </c>
      <c r="I2516" s="2" t="s">
        <v>27</v>
      </c>
    </row>
    <row r="2517" ht="15.75" customHeight="1">
      <c r="A2517" s="2" t="s">
        <v>6228</v>
      </c>
      <c r="B2517" s="2" t="s">
        <v>6229</v>
      </c>
      <c r="C2517" s="2" t="s">
        <v>3659</v>
      </c>
      <c r="D2517" s="2" t="s">
        <v>1038</v>
      </c>
      <c r="E2517" s="2" t="s">
        <v>1039</v>
      </c>
      <c r="F2517" s="2">
        <v>288.0</v>
      </c>
      <c r="G2517" s="2">
        <v>8.79</v>
      </c>
      <c r="H2517" s="2">
        <v>32.8</v>
      </c>
      <c r="I2517" s="2" t="s">
        <v>47</v>
      </c>
    </row>
    <row r="2518" ht="15.75" customHeight="1">
      <c r="A2518" s="2" t="s">
        <v>6230</v>
      </c>
      <c r="B2518" s="2" t="s">
        <v>6231</v>
      </c>
      <c r="C2518" s="2" t="s">
        <v>3659</v>
      </c>
      <c r="D2518" s="2" t="s">
        <v>904</v>
      </c>
      <c r="E2518" s="2" t="s">
        <v>906</v>
      </c>
      <c r="F2518" s="2">
        <v>143.0</v>
      </c>
      <c r="G2518" s="2">
        <v>2.24</v>
      </c>
      <c r="H2518" s="2">
        <v>63.8</v>
      </c>
      <c r="I2518" s="2" t="s">
        <v>47</v>
      </c>
    </row>
    <row r="2519" ht="15.75" customHeight="1">
      <c r="A2519" s="2" t="s">
        <v>6234</v>
      </c>
      <c r="B2519" s="2" t="s">
        <v>6235</v>
      </c>
      <c r="C2519" s="2" t="s">
        <v>3659</v>
      </c>
      <c r="D2519" s="2" t="s">
        <v>861</v>
      </c>
      <c r="E2519" s="2" t="s">
        <v>862</v>
      </c>
      <c r="F2519" s="2">
        <v>272.0</v>
      </c>
      <c r="G2519" s="2">
        <v>5.53</v>
      </c>
      <c r="H2519" s="2">
        <v>49.2</v>
      </c>
      <c r="I2519" s="2" t="s">
        <v>47</v>
      </c>
    </row>
    <row r="2520" ht="15.75" customHeight="1">
      <c r="A2520" s="2" t="s">
        <v>6238</v>
      </c>
      <c r="B2520" s="2" t="s">
        <v>6239</v>
      </c>
      <c r="C2520" s="2" t="s">
        <v>3659</v>
      </c>
      <c r="D2520" s="2" t="s">
        <v>1042</v>
      </c>
      <c r="E2520" s="2" t="s">
        <v>1043</v>
      </c>
      <c r="F2520" s="2">
        <v>415.0</v>
      </c>
      <c r="G2520" s="2">
        <v>4.36</v>
      </c>
      <c r="H2520" s="2">
        <v>95.2</v>
      </c>
      <c r="I2520" s="2" t="s">
        <v>47</v>
      </c>
    </row>
    <row r="2521" ht="15.75" customHeight="1">
      <c r="A2521" s="2" t="s">
        <v>6246</v>
      </c>
      <c r="B2521" s="2" t="s">
        <v>6247</v>
      </c>
      <c r="C2521" s="2" t="s">
        <v>3659</v>
      </c>
      <c r="D2521" s="2" t="s">
        <v>1004</v>
      </c>
      <c r="E2521" s="2" t="s">
        <v>1006</v>
      </c>
      <c r="F2521" s="2">
        <v>161.0</v>
      </c>
      <c r="G2521" s="2">
        <v>3.81</v>
      </c>
      <c r="H2521" s="2">
        <v>42.3</v>
      </c>
      <c r="I2521" s="2" t="s">
        <v>47</v>
      </c>
    </row>
    <row r="2522" ht="15.75" customHeight="1">
      <c r="A2522" s="2" t="s">
        <v>6244</v>
      </c>
      <c r="B2522" s="2" t="s">
        <v>6245</v>
      </c>
      <c r="C2522" s="2" t="s">
        <v>3659</v>
      </c>
      <c r="D2522" s="2" t="s">
        <v>1004</v>
      </c>
      <c r="E2522" s="2" t="s">
        <v>1006</v>
      </c>
      <c r="F2522" s="2">
        <v>106.0</v>
      </c>
      <c r="G2522" s="2">
        <v>2.97</v>
      </c>
      <c r="H2522" s="2">
        <v>35.7</v>
      </c>
      <c r="I2522" s="2" t="s">
        <v>47</v>
      </c>
    </row>
    <row r="2523" ht="15.75" customHeight="1">
      <c r="A2523" s="2" t="s">
        <v>6248</v>
      </c>
      <c r="B2523" s="2" t="s">
        <v>6249</v>
      </c>
      <c r="C2523" s="2" t="s">
        <v>3659</v>
      </c>
      <c r="D2523" s="2" t="s">
        <v>951</v>
      </c>
      <c r="E2523" s="2" t="s">
        <v>953</v>
      </c>
      <c r="F2523" s="2">
        <v>330.0</v>
      </c>
      <c r="G2523" s="2">
        <v>16.36</v>
      </c>
      <c r="H2523" s="2">
        <v>20.2</v>
      </c>
      <c r="I2523" s="2" t="s">
        <v>47</v>
      </c>
    </row>
    <row r="2524" ht="15.75" customHeight="1">
      <c r="A2524" s="2" t="s">
        <v>6250</v>
      </c>
      <c r="B2524" s="2" t="s">
        <v>6251</v>
      </c>
      <c r="C2524" s="2" t="s">
        <v>3659</v>
      </c>
      <c r="D2524" s="2" t="s">
        <v>904</v>
      </c>
      <c r="E2524" s="2" t="s">
        <v>906</v>
      </c>
      <c r="F2524" s="2">
        <v>529.0</v>
      </c>
      <c r="G2524" s="2">
        <v>6.35</v>
      </c>
      <c r="H2524" s="2">
        <v>83.3</v>
      </c>
      <c r="I2524" s="2" t="s">
        <v>27</v>
      </c>
    </row>
    <row r="2525" ht="15.75" customHeight="1">
      <c r="A2525" s="2" t="s">
        <v>4135</v>
      </c>
      <c r="B2525" s="2" t="s">
        <v>4136</v>
      </c>
      <c r="C2525" s="2" t="s">
        <v>3659</v>
      </c>
      <c r="D2525" s="2" t="s">
        <v>1042</v>
      </c>
      <c r="E2525" s="2" t="s">
        <v>1043</v>
      </c>
      <c r="F2525" s="2">
        <v>407.0</v>
      </c>
      <c r="G2525" s="2">
        <v>6.45</v>
      </c>
      <c r="H2525" s="2">
        <v>63.1</v>
      </c>
      <c r="I2525" s="2" t="s">
        <v>47</v>
      </c>
    </row>
    <row r="2526" ht="15.75" customHeight="1">
      <c r="A2526" s="2" t="s">
        <v>6252</v>
      </c>
      <c r="B2526" s="2" t="s">
        <v>6253</v>
      </c>
      <c r="C2526" s="2" t="s">
        <v>3659</v>
      </c>
      <c r="D2526" s="2" t="s">
        <v>997</v>
      </c>
      <c r="E2526" s="2" t="s">
        <v>999</v>
      </c>
      <c r="F2526" s="2">
        <v>1062.0</v>
      </c>
      <c r="G2526" s="2">
        <v>13.03</v>
      </c>
      <c r="H2526" s="2">
        <v>81.5</v>
      </c>
      <c r="I2526" s="2" t="s">
        <v>27</v>
      </c>
    </row>
    <row r="2527" ht="15.75" customHeight="1">
      <c r="A2527" s="2" t="s">
        <v>6254</v>
      </c>
      <c r="B2527" s="2" t="s">
        <v>6255</v>
      </c>
      <c r="C2527" s="2" t="s">
        <v>3659</v>
      </c>
      <c r="D2527" s="2" t="s">
        <v>792</v>
      </c>
      <c r="E2527" s="2" t="s">
        <v>793</v>
      </c>
      <c r="F2527" s="2">
        <v>206.0</v>
      </c>
      <c r="G2527" s="2">
        <v>4.14</v>
      </c>
      <c r="H2527" s="2">
        <v>49.8</v>
      </c>
      <c r="I2527" s="2" t="s">
        <v>47</v>
      </c>
    </row>
    <row r="2528" ht="15.75" customHeight="1">
      <c r="A2528" s="2" t="s">
        <v>6256</v>
      </c>
      <c r="B2528" s="2" t="s">
        <v>6257</v>
      </c>
      <c r="C2528" s="2" t="s">
        <v>3659</v>
      </c>
      <c r="D2528" s="2" t="s">
        <v>1004</v>
      </c>
      <c r="E2528" s="2" t="s">
        <v>1006</v>
      </c>
      <c r="F2528" s="2">
        <v>512.0</v>
      </c>
      <c r="G2528" s="2">
        <v>9.88</v>
      </c>
      <c r="H2528" s="2">
        <v>51.8</v>
      </c>
      <c r="I2528" s="2" t="s">
        <v>27</v>
      </c>
    </row>
    <row r="2529" ht="15.75" customHeight="1">
      <c r="A2529" s="2" t="s">
        <v>4137</v>
      </c>
      <c r="B2529" s="2" t="s">
        <v>4138</v>
      </c>
      <c r="C2529" s="2" t="s">
        <v>3659</v>
      </c>
      <c r="D2529" s="2" t="s">
        <v>792</v>
      </c>
      <c r="E2529" s="2" t="s">
        <v>793</v>
      </c>
      <c r="F2529" s="2">
        <v>6082.0</v>
      </c>
      <c r="G2529" s="2">
        <v>12.64</v>
      </c>
      <c r="H2529" s="2">
        <v>481.2</v>
      </c>
      <c r="I2529" s="2" t="s">
        <v>138</v>
      </c>
    </row>
    <row r="2530" ht="15.75" customHeight="1">
      <c r="A2530" s="2" t="s">
        <v>6258</v>
      </c>
      <c r="B2530" s="2" t="s">
        <v>6259</v>
      </c>
      <c r="C2530" s="2" t="s">
        <v>3659</v>
      </c>
      <c r="D2530" s="2" t="s">
        <v>892</v>
      </c>
      <c r="E2530" s="2" t="s">
        <v>893</v>
      </c>
      <c r="F2530" s="2">
        <v>215.0</v>
      </c>
      <c r="G2530" s="2">
        <v>5.9</v>
      </c>
      <c r="H2530" s="2">
        <v>36.4</v>
      </c>
      <c r="I2530" s="2" t="s">
        <v>47</v>
      </c>
    </row>
    <row r="2531" ht="15.75" customHeight="1">
      <c r="A2531" s="2" t="s">
        <v>4139</v>
      </c>
      <c r="B2531" s="2" t="s">
        <v>4140</v>
      </c>
      <c r="C2531" s="2" t="s">
        <v>3659</v>
      </c>
      <c r="D2531" s="2" t="s">
        <v>823</v>
      </c>
      <c r="E2531" s="2" t="s">
        <v>824</v>
      </c>
      <c r="F2531" s="2">
        <v>853.0</v>
      </c>
      <c r="G2531" s="2">
        <v>3.34</v>
      </c>
      <c r="H2531" s="2">
        <v>255.4</v>
      </c>
      <c r="I2531" s="2" t="s">
        <v>27</v>
      </c>
    </row>
    <row r="2532" ht="15.75" customHeight="1">
      <c r="A2532" s="2" t="s">
        <v>4141</v>
      </c>
      <c r="B2532" s="2" t="s">
        <v>4142</v>
      </c>
      <c r="C2532" s="2" t="s">
        <v>3659</v>
      </c>
      <c r="D2532" s="2" t="s">
        <v>792</v>
      </c>
      <c r="E2532" s="2" t="s">
        <v>793</v>
      </c>
      <c r="F2532" s="2">
        <v>828.0</v>
      </c>
      <c r="G2532" s="2">
        <v>2.6</v>
      </c>
      <c r="H2532" s="2">
        <v>318.5</v>
      </c>
      <c r="I2532" s="2" t="s">
        <v>27</v>
      </c>
    </row>
    <row r="2533" ht="15.75" customHeight="1">
      <c r="A2533" s="2" t="s">
        <v>4145</v>
      </c>
      <c r="B2533" s="2" t="s">
        <v>4146</v>
      </c>
      <c r="C2533" s="2" t="s">
        <v>3659</v>
      </c>
      <c r="D2533" s="2" t="s">
        <v>823</v>
      </c>
      <c r="E2533" s="2" t="s">
        <v>824</v>
      </c>
      <c r="F2533" s="2">
        <v>1891.0</v>
      </c>
      <c r="G2533" s="2">
        <v>7.4</v>
      </c>
      <c r="H2533" s="2">
        <v>255.5</v>
      </c>
      <c r="I2533" s="2" t="s">
        <v>27</v>
      </c>
    </row>
    <row r="2534" ht="15.75" customHeight="1">
      <c r="A2534" s="2" t="s">
        <v>4147</v>
      </c>
      <c r="B2534" s="2" t="s">
        <v>4148</v>
      </c>
      <c r="C2534" s="2" t="s">
        <v>3659</v>
      </c>
      <c r="D2534" s="2" t="s">
        <v>899</v>
      </c>
      <c r="E2534" s="2" t="s">
        <v>900</v>
      </c>
      <c r="F2534" s="2">
        <v>4480.0</v>
      </c>
      <c r="G2534" s="2">
        <v>21.37</v>
      </c>
      <c r="H2534" s="2">
        <v>209.6</v>
      </c>
      <c r="I2534" s="2" t="s">
        <v>138</v>
      </c>
    </row>
    <row r="2535" ht="15.75" customHeight="1">
      <c r="A2535" s="2" t="s">
        <v>6260</v>
      </c>
      <c r="B2535" s="2" t="s">
        <v>6261</v>
      </c>
      <c r="C2535" s="2" t="s">
        <v>3659</v>
      </c>
      <c r="D2535" s="2" t="s">
        <v>899</v>
      </c>
      <c r="E2535" s="2" t="s">
        <v>900</v>
      </c>
      <c r="F2535" s="2">
        <v>172.0</v>
      </c>
      <c r="G2535" s="2">
        <v>8.29</v>
      </c>
      <c r="H2535" s="2">
        <v>20.7</v>
      </c>
      <c r="I2535" s="2" t="s">
        <v>47</v>
      </c>
    </row>
    <row r="2536" ht="15.75" customHeight="1">
      <c r="A2536" s="2" t="s">
        <v>6262</v>
      </c>
      <c r="B2536" s="2" t="s">
        <v>6263</v>
      </c>
      <c r="C2536" s="2" t="s">
        <v>3659</v>
      </c>
      <c r="D2536" s="2" t="s">
        <v>1004</v>
      </c>
      <c r="E2536" s="2" t="s">
        <v>1006</v>
      </c>
      <c r="F2536" s="2">
        <v>215.0</v>
      </c>
      <c r="G2536" s="2">
        <v>7.88</v>
      </c>
      <c r="H2536" s="2">
        <v>27.3</v>
      </c>
      <c r="I2536" s="2" t="s">
        <v>47</v>
      </c>
    </row>
    <row r="2537" ht="15.75" customHeight="1">
      <c r="A2537" s="2" t="s">
        <v>4149</v>
      </c>
      <c r="B2537" s="2" t="s">
        <v>4150</v>
      </c>
      <c r="C2537" s="2" t="s">
        <v>3659</v>
      </c>
      <c r="D2537" s="2" t="s">
        <v>1004</v>
      </c>
      <c r="E2537" s="2" t="s">
        <v>1006</v>
      </c>
      <c r="F2537" s="2">
        <v>482.0</v>
      </c>
      <c r="G2537" s="2">
        <v>8.22</v>
      </c>
      <c r="H2537" s="2">
        <v>58.6</v>
      </c>
      <c r="I2537" s="2" t="s">
        <v>47</v>
      </c>
    </row>
    <row r="2538" ht="15.75" customHeight="1">
      <c r="A2538" s="2" t="s">
        <v>4151</v>
      </c>
      <c r="B2538" s="2" t="s">
        <v>4152</v>
      </c>
      <c r="C2538" s="2" t="s">
        <v>3659</v>
      </c>
      <c r="D2538" s="2" t="s">
        <v>833</v>
      </c>
      <c r="E2538" s="2" t="s">
        <v>835</v>
      </c>
      <c r="F2538" s="2">
        <v>1389.0</v>
      </c>
      <c r="G2538" s="2">
        <v>5.88</v>
      </c>
      <c r="H2538" s="2">
        <v>236.2</v>
      </c>
      <c r="I2538" s="2" t="s">
        <v>27</v>
      </c>
    </row>
    <row r="2539" ht="15.75" customHeight="1">
      <c r="A2539" s="2" t="s">
        <v>4153</v>
      </c>
      <c r="B2539" s="2" t="s">
        <v>4154</v>
      </c>
      <c r="C2539" s="2" t="s">
        <v>3659</v>
      </c>
      <c r="D2539" s="2" t="s">
        <v>792</v>
      </c>
      <c r="E2539" s="2" t="s">
        <v>793</v>
      </c>
      <c r="F2539" s="2">
        <v>2485.0</v>
      </c>
      <c r="G2539" s="2">
        <v>8.35</v>
      </c>
      <c r="H2539" s="2">
        <v>297.6</v>
      </c>
      <c r="I2539" s="2" t="s">
        <v>138</v>
      </c>
    </row>
    <row r="2540" ht="15.75" customHeight="1">
      <c r="A2540" s="2" t="s">
        <v>6266</v>
      </c>
      <c r="B2540" s="2" t="s">
        <v>6267</v>
      </c>
      <c r="C2540" s="2" t="s">
        <v>3659</v>
      </c>
      <c r="D2540" s="2" t="s">
        <v>1042</v>
      </c>
      <c r="E2540" s="2" t="s">
        <v>1043</v>
      </c>
      <c r="F2540" s="2">
        <v>118.0</v>
      </c>
      <c r="G2540" s="2">
        <v>1.97</v>
      </c>
      <c r="H2540" s="2">
        <v>59.9</v>
      </c>
      <c r="I2540" s="2" t="s">
        <v>47</v>
      </c>
    </row>
    <row r="2541" ht="15.75" customHeight="1">
      <c r="A2541" s="2" t="s">
        <v>6268</v>
      </c>
      <c r="B2541" s="2" t="s">
        <v>6269</v>
      </c>
      <c r="C2541" s="2" t="s">
        <v>3659</v>
      </c>
      <c r="D2541" s="2" t="s">
        <v>792</v>
      </c>
      <c r="E2541" s="2" t="s">
        <v>793</v>
      </c>
      <c r="F2541" s="2">
        <v>738.0</v>
      </c>
      <c r="G2541" s="2">
        <v>4.49</v>
      </c>
      <c r="H2541" s="2">
        <v>164.4</v>
      </c>
      <c r="I2541" s="2" t="s">
        <v>27</v>
      </c>
    </row>
    <row r="2542" ht="15.75" customHeight="1">
      <c r="A2542" s="2" t="s">
        <v>4155</v>
      </c>
      <c r="B2542" s="2" t="s">
        <v>4156</v>
      </c>
      <c r="C2542" s="2" t="s">
        <v>3659</v>
      </c>
      <c r="D2542" s="2" t="s">
        <v>792</v>
      </c>
      <c r="E2542" s="2" t="s">
        <v>793</v>
      </c>
      <c r="F2542" s="2">
        <v>6945.0</v>
      </c>
      <c r="G2542" s="2">
        <v>6.3</v>
      </c>
      <c r="H2542" s="2">
        <v>1102.4</v>
      </c>
      <c r="I2542" s="2" t="s">
        <v>138</v>
      </c>
    </row>
    <row r="2543" ht="15.75" customHeight="1">
      <c r="A2543" s="2" t="s">
        <v>4157</v>
      </c>
      <c r="B2543" s="2" t="s">
        <v>4158</v>
      </c>
      <c r="C2543" s="2" t="s">
        <v>3659</v>
      </c>
      <c r="D2543" s="2" t="s">
        <v>833</v>
      </c>
      <c r="E2543" s="2" t="s">
        <v>835</v>
      </c>
      <c r="F2543" s="2">
        <v>1116.0</v>
      </c>
      <c r="G2543" s="2">
        <v>6.49</v>
      </c>
      <c r="H2543" s="2">
        <v>172.0</v>
      </c>
      <c r="I2543" s="2" t="s">
        <v>27</v>
      </c>
    </row>
    <row r="2544" ht="15.75" customHeight="1">
      <c r="A2544" s="2" t="s">
        <v>6270</v>
      </c>
      <c r="B2544" s="2" t="s">
        <v>6271</v>
      </c>
      <c r="C2544" s="2" t="s">
        <v>3659</v>
      </c>
      <c r="D2544" s="2" t="s">
        <v>904</v>
      </c>
      <c r="E2544" s="2" t="s">
        <v>906</v>
      </c>
      <c r="F2544" s="2">
        <v>247.0</v>
      </c>
      <c r="G2544" s="2">
        <v>8.73</v>
      </c>
      <c r="H2544" s="2">
        <v>28.3</v>
      </c>
      <c r="I2544" s="2" t="s">
        <v>47</v>
      </c>
    </row>
    <row r="2545" ht="15.75" customHeight="1">
      <c r="A2545" s="2" t="s">
        <v>6272</v>
      </c>
      <c r="B2545" s="2" t="s">
        <v>6273</v>
      </c>
      <c r="C2545" s="2" t="s">
        <v>3659</v>
      </c>
      <c r="D2545" s="2" t="s">
        <v>809</v>
      </c>
      <c r="E2545" s="2" t="s">
        <v>811</v>
      </c>
      <c r="F2545" s="2">
        <v>272.0</v>
      </c>
      <c r="G2545" s="2">
        <v>8.09</v>
      </c>
      <c r="H2545" s="2">
        <v>33.6</v>
      </c>
      <c r="I2545" s="2" t="s">
        <v>47</v>
      </c>
    </row>
    <row r="2546" ht="15.75" customHeight="1">
      <c r="A2546" s="2" t="s">
        <v>6274</v>
      </c>
      <c r="B2546" s="2" t="s">
        <v>6275</v>
      </c>
      <c r="C2546" s="2" t="s">
        <v>3659</v>
      </c>
      <c r="D2546" s="2" t="s">
        <v>1004</v>
      </c>
      <c r="E2546" s="2" t="s">
        <v>1006</v>
      </c>
      <c r="F2546" s="2">
        <v>152.0</v>
      </c>
      <c r="G2546" s="2">
        <v>3.39</v>
      </c>
      <c r="H2546" s="2">
        <v>44.8</v>
      </c>
      <c r="I2546" s="2" t="s">
        <v>47</v>
      </c>
    </row>
    <row r="2547" ht="15.75" customHeight="1">
      <c r="A2547" s="2" t="s">
        <v>6276</v>
      </c>
      <c r="B2547" s="2" t="s">
        <v>6277</v>
      </c>
      <c r="C2547" s="2" t="s">
        <v>3659</v>
      </c>
      <c r="D2547" s="2" t="s">
        <v>951</v>
      </c>
      <c r="E2547" s="2" t="s">
        <v>953</v>
      </c>
      <c r="F2547" s="2">
        <v>494.0</v>
      </c>
      <c r="G2547" s="2">
        <v>7.65</v>
      </c>
      <c r="H2547" s="2">
        <v>64.6</v>
      </c>
      <c r="I2547" s="2" t="s">
        <v>47</v>
      </c>
    </row>
    <row r="2548" ht="15.75" customHeight="1">
      <c r="A2548" s="2" t="s">
        <v>4159</v>
      </c>
      <c r="B2548" s="2" t="s">
        <v>4160</v>
      </c>
      <c r="C2548" s="2" t="s">
        <v>3659</v>
      </c>
      <c r="D2548" s="2" t="s">
        <v>807</v>
      </c>
      <c r="E2548" s="2" t="s">
        <v>808</v>
      </c>
      <c r="F2548" s="2">
        <v>3371.0</v>
      </c>
      <c r="G2548" s="2">
        <v>5.73</v>
      </c>
      <c r="H2548" s="2">
        <v>588.3</v>
      </c>
      <c r="I2548" s="2" t="s">
        <v>138</v>
      </c>
    </row>
    <row r="2549" ht="15.75" customHeight="1">
      <c r="A2549" s="2" t="s">
        <v>6278</v>
      </c>
      <c r="B2549" s="2" t="s">
        <v>6279</v>
      </c>
      <c r="C2549" s="2" t="s">
        <v>3659</v>
      </c>
      <c r="D2549" s="2" t="s">
        <v>904</v>
      </c>
      <c r="E2549" s="2" t="s">
        <v>906</v>
      </c>
      <c r="F2549" s="2">
        <v>219.0</v>
      </c>
      <c r="G2549" s="2">
        <v>3.58</v>
      </c>
      <c r="H2549" s="2">
        <v>61.2</v>
      </c>
      <c r="I2549" s="2" t="s">
        <v>47</v>
      </c>
    </row>
    <row r="2550" ht="15.75" customHeight="1">
      <c r="A2550" s="2" t="s">
        <v>6280</v>
      </c>
      <c r="B2550" s="2" t="s">
        <v>6281</v>
      </c>
      <c r="C2550" s="2" t="s">
        <v>3659</v>
      </c>
      <c r="D2550" s="2" t="s">
        <v>951</v>
      </c>
      <c r="E2550" s="2" t="s">
        <v>953</v>
      </c>
      <c r="F2550" s="2">
        <v>249.0</v>
      </c>
      <c r="G2550" s="2">
        <v>7.83</v>
      </c>
      <c r="H2550" s="2">
        <v>31.8</v>
      </c>
      <c r="I2550" s="2" t="s">
        <v>47</v>
      </c>
    </row>
    <row r="2551" ht="15.75" customHeight="1">
      <c r="A2551" s="2" t="s">
        <v>6282</v>
      </c>
      <c r="B2551" s="2" t="s">
        <v>6283</v>
      </c>
      <c r="C2551" s="2" t="s">
        <v>3659</v>
      </c>
      <c r="D2551" s="2" t="s">
        <v>1004</v>
      </c>
      <c r="E2551" s="2" t="s">
        <v>1006</v>
      </c>
      <c r="F2551" s="2">
        <v>182.0</v>
      </c>
      <c r="G2551" s="2">
        <v>3.22</v>
      </c>
      <c r="H2551" s="2">
        <v>56.5</v>
      </c>
      <c r="I2551" s="2" t="s">
        <v>47</v>
      </c>
    </row>
    <row r="2552" ht="15.75" customHeight="1">
      <c r="A2552" s="2" t="s">
        <v>6284</v>
      </c>
      <c r="B2552" s="2" t="s">
        <v>6285</v>
      </c>
      <c r="C2552" s="2" t="s">
        <v>3659</v>
      </c>
      <c r="D2552" s="2" t="s">
        <v>1004</v>
      </c>
      <c r="E2552" s="2" t="s">
        <v>1006</v>
      </c>
      <c r="F2552" s="2">
        <v>218.0</v>
      </c>
      <c r="G2552" s="2">
        <v>6.87</v>
      </c>
      <c r="H2552" s="2">
        <v>31.7</v>
      </c>
      <c r="I2552" s="2" t="s">
        <v>47</v>
      </c>
    </row>
    <row r="2553" ht="15.75" customHeight="1">
      <c r="A2553" s="2" t="s">
        <v>4162</v>
      </c>
      <c r="B2553" s="2" t="s">
        <v>4164</v>
      </c>
      <c r="C2553" s="2" t="s">
        <v>3659</v>
      </c>
      <c r="D2553" s="2" t="s">
        <v>997</v>
      </c>
      <c r="E2553" s="2" t="s">
        <v>999</v>
      </c>
      <c r="F2553" s="2">
        <v>526.0</v>
      </c>
      <c r="G2553" s="2">
        <v>10.98</v>
      </c>
      <c r="H2553" s="2">
        <v>47.9</v>
      </c>
      <c r="I2553" s="2" t="s">
        <v>27</v>
      </c>
    </row>
    <row r="2554" ht="15.75" customHeight="1">
      <c r="A2554" s="2" t="s">
        <v>4165</v>
      </c>
      <c r="B2554" s="2" t="s">
        <v>4166</v>
      </c>
      <c r="C2554" s="2" t="s">
        <v>3659</v>
      </c>
      <c r="D2554" s="2" t="s">
        <v>789</v>
      </c>
      <c r="E2554" s="2" t="s">
        <v>790</v>
      </c>
      <c r="F2554" s="2">
        <v>25688.0</v>
      </c>
      <c r="G2554" s="2">
        <v>20.67</v>
      </c>
      <c r="H2554" s="2">
        <v>1242.8</v>
      </c>
      <c r="I2554" s="2" t="s">
        <v>805</v>
      </c>
    </row>
    <row r="2555" ht="15.75" customHeight="1">
      <c r="A2555" s="2" t="s">
        <v>4167</v>
      </c>
      <c r="B2555" s="2" t="s">
        <v>4168</v>
      </c>
      <c r="C2555" s="2" t="s">
        <v>3659</v>
      </c>
      <c r="D2555" s="2" t="s">
        <v>1082</v>
      </c>
      <c r="E2555" s="2" t="s">
        <v>1084</v>
      </c>
      <c r="F2555" s="2">
        <v>528.0</v>
      </c>
      <c r="G2555" s="2">
        <v>6.76</v>
      </c>
      <c r="H2555" s="2">
        <v>78.1</v>
      </c>
      <c r="I2555" s="2" t="s">
        <v>27</v>
      </c>
    </row>
    <row r="2556" ht="15.75" customHeight="1">
      <c r="A2556" s="2" t="s">
        <v>6232</v>
      </c>
      <c r="B2556" s="2" t="s">
        <v>6233</v>
      </c>
      <c r="C2556" s="2" t="s">
        <v>3659</v>
      </c>
      <c r="D2556" s="2" t="s">
        <v>1082</v>
      </c>
      <c r="E2556" s="2" t="s">
        <v>1084</v>
      </c>
      <c r="F2556" s="2">
        <v>187.0</v>
      </c>
      <c r="G2556" s="2">
        <v>5.37</v>
      </c>
      <c r="H2556" s="2">
        <v>34.8</v>
      </c>
      <c r="I2556" s="2" t="s">
        <v>47</v>
      </c>
    </row>
    <row r="2557" ht="15.75" customHeight="1">
      <c r="A2557" s="2" t="s">
        <v>6236</v>
      </c>
      <c r="B2557" s="2" t="s">
        <v>6237</v>
      </c>
      <c r="C2557" s="2" t="s">
        <v>3659</v>
      </c>
      <c r="D2557" s="2" t="s">
        <v>904</v>
      </c>
      <c r="E2557" s="2" t="s">
        <v>906</v>
      </c>
      <c r="F2557" s="2">
        <v>147.0</v>
      </c>
      <c r="G2557" s="2">
        <v>4.29</v>
      </c>
      <c r="H2557" s="2">
        <v>34.3</v>
      </c>
      <c r="I2557" s="2" t="s">
        <v>47</v>
      </c>
    </row>
    <row r="2558" ht="15.75" customHeight="1">
      <c r="A2558" s="2" t="s">
        <v>6240</v>
      </c>
      <c r="B2558" s="2" t="s">
        <v>6241</v>
      </c>
      <c r="C2558" s="2" t="s">
        <v>3659</v>
      </c>
      <c r="D2558" s="2" t="s">
        <v>1004</v>
      </c>
      <c r="E2558" s="2" t="s">
        <v>1006</v>
      </c>
      <c r="F2558" s="2">
        <v>77.0</v>
      </c>
      <c r="G2558" s="2">
        <v>4.95</v>
      </c>
      <c r="H2558" s="2">
        <v>15.6</v>
      </c>
      <c r="I2558" s="2" t="s">
        <v>47</v>
      </c>
    </row>
    <row r="2559" ht="15.75" customHeight="1">
      <c r="A2559" s="2" t="s">
        <v>6264</v>
      </c>
      <c r="B2559" s="2" t="s">
        <v>6265</v>
      </c>
      <c r="C2559" s="2" t="s">
        <v>3659</v>
      </c>
      <c r="D2559" s="2" t="s">
        <v>951</v>
      </c>
      <c r="E2559" s="2" t="s">
        <v>953</v>
      </c>
      <c r="F2559" s="2">
        <v>127.0</v>
      </c>
      <c r="G2559" s="2">
        <v>5.09</v>
      </c>
      <c r="H2559" s="2">
        <v>25.0</v>
      </c>
      <c r="I2559" s="2" t="s">
        <v>47</v>
      </c>
    </row>
    <row r="2560" ht="15.75" customHeight="1">
      <c r="A2560" s="2" t="s">
        <v>4169</v>
      </c>
      <c r="B2560" s="2" t="s">
        <v>4170</v>
      </c>
      <c r="C2560" s="2" t="s">
        <v>3659</v>
      </c>
      <c r="D2560" s="2" t="s">
        <v>1038</v>
      </c>
      <c r="E2560" s="2" t="s">
        <v>1039</v>
      </c>
      <c r="F2560" s="2">
        <v>575.0</v>
      </c>
      <c r="G2560" s="2">
        <v>11.13</v>
      </c>
      <c r="H2560" s="2">
        <v>51.7</v>
      </c>
      <c r="I2560" s="2" t="s">
        <v>27</v>
      </c>
    </row>
    <row r="2561" ht="15.75" customHeight="1">
      <c r="A2561" s="2" t="s">
        <v>6286</v>
      </c>
      <c r="B2561" s="2" t="s">
        <v>6287</v>
      </c>
      <c r="C2561" s="2" t="s">
        <v>3659</v>
      </c>
      <c r="D2561" s="2" t="s">
        <v>899</v>
      </c>
      <c r="E2561" s="2" t="s">
        <v>900</v>
      </c>
      <c r="F2561" s="2">
        <v>91.0</v>
      </c>
      <c r="G2561" s="2">
        <v>1.86</v>
      </c>
      <c r="H2561" s="2">
        <v>48.9</v>
      </c>
      <c r="I2561" s="2" t="s">
        <v>47</v>
      </c>
    </row>
    <row r="2562" ht="15.75" customHeight="1">
      <c r="A2562" s="2" t="s">
        <v>6288</v>
      </c>
      <c r="B2562" s="2" t="s">
        <v>6289</v>
      </c>
      <c r="C2562" s="2" t="s">
        <v>3659</v>
      </c>
      <c r="D2562" s="2" t="s">
        <v>809</v>
      </c>
      <c r="E2562" s="2" t="s">
        <v>811</v>
      </c>
      <c r="F2562" s="2">
        <v>157.0</v>
      </c>
      <c r="G2562" s="2">
        <v>3.83</v>
      </c>
      <c r="H2562" s="2">
        <v>41.0</v>
      </c>
      <c r="I2562" s="2" t="s">
        <v>47</v>
      </c>
    </row>
    <row r="2563" ht="15.75" customHeight="1">
      <c r="A2563" s="2" t="s">
        <v>4171</v>
      </c>
      <c r="B2563" s="2" t="s">
        <v>4172</v>
      </c>
      <c r="C2563" s="2" t="s">
        <v>3659</v>
      </c>
      <c r="D2563" s="2" t="s">
        <v>792</v>
      </c>
      <c r="E2563" s="2" t="s">
        <v>793</v>
      </c>
      <c r="F2563" s="2">
        <v>8650.0</v>
      </c>
      <c r="G2563" s="2">
        <v>14.39</v>
      </c>
      <c r="H2563" s="2">
        <v>601.1</v>
      </c>
      <c r="I2563" s="2" t="s">
        <v>138</v>
      </c>
    </row>
    <row r="2564" ht="15.75" customHeight="1">
      <c r="A2564" s="2" t="s">
        <v>4173</v>
      </c>
      <c r="B2564" s="2" t="s">
        <v>4174</v>
      </c>
      <c r="C2564" s="2" t="s">
        <v>3659</v>
      </c>
      <c r="D2564" s="2" t="s">
        <v>823</v>
      </c>
      <c r="E2564" s="2" t="s">
        <v>824</v>
      </c>
      <c r="F2564" s="2">
        <v>1122.0</v>
      </c>
      <c r="G2564" s="2">
        <v>6.99</v>
      </c>
      <c r="H2564" s="2">
        <v>160.5</v>
      </c>
      <c r="I2564" s="2" t="s">
        <v>27</v>
      </c>
    </row>
    <row r="2565" ht="15.75" customHeight="1">
      <c r="A2565" s="2" t="s">
        <v>4175</v>
      </c>
      <c r="B2565" s="2" t="s">
        <v>4176</v>
      </c>
      <c r="C2565" s="2" t="s">
        <v>3659</v>
      </c>
      <c r="D2565" s="2" t="s">
        <v>904</v>
      </c>
      <c r="E2565" s="2" t="s">
        <v>906</v>
      </c>
      <c r="F2565" s="2">
        <v>238.0</v>
      </c>
      <c r="G2565" s="2">
        <v>7.4</v>
      </c>
      <c r="H2565" s="2">
        <v>32.2</v>
      </c>
      <c r="I2565" s="2" t="s">
        <v>47</v>
      </c>
    </row>
    <row r="2566" ht="15.75" customHeight="1">
      <c r="A2566" s="2" t="s">
        <v>6292</v>
      </c>
      <c r="B2566" s="2" t="s">
        <v>6293</v>
      </c>
      <c r="C2566" s="2" t="s">
        <v>3659</v>
      </c>
      <c r="D2566" s="2" t="s">
        <v>904</v>
      </c>
      <c r="E2566" s="2" t="s">
        <v>906</v>
      </c>
      <c r="F2566" s="2">
        <v>742.0</v>
      </c>
      <c r="G2566" s="2">
        <v>8.62</v>
      </c>
      <c r="H2566" s="2">
        <v>86.1</v>
      </c>
      <c r="I2566" s="2" t="s">
        <v>27</v>
      </c>
    </row>
    <row r="2567" ht="15.75" customHeight="1">
      <c r="A2567" s="2" t="s">
        <v>6290</v>
      </c>
      <c r="B2567" s="2" t="s">
        <v>6291</v>
      </c>
      <c r="C2567" s="2" t="s">
        <v>3659</v>
      </c>
      <c r="D2567" s="2" t="s">
        <v>1038</v>
      </c>
      <c r="E2567" s="2" t="s">
        <v>1039</v>
      </c>
      <c r="F2567" s="2">
        <v>1040.0</v>
      </c>
      <c r="G2567" s="2">
        <v>9.94</v>
      </c>
      <c r="H2567" s="2">
        <v>104.6</v>
      </c>
      <c r="I2567" s="2" t="s">
        <v>27</v>
      </c>
    </row>
    <row r="2568" ht="15.75" customHeight="1">
      <c r="A2568" s="2" t="s">
        <v>6294</v>
      </c>
      <c r="B2568" s="2" t="s">
        <v>6295</v>
      </c>
      <c r="C2568" s="2" t="s">
        <v>3659</v>
      </c>
      <c r="D2568" s="2" t="s">
        <v>962</v>
      </c>
      <c r="E2568" s="2" t="s">
        <v>965</v>
      </c>
      <c r="F2568" s="2">
        <v>310.0</v>
      </c>
      <c r="G2568" s="2">
        <v>3.37</v>
      </c>
      <c r="H2568" s="2">
        <v>92.0</v>
      </c>
      <c r="I2568" s="2" t="s">
        <v>47</v>
      </c>
    </row>
    <row r="2569" ht="15.75" customHeight="1">
      <c r="A2569" s="2" t="s">
        <v>6022</v>
      </c>
      <c r="B2569" s="2" t="s">
        <v>6023</v>
      </c>
      <c r="C2569" s="2" t="s">
        <v>3659</v>
      </c>
      <c r="D2569" s="2" t="s">
        <v>809</v>
      </c>
      <c r="E2569" s="2" t="s">
        <v>811</v>
      </c>
      <c r="F2569" s="2">
        <v>582.0</v>
      </c>
      <c r="G2569" s="2">
        <v>9.47</v>
      </c>
      <c r="H2569" s="2">
        <v>61.5</v>
      </c>
      <c r="I2569" s="2" t="s">
        <v>27</v>
      </c>
    </row>
    <row r="2570" ht="15.75" customHeight="1">
      <c r="A2570" s="2" t="s">
        <v>4177</v>
      </c>
      <c r="B2570" s="2" t="s">
        <v>4178</v>
      </c>
      <c r="C2570" s="2" t="s">
        <v>3659</v>
      </c>
      <c r="D2570" s="2" t="s">
        <v>823</v>
      </c>
      <c r="E2570" s="2" t="s">
        <v>824</v>
      </c>
      <c r="F2570" s="2">
        <v>1551.0</v>
      </c>
      <c r="G2570" s="2">
        <v>6.52</v>
      </c>
      <c r="H2570" s="2">
        <v>237.9</v>
      </c>
      <c r="I2570" s="2" t="s">
        <v>27</v>
      </c>
    </row>
    <row r="2571" ht="15.75" customHeight="1">
      <c r="A2571" s="2" t="s">
        <v>6036</v>
      </c>
      <c r="B2571" s="2" t="s">
        <v>6037</v>
      </c>
      <c r="C2571" s="2" t="s">
        <v>3659</v>
      </c>
      <c r="D2571" s="2" t="s">
        <v>904</v>
      </c>
      <c r="E2571" s="2" t="s">
        <v>906</v>
      </c>
      <c r="F2571" s="2">
        <v>211.0</v>
      </c>
      <c r="G2571" s="2">
        <v>2.22</v>
      </c>
      <c r="H2571" s="2">
        <v>95.0</v>
      </c>
      <c r="I2571" s="2" t="s">
        <v>47</v>
      </c>
    </row>
    <row r="2572" ht="15.75" customHeight="1">
      <c r="A2572" s="2" t="s">
        <v>4179</v>
      </c>
      <c r="B2572" s="2" t="s">
        <v>4180</v>
      </c>
      <c r="C2572" s="2" t="s">
        <v>3659</v>
      </c>
      <c r="D2572" s="2" t="s">
        <v>792</v>
      </c>
      <c r="E2572" s="2" t="s">
        <v>793</v>
      </c>
      <c r="F2572" s="2">
        <v>879.0</v>
      </c>
      <c r="G2572" s="2">
        <v>6.74</v>
      </c>
      <c r="H2572" s="2">
        <v>130.4</v>
      </c>
      <c r="I2572" s="2" t="s">
        <v>27</v>
      </c>
    </row>
    <row r="2573" ht="15.75" customHeight="1">
      <c r="A2573" s="2" t="s">
        <v>4181</v>
      </c>
      <c r="B2573" s="2" t="s">
        <v>4182</v>
      </c>
      <c r="C2573" s="2" t="s">
        <v>3659</v>
      </c>
      <c r="D2573" s="2" t="s">
        <v>792</v>
      </c>
      <c r="E2573" s="2" t="s">
        <v>793</v>
      </c>
      <c r="F2573" s="2">
        <v>2590.0</v>
      </c>
      <c r="G2573" s="2">
        <v>13.43</v>
      </c>
      <c r="H2573" s="2">
        <v>192.9</v>
      </c>
      <c r="I2573" s="2" t="s">
        <v>138</v>
      </c>
    </row>
    <row r="2574" ht="15.75" customHeight="1">
      <c r="A2574" s="2" t="s">
        <v>6242</v>
      </c>
      <c r="B2574" s="2" t="s">
        <v>6243</v>
      </c>
      <c r="C2574" s="2" t="s">
        <v>3659</v>
      </c>
      <c r="D2574" s="2" t="s">
        <v>904</v>
      </c>
      <c r="E2574" s="2" t="s">
        <v>906</v>
      </c>
      <c r="F2574" s="2">
        <v>135.0</v>
      </c>
      <c r="G2574" s="2">
        <v>5.4</v>
      </c>
      <c r="H2574" s="2">
        <v>25.0</v>
      </c>
      <c r="I2574" s="2" t="s">
        <v>47</v>
      </c>
    </row>
    <row r="2575" ht="15.75" customHeight="1">
      <c r="A2575" s="2" t="s">
        <v>6340</v>
      </c>
      <c r="B2575" s="2" t="s">
        <v>6341</v>
      </c>
      <c r="C2575" s="2" t="s">
        <v>3659</v>
      </c>
      <c r="D2575" s="2" t="s">
        <v>899</v>
      </c>
      <c r="E2575" s="2" t="s">
        <v>900</v>
      </c>
      <c r="F2575" s="2">
        <v>224.0</v>
      </c>
      <c r="G2575" s="2">
        <v>0.69</v>
      </c>
      <c r="H2575" s="2">
        <v>324.6</v>
      </c>
      <c r="I2575" s="2" t="s">
        <v>47</v>
      </c>
    </row>
    <row r="2576" ht="15.75" customHeight="1">
      <c r="A2576" s="2" t="s">
        <v>6352</v>
      </c>
      <c r="B2576" s="2" t="s">
        <v>6353</v>
      </c>
      <c r="C2576" s="2" t="s">
        <v>3659</v>
      </c>
      <c r="D2576" s="2" t="s">
        <v>809</v>
      </c>
      <c r="E2576" s="2" t="s">
        <v>811</v>
      </c>
      <c r="F2576" s="2">
        <v>149.0</v>
      </c>
      <c r="G2576" s="2">
        <v>2.46</v>
      </c>
      <c r="H2576" s="2">
        <v>60.6</v>
      </c>
      <c r="I2576" s="2" t="s">
        <v>47</v>
      </c>
    </row>
    <row r="2577" ht="15.75" customHeight="1">
      <c r="A2577" s="2" t="s">
        <v>6619</v>
      </c>
      <c r="B2577" s="2" t="s">
        <v>6620</v>
      </c>
      <c r="C2577" s="2" t="s">
        <v>3659</v>
      </c>
      <c r="D2577" s="2" t="s">
        <v>1004</v>
      </c>
      <c r="E2577" s="2" t="s">
        <v>1006</v>
      </c>
      <c r="F2577" s="2">
        <v>476.0</v>
      </c>
      <c r="G2577" s="2">
        <v>4.11</v>
      </c>
      <c r="H2577" s="2">
        <v>115.8</v>
      </c>
      <c r="I2577" s="2" t="s">
        <v>47</v>
      </c>
    </row>
    <row r="2578" ht="15.75" customHeight="1">
      <c r="A2578" s="2" t="s">
        <v>4183</v>
      </c>
      <c r="B2578" s="2" t="s">
        <v>4184</v>
      </c>
      <c r="C2578" s="2" t="s">
        <v>3659</v>
      </c>
      <c r="D2578" s="2" t="s">
        <v>792</v>
      </c>
      <c r="E2578" s="2" t="s">
        <v>793</v>
      </c>
      <c r="F2578" s="2">
        <v>1648.0</v>
      </c>
      <c r="G2578" s="2">
        <v>5.94</v>
      </c>
      <c r="H2578" s="2">
        <v>277.4</v>
      </c>
      <c r="I2578" s="2" t="s">
        <v>27</v>
      </c>
    </row>
    <row r="2579" ht="15.75" customHeight="1">
      <c r="A2579" s="2" t="s">
        <v>4185</v>
      </c>
      <c r="B2579" s="2" t="s">
        <v>4186</v>
      </c>
      <c r="C2579" s="2" t="s">
        <v>3659</v>
      </c>
      <c r="D2579" s="2" t="s">
        <v>792</v>
      </c>
      <c r="E2579" s="2" t="s">
        <v>793</v>
      </c>
      <c r="F2579" s="2">
        <v>2858.0</v>
      </c>
      <c r="G2579" s="2">
        <v>4.65</v>
      </c>
      <c r="H2579" s="2">
        <v>614.6</v>
      </c>
      <c r="I2579" s="2" t="s">
        <v>138</v>
      </c>
    </row>
    <row r="2580" ht="15.75" customHeight="1">
      <c r="A2580" s="2" t="s">
        <v>4187</v>
      </c>
      <c r="B2580" s="2" t="s">
        <v>4188</v>
      </c>
      <c r="C2580" s="2" t="s">
        <v>3659</v>
      </c>
      <c r="D2580" s="2" t="s">
        <v>899</v>
      </c>
      <c r="E2580" s="2" t="s">
        <v>900</v>
      </c>
      <c r="F2580" s="2">
        <v>140.0</v>
      </c>
      <c r="G2580" s="2">
        <v>8.24</v>
      </c>
      <c r="H2580" s="2">
        <v>17.0</v>
      </c>
      <c r="I2580" s="2" t="s">
        <v>47</v>
      </c>
    </row>
    <row r="2581" ht="15.75" customHeight="1">
      <c r="A2581" s="2" t="s">
        <v>6296</v>
      </c>
      <c r="B2581" s="2" t="s">
        <v>6297</v>
      </c>
      <c r="C2581" s="2" t="s">
        <v>3659</v>
      </c>
      <c r="D2581" s="2" t="s">
        <v>861</v>
      </c>
      <c r="E2581" s="2" t="s">
        <v>862</v>
      </c>
      <c r="F2581" s="2">
        <v>250.0</v>
      </c>
      <c r="G2581" s="2">
        <v>8.27</v>
      </c>
      <c r="H2581" s="2">
        <v>30.2</v>
      </c>
      <c r="I2581" s="2" t="s">
        <v>47</v>
      </c>
    </row>
    <row r="2582" ht="15.75" customHeight="1">
      <c r="A2582" s="2" t="s">
        <v>6298</v>
      </c>
      <c r="B2582" s="2" t="s">
        <v>6299</v>
      </c>
      <c r="C2582" s="2" t="s">
        <v>3659</v>
      </c>
      <c r="D2582" s="2" t="s">
        <v>1038</v>
      </c>
      <c r="E2582" s="2" t="s">
        <v>1039</v>
      </c>
      <c r="F2582" s="2">
        <v>309.0</v>
      </c>
      <c r="G2582" s="2">
        <v>8.46</v>
      </c>
      <c r="H2582" s="2">
        <v>36.5</v>
      </c>
      <c r="I2582" s="2" t="s">
        <v>47</v>
      </c>
    </row>
    <row r="2583" ht="15.75" customHeight="1">
      <c r="A2583" s="2" t="s">
        <v>4189</v>
      </c>
      <c r="B2583" s="2" t="s">
        <v>4190</v>
      </c>
      <c r="C2583" s="2" t="s">
        <v>3659</v>
      </c>
      <c r="D2583" s="2" t="s">
        <v>833</v>
      </c>
      <c r="E2583" s="2" t="s">
        <v>835</v>
      </c>
      <c r="F2583" s="2">
        <v>365.0</v>
      </c>
      <c r="G2583" s="2">
        <v>8.64</v>
      </c>
      <c r="H2583" s="2">
        <v>42.2</v>
      </c>
      <c r="I2583" s="2" t="s">
        <v>47</v>
      </c>
    </row>
    <row r="2584" ht="15.75" customHeight="1">
      <c r="A2584" s="2" t="s">
        <v>4191</v>
      </c>
      <c r="B2584" s="2" t="s">
        <v>4192</v>
      </c>
      <c r="C2584" s="2" t="s">
        <v>3659</v>
      </c>
      <c r="D2584" s="2" t="s">
        <v>792</v>
      </c>
      <c r="E2584" s="2" t="s">
        <v>793</v>
      </c>
      <c r="F2584" s="2">
        <v>1070.0</v>
      </c>
      <c r="G2584" s="2">
        <v>4.38</v>
      </c>
      <c r="H2584" s="2">
        <v>244.3</v>
      </c>
      <c r="I2584" s="2" t="s">
        <v>27</v>
      </c>
    </row>
    <row r="2585" ht="15.75" customHeight="1">
      <c r="A2585" s="2" t="s">
        <v>4194</v>
      </c>
      <c r="B2585" s="2" t="s">
        <v>4195</v>
      </c>
      <c r="C2585" s="2" t="s">
        <v>3659</v>
      </c>
      <c r="D2585" s="2" t="s">
        <v>892</v>
      </c>
      <c r="E2585" s="2" t="s">
        <v>893</v>
      </c>
      <c r="F2585" s="2">
        <v>1242.0</v>
      </c>
      <c r="G2585" s="2">
        <v>7.73</v>
      </c>
      <c r="H2585" s="2">
        <v>160.7</v>
      </c>
      <c r="I2585" s="2" t="s">
        <v>27</v>
      </c>
    </row>
    <row r="2586" ht="15.75" customHeight="1">
      <c r="A2586" s="2" t="s">
        <v>4198</v>
      </c>
      <c r="B2586" s="2" t="s">
        <v>4199</v>
      </c>
      <c r="C2586" s="2" t="s">
        <v>3659</v>
      </c>
      <c r="D2586" s="2" t="s">
        <v>1042</v>
      </c>
      <c r="E2586" s="2" t="s">
        <v>1043</v>
      </c>
      <c r="F2586" s="2">
        <v>787.0</v>
      </c>
      <c r="G2586" s="2">
        <v>5.78</v>
      </c>
      <c r="H2586" s="2">
        <v>136.2</v>
      </c>
      <c r="I2586" s="2" t="s">
        <v>27</v>
      </c>
    </row>
    <row r="2587" ht="15.75" customHeight="1">
      <c r="A2587" s="2" t="s">
        <v>4200</v>
      </c>
      <c r="B2587" s="2" t="s">
        <v>4201</v>
      </c>
      <c r="C2587" s="2" t="s">
        <v>3659</v>
      </c>
      <c r="D2587" s="2" t="s">
        <v>792</v>
      </c>
      <c r="E2587" s="2" t="s">
        <v>793</v>
      </c>
      <c r="F2587" s="2">
        <v>3481.0</v>
      </c>
      <c r="G2587" s="2">
        <v>8.59</v>
      </c>
      <c r="H2587" s="2">
        <v>405.2</v>
      </c>
      <c r="I2587" s="2" t="s">
        <v>138</v>
      </c>
    </row>
    <row r="2588" ht="15.75" customHeight="1">
      <c r="A2588" s="2" t="s">
        <v>6300</v>
      </c>
      <c r="B2588" s="2" t="s">
        <v>6301</v>
      </c>
      <c r="C2588" s="2" t="s">
        <v>3659</v>
      </c>
      <c r="D2588" s="2" t="s">
        <v>904</v>
      </c>
      <c r="E2588" s="2" t="s">
        <v>906</v>
      </c>
      <c r="F2588" s="2">
        <v>341.0</v>
      </c>
      <c r="G2588" s="2">
        <v>7.69</v>
      </c>
      <c r="H2588" s="2">
        <v>44.3</v>
      </c>
      <c r="I2588" s="2" t="s">
        <v>47</v>
      </c>
    </row>
    <row r="2589" ht="15.75" customHeight="1">
      <c r="A2589" s="2" t="s">
        <v>4204</v>
      </c>
      <c r="B2589" s="2" t="s">
        <v>4205</v>
      </c>
      <c r="C2589" s="2" t="s">
        <v>3659</v>
      </c>
      <c r="D2589" s="2" t="s">
        <v>1028</v>
      </c>
      <c r="E2589" s="2" t="s">
        <v>1029</v>
      </c>
      <c r="F2589" s="2">
        <v>5044.0</v>
      </c>
      <c r="G2589" s="2">
        <v>18.29</v>
      </c>
      <c r="H2589" s="2">
        <v>275.8</v>
      </c>
      <c r="I2589" s="2" t="s">
        <v>138</v>
      </c>
    </row>
    <row r="2590" ht="15.75" customHeight="1">
      <c r="A2590" s="2" t="s">
        <v>4206</v>
      </c>
      <c r="B2590" s="2" t="s">
        <v>4207</v>
      </c>
      <c r="C2590" s="2" t="s">
        <v>3659</v>
      </c>
      <c r="D2590" s="2" t="s">
        <v>899</v>
      </c>
      <c r="E2590" s="2" t="s">
        <v>900</v>
      </c>
      <c r="F2590" s="2">
        <v>740.0</v>
      </c>
      <c r="G2590" s="2">
        <v>9.29</v>
      </c>
      <c r="H2590" s="2">
        <v>79.7</v>
      </c>
      <c r="I2590" s="2" t="s">
        <v>27</v>
      </c>
    </row>
    <row r="2591" ht="15.75" customHeight="1">
      <c r="A2591" s="2" t="s">
        <v>4208</v>
      </c>
      <c r="B2591" s="2" t="s">
        <v>4209</v>
      </c>
      <c r="C2591" s="2" t="s">
        <v>3659</v>
      </c>
      <c r="D2591" s="2" t="s">
        <v>1004</v>
      </c>
      <c r="E2591" s="2" t="s">
        <v>1006</v>
      </c>
      <c r="F2591" s="2">
        <v>216.0</v>
      </c>
      <c r="G2591" s="2">
        <v>4.65</v>
      </c>
      <c r="H2591" s="2">
        <v>46.5</v>
      </c>
      <c r="I2591" s="2" t="s">
        <v>47</v>
      </c>
    </row>
    <row r="2592" ht="15.75" customHeight="1">
      <c r="A2592" s="2" t="s">
        <v>4210</v>
      </c>
      <c r="B2592" s="2" t="s">
        <v>4211</v>
      </c>
      <c r="C2592" s="2" t="s">
        <v>3659</v>
      </c>
      <c r="D2592" s="2" t="s">
        <v>823</v>
      </c>
      <c r="E2592" s="2" t="s">
        <v>824</v>
      </c>
      <c r="F2592" s="2">
        <v>8768.0</v>
      </c>
      <c r="G2592" s="2">
        <v>3.88</v>
      </c>
      <c r="H2592" s="2">
        <v>2259.8</v>
      </c>
      <c r="I2592" s="2" t="s">
        <v>138</v>
      </c>
    </row>
    <row r="2593" ht="15.75" customHeight="1">
      <c r="A2593" s="2" t="s">
        <v>6491</v>
      </c>
      <c r="B2593" s="2" t="s">
        <v>6492</v>
      </c>
      <c r="C2593" s="2" t="s">
        <v>3659</v>
      </c>
      <c r="D2593" s="2" t="s">
        <v>899</v>
      </c>
      <c r="E2593" s="2" t="s">
        <v>900</v>
      </c>
      <c r="F2593" s="2">
        <v>320.0</v>
      </c>
      <c r="G2593" s="2">
        <v>8.0</v>
      </c>
      <c r="H2593" s="2">
        <v>40.0</v>
      </c>
      <c r="I2593" s="2" t="s">
        <v>47</v>
      </c>
    </row>
    <row r="2594" ht="15.75" customHeight="1">
      <c r="A2594" s="2" t="s">
        <v>6580</v>
      </c>
      <c r="B2594" s="2" t="s">
        <v>6581</v>
      </c>
      <c r="C2594" s="2" t="s">
        <v>3659</v>
      </c>
      <c r="D2594" s="2" t="s">
        <v>997</v>
      </c>
      <c r="E2594" s="2" t="s">
        <v>999</v>
      </c>
      <c r="F2594" s="2">
        <v>153.0</v>
      </c>
      <c r="G2594" s="2">
        <v>5.08</v>
      </c>
      <c r="H2594" s="2">
        <v>30.1</v>
      </c>
      <c r="I2594" s="2" t="s">
        <v>47</v>
      </c>
    </row>
    <row r="2595" ht="15.75" customHeight="1">
      <c r="A2595" s="2" t="s">
        <v>4212</v>
      </c>
      <c r="B2595" s="2" t="s">
        <v>4213</v>
      </c>
      <c r="C2595" s="2" t="s">
        <v>3659</v>
      </c>
      <c r="D2595" s="2" t="s">
        <v>904</v>
      </c>
      <c r="E2595" s="2" t="s">
        <v>906</v>
      </c>
      <c r="F2595" s="2">
        <v>197.0</v>
      </c>
      <c r="G2595" s="2">
        <v>5.09</v>
      </c>
      <c r="H2595" s="2">
        <v>38.7</v>
      </c>
      <c r="I2595" s="2" t="s">
        <v>47</v>
      </c>
    </row>
    <row r="2596" ht="15.75" customHeight="1">
      <c r="A2596" s="2" t="s">
        <v>4215</v>
      </c>
      <c r="B2596" s="2" t="s">
        <v>4217</v>
      </c>
      <c r="C2596" s="2" t="s">
        <v>3659</v>
      </c>
      <c r="D2596" s="2" t="s">
        <v>809</v>
      </c>
      <c r="E2596" s="2" t="s">
        <v>811</v>
      </c>
      <c r="F2596" s="2">
        <v>4224.0</v>
      </c>
      <c r="G2596" s="2">
        <v>15.3</v>
      </c>
      <c r="H2596" s="2">
        <v>276.1</v>
      </c>
      <c r="I2596" s="2" t="s">
        <v>138</v>
      </c>
    </row>
    <row r="2597" ht="15.75" customHeight="1">
      <c r="A2597" s="2" t="s">
        <v>6641</v>
      </c>
      <c r="B2597" s="2" t="s">
        <v>6642</v>
      </c>
      <c r="C2597" s="2" t="s">
        <v>3659</v>
      </c>
      <c r="D2597" s="2" t="s">
        <v>997</v>
      </c>
      <c r="E2597" s="2" t="s">
        <v>999</v>
      </c>
      <c r="F2597" s="2">
        <v>422.0</v>
      </c>
      <c r="G2597" s="2">
        <v>10.43</v>
      </c>
      <c r="H2597" s="2">
        <v>40.5</v>
      </c>
      <c r="I2597" s="2" t="s">
        <v>47</v>
      </c>
    </row>
    <row r="2598" ht="15.75" customHeight="1">
      <c r="A2598" s="2" t="s">
        <v>4218</v>
      </c>
      <c r="B2598" s="2" t="s">
        <v>4219</v>
      </c>
      <c r="C2598" s="2" t="s">
        <v>3659</v>
      </c>
      <c r="D2598" s="2" t="s">
        <v>861</v>
      </c>
      <c r="E2598" s="2" t="s">
        <v>862</v>
      </c>
      <c r="F2598" s="2">
        <v>203.0</v>
      </c>
      <c r="G2598" s="2">
        <v>0.94</v>
      </c>
      <c r="H2598" s="2">
        <v>216.0</v>
      </c>
      <c r="I2598" s="2" t="s">
        <v>47</v>
      </c>
    </row>
    <row r="2599" ht="15.75" customHeight="1">
      <c r="A2599" s="2" t="s">
        <v>6302</v>
      </c>
      <c r="B2599" s="2" t="s">
        <v>6303</v>
      </c>
      <c r="C2599" s="2" t="s">
        <v>3659</v>
      </c>
      <c r="D2599" s="2" t="s">
        <v>951</v>
      </c>
      <c r="E2599" s="2" t="s">
        <v>953</v>
      </c>
      <c r="F2599" s="2">
        <v>229.0</v>
      </c>
      <c r="G2599" s="2">
        <v>9.67</v>
      </c>
      <c r="H2599" s="2">
        <v>23.7</v>
      </c>
      <c r="I2599" s="2" t="s">
        <v>47</v>
      </c>
    </row>
    <row r="2600" ht="15.75" customHeight="1">
      <c r="A2600" s="2" t="s">
        <v>6304</v>
      </c>
      <c r="B2600" s="2" t="s">
        <v>6305</v>
      </c>
      <c r="C2600" s="2" t="s">
        <v>3659</v>
      </c>
      <c r="D2600" s="2" t="s">
        <v>997</v>
      </c>
      <c r="E2600" s="2" t="s">
        <v>999</v>
      </c>
      <c r="F2600" s="2">
        <v>232.0</v>
      </c>
      <c r="G2600" s="2">
        <v>4.79</v>
      </c>
      <c r="H2600" s="2">
        <v>48.4</v>
      </c>
      <c r="I2600" s="2" t="s">
        <v>47</v>
      </c>
    </row>
    <row r="2601" ht="15.75" customHeight="1">
      <c r="A2601" s="2" t="s">
        <v>6308</v>
      </c>
      <c r="B2601" s="2" t="s">
        <v>6309</v>
      </c>
      <c r="C2601" s="2" t="s">
        <v>3659</v>
      </c>
      <c r="D2601" s="2" t="s">
        <v>962</v>
      </c>
      <c r="E2601" s="2" t="s">
        <v>965</v>
      </c>
      <c r="F2601" s="2">
        <v>316.0</v>
      </c>
      <c r="G2601" s="2">
        <v>8.71</v>
      </c>
      <c r="H2601" s="2">
        <v>36.3</v>
      </c>
      <c r="I2601" s="2" t="s">
        <v>47</v>
      </c>
    </row>
    <row r="2602" ht="15.75" customHeight="1">
      <c r="A2602" s="2" t="s">
        <v>6310</v>
      </c>
      <c r="B2602" s="2" t="s">
        <v>6311</v>
      </c>
      <c r="C2602" s="2" t="s">
        <v>3659</v>
      </c>
      <c r="D2602" s="2" t="s">
        <v>809</v>
      </c>
      <c r="E2602" s="2" t="s">
        <v>811</v>
      </c>
      <c r="F2602" s="2">
        <v>229.0</v>
      </c>
      <c r="G2602" s="2">
        <v>8.27</v>
      </c>
      <c r="H2602" s="2">
        <v>27.7</v>
      </c>
      <c r="I2602" s="2" t="s">
        <v>47</v>
      </c>
    </row>
    <row r="2603" ht="15.75" customHeight="1">
      <c r="A2603" s="2" t="s">
        <v>4220</v>
      </c>
      <c r="B2603" s="2" t="s">
        <v>4221</v>
      </c>
      <c r="C2603" s="2" t="s">
        <v>3659</v>
      </c>
      <c r="D2603" s="2" t="s">
        <v>789</v>
      </c>
      <c r="E2603" s="2" t="s">
        <v>790</v>
      </c>
      <c r="F2603" s="2">
        <v>7060.0</v>
      </c>
      <c r="G2603" s="2">
        <v>6.19</v>
      </c>
      <c r="H2603" s="2">
        <v>1140.5</v>
      </c>
      <c r="I2603" s="2" t="s">
        <v>138</v>
      </c>
    </row>
    <row r="2604" ht="15.75" customHeight="1">
      <c r="A2604" s="2" t="s">
        <v>4222</v>
      </c>
      <c r="B2604" s="2" t="s">
        <v>4223</v>
      </c>
      <c r="C2604" s="2" t="s">
        <v>3659</v>
      </c>
      <c r="D2604" s="2" t="s">
        <v>807</v>
      </c>
      <c r="E2604" s="2" t="s">
        <v>808</v>
      </c>
      <c r="F2604" s="2">
        <v>32920.0</v>
      </c>
      <c r="G2604" s="2">
        <v>11.65</v>
      </c>
      <c r="H2604" s="2">
        <v>2825.8</v>
      </c>
      <c r="I2604" s="2" t="s">
        <v>805</v>
      </c>
    </row>
    <row r="2605" ht="15.75" customHeight="1">
      <c r="A2605" s="2" t="s">
        <v>4224</v>
      </c>
      <c r="B2605" s="2" t="s">
        <v>4225</v>
      </c>
      <c r="C2605" s="2" t="s">
        <v>3659</v>
      </c>
      <c r="D2605" s="2" t="s">
        <v>840</v>
      </c>
      <c r="E2605" s="2" t="s">
        <v>842</v>
      </c>
      <c r="F2605" s="2">
        <v>2064.0</v>
      </c>
      <c r="G2605" s="2">
        <v>20.66</v>
      </c>
      <c r="H2605" s="2">
        <v>99.9</v>
      </c>
      <c r="I2605" s="2" t="s">
        <v>138</v>
      </c>
    </row>
    <row r="2606" ht="15.75" customHeight="1">
      <c r="A2606" s="2" t="s">
        <v>6314</v>
      </c>
      <c r="B2606" s="2" t="s">
        <v>6315</v>
      </c>
      <c r="C2606" s="2" t="s">
        <v>3659</v>
      </c>
      <c r="D2606" s="2" t="s">
        <v>792</v>
      </c>
      <c r="E2606" s="2" t="s">
        <v>793</v>
      </c>
      <c r="F2606" s="2">
        <v>402.0</v>
      </c>
      <c r="G2606" s="2">
        <v>3.12</v>
      </c>
      <c r="H2606" s="2">
        <v>128.8</v>
      </c>
      <c r="I2606" s="2" t="s">
        <v>47</v>
      </c>
    </row>
    <row r="2607" ht="15.75" customHeight="1">
      <c r="A2607" s="2" t="s">
        <v>6316</v>
      </c>
      <c r="B2607" s="2" t="s">
        <v>6317</v>
      </c>
      <c r="C2607" s="2" t="s">
        <v>3659</v>
      </c>
      <c r="D2607" s="2" t="s">
        <v>899</v>
      </c>
      <c r="E2607" s="2" t="s">
        <v>900</v>
      </c>
      <c r="F2607" s="2">
        <v>243.0</v>
      </c>
      <c r="G2607" s="2">
        <v>3.97</v>
      </c>
      <c r="H2607" s="2">
        <v>61.2</v>
      </c>
      <c r="I2607" s="2" t="s">
        <v>47</v>
      </c>
    </row>
    <row r="2608" ht="15.75" customHeight="1">
      <c r="A2608" s="2" t="s">
        <v>4226</v>
      </c>
      <c r="B2608" s="2" t="s">
        <v>4227</v>
      </c>
      <c r="C2608" s="2" t="s">
        <v>3659</v>
      </c>
      <c r="D2608" s="2" t="s">
        <v>1028</v>
      </c>
      <c r="E2608" s="2" t="s">
        <v>1029</v>
      </c>
      <c r="F2608" s="2">
        <v>5009.0</v>
      </c>
      <c r="G2608" s="2">
        <v>21.33</v>
      </c>
      <c r="H2608" s="2">
        <v>234.8</v>
      </c>
      <c r="I2608" s="2" t="s">
        <v>138</v>
      </c>
    </row>
    <row r="2609" ht="15.75" customHeight="1">
      <c r="A2609" s="2" t="s">
        <v>6318</v>
      </c>
      <c r="B2609" s="2" t="s">
        <v>6319</v>
      </c>
      <c r="C2609" s="2" t="s">
        <v>3659</v>
      </c>
      <c r="D2609" s="2" t="s">
        <v>892</v>
      </c>
      <c r="E2609" s="2" t="s">
        <v>893</v>
      </c>
      <c r="F2609" s="2">
        <v>293.0</v>
      </c>
      <c r="G2609" s="2">
        <v>7.98</v>
      </c>
      <c r="H2609" s="2">
        <v>36.7</v>
      </c>
      <c r="I2609" s="2" t="s">
        <v>47</v>
      </c>
    </row>
    <row r="2610" ht="15.75" customHeight="1">
      <c r="A2610" s="2" t="s">
        <v>6320</v>
      </c>
      <c r="B2610" s="2" t="s">
        <v>6321</v>
      </c>
      <c r="C2610" s="2" t="s">
        <v>3659</v>
      </c>
      <c r="D2610" s="2" t="s">
        <v>962</v>
      </c>
      <c r="E2610" s="2" t="s">
        <v>965</v>
      </c>
      <c r="F2610" s="2">
        <v>269.0</v>
      </c>
      <c r="G2610" s="2">
        <v>4.75</v>
      </c>
      <c r="H2610" s="2">
        <v>56.6</v>
      </c>
      <c r="I2610" s="2" t="s">
        <v>47</v>
      </c>
    </row>
    <row r="2611" ht="15.75" customHeight="1">
      <c r="A2611" s="2" t="s">
        <v>6322</v>
      </c>
      <c r="B2611" s="2" t="s">
        <v>6323</v>
      </c>
      <c r="C2611" s="2" t="s">
        <v>3659</v>
      </c>
      <c r="D2611" s="2" t="s">
        <v>892</v>
      </c>
      <c r="E2611" s="2" t="s">
        <v>893</v>
      </c>
      <c r="F2611" s="2">
        <v>540.0</v>
      </c>
      <c r="G2611" s="2">
        <v>6.82</v>
      </c>
      <c r="H2611" s="2">
        <v>79.2</v>
      </c>
      <c r="I2611" s="2" t="s">
        <v>27</v>
      </c>
    </row>
    <row r="2612" ht="15.75" customHeight="1">
      <c r="A2612" s="2" t="s">
        <v>4228</v>
      </c>
      <c r="B2612" s="2" t="s">
        <v>4229</v>
      </c>
      <c r="C2612" s="2" t="s">
        <v>3659</v>
      </c>
      <c r="D2612" s="2" t="s">
        <v>789</v>
      </c>
      <c r="E2612" s="2" t="s">
        <v>790</v>
      </c>
      <c r="F2612" s="2">
        <v>7973.0</v>
      </c>
      <c r="G2612" s="2">
        <v>6.53</v>
      </c>
      <c r="H2612" s="2">
        <v>1221.0</v>
      </c>
      <c r="I2612" s="2" t="s">
        <v>138</v>
      </c>
    </row>
    <row r="2613" ht="15.75" customHeight="1">
      <c r="A2613" s="2" t="s">
        <v>4230</v>
      </c>
      <c r="B2613" s="2" t="s">
        <v>4231</v>
      </c>
      <c r="C2613" s="2" t="s">
        <v>3659</v>
      </c>
      <c r="D2613" s="2" t="s">
        <v>1042</v>
      </c>
      <c r="E2613" s="2" t="s">
        <v>1043</v>
      </c>
      <c r="F2613" s="2">
        <v>1679.0</v>
      </c>
      <c r="G2613" s="2">
        <v>18.46</v>
      </c>
      <c r="H2613" s="2">
        <v>91.0</v>
      </c>
      <c r="I2613" s="2" t="s">
        <v>27</v>
      </c>
    </row>
    <row r="2614" ht="15.75" customHeight="1">
      <c r="A2614" s="2" t="s">
        <v>6324</v>
      </c>
      <c r="B2614" s="2" t="s">
        <v>6325</v>
      </c>
      <c r="C2614" s="2" t="s">
        <v>3659</v>
      </c>
      <c r="D2614" s="2" t="s">
        <v>904</v>
      </c>
      <c r="E2614" s="2" t="s">
        <v>906</v>
      </c>
      <c r="F2614" s="2">
        <v>303.0</v>
      </c>
      <c r="G2614" s="2">
        <v>3.41</v>
      </c>
      <c r="H2614" s="2">
        <v>88.9</v>
      </c>
      <c r="I2614" s="2" t="s">
        <v>47</v>
      </c>
    </row>
    <row r="2615" ht="15.75" customHeight="1">
      <c r="A2615" s="2" t="s">
        <v>4233</v>
      </c>
      <c r="B2615" s="2" t="s">
        <v>4234</v>
      </c>
      <c r="C2615" s="2" t="s">
        <v>3659</v>
      </c>
      <c r="D2615" s="2" t="s">
        <v>792</v>
      </c>
      <c r="E2615" s="2" t="s">
        <v>793</v>
      </c>
      <c r="F2615" s="2">
        <v>378.0</v>
      </c>
      <c r="G2615" s="2">
        <v>3.06</v>
      </c>
      <c r="H2615" s="2">
        <v>123.5</v>
      </c>
      <c r="I2615" s="2" t="s">
        <v>47</v>
      </c>
    </row>
    <row r="2616" ht="15.75" customHeight="1">
      <c r="A2616" s="2" t="s">
        <v>6326</v>
      </c>
      <c r="B2616" s="2" t="s">
        <v>6327</v>
      </c>
      <c r="C2616" s="2" t="s">
        <v>3659</v>
      </c>
      <c r="D2616" s="2" t="s">
        <v>904</v>
      </c>
      <c r="E2616" s="2" t="s">
        <v>906</v>
      </c>
      <c r="F2616" s="2">
        <v>140.0</v>
      </c>
      <c r="G2616" s="2">
        <v>2.97</v>
      </c>
      <c r="H2616" s="2">
        <v>47.1</v>
      </c>
      <c r="I2616" s="2" t="s">
        <v>47</v>
      </c>
    </row>
    <row r="2617" ht="15.75" customHeight="1">
      <c r="A2617" s="2" t="s">
        <v>6332</v>
      </c>
      <c r="B2617" s="2" t="s">
        <v>6333</v>
      </c>
      <c r="C2617" s="2" t="s">
        <v>3659</v>
      </c>
      <c r="D2617" s="2" t="s">
        <v>1004</v>
      </c>
      <c r="E2617" s="2" t="s">
        <v>1006</v>
      </c>
      <c r="F2617" s="2">
        <v>235.0</v>
      </c>
      <c r="G2617" s="2">
        <v>5.13</v>
      </c>
      <c r="H2617" s="2">
        <v>45.8</v>
      </c>
      <c r="I2617" s="2" t="s">
        <v>47</v>
      </c>
    </row>
    <row r="2618" ht="15.75" customHeight="1">
      <c r="A2618" s="2" t="s">
        <v>6334</v>
      </c>
      <c r="B2618" s="2" t="s">
        <v>6335</v>
      </c>
      <c r="C2618" s="2" t="s">
        <v>3659</v>
      </c>
      <c r="D2618" s="2" t="s">
        <v>997</v>
      </c>
      <c r="E2618" s="2" t="s">
        <v>999</v>
      </c>
      <c r="F2618" s="2">
        <v>514.0</v>
      </c>
      <c r="G2618" s="2">
        <v>10.3</v>
      </c>
      <c r="H2618" s="2">
        <v>49.9</v>
      </c>
      <c r="I2618" s="2" t="s">
        <v>27</v>
      </c>
    </row>
    <row r="2619" ht="15.75" customHeight="1">
      <c r="A2619" s="2" t="s">
        <v>6328</v>
      </c>
      <c r="B2619" s="2" t="s">
        <v>6329</v>
      </c>
      <c r="C2619" s="2" t="s">
        <v>3659</v>
      </c>
      <c r="D2619" s="2" t="s">
        <v>792</v>
      </c>
      <c r="E2619" s="2" t="s">
        <v>793</v>
      </c>
      <c r="F2619" s="2">
        <v>565.0</v>
      </c>
      <c r="G2619" s="2">
        <v>8.03</v>
      </c>
      <c r="H2619" s="2">
        <v>70.4</v>
      </c>
      <c r="I2619" s="2" t="s">
        <v>27</v>
      </c>
    </row>
    <row r="2620" ht="15.75" customHeight="1">
      <c r="A2620" s="2" t="s">
        <v>6330</v>
      </c>
      <c r="B2620" s="2" t="s">
        <v>6331</v>
      </c>
      <c r="C2620" s="2" t="s">
        <v>3659</v>
      </c>
      <c r="D2620" s="2" t="s">
        <v>1004</v>
      </c>
      <c r="E2620" s="2" t="s">
        <v>1006</v>
      </c>
      <c r="F2620" s="2">
        <v>188.0</v>
      </c>
      <c r="G2620" s="2">
        <v>7.2</v>
      </c>
      <c r="H2620" s="2">
        <v>26.1</v>
      </c>
      <c r="I2620" s="2" t="s">
        <v>47</v>
      </c>
    </row>
    <row r="2621" ht="15.75" customHeight="1">
      <c r="A2621" s="2" t="s">
        <v>4236</v>
      </c>
      <c r="B2621" s="2" t="s">
        <v>4237</v>
      </c>
      <c r="C2621" s="2" t="s">
        <v>3659</v>
      </c>
      <c r="D2621" s="2" t="s">
        <v>792</v>
      </c>
      <c r="E2621" s="2" t="s">
        <v>793</v>
      </c>
      <c r="F2621" s="2">
        <v>10193.0</v>
      </c>
      <c r="G2621" s="2">
        <v>26.59</v>
      </c>
      <c r="H2621" s="2">
        <v>383.3</v>
      </c>
      <c r="I2621" s="2" t="s">
        <v>805</v>
      </c>
    </row>
    <row r="2622" ht="15.75" customHeight="1">
      <c r="A2622" s="2" t="s">
        <v>6336</v>
      </c>
      <c r="B2622" s="2" t="s">
        <v>6337</v>
      </c>
      <c r="C2622" s="2" t="s">
        <v>3659</v>
      </c>
      <c r="D2622" s="2" t="s">
        <v>792</v>
      </c>
      <c r="E2622" s="2" t="s">
        <v>793</v>
      </c>
      <c r="F2622" s="2">
        <v>219.0</v>
      </c>
      <c r="G2622" s="2">
        <v>3.66</v>
      </c>
      <c r="H2622" s="2">
        <v>59.8</v>
      </c>
      <c r="I2622" s="2" t="s">
        <v>47</v>
      </c>
    </row>
    <row r="2623" ht="15.75" customHeight="1">
      <c r="A2623" s="2" t="s">
        <v>6338</v>
      </c>
      <c r="B2623" s="2" t="s">
        <v>6339</v>
      </c>
      <c r="C2623" s="2" t="s">
        <v>3659</v>
      </c>
      <c r="D2623" s="2" t="s">
        <v>1004</v>
      </c>
      <c r="E2623" s="2" t="s">
        <v>1006</v>
      </c>
      <c r="F2623" s="2">
        <v>174.0</v>
      </c>
      <c r="G2623" s="2">
        <v>4.76</v>
      </c>
      <c r="H2623" s="2">
        <v>36.6</v>
      </c>
      <c r="I2623" s="2" t="s">
        <v>47</v>
      </c>
    </row>
    <row r="2624" ht="15.75" customHeight="1">
      <c r="A2624" s="2" t="s">
        <v>4238</v>
      </c>
      <c r="B2624" s="2" t="s">
        <v>4239</v>
      </c>
      <c r="C2624" s="2" t="s">
        <v>3659</v>
      </c>
      <c r="D2624" s="2" t="s">
        <v>1004</v>
      </c>
      <c r="E2624" s="2" t="s">
        <v>1006</v>
      </c>
      <c r="F2624" s="2">
        <v>582.0</v>
      </c>
      <c r="G2624" s="2">
        <v>17.88</v>
      </c>
      <c r="H2624" s="2">
        <v>32.6</v>
      </c>
      <c r="I2624" s="2" t="s">
        <v>27</v>
      </c>
    </row>
    <row r="2625" ht="15.75" customHeight="1">
      <c r="A2625" s="2" t="s">
        <v>4242</v>
      </c>
      <c r="B2625" s="2" t="s">
        <v>4243</v>
      </c>
      <c r="C2625" s="2" t="s">
        <v>3659</v>
      </c>
      <c r="D2625" s="2" t="s">
        <v>792</v>
      </c>
      <c r="E2625" s="2" t="s">
        <v>793</v>
      </c>
      <c r="F2625" s="2">
        <v>335.0</v>
      </c>
      <c r="G2625" s="2">
        <v>3.27</v>
      </c>
      <c r="H2625" s="2">
        <v>102.4</v>
      </c>
      <c r="I2625" s="2" t="s">
        <v>47</v>
      </c>
    </row>
    <row r="2626" ht="15.75" customHeight="1">
      <c r="A2626" s="2" t="s">
        <v>4244</v>
      </c>
      <c r="B2626" s="2" t="s">
        <v>4245</v>
      </c>
      <c r="C2626" s="2" t="s">
        <v>3659</v>
      </c>
      <c r="D2626" s="2" t="s">
        <v>807</v>
      </c>
      <c r="E2626" s="2" t="s">
        <v>808</v>
      </c>
      <c r="F2626" s="2">
        <v>30063.0</v>
      </c>
      <c r="G2626" s="2">
        <v>12.84</v>
      </c>
      <c r="H2626" s="2">
        <v>2341.4</v>
      </c>
      <c r="I2626" s="2" t="s">
        <v>805</v>
      </c>
    </row>
    <row r="2627" ht="15.75" customHeight="1">
      <c r="A2627" s="2" t="s">
        <v>4246</v>
      </c>
      <c r="B2627" s="2" t="s">
        <v>4247</v>
      </c>
      <c r="C2627" s="2" t="s">
        <v>3659</v>
      </c>
      <c r="D2627" s="2" t="s">
        <v>792</v>
      </c>
      <c r="E2627" s="2" t="s">
        <v>793</v>
      </c>
      <c r="F2627" s="2">
        <v>2324.0</v>
      </c>
      <c r="G2627" s="2">
        <v>9.45</v>
      </c>
      <c r="H2627" s="2">
        <v>245.9</v>
      </c>
      <c r="I2627" s="2" t="s">
        <v>138</v>
      </c>
    </row>
    <row r="2628" ht="15.75" customHeight="1">
      <c r="A2628" s="2" t="s">
        <v>4250</v>
      </c>
      <c r="B2628" s="2" t="s">
        <v>4251</v>
      </c>
      <c r="C2628" s="2" t="s">
        <v>3659</v>
      </c>
      <c r="D2628" s="2" t="s">
        <v>807</v>
      </c>
      <c r="E2628" s="2" t="s">
        <v>808</v>
      </c>
      <c r="F2628" s="2">
        <v>5169.0</v>
      </c>
      <c r="G2628" s="2">
        <v>3.5</v>
      </c>
      <c r="H2628" s="2">
        <v>1476.9</v>
      </c>
      <c r="I2628" s="2" t="s">
        <v>138</v>
      </c>
    </row>
    <row r="2629" ht="15.75" customHeight="1">
      <c r="A2629" s="2" t="s">
        <v>6342</v>
      </c>
      <c r="B2629" s="2" t="s">
        <v>6343</v>
      </c>
      <c r="C2629" s="2" t="s">
        <v>3659</v>
      </c>
      <c r="D2629" s="2" t="s">
        <v>899</v>
      </c>
      <c r="E2629" s="2" t="s">
        <v>900</v>
      </c>
      <c r="F2629" s="2">
        <v>252.0</v>
      </c>
      <c r="G2629" s="2">
        <v>9.12</v>
      </c>
      <c r="H2629" s="2">
        <v>27.6</v>
      </c>
      <c r="I2629" s="2" t="s">
        <v>47</v>
      </c>
    </row>
    <row r="2630" ht="15.75" customHeight="1">
      <c r="A2630" s="2" t="s">
        <v>4252</v>
      </c>
      <c r="B2630" s="2" t="s">
        <v>4253</v>
      </c>
      <c r="C2630" s="2" t="s">
        <v>3659</v>
      </c>
      <c r="D2630" s="2" t="s">
        <v>861</v>
      </c>
      <c r="E2630" s="2" t="s">
        <v>862</v>
      </c>
      <c r="F2630" s="2">
        <v>1528.0</v>
      </c>
      <c r="G2630" s="2">
        <v>10.26</v>
      </c>
      <c r="H2630" s="2">
        <v>148.9</v>
      </c>
      <c r="I2630" s="2" t="s">
        <v>27</v>
      </c>
    </row>
    <row r="2631" ht="15.75" customHeight="1">
      <c r="A2631" s="2" t="s">
        <v>4254</v>
      </c>
      <c r="B2631" s="2" t="s">
        <v>4255</v>
      </c>
      <c r="C2631" s="2" t="s">
        <v>3659</v>
      </c>
      <c r="D2631" s="2" t="s">
        <v>833</v>
      </c>
      <c r="E2631" s="2" t="s">
        <v>835</v>
      </c>
      <c r="F2631" s="2">
        <v>10548.0</v>
      </c>
      <c r="G2631" s="2">
        <v>8.43</v>
      </c>
      <c r="H2631" s="2">
        <v>1251.2</v>
      </c>
      <c r="I2631" s="2" t="s">
        <v>805</v>
      </c>
    </row>
    <row r="2632" ht="15.75" customHeight="1">
      <c r="A2632" s="2" t="s">
        <v>6344</v>
      </c>
      <c r="B2632" s="2" t="s">
        <v>6345</v>
      </c>
      <c r="C2632" s="2" t="s">
        <v>3659</v>
      </c>
      <c r="D2632" s="2" t="s">
        <v>861</v>
      </c>
      <c r="E2632" s="2" t="s">
        <v>862</v>
      </c>
      <c r="F2632" s="2">
        <v>149.0</v>
      </c>
      <c r="G2632" s="2">
        <v>3.53</v>
      </c>
      <c r="H2632" s="2">
        <v>42.2</v>
      </c>
      <c r="I2632" s="2" t="s">
        <v>47</v>
      </c>
    </row>
    <row r="2633" ht="15.75" customHeight="1">
      <c r="A2633" s="2" t="s">
        <v>6346</v>
      </c>
      <c r="B2633" s="2" t="s">
        <v>6347</v>
      </c>
      <c r="C2633" s="2" t="s">
        <v>3659</v>
      </c>
      <c r="D2633" s="2" t="s">
        <v>809</v>
      </c>
      <c r="E2633" s="2" t="s">
        <v>811</v>
      </c>
      <c r="F2633" s="2">
        <v>253.0</v>
      </c>
      <c r="G2633" s="2">
        <v>10.97</v>
      </c>
      <c r="H2633" s="2">
        <v>23.1</v>
      </c>
      <c r="I2633" s="2" t="s">
        <v>47</v>
      </c>
    </row>
    <row r="2634" ht="15.75" customHeight="1">
      <c r="A2634" s="2" t="s">
        <v>4256</v>
      </c>
      <c r="B2634" s="2" t="s">
        <v>4257</v>
      </c>
      <c r="C2634" s="2" t="s">
        <v>3659</v>
      </c>
      <c r="D2634" s="2" t="s">
        <v>807</v>
      </c>
      <c r="E2634" s="2" t="s">
        <v>808</v>
      </c>
      <c r="F2634" s="2">
        <v>6799.0</v>
      </c>
      <c r="G2634" s="2">
        <v>12.69</v>
      </c>
      <c r="H2634" s="2">
        <v>535.8</v>
      </c>
      <c r="I2634" s="2" t="s">
        <v>138</v>
      </c>
    </row>
    <row r="2635" ht="15.75" customHeight="1">
      <c r="A2635" s="2" t="s">
        <v>4258</v>
      </c>
      <c r="B2635" s="2" t="s">
        <v>4259</v>
      </c>
      <c r="C2635" s="2" t="s">
        <v>3659</v>
      </c>
      <c r="D2635" s="2" t="s">
        <v>792</v>
      </c>
      <c r="E2635" s="2" t="s">
        <v>793</v>
      </c>
      <c r="F2635" s="2">
        <v>1651.0</v>
      </c>
      <c r="G2635" s="2">
        <v>6.87</v>
      </c>
      <c r="H2635" s="2">
        <v>240.3</v>
      </c>
      <c r="I2635" s="2" t="s">
        <v>27</v>
      </c>
    </row>
    <row r="2636" ht="15.75" customHeight="1">
      <c r="A2636" s="2" t="s">
        <v>6348</v>
      </c>
      <c r="B2636" s="2" t="s">
        <v>6349</v>
      </c>
      <c r="C2636" s="2" t="s">
        <v>3659</v>
      </c>
      <c r="D2636" s="2" t="s">
        <v>861</v>
      </c>
      <c r="E2636" s="2" t="s">
        <v>862</v>
      </c>
      <c r="F2636" s="2">
        <v>544.0</v>
      </c>
      <c r="G2636" s="2">
        <v>10.46</v>
      </c>
      <c r="H2636" s="2">
        <v>52.0</v>
      </c>
      <c r="I2636" s="2" t="s">
        <v>27</v>
      </c>
    </row>
    <row r="2637" ht="15.75" customHeight="1">
      <c r="A2637" s="2" t="s">
        <v>4262</v>
      </c>
      <c r="B2637" s="2" t="s">
        <v>4263</v>
      </c>
      <c r="C2637" s="2" t="s">
        <v>3659</v>
      </c>
      <c r="D2637" s="2" t="s">
        <v>1042</v>
      </c>
      <c r="E2637" s="2" t="s">
        <v>1043</v>
      </c>
      <c r="F2637" s="2">
        <v>947.0</v>
      </c>
      <c r="G2637" s="2">
        <v>12.97</v>
      </c>
      <c r="H2637" s="2">
        <v>73.0</v>
      </c>
      <c r="I2637" s="2" t="s">
        <v>27</v>
      </c>
    </row>
    <row r="2638" ht="15.75" customHeight="1">
      <c r="A2638" s="2" t="s">
        <v>4264</v>
      </c>
      <c r="B2638" s="2" t="s">
        <v>4265</v>
      </c>
      <c r="C2638" s="2" t="s">
        <v>3659</v>
      </c>
      <c r="D2638" s="2" t="s">
        <v>792</v>
      </c>
      <c r="E2638" s="2" t="s">
        <v>793</v>
      </c>
      <c r="F2638" s="2">
        <v>1256.0</v>
      </c>
      <c r="G2638" s="2">
        <v>2.06</v>
      </c>
      <c r="H2638" s="2">
        <v>609.7</v>
      </c>
      <c r="I2638" s="2" t="s">
        <v>27</v>
      </c>
    </row>
    <row r="2639" ht="15.75" customHeight="1">
      <c r="A2639" s="2" t="s">
        <v>6350</v>
      </c>
      <c r="B2639" s="2" t="s">
        <v>6351</v>
      </c>
      <c r="C2639" s="2" t="s">
        <v>3659</v>
      </c>
      <c r="D2639" s="2" t="s">
        <v>951</v>
      </c>
      <c r="E2639" s="2" t="s">
        <v>953</v>
      </c>
      <c r="F2639" s="2">
        <v>140.0</v>
      </c>
      <c r="G2639" s="2">
        <v>2.84</v>
      </c>
      <c r="H2639" s="2">
        <v>49.3</v>
      </c>
      <c r="I2639" s="2" t="s">
        <v>47</v>
      </c>
    </row>
    <row r="2640" ht="15.75" customHeight="1">
      <c r="A2640" s="2" t="s">
        <v>4266</v>
      </c>
      <c r="B2640" s="2" t="s">
        <v>4267</v>
      </c>
      <c r="C2640" s="2" t="s">
        <v>3659</v>
      </c>
      <c r="D2640" s="2" t="s">
        <v>962</v>
      </c>
      <c r="E2640" s="2" t="s">
        <v>965</v>
      </c>
      <c r="F2640" s="2">
        <v>3579.0</v>
      </c>
      <c r="G2640" s="2">
        <v>10.04</v>
      </c>
      <c r="H2640" s="2">
        <v>356.5</v>
      </c>
      <c r="I2640" s="2" t="s">
        <v>138</v>
      </c>
    </row>
    <row r="2641" ht="15.75" customHeight="1">
      <c r="A2641" s="2" t="s">
        <v>6306</v>
      </c>
      <c r="B2641" s="2" t="s">
        <v>6307</v>
      </c>
      <c r="C2641" s="2" t="s">
        <v>3659</v>
      </c>
      <c r="D2641" s="2" t="s">
        <v>997</v>
      </c>
      <c r="E2641" s="2" t="s">
        <v>999</v>
      </c>
      <c r="F2641" s="2">
        <v>44.0</v>
      </c>
      <c r="G2641" s="2">
        <v>3.73</v>
      </c>
      <c r="H2641" s="2">
        <v>11.8</v>
      </c>
      <c r="I2641" s="2" t="s">
        <v>47</v>
      </c>
    </row>
    <row r="2642" ht="15.75" customHeight="1">
      <c r="A2642" s="2" t="s">
        <v>6312</v>
      </c>
      <c r="B2642" s="2" t="s">
        <v>6313</v>
      </c>
      <c r="C2642" s="2" t="s">
        <v>3659</v>
      </c>
      <c r="D2642" s="2" t="s">
        <v>809</v>
      </c>
      <c r="E2642" s="2" t="s">
        <v>811</v>
      </c>
      <c r="F2642" s="2">
        <v>291.0</v>
      </c>
      <c r="G2642" s="2">
        <v>10.77</v>
      </c>
      <c r="H2642" s="2">
        <v>27.0</v>
      </c>
      <c r="I2642" s="2" t="s">
        <v>47</v>
      </c>
    </row>
    <row r="2643" ht="15.75" customHeight="1">
      <c r="A2643" s="2" t="s">
        <v>4270</v>
      </c>
      <c r="B2643" s="2" t="s">
        <v>4271</v>
      </c>
      <c r="C2643" s="2" t="s">
        <v>3659</v>
      </c>
      <c r="D2643" s="2" t="s">
        <v>904</v>
      </c>
      <c r="E2643" s="2" t="s">
        <v>906</v>
      </c>
      <c r="F2643" s="2">
        <v>647.0</v>
      </c>
      <c r="G2643" s="2">
        <v>9.92</v>
      </c>
      <c r="H2643" s="2">
        <v>65.2</v>
      </c>
      <c r="I2643" s="2" t="s">
        <v>27</v>
      </c>
    </row>
    <row r="2644" ht="15.75" customHeight="1">
      <c r="A2644" s="2" t="s">
        <v>6354</v>
      </c>
      <c r="B2644" s="2" t="s">
        <v>6355</v>
      </c>
      <c r="C2644" s="2" t="s">
        <v>3659</v>
      </c>
      <c r="D2644" s="2" t="s">
        <v>904</v>
      </c>
      <c r="E2644" s="2" t="s">
        <v>906</v>
      </c>
      <c r="F2644" s="2">
        <v>105.0</v>
      </c>
      <c r="G2644" s="2">
        <v>4.52</v>
      </c>
      <c r="H2644" s="2">
        <v>23.2</v>
      </c>
      <c r="I2644" s="2" t="s">
        <v>47</v>
      </c>
    </row>
    <row r="2645" ht="15.75" customHeight="1">
      <c r="A2645" s="2" t="s">
        <v>6356</v>
      </c>
      <c r="B2645" s="2" t="s">
        <v>6357</v>
      </c>
      <c r="C2645" s="2" t="s">
        <v>3659</v>
      </c>
      <c r="D2645" s="2" t="s">
        <v>899</v>
      </c>
      <c r="E2645" s="2" t="s">
        <v>900</v>
      </c>
      <c r="F2645" s="2">
        <v>451.0</v>
      </c>
      <c r="G2645" s="2">
        <v>12.12</v>
      </c>
      <c r="H2645" s="2">
        <v>37.2</v>
      </c>
      <c r="I2645" s="2" t="s">
        <v>47</v>
      </c>
    </row>
    <row r="2646" ht="15.75" customHeight="1">
      <c r="A2646" s="2" t="s">
        <v>6358</v>
      </c>
      <c r="B2646" s="2" t="s">
        <v>6359</v>
      </c>
      <c r="C2646" s="2" t="s">
        <v>3659</v>
      </c>
      <c r="D2646" s="2" t="s">
        <v>1004</v>
      </c>
      <c r="E2646" s="2" t="s">
        <v>1006</v>
      </c>
      <c r="F2646" s="2">
        <v>266.0</v>
      </c>
      <c r="G2646" s="2">
        <v>5.2</v>
      </c>
      <c r="H2646" s="2">
        <v>51.2</v>
      </c>
      <c r="I2646" s="2" t="s">
        <v>47</v>
      </c>
    </row>
    <row r="2647" ht="15.75" customHeight="1">
      <c r="A2647" s="2" t="s">
        <v>4274</v>
      </c>
      <c r="B2647" s="2" t="s">
        <v>4275</v>
      </c>
      <c r="C2647" s="2" t="s">
        <v>3659</v>
      </c>
      <c r="D2647" s="2" t="s">
        <v>792</v>
      </c>
      <c r="E2647" s="2" t="s">
        <v>793</v>
      </c>
      <c r="F2647" s="2">
        <v>1678.0</v>
      </c>
      <c r="G2647" s="2">
        <v>5.55</v>
      </c>
      <c r="H2647" s="2">
        <v>302.3</v>
      </c>
      <c r="I2647" s="2" t="s">
        <v>27</v>
      </c>
    </row>
    <row r="2648" ht="15.75" customHeight="1">
      <c r="A2648" s="2" t="s">
        <v>6360</v>
      </c>
      <c r="B2648" s="2" t="s">
        <v>6361</v>
      </c>
      <c r="C2648" s="2" t="s">
        <v>3659</v>
      </c>
      <c r="D2648" s="2" t="s">
        <v>899</v>
      </c>
      <c r="E2648" s="2" t="s">
        <v>900</v>
      </c>
      <c r="F2648" s="2">
        <v>119.0</v>
      </c>
      <c r="G2648" s="2">
        <v>4.38</v>
      </c>
      <c r="H2648" s="2">
        <v>27.2</v>
      </c>
      <c r="I2648" s="2" t="s">
        <v>47</v>
      </c>
    </row>
    <row r="2649" ht="15.75" customHeight="1">
      <c r="A2649" s="2" t="s">
        <v>6362</v>
      </c>
      <c r="B2649" s="2" t="s">
        <v>6363</v>
      </c>
      <c r="C2649" s="2" t="s">
        <v>3659</v>
      </c>
      <c r="D2649" s="2" t="s">
        <v>904</v>
      </c>
      <c r="E2649" s="2" t="s">
        <v>906</v>
      </c>
      <c r="F2649" s="2">
        <v>205.0</v>
      </c>
      <c r="G2649" s="2">
        <v>6.93</v>
      </c>
      <c r="H2649" s="2">
        <v>29.6</v>
      </c>
      <c r="I2649" s="2" t="s">
        <v>47</v>
      </c>
    </row>
    <row r="2650" ht="15.75" customHeight="1">
      <c r="A2650" s="2" t="s">
        <v>4276</v>
      </c>
      <c r="B2650" s="2" t="s">
        <v>4277</v>
      </c>
      <c r="C2650" s="2" t="s">
        <v>3659</v>
      </c>
      <c r="D2650" s="2" t="s">
        <v>833</v>
      </c>
      <c r="E2650" s="2" t="s">
        <v>835</v>
      </c>
      <c r="F2650" s="2">
        <v>1973.0</v>
      </c>
      <c r="G2650" s="2">
        <v>9.7</v>
      </c>
      <c r="H2650" s="2">
        <v>203.4</v>
      </c>
      <c r="I2650" s="2" t="s">
        <v>27</v>
      </c>
    </row>
    <row r="2651" ht="15.75" customHeight="1">
      <c r="A2651" s="2" t="s">
        <v>6364</v>
      </c>
      <c r="B2651" s="2" t="s">
        <v>6365</v>
      </c>
      <c r="C2651" s="2" t="s">
        <v>3659</v>
      </c>
      <c r="D2651" s="2" t="s">
        <v>904</v>
      </c>
      <c r="E2651" s="2" t="s">
        <v>906</v>
      </c>
      <c r="F2651" s="2">
        <v>182.0</v>
      </c>
      <c r="G2651" s="2">
        <v>4.08</v>
      </c>
      <c r="H2651" s="2">
        <v>44.6</v>
      </c>
      <c r="I2651" s="2" t="s">
        <v>47</v>
      </c>
    </row>
    <row r="2652" ht="15.75" customHeight="1">
      <c r="A2652" s="2" t="s">
        <v>6366</v>
      </c>
      <c r="B2652" s="2" t="s">
        <v>6367</v>
      </c>
      <c r="C2652" s="2" t="s">
        <v>3659</v>
      </c>
      <c r="D2652" s="2" t="s">
        <v>951</v>
      </c>
      <c r="E2652" s="2" t="s">
        <v>953</v>
      </c>
      <c r="F2652" s="2">
        <v>152.0</v>
      </c>
      <c r="G2652" s="2">
        <v>3.99</v>
      </c>
      <c r="H2652" s="2">
        <v>38.1</v>
      </c>
      <c r="I2652" s="2" t="s">
        <v>47</v>
      </c>
    </row>
    <row r="2653" ht="15.75" customHeight="1">
      <c r="A2653" s="2" t="s">
        <v>6368</v>
      </c>
      <c r="B2653" s="2" t="s">
        <v>6369</v>
      </c>
      <c r="C2653" s="2" t="s">
        <v>3659</v>
      </c>
      <c r="D2653" s="2" t="s">
        <v>892</v>
      </c>
      <c r="E2653" s="2" t="s">
        <v>893</v>
      </c>
      <c r="F2653" s="2">
        <v>336.0</v>
      </c>
      <c r="G2653" s="2">
        <v>3.99</v>
      </c>
      <c r="H2653" s="2">
        <v>84.2</v>
      </c>
      <c r="I2653" s="2" t="s">
        <v>47</v>
      </c>
    </row>
    <row r="2654" ht="15.75" customHeight="1">
      <c r="A2654" s="2" t="s">
        <v>6370</v>
      </c>
      <c r="B2654" s="2" t="s">
        <v>6371</v>
      </c>
      <c r="C2654" s="2" t="s">
        <v>3659</v>
      </c>
      <c r="D2654" s="2" t="s">
        <v>899</v>
      </c>
      <c r="E2654" s="2" t="s">
        <v>900</v>
      </c>
      <c r="F2654" s="2">
        <v>73.0</v>
      </c>
      <c r="G2654" s="2">
        <v>3.89</v>
      </c>
      <c r="H2654" s="2">
        <v>18.8</v>
      </c>
      <c r="I2654" s="2" t="s">
        <v>47</v>
      </c>
    </row>
    <row r="2655" ht="15.75" customHeight="1">
      <c r="A2655" s="2" t="s">
        <v>4278</v>
      </c>
      <c r="B2655" s="2" t="s">
        <v>4279</v>
      </c>
      <c r="C2655" s="2" t="s">
        <v>3659</v>
      </c>
      <c r="D2655" s="2" t="s">
        <v>840</v>
      </c>
      <c r="E2655" s="2" t="s">
        <v>842</v>
      </c>
      <c r="F2655" s="2">
        <v>10467.0</v>
      </c>
      <c r="G2655" s="2">
        <v>32.18</v>
      </c>
      <c r="H2655" s="2">
        <v>325.3</v>
      </c>
      <c r="I2655" s="2" t="s">
        <v>805</v>
      </c>
    </row>
    <row r="2656" ht="15.75" customHeight="1">
      <c r="A2656" s="2" t="s">
        <v>4280</v>
      </c>
      <c r="B2656" s="2" t="s">
        <v>4281</v>
      </c>
      <c r="C2656" s="2" t="s">
        <v>3659</v>
      </c>
      <c r="D2656" s="2" t="s">
        <v>899</v>
      </c>
      <c r="E2656" s="2" t="s">
        <v>900</v>
      </c>
      <c r="F2656" s="2">
        <v>1090.0</v>
      </c>
      <c r="G2656" s="2">
        <v>5.57</v>
      </c>
      <c r="H2656" s="2">
        <v>195.7</v>
      </c>
      <c r="I2656" s="2" t="s">
        <v>27</v>
      </c>
    </row>
    <row r="2657" ht="15.75" customHeight="1">
      <c r="A2657" s="2" t="s">
        <v>6372</v>
      </c>
      <c r="B2657" s="2" t="s">
        <v>6373</v>
      </c>
      <c r="C2657" s="2" t="s">
        <v>3659</v>
      </c>
      <c r="D2657" s="2" t="s">
        <v>899</v>
      </c>
      <c r="E2657" s="2" t="s">
        <v>900</v>
      </c>
      <c r="F2657" s="2">
        <v>283.0</v>
      </c>
      <c r="G2657" s="2">
        <v>10.07</v>
      </c>
      <c r="H2657" s="2">
        <v>28.1</v>
      </c>
      <c r="I2657" s="2" t="s">
        <v>47</v>
      </c>
    </row>
    <row r="2658" ht="15.75" customHeight="1">
      <c r="A2658" s="2" t="s">
        <v>4284</v>
      </c>
      <c r="B2658" s="2" t="s">
        <v>4285</v>
      </c>
      <c r="C2658" s="2" t="s">
        <v>3659</v>
      </c>
      <c r="D2658" s="2" t="s">
        <v>899</v>
      </c>
      <c r="E2658" s="2" t="s">
        <v>900</v>
      </c>
      <c r="F2658" s="2">
        <v>1070.0</v>
      </c>
      <c r="G2658" s="2">
        <v>7.98</v>
      </c>
      <c r="H2658" s="2">
        <v>134.1</v>
      </c>
      <c r="I2658" s="2" t="s">
        <v>27</v>
      </c>
    </row>
    <row r="2659" ht="15.75" customHeight="1">
      <c r="A2659" s="2" t="s">
        <v>6374</v>
      </c>
      <c r="B2659" s="2" t="s">
        <v>6375</v>
      </c>
      <c r="C2659" s="2" t="s">
        <v>3659</v>
      </c>
      <c r="D2659" s="2" t="s">
        <v>1004</v>
      </c>
      <c r="E2659" s="2" t="s">
        <v>1006</v>
      </c>
      <c r="F2659" s="2">
        <v>279.0</v>
      </c>
      <c r="G2659" s="2">
        <v>3.17</v>
      </c>
      <c r="H2659" s="2">
        <v>88.0</v>
      </c>
      <c r="I2659" s="2" t="s">
        <v>47</v>
      </c>
    </row>
    <row r="2660" ht="15.75" customHeight="1">
      <c r="A2660" s="2" t="s">
        <v>6376</v>
      </c>
      <c r="B2660" s="2" t="s">
        <v>6377</v>
      </c>
      <c r="C2660" s="2" t="s">
        <v>3659</v>
      </c>
      <c r="D2660" s="2" t="s">
        <v>809</v>
      </c>
      <c r="E2660" s="2" t="s">
        <v>811</v>
      </c>
      <c r="F2660" s="2">
        <v>93.0</v>
      </c>
      <c r="G2660" s="2">
        <v>2.46</v>
      </c>
      <c r="H2660" s="2">
        <v>37.8</v>
      </c>
      <c r="I2660" s="2" t="s">
        <v>47</v>
      </c>
    </row>
    <row r="2661" ht="15.75" customHeight="1">
      <c r="A2661" s="2" t="s">
        <v>4286</v>
      </c>
      <c r="B2661" s="2" t="s">
        <v>4289</v>
      </c>
      <c r="C2661" s="2" t="s">
        <v>3659</v>
      </c>
      <c r="D2661" s="2" t="s">
        <v>792</v>
      </c>
      <c r="E2661" s="2" t="s">
        <v>793</v>
      </c>
      <c r="F2661" s="2">
        <v>5411.0</v>
      </c>
      <c r="G2661" s="2">
        <v>4.47</v>
      </c>
      <c r="H2661" s="2">
        <v>1210.5</v>
      </c>
      <c r="I2661" s="2" t="s">
        <v>138</v>
      </c>
    </row>
    <row r="2662" ht="15.75" customHeight="1">
      <c r="A2662" s="2" t="s">
        <v>4290</v>
      </c>
      <c r="B2662" s="2" t="s">
        <v>4291</v>
      </c>
      <c r="C2662" s="2" t="s">
        <v>3659</v>
      </c>
      <c r="D2662" s="2" t="s">
        <v>899</v>
      </c>
      <c r="E2662" s="2" t="s">
        <v>900</v>
      </c>
      <c r="F2662" s="2">
        <v>314.0</v>
      </c>
      <c r="G2662" s="2">
        <v>5.14</v>
      </c>
      <c r="H2662" s="2">
        <v>61.1</v>
      </c>
      <c r="I2662" s="2" t="s">
        <v>47</v>
      </c>
    </row>
    <row r="2663" ht="15.75" customHeight="1">
      <c r="A2663" s="2" t="s">
        <v>6378</v>
      </c>
      <c r="B2663" s="2" t="s">
        <v>6379</v>
      </c>
      <c r="C2663" s="2" t="s">
        <v>3659</v>
      </c>
      <c r="D2663" s="2" t="s">
        <v>1004</v>
      </c>
      <c r="E2663" s="2" t="s">
        <v>1006</v>
      </c>
      <c r="F2663" s="2">
        <v>166.0</v>
      </c>
      <c r="G2663" s="2">
        <v>3.59</v>
      </c>
      <c r="H2663" s="2">
        <v>46.2</v>
      </c>
      <c r="I2663" s="2" t="s">
        <v>47</v>
      </c>
    </row>
    <row r="2664" ht="15.75" customHeight="1">
      <c r="A2664" s="2" t="s">
        <v>4292</v>
      </c>
      <c r="B2664" s="2" t="s">
        <v>4293</v>
      </c>
      <c r="C2664" s="2" t="s">
        <v>3659</v>
      </c>
      <c r="D2664" s="2" t="s">
        <v>1038</v>
      </c>
      <c r="E2664" s="2" t="s">
        <v>1039</v>
      </c>
      <c r="F2664" s="2">
        <v>1039.0</v>
      </c>
      <c r="G2664" s="2">
        <v>8.27</v>
      </c>
      <c r="H2664" s="2">
        <v>125.6</v>
      </c>
      <c r="I2664" s="2" t="s">
        <v>27</v>
      </c>
    </row>
    <row r="2665" ht="15.75" customHeight="1">
      <c r="A2665" s="2" t="s">
        <v>4294</v>
      </c>
      <c r="B2665" s="2" t="s">
        <v>4295</v>
      </c>
      <c r="C2665" s="2" t="s">
        <v>3659</v>
      </c>
      <c r="D2665" s="2" t="s">
        <v>892</v>
      </c>
      <c r="E2665" s="2" t="s">
        <v>893</v>
      </c>
      <c r="F2665" s="2">
        <v>5217.0</v>
      </c>
      <c r="G2665" s="2">
        <v>13.44</v>
      </c>
      <c r="H2665" s="2">
        <v>388.2</v>
      </c>
      <c r="I2665" s="2" t="s">
        <v>138</v>
      </c>
    </row>
    <row r="2666" ht="15.75" customHeight="1">
      <c r="A2666" s="2" t="s">
        <v>6380</v>
      </c>
      <c r="B2666" s="2" t="s">
        <v>6381</v>
      </c>
      <c r="C2666" s="2" t="s">
        <v>3659</v>
      </c>
      <c r="D2666" s="2" t="s">
        <v>997</v>
      </c>
      <c r="E2666" s="2" t="s">
        <v>999</v>
      </c>
      <c r="F2666" s="2">
        <v>173.0</v>
      </c>
      <c r="G2666" s="2">
        <v>5.94</v>
      </c>
      <c r="H2666" s="2">
        <v>29.1</v>
      </c>
      <c r="I2666" s="2" t="s">
        <v>47</v>
      </c>
    </row>
    <row r="2667" ht="15.75" customHeight="1">
      <c r="A2667" s="2" t="s">
        <v>4296</v>
      </c>
      <c r="B2667" s="2" t="s">
        <v>4297</v>
      </c>
      <c r="C2667" s="2" t="s">
        <v>3659</v>
      </c>
      <c r="D2667" s="2" t="s">
        <v>1082</v>
      </c>
      <c r="E2667" s="2" t="s">
        <v>1084</v>
      </c>
      <c r="F2667" s="2">
        <v>2422.0</v>
      </c>
      <c r="G2667" s="2">
        <v>11.82</v>
      </c>
      <c r="H2667" s="2">
        <v>204.9</v>
      </c>
      <c r="I2667" s="2" t="s">
        <v>138</v>
      </c>
    </row>
    <row r="2668" ht="15.75" customHeight="1">
      <c r="A2668" s="2" t="s">
        <v>6382</v>
      </c>
      <c r="B2668" s="2" t="s">
        <v>6383</v>
      </c>
      <c r="C2668" s="2" t="s">
        <v>3659</v>
      </c>
      <c r="D2668" s="2" t="s">
        <v>951</v>
      </c>
      <c r="E2668" s="2" t="s">
        <v>953</v>
      </c>
      <c r="F2668" s="2">
        <v>177.0</v>
      </c>
      <c r="G2668" s="2">
        <v>4.48</v>
      </c>
      <c r="H2668" s="2">
        <v>39.5</v>
      </c>
      <c r="I2668" s="2" t="s">
        <v>47</v>
      </c>
    </row>
    <row r="2669" ht="15.75" customHeight="1">
      <c r="A2669" s="2" t="s">
        <v>4298</v>
      </c>
      <c r="B2669" s="2" t="s">
        <v>4299</v>
      </c>
      <c r="C2669" s="2" t="s">
        <v>3659</v>
      </c>
      <c r="D2669" s="2" t="s">
        <v>807</v>
      </c>
      <c r="E2669" s="2" t="s">
        <v>808</v>
      </c>
      <c r="F2669" s="2">
        <v>8217.0</v>
      </c>
      <c r="G2669" s="2">
        <v>10.29</v>
      </c>
      <c r="H2669" s="2">
        <v>798.5</v>
      </c>
      <c r="I2669" s="2" t="s">
        <v>138</v>
      </c>
    </row>
    <row r="2670" ht="15.75" customHeight="1">
      <c r="A2670" s="2" t="s">
        <v>4300</v>
      </c>
      <c r="B2670" s="2" t="s">
        <v>4301</v>
      </c>
      <c r="C2670" s="2" t="s">
        <v>3659</v>
      </c>
      <c r="D2670" s="2" t="s">
        <v>792</v>
      </c>
      <c r="E2670" s="2" t="s">
        <v>793</v>
      </c>
      <c r="F2670" s="2">
        <v>457.0</v>
      </c>
      <c r="G2670" s="2">
        <v>5.2</v>
      </c>
      <c r="H2670" s="2">
        <v>87.9</v>
      </c>
      <c r="I2670" s="2" t="s">
        <v>47</v>
      </c>
    </row>
    <row r="2671" ht="15.75" customHeight="1">
      <c r="A2671" s="2" t="s">
        <v>6384</v>
      </c>
      <c r="B2671" s="2" t="s">
        <v>6385</v>
      </c>
      <c r="C2671" s="2" t="s">
        <v>3659</v>
      </c>
      <c r="D2671" s="2" t="s">
        <v>951</v>
      </c>
      <c r="E2671" s="2" t="s">
        <v>953</v>
      </c>
      <c r="F2671" s="2">
        <v>71.0</v>
      </c>
      <c r="G2671" s="2">
        <v>2.01</v>
      </c>
      <c r="H2671" s="2">
        <v>35.3</v>
      </c>
      <c r="I2671" s="2" t="s">
        <v>47</v>
      </c>
    </row>
    <row r="2672" ht="15.75" customHeight="1">
      <c r="A2672" s="2" t="s">
        <v>6386</v>
      </c>
      <c r="B2672" s="2" t="s">
        <v>6387</v>
      </c>
      <c r="C2672" s="2" t="s">
        <v>3659</v>
      </c>
      <c r="D2672" s="2" t="s">
        <v>861</v>
      </c>
      <c r="E2672" s="2" t="s">
        <v>862</v>
      </c>
      <c r="F2672" s="2">
        <v>670.0</v>
      </c>
      <c r="G2672" s="2">
        <v>5.31</v>
      </c>
      <c r="H2672" s="2">
        <v>126.2</v>
      </c>
      <c r="I2672" s="2" t="s">
        <v>27</v>
      </c>
    </row>
    <row r="2673" ht="15.75" customHeight="1">
      <c r="A2673" s="2" t="s">
        <v>4302</v>
      </c>
      <c r="B2673" s="2" t="s">
        <v>4303</v>
      </c>
      <c r="C2673" s="2" t="s">
        <v>3659</v>
      </c>
      <c r="D2673" s="2" t="s">
        <v>833</v>
      </c>
      <c r="E2673" s="2" t="s">
        <v>835</v>
      </c>
      <c r="F2673" s="2">
        <v>649.0</v>
      </c>
      <c r="G2673" s="2">
        <v>10.89</v>
      </c>
      <c r="H2673" s="2">
        <v>59.6</v>
      </c>
      <c r="I2673" s="2" t="s">
        <v>27</v>
      </c>
    </row>
    <row r="2674" ht="15.75" customHeight="1">
      <c r="A2674" s="2" t="s">
        <v>4304</v>
      </c>
      <c r="B2674" s="2" t="s">
        <v>4305</v>
      </c>
      <c r="C2674" s="2" t="s">
        <v>3659</v>
      </c>
      <c r="D2674" s="2" t="s">
        <v>1082</v>
      </c>
      <c r="E2674" s="2" t="s">
        <v>1084</v>
      </c>
      <c r="F2674" s="2">
        <v>730.0</v>
      </c>
      <c r="G2674" s="2">
        <v>5.79</v>
      </c>
      <c r="H2674" s="2">
        <v>126.1</v>
      </c>
      <c r="I2674" s="2" t="s">
        <v>27</v>
      </c>
    </row>
    <row r="2675" ht="15.75" customHeight="1">
      <c r="A2675" s="2" t="s">
        <v>4306</v>
      </c>
      <c r="B2675" s="2" t="s">
        <v>4307</v>
      </c>
      <c r="C2675" s="2" t="s">
        <v>3659</v>
      </c>
      <c r="D2675" s="2" t="s">
        <v>833</v>
      </c>
      <c r="E2675" s="2" t="s">
        <v>835</v>
      </c>
      <c r="F2675" s="2">
        <v>655.0</v>
      </c>
      <c r="G2675" s="2">
        <v>11.95</v>
      </c>
      <c r="H2675" s="2">
        <v>54.8</v>
      </c>
      <c r="I2675" s="2" t="s">
        <v>27</v>
      </c>
    </row>
    <row r="2676" ht="15.75" customHeight="1">
      <c r="A2676" s="2" t="s">
        <v>4308</v>
      </c>
      <c r="B2676" s="2" t="s">
        <v>4309</v>
      </c>
      <c r="C2676" s="2" t="s">
        <v>3659</v>
      </c>
      <c r="D2676" s="2" t="s">
        <v>809</v>
      </c>
      <c r="E2676" s="2" t="s">
        <v>811</v>
      </c>
      <c r="F2676" s="2">
        <v>3342.0</v>
      </c>
      <c r="G2676" s="2">
        <v>20.29</v>
      </c>
      <c r="H2676" s="2">
        <v>164.7</v>
      </c>
      <c r="I2676" s="2" t="s">
        <v>138</v>
      </c>
    </row>
    <row r="2677" ht="15.75" customHeight="1">
      <c r="A2677" s="2" t="s">
        <v>4312</v>
      </c>
      <c r="B2677" s="2" t="s">
        <v>4313</v>
      </c>
      <c r="C2677" s="2" t="s">
        <v>3659</v>
      </c>
      <c r="D2677" s="2" t="s">
        <v>997</v>
      </c>
      <c r="E2677" s="2" t="s">
        <v>999</v>
      </c>
      <c r="F2677" s="2">
        <v>620.0</v>
      </c>
      <c r="G2677" s="2">
        <v>10.65</v>
      </c>
      <c r="H2677" s="2">
        <v>58.2</v>
      </c>
      <c r="I2677" s="2" t="s">
        <v>27</v>
      </c>
    </row>
    <row r="2678" ht="15.75" customHeight="1">
      <c r="A2678" s="2" t="s">
        <v>4314</v>
      </c>
      <c r="B2678" s="2" t="s">
        <v>4315</v>
      </c>
      <c r="C2678" s="2" t="s">
        <v>3659</v>
      </c>
      <c r="D2678" s="2" t="s">
        <v>807</v>
      </c>
      <c r="E2678" s="2" t="s">
        <v>808</v>
      </c>
      <c r="F2678" s="2">
        <v>3691.0</v>
      </c>
      <c r="G2678" s="2">
        <v>4.64</v>
      </c>
      <c r="H2678" s="2">
        <v>795.5</v>
      </c>
      <c r="I2678" s="2" t="s">
        <v>138</v>
      </c>
    </row>
    <row r="2679" ht="15.75" customHeight="1">
      <c r="A2679" s="2" t="s">
        <v>6388</v>
      </c>
      <c r="B2679" s="2" t="s">
        <v>6389</v>
      </c>
      <c r="C2679" s="2" t="s">
        <v>3659</v>
      </c>
      <c r="D2679" s="2" t="s">
        <v>904</v>
      </c>
      <c r="E2679" s="2" t="s">
        <v>906</v>
      </c>
      <c r="F2679" s="2">
        <v>228.0</v>
      </c>
      <c r="G2679" s="2">
        <v>3.85</v>
      </c>
      <c r="H2679" s="2">
        <v>59.2</v>
      </c>
      <c r="I2679" s="2" t="s">
        <v>47</v>
      </c>
    </row>
    <row r="2680" ht="15.75" customHeight="1">
      <c r="A2680" s="2" t="s">
        <v>6390</v>
      </c>
      <c r="B2680" s="2" t="s">
        <v>6391</v>
      </c>
      <c r="C2680" s="2" t="s">
        <v>3659</v>
      </c>
      <c r="D2680" s="2" t="s">
        <v>1004</v>
      </c>
      <c r="E2680" s="2" t="s">
        <v>1006</v>
      </c>
      <c r="F2680" s="2">
        <v>133.0</v>
      </c>
      <c r="G2680" s="2">
        <v>4.03</v>
      </c>
      <c r="H2680" s="2">
        <v>33.0</v>
      </c>
      <c r="I2680" s="2" t="s">
        <v>47</v>
      </c>
    </row>
    <row r="2681" ht="15.75" customHeight="1">
      <c r="A2681" s="2" t="s">
        <v>6392</v>
      </c>
      <c r="B2681" s="2" t="s">
        <v>6393</v>
      </c>
      <c r="C2681" s="2" t="s">
        <v>3659</v>
      </c>
      <c r="D2681" s="2" t="s">
        <v>1004</v>
      </c>
      <c r="E2681" s="2" t="s">
        <v>1006</v>
      </c>
      <c r="F2681" s="2">
        <v>71.0</v>
      </c>
      <c r="G2681" s="2">
        <v>5.0</v>
      </c>
      <c r="H2681" s="2">
        <v>14.2</v>
      </c>
      <c r="I2681" s="2" t="s">
        <v>47</v>
      </c>
    </row>
    <row r="2682" ht="15.75" customHeight="1">
      <c r="A2682" s="2" t="s">
        <v>6394</v>
      </c>
      <c r="B2682" s="2" t="s">
        <v>6395</v>
      </c>
      <c r="C2682" s="2" t="s">
        <v>3659</v>
      </c>
      <c r="D2682" s="2" t="s">
        <v>904</v>
      </c>
      <c r="E2682" s="2" t="s">
        <v>906</v>
      </c>
      <c r="F2682" s="2">
        <v>104.0</v>
      </c>
      <c r="G2682" s="2">
        <v>2.75</v>
      </c>
      <c r="H2682" s="2">
        <v>37.8</v>
      </c>
      <c r="I2682" s="2" t="s">
        <v>47</v>
      </c>
    </row>
    <row r="2683" ht="15.75" customHeight="1">
      <c r="A2683" s="2" t="s">
        <v>4317</v>
      </c>
      <c r="B2683" s="2" t="s">
        <v>4318</v>
      </c>
      <c r="C2683" s="2" t="s">
        <v>3659</v>
      </c>
      <c r="D2683" s="2" t="s">
        <v>1004</v>
      </c>
      <c r="E2683" s="2" t="s">
        <v>1006</v>
      </c>
      <c r="F2683" s="2">
        <v>512.0</v>
      </c>
      <c r="G2683" s="2">
        <v>6.83</v>
      </c>
      <c r="H2683" s="2">
        <v>75.0</v>
      </c>
      <c r="I2683" s="2" t="s">
        <v>27</v>
      </c>
    </row>
    <row r="2684" ht="15.75" customHeight="1">
      <c r="A2684" s="2" t="s">
        <v>6398</v>
      </c>
      <c r="B2684" s="2" t="s">
        <v>6399</v>
      </c>
      <c r="C2684" s="2" t="s">
        <v>3659</v>
      </c>
      <c r="D2684" s="2" t="s">
        <v>1004</v>
      </c>
      <c r="E2684" s="2" t="s">
        <v>1006</v>
      </c>
      <c r="F2684" s="2">
        <v>285.0</v>
      </c>
      <c r="G2684" s="2">
        <v>6.23</v>
      </c>
      <c r="H2684" s="2">
        <v>45.7</v>
      </c>
      <c r="I2684" s="2" t="s">
        <v>47</v>
      </c>
    </row>
    <row r="2685" ht="15.75" customHeight="1">
      <c r="A2685" s="2" t="s">
        <v>6396</v>
      </c>
      <c r="B2685" s="2" t="s">
        <v>6397</v>
      </c>
      <c r="C2685" s="2" t="s">
        <v>3659</v>
      </c>
      <c r="D2685" s="2" t="s">
        <v>904</v>
      </c>
      <c r="E2685" s="2" t="s">
        <v>906</v>
      </c>
      <c r="F2685" s="2">
        <v>545.0</v>
      </c>
      <c r="G2685" s="2">
        <v>11.1</v>
      </c>
      <c r="H2685" s="2">
        <v>49.1</v>
      </c>
      <c r="I2685" s="2" t="s">
        <v>27</v>
      </c>
    </row>
    <row r="2686" ht="15.75" customHeight="1">
      <c r="A2686" s="2" t="s">
        <v>4321</v>
      </c>
      <c r="B2686" s="2" t="s">
        <v>4322</v>
      </c>
      <c r="C2686" s="2" t="s">
        <v>3659</v>
      </c>
      <c r="D2686" s="2" t="s">
        <v>1082</v>
      </c>
      <c r="E2686" s="2" t="s">
        <v>1084</v>
      </c>
      <c r="F2686" s="2">
        <v>679.0</v>
      </c>
      <c r="G2686" s="2">
        <v>9.37</v>
      </c>
      <c r="H2686" s="2">
        <v>72.5</v>
      </c>
      <c r="I2686" s="2" t="s">
        <v>27</v>
      </c>
    </row>
    <row r="2687" ht="15.75" customHeight="1">
      <c r="A2687" s="2" t="s">
        <v>6400</v>
      </c>
      <c r="B2687" s="2" t="s">
        <v>6401</v>
      </c>
      <c r="C2687" s="2" t="s">
        <v>3659</v>
      </c>
      <c r="D2687" s="2" t="s">
        <v>904</v>
      </c>
      <c r="E2687" s="2" t="s">
        <v>906</v>
      </c>
      <c r="F2687" s="2">
        <v>600.0</v>
      </c>
      <c r="G2687" s="2">
        <v>5.07</v>
      </c>
      <c r="H2687" s="2">
        <v>118.3</v>
      </c>
      <c r="I2687" s="2" t="s">
        <v>27</v>
      </c>
    </row>
    <row r="2688" ht="15.75" customHeight="1">
      <c r="A2688" s="2" t="s">
        <v>4325</v>
      </c>
      <c r="B2688" s="2" t="s">
        <v>4326</v>
      </c>
      <c r="C2688" s="2" t="s">
        <v>3659</v>
      </c>
      <c r="D2688" s="2" t="s">
        <v>792</v>
      </c>
      <c r="E2688" s="2" t="s">
        <v>793</v>
      </c>
      <c r="F2688" s="2">
        <v>1317.0</v>
      </c>
      <c r="G2688" s="2">
        <v>11.46</v>
      </c>
      <c r="H2688" s="2">
        <v>114.9</v>
      </c>
      <c r="I2688" s="2" t="s">
        <v>27</v>
      </c>
    </row>
    <row r="2689" ht="15.75" customHeight="1">
      <c r="A2689" s="2" t="s">
        <v>4327</v>
      </c>
      <c r="B2689" s="2" t="s">
        <v>4328</v>
      </c>
      <c r="C2689" s="2" t="s">
        <v>3659</v>
      </c>
      <c r="D2689" s="2" t="s">
        <v>1082</v>
      </c>
      <c r="E2689" s="2" t="s">
        <v>1084</v>
      </c>
      <c r="F2689" s="2">
        <v>1022.0</v>
      </c>
      <c r="G2689" s="2">
        <v>15.82</v>
      </c>
      <c r="H2689" s="2">
        <v>64.6</v>
      </c>
      <c r="I2689" s="2" t="s">
        <v>27</v>
      </c>
    </row>
    <row r="2690" ht="15.75" customHeight="1">
      <c r="A2690" s="2" t="s">
        <v>4329</v>
      </c>
      <c r="B2690" s="2" t="s">
        <v>4330</v>
      </c>
      <c r="C2690" s="2" t="s">
        <v>3659</v>
      </c>
      <c r="D2690" s="2" t="s">
        <v>809</v>
      </c>
      <c r="E2690" s="2" t="s">
        <v>811</v>
      </c>
      <c r="F2690" s="2">
        <v>384.0</v>
      </c>
      <c r="G2690" s="2">
        <v>9.64</v>
      </c>
      <c r="H2690" s="2">
        <v>39.8</v>
      </c>
      <c r="I2690" s="2" t="s">
        <v>47</v>
      </c>
    </row>
    <row r="2691" ht="15.75" customHeight="1">
      <c r="A2691" s="2" t="s">
        <v>6402</v>
      </c>
      <c r="B2691" s="2" t="s">
        <v>6403</v>
      </c>
      <c r="C2691" s="2" t="s">
        <v>3659</v>
      </c>
      <c r="D2691" s="2" t="s">
        <v>904</v>
      </c>
      <c r="E2691" s="2" t="s">
        <v>906</v>
      </c>
      <c r="F2691" s="2">
        <v>443.0</v>
      </c>
      <c r="G2691" s="2">
        <v>5.14</v>
      </c>
      <c r="H2691" s="2">
        <v>86.2</v>
      </c>
      <c r="I2691" s="2" t="s">
        <v>47</v>
      </c>
    </row>
    <row r="2692" ht="15.75" customHeight="1">
      <c r="A2692" s="2" t="s">
        <v>4331</v>
      </c>
      <c r="B2692" s="2" t="s">
        <v>4332</v>
      </c>
      <c r="C2692" s="2" t="s">
        <v>3659</v>
      </c>
      <c r="D2692" s="2" t="s">
        <v>789</v>
      </c>
      <c r="E2692" s="2" t="s">
        <v>790</v>
      </c>
      <c r="F2692" s="2">
        <v>9743.0</v>
      </c>
      <c r="G2692" s="2">
        <v>3.49</v>
      </c>
      <c r="H2692" s="2">
        <v>2791.7</v>
      </c>
      <c r="I2692" s="2" t="s">
        <v>138</v>
      </c>
    </row>
    <row r="2693" ht="15.75" customHeight="1">
      <c r="A2693" s="2" t="s">
        <v>4333</v>
      </c>
      <c r="B2693" s="2" t="s">
        <v>4334</v>
      </c>
      <c r="C2693" s="2" t="s">
        <v>3659</v>
      </c>
      <c r="D2693" s="2" t="s">
        <v>809</v>
      </c>
      <c r="E2693" s="2" t="s">
        <v>811</v>
      </c>
      <c r="F2693" s="2">
        <v>1912.0</v>
      </c>
      <c r="G2693" s="2">
        <v>2.8</v>
      </c>
      <c r="H2693" s="2">
        <v>682.9</v>
      </c>
      <c r="I2693" s="2" t="s">
        <v>27</v>
      </c>
    </row>
    <row r="2694" ht="15.75" customHeight="1">
      <c r="A2694" s="2" t="s">
        <v>6404</v>
      </c>
      <c r="B2694" s="2" t="s">
        <v>6405</v>
      </c>
      <c r="C2694" s="2" t="s">
        <v>3659</v>
      </c>
      <c r="D2694" s="2" t="s">
        <v>1004</v>
      </c>
      <c r="E2694" s="2" t="s">
        <v>1006</v>
      </c>
      <c r="F2694" s="2">
        <v>62.0</v>
      </c>
      <c r="G2694" s="2">
        <v>3.39</v>
      </c>
      <c r="H2694" s="2">
        <v>18.3</v>
      </c>
      <c r="I2694" s="2" t="s">
        <v>47</v>
      </c>
    </row>
    <row r="2695" ht="15.75" customHeight="1">
      <c r="A2695" s="2" t="s">
        <v>6406</v>
      </c>
      <c r="B2695" s="2" t="s">
        <v>6407</v>
      </c>
      <c r="C2695" s="2" t="s">
        <v>3659</v>
      </c>
      <c r="D2695" s="2" t="s">
        <v>997</v>
      </c>
      <c r="E2695" s="2" t="s">
        <v>999</v>
      </c>
      <c r="F2695" s="2">
        <v>210.0</v>
      </c>
      <c r="G2695" s="2">
        <v>6.68</v>
      </c>
      <c r="H2695" s="2">
        <v>31.4</v>
      </c>
      <c r="I2695" s="2" t="s">
        <v>47</v>
      </c>
    </row>
    <row r="2696" ht="15.75" customHeight="1">
      <c r="A2696" s="2" t="s">
        <v>4337</v>
      </c>
      <c r="B2696" s="2" t="s">
        <v>4338</v>
      </c>
      <c r="C2696" s="2" t="s">
        <v>3659</v>
      </c>
      <c r="D2696" s="2" t="s">
        <v>833</v>
      </c>
      <c r="E2696" s="2" t="s">
        <v>835</v>
      </c>
      <c r="F2696" s="2">
        <v>557.0</v>
      </c>
      <c r="G2696" s="2">
        <v>9.92</v>
      </c>
      <c r="H2696" s="2">
        <v>56.1</v>
      </c>
      <c r="I2696" s="2" t="s">
        <v>27</v>
      </c>
    </row>
    <row r="2697" ht="15.75" customHeight="1">
      <c r="A2697" s="2" t="s">
        <v>6408</v>
      </c>
      <c r="B2697" s="2" t="s">
        <v>6409</v>
      </c>
      <c r="C2697" s="2" t="s">
        <v>3659</v>
      </c>
      <c r="D2697" s="2" t="s">
        <v>997</v>
      </c>
      <c r="E2697" s="2" t="s">
        <v>999</v>
      </c>
      <c r="F2697" s="2">
        <v>87.0</v>
      </c>
      <c r="G2697" s="2">
        <v>2.46</v>
      </c>
      <c r="H2697" s="2">
        <v>35.4</v>
      </c>
      <c r="I2697" s="2" t="s">
        <v>47</v>
      </c>
    </row>
    <row r="2698" ht="15.75" customHeight="1">
      <c r="A2698" s="2" t="s">
        <v>6410</v>
      </c>
      <c r="B2698" s="2" t="s">
        <v>6411</v>
      </c>
      <c r="C2698" s="2" t="s">
        <v>3659</v>
      </c>
      <c r="D2698" s="2" t="s">
        <v>997</v>
      </c>
      <c r="E2698" s="2" t="s">
        <v>999</v>
      </c>
      <c r="F2698" s="2">
        <v>299.0</v>
      </c>
      <c r="G2698" s="2">
        <v>7.35</v>
      </c>
      <c r="H2698" s="2">
        <v>40.7</v>
      </c>
      <c r="I2698" s="2" t="s">
        <v>47</v>
      </c>
    </row>
    <row r="2699" ht="15.75" customHeight="1">
      <c r="A2699" s="2" t="s">
        <v>4340</v>
      </c>
      <c r="B2699" s="2" t="s">
        <v>4342</v>
      </c>
      <c r="C2699" s="2" t="s">
        <v>3659</v>
      </c>
      <c r="D2699" s="2" t="s">
        <v>833</v>
      </c>
      <c r="E2699" s="2" t="s">
        <v>835</v>
      </c>
      <c r="F2699" s="2">
        <v>1170.0</v>
      </c>
      <c r="G2699" s="2">
        <v>5.45</v>
      </c>
      <c r="H2699" s="2">
        <v>214.7</v>
      </c>
      <c r="I2699" s="2" t="s">
        <v>27</v>
      </c>
    </row>
    <row r="2700" ht="15.75" customHeight="1">
      <c r="A2700" s="2" t="s">
        <v>6412</v>
      </c>
      <c r="B2700" s="2" t="s">
        <v>6413</v>
      </c>
      <c r="C2700" s="2" t="s">
        <v>3659</v>
      </c>
      <c r="D2700" s="2" t="s">
        <v>899</v>
      </c>
      <c r="E2700" s="2" t="s">
        <v>900</v>
      </c>
      <c r="F2700" s="2">
        <v>237.0</v>
      </c>
      <c r="G2700" s="2">
        <v>15.81</v>
      </c>
      <c r="H2700" s="2">
        <v>15.0</v>
      </c>
      <c r="I2700" s="2" t="s">
        <v>47</v>
      </c>
    </row>
    <row r="2701" ht="15.75" customHeight="1">
      <c r="A2701" s="2" t="s">
        <v>6414</v>
      </c>
      <c r="B2701" s="2" t="s">
        <v>3337</v>
      </c>
      <c r="C2701" s="2" t="s">
        <v>3659</v>
      </c>
      <c r="D2701" s="2" t="s">
        <v>997</v>
      </c>
      <c r="E2701" s="2" t="s">
        <v>999</v>
      </c>
      <c r="F2701" s="2">
        <v>289.0</v>
      </c>
      <c r="G2701" s="2">
        <v>6.47</v>
      </c>
      <c r="H2701" s="2">
        <v>44.7</v>
      </c>
      <c r="I2701" s="2" t="s">
        <v>47</v>
      </c>
    </row>
    <row r="2702" ht="15.75" customHeight="1">
      <c r="A2702" s="2" t="s">
        <v>4343</v>
      </c>
      <c r="B2702" s="2" t="s">
        <v>4344</v>
      </c>
      <c r="C2702" s="2" t="s">
        <v>3659</v>
      </c>
      <c r="D2702" s="2" t="s">
        <v>888</v>
      </c>
      <c r="E2702" s="2" t="s">
        <v>889</v>
      </c>
      <c r="F2702" s="2">
        <v>673.0</v>
      </c>
      <c r="G2702" s="2">
        <v>11.46</v>
      </c>
      <c r="H2702" s="2">
        <v>58.7</v>
      </c>
      <c r="I2702" s="2" t="s">
        <v>27</v>
      </c>
    </row>
    <row r="2703" ht="15.75" customHeight="1">
      <c r="A2703" s="2" t="s">
        <v>4345</v>
      </c>
      <c r="B2703" s="2" t="s">
        <v>4346</v>
      </c>
      <c r="C2703" s="2" t="s">
        <v>3659</v>
      </c>
      <c r="D2703" s="2" t="s">
        <v>807</v>
      </c>
      <c r="E2703" s="2" t="s">
        <v>808</v>
      </c>
      <c r="F2703" s="2">
        <v>11619.0</v>
      </c>
      <c r="G2703" s="2">
        <v>7.66</v>
      </c>
      <c r="H2703" s="2">
        <v>1516.8</v>
      </c>
      <c r="I2703" s="2" t="s">
        <v>805</v>
      </c>
    </row>
    <row r="2704" ht="15.75" customHeight="1">
      <c r="A2704" s="2" t="s">
        <v>6415</v>
      </c>
      <c r="B2704" s="2" t="s">
        <v>6416</v>
      </c>
      <c r="C2704" s="2" t="s">
        <v>3659</v>
      </c>
      <c r="D2704" s="2" t="s">
        <v>861</v>
      </c>
      <c r="E2704" s="2" t="s">
        <v>862</v>
      </c>
      <c r="F2704" s="2">
        <v>225.0</v>
      </c>
      <c r="G2704" s="2">
        <v>4.17</v>
      </c>
      <c r="H2704" s="2">
        <v>54.0</v>
      </c>
      <c r="I2704" s="2" t="s">
        <v>47</v>
      </c>
    </row>
    <row r="2705" ht="15.75" customHeight="1">
      <c r="A2705" s="2" t="s">
        <v>6421</v>
      </c>
      <c r="B2705" s="2" t="s">
        <v>6422</v>
      </c>
      <c r="C2705" s="2" t="s">
        <v>3659</v>
      </c>
      <c r="D2705" s="2" t="s">
        <v>809</v>
      </c>
      <c r="E2705" s="2" t="s">
        <v>811</v>
      </c>
      <c r="F2705" s="2">
        <v>200.0</v>
      </c>
      <c r="G2705" s="2">
        <v>4.45</v>
      </c>
      <c r="H2705" s="2">
        <v>44.9</v>
      </c>
      <c r="I2705" s="2" t="s">
        <v>47</v>
      </c>
    </row>
    <row r="2706" ht="15.75" customHeight="1">
      <c r="A2706" s="2" t="s">
        <v>4347</v>
      </c>
      <c r="B2706" s="2" t="s">
        <v>4348</v>
      </c>
      <c r="C2706" s="2" t="s">
        <v>3659</v>
      </c>
      <c r="D2706" s="2" t="s">
        <v>823</v>
      </c>
      <c r="E2706" s="2" t="s">
        <v>824</v>
      </c>
      <c r="F2706" s="2">
        <v>1095.0</v>
      </c>
      <c r="G2706" s="2">
        <v>5.08</v>
      </c>
      <c r="H2706" s="2">
        <v>215.6</v>
      </c>
      <c r="I2706" s="2" t="s">
        <v>27</v>
      </c>
    </row>
    <row r="2707" ht="15.75" customHeight="1">
      <c r="A2707" s="2" t="s">
        <v>4349</v>
      </c>
      <c r="B2707" s="2" t="s">
        <v>4350</v>
      </c>
      <c r="C2707" s="2" t="s">
        <v>3659</v>
      </c>
      <c r="D2707" s="2" t="s">
        <v>823</v>
      </c>
      <c r="E2707" s="2" t="s">
        <v>824</v>
      </c>
      <c r="F2707" s="2">
        <v>4115.0</v>
      </c>
      <c r="G2707" s="2">
        <v>20.95</v>
      </c>
      <c r="H2707" s="2">
        <v>196.4</v>
      </c>
      <c r="I2707" s="2" t="s">
        <v>138</v>
      </c>
    </row>
    <row r="2708" ht="15.75" customHeight="1">
      <c r="A2708" s="2" t="s">
        <v>6423</v>
      </c>
      <c r="B2708" s="2" t="s">
        <v>6424</v>
      </c>
      <c r="C2708" s="2" t="s">
        <v>3659</v>
      </c>
      <c r="D2708" s="2" t="s">
        <v>899</v>
      </c>
      <c r="E2708" s="2" t="s">
        <v>900</v>
      </c>
      <c r="F2708" s="2">
        <v>22.0</v>
      </c>
      <c r="G2708" s="2">
        <v>1.4</v>
      </c>
      <c r="H2708" s="2">
        <v>15.7</v>
      </c>
      <c r="I2708" s="2" t="s">
        <v>47</v>
      </c>
    </row>
    <row r="2709" ht="15.75" customHeight="1">
      <c r="A2709" s="2" t="s">
        <v>4351</v>
      </c>
      <c r="B2709" s="2" t="s">
        <v>4352</v>
      </c>
      <c r="C2709" s="2" t="s">
        <v>3659</v>
      </c>
      <c r="D2709" s="2" t="s">
        <v>792</v>
      </c>
      <c r="E2709" s="2" t="s">
        <v>793</v>
      </c>
      <c r="F2709" s="2">
        <v>1409.0</v>
      </c>
      <c r="G2709" s="2">
        <v>1.89</v>
      </c>
      <c r="H2709" s="2">
        <v>745.5</v>
      </c>
      <c r="I2709" s="2" t="s">
        <v>27</v>
      </c>
    </row>
    <row r="2710" ht="15.75" customHeight="1">
      <c r="A2710" s="2" t="s">
        <v>6427</v>
      </c>
      <c r="B2710" s="2" t="s">
        <v>6428</v>
      </c>
      <c r="C2710" s="2" t="s">
        <v>3659</v>
      </c>
      <c r="D2710" s="2" t="s">
        <v>997</v>
      </c>
      <c r="E2710" s="2" t="s">
        <v>999</v>
      </c>
      <c r="F2710" s="2">
        <v>171.0</v>
      </c>
      <c r="G2710" s="2">
        <v>3.12</v>
      </c>
      <c r="H2710" s="2">
        <v>54.8</v>
      </c>
      <c r="I2710" s="2" t="s">
        <v>47</v>
      </c>
    </row>
    <row r="2711" ht="15.75" customHeight="1">
      <c r="A2711" s="2" t="s">
        <v>4353</v>
      </c>
      <c r="B2711" s="2" t="s">
        <v>4354</v>
      </c>
      <c r="C2711" s="2" t="s">
        <v>3659</v>
      </c>
      <c r="D2711" s="2" t="s">
        <v>1082</v>
      </c>
      <c r="E2711" s="2" t="s">
        <v>1084</v>
      </c>
      <c r="F2711" s="2">
        <v>1628.0</v>
      </c>
      <c r="G2711" s="2">
        <v>12.61</v>
      </c>
      <c r="H2711" s="2">
        <v>129.1</v>
      </c>
      <c r="I2711" s="2" t="s">
        <v>27</v>
      </c>
    </row>
    <row r="2712" ht="15.75" customHeight="1">
      <c r="A2712" s="2" t="s">
        <v>6429</v>
      </c>
      <c r="B2712" s="2" t="s">
        <v>6430</v>
      </c>
      <c r="C2712" s="2" t="s">
        <v>3659</v>
      </c>
      <c r="D2712" s="2" t="s">
        <v>1082</v>
      </c>
      <c r="E2712" s="2" t="s">
        <v>1084</v>
      </c>
      <c r="F2712" s="2">
        <v>481.0</v>
      </c>
      <c r="G2712" s="2">
        <v>6.99</v>
      </c>
      <c r="H2712" s="2">
        <v>68.8</v>
      </c>
      <c r="I2712" s="2" t="s">
        <v>47</v>
      </c>
    </row>
    <row r="2713" ht="15.75" customHeight="1">
      <c r="A2713" s="2" t="s">
        <v>6425</v>
      </c>
      <c r="B2713" s="2" t="s">
        <v>6426</v>
      </c>
      <c r="C2713" s="2" t="s">
        <v>3659</v>
      </c>
      <c r="D2713" s="2" t="s">
        <v>1004</v>
      </c>
      <c r="E2713" s="2" t="s">
        <v>1006</v>
      </c>
      <c r="F2713" s="2">
        <v>59.0</v>
      </c>
      <c r="G2713" s="2">
        <v>2.33</v>
      </c>
      <c r="H2713" s="2">
        <v>25.3</v>
      </c>
      <c r="I2713" s="2" t="s">
        <v>47</v>
      </c>
    </row>
    <row r="2714" ht="15.75" customHeight="1">
      <c r="A2714" s="2" t="s">
        <v>4355</v>
      </c>
      <c r="B2714" s="2" t="s">
        <v>4356</v>
      </c>
      <c r="C2714" s="2" t="s">
        <v>3659</v>
      </c>
      <c r="D2714" s="2" t="s">
        <v>809</v>
      </c>
      <c r="E2714" s="2" t="s">
        <v>811</v>
      </c>
      <c r="F2714" s="2">
        <v>618.0</v>
      </c>
      <c r="G2714" s="2">
        <v>8.8</v>
      </c>
      <c r="H2714" s="2">
        <v>70.2</v>
      </c>
      <c r="I2714" s="2" t="s">
        <v>27</v>
      </c>
    </row>
    <row r="2715" ht="15.75" customHeight="1">
      <c r="A2715" s="2" t="s">
        <v>6431</v>
      </c>
      <c r="B2715" s="2" t="s">
        <v>6432</v>
      </c>
      <c r="C2715" s="2" t="s">
        <v>3659</v>
      </c>
      <c r="D2715" s="2" t="s">
        <v>1038</v>
      </c>
      <c r="E2715" s="2" t="s">
        <v>1039</v>
      </c>
      <c r="F2715" s="2">
        <v>570.0</v>
      </c>
      <c r="G2715" s="2">
        <v>4.35</v>
      </c>
      <c r="H2715" s="2">
        <v>131.0</v>
      </c>
      <c r="I2715" s="2" t="s">
        <v>27</v>
      </c>
    </row>
    <row r="2716" ht="15.75" customHeight="1">
      <c r="A2716" s="2" t="s">
        <v>4357</v>
      </c>
      <c r="B2716" s="2" t="s">
        <v>4358</v>
      </c>
      <c r="C2716" s="2" t="s">
        <v>3659</v>
      </c>
      <c r="D2716" s="2" t="s">
        <v>1042</v>
      </c>
      <c r="E2716" s="2" t="s">
        <v>1043</v>
      </c>
      <c r="F2716" s="2">
        <v>577.0</v>
      </c>
      <c r="G2716" s="2">
        <v>4.51</v>
      </c>
      <c r="H2716" s="2">
        <v>127.9</v>
      </c>
      <c r="I2716" s="2" t="s">
        <v>27</v>
      </c>
    </row>
    <row r="2717" ht="15.75" customHeight="1">
      <c r="A2717" s="2" t="s">
        <v>4359</v>
      </c>
      <c r="B2717" s="2" t="s">
        <v>4360</v>
      </c>
      <c r="C2717" s="2" t="s">
        <v>3659</v>
      </c>
      <c r="D2717" s="2" t="s">
        <v>962</v>
      </c>
      <c r="E2717" s="2" t="s">
        <v>965</v>
      </c>
      <c r="F2717" s="2">
        <v>902.0</v>
      </c>
      <c r="G2717" s="2">
        <v>12.73</v>
      </c>
      <c r="H2717" s="2">
        <v>70.9</v>
      </c>
      <c r="I2717" s="2" t="s">
        <v>27</v>
      </c>
    </row>
    <row r="2718" ht="15.75" customHeight="1">
      <c r="A2718" s="2" t="s">
        <v>6433</v>
      </c>
      <c r="B2718" s="2" t="s">
        <v>6434</v>
      </c>
      <c r="C2718" s="2" t="s">
        <v>3659</v>
      </c>
      <c r="D2718" s="2" t="s">
        <v>840</v>
      </c>
      <c r="E2718" s="2" t="s">
        <v>842</v>
      </c>
      <c r="F2718" s="2">
        <v>280.0</v>
      </c>
      <c r="G2718" s="2">
        <v>2.52</v>
      </c>
      <c r="H2718" s="2">
        <v>111.1</v>
      </c>
      <c r="I2718" s="2" t="s">
        <v>47</v>
      </c>
    </row>
    <row r="2719" ht="15.75" customHeight="1">
      <c r="A2719" s="2" t="s">
        <v>4361</v>
      </c>
      <c r="B2719" s="2" t="s">
        <v>4363</v>
      </c>
      <c r="C2719" s="2" t="s">
        <v>3659</v>
      </c>
      <c r="D2719" s="2" t="s">
        <v>833</v>
      </c>
      <c r="E2719" s="2" t="s">
        <v>835</v>
      </c>
      <c r="F2719" s="2">
        <v>1271.0</v>
      </c>
      <c r="G2719" s="2">
        <v>5.95</v>
      </c>
      <c r="H2719" s="2">
        <v>213.6</v>
      </c>
      <c r="I2719" s="2" t="s">
        <v>27</v>
      </c>
    </row>
    <row r="2720" ht="15.75" customHeight="1">
      <c r="A2720" s="2" t="s">
        <v>6437</v>
      </c>
      <c r="B2720" s="2" t="s">
        <v>6438</v>
      </c>
      <c r="C2720" s="2" t="s">
        <v>3659</v>
      </c>
      <c r="D2720" s="2" t="s">
        <v>997</v>
      </c>
      <c r="E2720" s="2" t="s">
        <v>999</v>
      </c>
      <c r="F2720" s="2">
        <v>130.0</v>
      </c>
      <c r="G2720" s="2">
        <v>4.89</v>
      </c>
      <c r="H2720" s="2">
        <v>26.6</v>
      </c>
      <c r="I2720" s="2" t="s">
        <v>47</v>
      </c>
    </row>
    <row r="2721" ht="15.75" customHeight="1">
      <c r="A2721" s="2" t="s">
        <v>4365</v>
      </c>
      <c r="B2721" s="2" t="s">
        <v>4366</v>
      </c>
      <c r="C2721" s="2" t="s">
        <v>3659</v>
      </c>
      <c r="D2721" s="2" t="s">
        <v>792</v>
      </c>
      <c r="E2721" s="2" t="s">
        <v>793</v>
      </c>
      <c r="F2721" s="2">
        <v>1381.0</v>
      </c>
      <c r="G2721" s="2">
        <v>5.66</v>
      </c>
      <c r="H2721" s="2">
        <v>244.0</v>
      </c>
      <c r="I2721" s="2" t="s">
        <v>27</v>
      </c>
    </row>
    <row r="2722" ht="15.75" customHeight="1">
      <c r="A2722" s="2" t="s">
        <v>6439</v>
      </c>
      <c r="B2722" s="2" t="s">
        <v>6440</v>
      </c>
      <c r="C2722" s="2" t="s">
        <v>3659</v>
      </c>
      <c r="D2722" s="2" t="s">
        <v>833</v>
      </c>
      <c r="E2722" s="2" t="s">
        <v>835</v>
      </c>
      <c r="F2722" s="2">
        <v>261.0</v>
      </c>
      <c r="G2722" s="2">
        <v>3.48</v>
      </c>
      <c r="H2722" s="2">
        <v>75.0</v>
      </c>
      <c r="I2722" s="2" t="s">
        <v>47</v>
      </c>
    </row>
    <row r="2723" ht="15.75" customHeight="1">
      <c r="A2723" s="2" t="s">
        <v>4367</v>
      </c>
      <c r="B2723" s="2" t="s">
        <v>4368</v>
      </c>
      <c r="C2723" s="2" t="s">
        <v>3659</v>
      </c>
      <c r="D2723" s="2" t="s">
        <v>888</v>
      </c>
      <c r="E2723" s="2" t="s">
        <v>889</v>
      </c>
      <c r="F2723" s="2">
        <v>1756.0</v>
      </c>
      <c r="G2723" s="2">
        <v>13.21</v>
      </c>
      <c r="H2723" s="2">
        <v>132.9</v>
      </c>
      <c r="I2723" s="2" t="s">
        <v>27</v>
      </c>
    </row>
    <row r="2724" ht="15.75" customHeight="1">
      <c r="A2724" s="2" t="s">
        <v>6441</v>
      </c>
      <c r="B2724" s="2" t="s">
        <v>6442</v>
      </c>
      <c r="C2724" s="2" t="s">
        <v>3659</v>
      </c>
      <c r="D2724" s="2" t="s">
        <v>888</v>
      </c>
      <c r="E2724" s="2" t="s">
        <v>889</v>
      </c>
      <c r="F2724" s="2">
        <v>709.0</v>
      </c>
      <c r="G2724" s="2">
        <v>9.16</v>
      </c>
      <c r="H2724" s="2">
        <v>77.4</v>
      </c>
      <c r="I2724" s="2" t="s">
        <v>27</v>
      </c>
    </row>
    <row r="2725" ht="15.75" customHeight="1">
      <c r="A2725" s="2" t="s">
        <v>6447</v>
      </c>
      <c r="B2725" s="2" t="s">
        <v>6448</v>
      </c>
      <c r="C2725" s="2" t="s">
        <v>3659</v>
      </c>
      <c r="D2725" s="2" t="s">
        <v>904</v>
      </c>
      <c r="E2725" s="2" t="s">
        <v>906</v>
      </c>
      <c r="F2725" s="2">
        <v>256.0</v>
      </c>
      <c r="G2725" s="2">
        <v>5.37</v>
      </c>
      <c r="H2725" s="2">
        <v>47.7</v>
      </c>
      <c r="I2725" s="2" t="s">
        <v>47</v>
      </c>
    </row>
    <row r="2726" ht="15.75" customHeight="1">
      <c r="A2726" s="2" t="s">
        <v>4369</v>
      </c>
      <c r="B2726" s="2" t="s">
        <v>4370</v>
      </c>
      <c r="C2726" s="2" t="s">
        <v>3659</v>
      </c>
      <c r="D2726" s="2" t="s">
        <v>789</v>
      </c>
      <c r="E2726" s="2" t="s">
        <v>790</v>
      </c>
      <c r="F2726" s="2">
        <v>5994.0</v>
      </c>
      <c r="G2726" s="2">
        <v>5.45</v>
      </c>
      <c r="H2726" s="2">
        <v>1099.8</v>
      </c>
      <c r="I2726" s="2" t="s">
        <v>138</v>
      </c>
    </row>
    <row r="2727" ht="15.75" customHeight="1">
      <c r="A2727" s="2" t="s">
        <v>6443</v>
      </c>
      <c r="B2727" s="2" t="s">
        <v>6444</v>
      </c>
      <c r="C2727" s="2" t="s">
        <v>3659</v>
      </c>
      <c r="D2727" s="2" t="s">
        <v>899</v>
      </c>
      <c r="E2727" s="2" t="s">
        <v>900</v>
      </c>
      <c r="F2727" s="2">
        <v>56.0</v>
      </c>
      <c r="G2727" s="2">
        <v>1.16</v>
      </c>
      <c r="H2727" s="2">
        <v>48.3</v>
      </c>
      <c r="I2727" s="2" t="s">
        <v>47</v>
      </c>
    </row>
    <row r="2728" ht="15.75" customHeight="1">
      <c r="A2728" s="2" t="s">
        <v>4371</v>
      </c>
      <c r="B2728" s="2" t="s">
        <v>4372</v>
      </c>
      <c r="C2728" s="2" t="s">
        <v>3659</v>
      </c>
      <c r="D2728" s="2" t="s">
        <v>792</v>
      </c>
      <c r="E2728" s="2" t="s">
        <v>793</v>
      </c>
      <c r="F2728" s="2">
        <v>2273.0</v>
      </c>
      <c r="G2728" s="2">
        <v>2.54</v>
      </c>
      <c r="H2728" s="2">
        <v>894.9</v>
      </c>
      <c r="I2728" s="2" t="s">
        <v>138</v>
      </c>
    </row>
    <row r="2729" ht="15.75" customHeight="1">
      <c r="A2729" s="2" t="s">
        <v>4373</v>
      </c>
      <c r="B2729" s="2" t="s">
        <v>4374</v>
      </c>
      <c r="C2729" s="2" t="s">
        <v>3659</v>
      </c>
      <c r="D2729" s="2" t="s">
        <v>1038</v>
      </c>
      <c r="E2729" s="2" t="s">
        <v>1039</v>
      </c>
      <c r="F2729" s="2">
        <v>848.0</v>
      </c>
      <c r="G2729" s="2">
        <v>4.26</v>
      </c>
      <c r="H2729" s="2">
        <v>199.1</v>
      </c>
      <c r="I2729" s="2" t="s">
        <v>27</v>
      </c>
    </row>
    <row r="2730" ht="15.75" customHeight="1">
      <c r="A2730" s="2" t="s">
        <v>4375</v>
      </c>
      <c r="B2730" s="2" t="s">
        <v>4376</v>
      </c>
      <c r="C2730" s="2" t="s">
        <v>3659</v>
      </c>
      <c r="D2730" s="2" t="s">
        <v>807</v>
      </c>
      <c r="E2730" s="2" t="s">
        <v>808</v>
      </c>
      <c r="F2730" s="2">
        <v>6854.0</v>
      </c>
      <c r="G2730" s="2">
        <v>3.71</v>
      </c>
      <c r="H2730" s="2">
        <v>1847.4</v>
      </c>
      <c r="I2730" s="2" t="s">
        <v>138</v>
      </c>
    </row>
    <row r="2731" ht="15.75" customHeight="1">
      <c r="A2731" s="2" t="s">
        <v>6445</v>
      </c>
      <c r="B2731" s="2" t="s">
        <v>6446</v>
      </c>
      <c r="C2731" s="2" t="s">
        <v>3659</v>
      </c>
      <c r="D2731" s="2" t="s">
        <v>904</v>
      </c>
      <c r="E2731" s="2" t="s">
        <v>906</v>
      </c>
      <c r="F2731" s="2">
        <v>154.0</v>
      </c>
      <c r="G2731" s="2">
        <v>2.07</v>
      </c>
      <c r="H2731" s="2">
        <v>74.4</v>
      </c>
      <c r="I2731" s="2" t="s">
        <v>47</v>
      </c>
    </row>
    <row r="2732" ht="15.75" customHeight="1">
      <c r="A2732" s="2" t="s">
        <v>6449</v>
      </c>
      <c r="B2732" s="2" t="s">
        <v>6450</v>
      </c>
      <c r="C2732" s="2" t="s">
        <v>3659</v>
      </c>
      <c r="D2732" s="2" t="s">
        <v>1004</v>
      </c>
      <c r="E2732" s="2" t="s">
        <v>1006</v>
      </c>
      <c r="F2732" s="2">
        <v>471.0</v>
      </c>
      <c r="G2732" s="2">
        <v>6.7</v>
      </c>
      <c r="H2732" s="2">
        <v>70.3</v>
      </c>
      <c r="I2732" s="2" t="s">
        <v>47</v>
      </c>
    </row>
    <row r="2733" ht="15.75" customHeight="1">
      <c r="A2733" s="2" t="s">
        <v>6417</v>
      </c>
      <c r="B2733" s="2" t="s">
        <v>6418</v>
      </c>
      <c r="C2733" s="2" t="s">
        <v>3659</v>
      </c>
      <c r="D2733" s="2" t="s">
        <v>1004</v>
      </c>
      <c r="E2733" s="2" t="s">
        <v>1006</v>
      </c>
      <c r="F2733" s="2">
        <v>158.0</v>
      </c>
      <c r="G2733" s="2">
        <v>4.93</v>
      </c>
      <c r="H2733" s="2">
        <v>32.0</v>
      </c>
      <c r="I2733" s="2" t="s">
        <v>47</v>
      </c>
    </row>
    <row r="2734" ht="15.75" customHeight="1">
      <c r="A2734" s="2" t="s">
        <v>6419</v>
      </c>
      <c r="B2734" s="2" t="s">
        <v>6420</v>
      </c>
      <c r="C2734" s="2" t="s">
        <v>3659</v>
      </c>
      <c r="D2734" s="2" t="s">
        <v>1004</v>
      </c>
      <c r="E2734" s="2" t="s">
        <v>1006</v>
      </c>
      <c r="F2734" s="2">
        <v>357.0</v>
      </c>
      <c r="G2734" s="2">
        <v>3.81</v>
      </c>
      <c r="H2734" s="2">
        <v>93.7</v>
      </c>
      <c r="I2734" s="2" t="s">
        <v>47</v>
      </c>
    </row>
    <row r="2735" ht="15.75" customHeight="1">
      <c r="A2735" s="2" t="s">
        <v>4377</v>
      </c>
      <c r="B2735" s="2" t="s">
        <v>4378</v>
      </c>
      <c r="C2735" s="2" t="s">
        <v>3659</v>
      </c>
      <c r="D2735" s="2" t="s">
        <v>792</v>
      </c>
      <c r="E2735" s="2" t="s">
        <v>793</v>
      </c>
      <c r="F2735" s="2">
        <v>11590.0</v>
      </c>
      <c r="G2735" s="2">
        <v>8.85</v>
      </c>
      <c r="H2735" s="2">
        <v>1309.6</v>
      </c>
      <c r="I2735" s="2" t="s">
        <v>805</v>
      </c>
    </row>
    <row r="2736" ht="15.75" customHeight="1">
      <c r="A2736" s="2" t="s">
        <v>6435</v>
      </c>
      <c r="B2736" s="2" t="s">
        <v>6436</v>
      </c>
      <c r="C2736" s="2" t="s">
        <v>3659</v>
      </c>
      <c r="D2736" s="2" t="s">
        <v>1004</v>
      </c>
      <c r="E2736" s="2" t="s">
        <v>1006</v>
      </c>
      <c r="F2736" s="2">
        <v>186.0</v>
      </c>
      <c r="G2736" s="2">
        <v>6.16</v>
      </c>
      <c r="H2736" s="2">
        <v>30.2</v>
      </c>
      <c r="I2736" s="2" t="s">
        <v>47</v>
      </c>
    </row>
    <row r="2737" ht="15.75" customHeight="1">
      <c r="A2737" s="2" t="s">
        <v>6451</v>
      </c>
      <c r="B2737" s="2" t="s">
        <v>6452</v>
      </c>
      <c r="C2737" s="2" t="s">
        <v>3659</v>
      </c>
      <c r="D2737" s="2" t="s">
        <v>792</v>
      </c>
      <c r="E2737" s="2" t="s">
        <v>793</v>
      </c>
      <c r="F2737" s="2">
        <v>384.0</v>
      </c>
      <c r="G2737" s="2">
        <v>1.26</v>
      </c>
      <c r="H2737" s="2">
        <v>304.8</v>
      </c>
      <c r="I2737" s="2" t="s">
        <v>47</v>
      </c>
    </row>
    <row r="2738" ht="15.75" customHeight="1">
      <c r="A2738" s="2" t="s">
        <v>4379</v>
      </c>
      <c r="B2738" s="2" t="s">
        <v>4380</v>
      </c>
      <c r="C2738" s="2" t="s">
        <v>3659</v>
      </c>
      <c r="D2738" s="2" t="s">
        <v>888</v>
      </c>
      <c r="E2738" s="2" t="s">
        <v>889</v>
      </c>
      <c r="F2738" s="2">
        <v>1291.0</v>
      </c>
      <c r="G2738" s="2">
        <v>13.34</v>
      </c>
      <c r="H2738" s="2">
        <v>96.8</v>
      </c>
      <c r="I2738" s="2" t="s">
        <v>27</v>
      </c>
    </row>
    <row r="2739" ht="15.75" customHeight="1">
      <c r="A2739" s="2" t="s">
        <v>6455</v>
      </c>
      <c r="B2739" s="2" t="s">
        <v>6456</v>
      </c>
      <c r="C2739" s="2" t="s">
        <v>3659</v>
      </c>
      <c r="D2739" s="2" t="s">
        <v>899</v>
      </c>
      <c r="E2739" s="2" t="s">
        <v>900</v>
      </c>
      <c r="F2739" s="2">
        <v>210.0</v>
      </c>
      <c r="G2739" s="2">
        <v>5.31</v>
      </c>
      <c r="H2739" s="2">
        <v>39.5</v>
      </c>
      <c r="I2739" s="2" t="s">
        <v>47</v>
      </c>
    </row>
    <row r="2740" ht="15.75" customHeight="1">
      <c r="A2740" s="2" t="s">
        <v>6457</v>
      </c>
      <c r="B2740" s="2" t="s">
        <v>6458</v>
      </c>
      <c r="C2740" s="2" t="s">
        <v>3659</v>
      </c>
      <c r="D2740" s="2" t="s">
        <v>892</v>
      </c>
      <c r="E2740" s="2" t="s">
        <v>893</v>
      </c>
      <c r="F2740" s="2">
        <v>276.0</v>
      </c>
      <c r="G2740" s="2">
        <v>2.62</v>
      </c>
      <c r="H2740" s="2">
        <v>105.3</v>
      </c>
      <c r="I2740" s="2" t="s">
        <v>47</v>
      </c>
    </row>
    <row r="2741" ht="15.75" customHeight="1">
      <c r="A2741" s="2" t="s">
        <v>4381</v>
      </c>
      <c r="B2741" s="2" t="s">
        <v>4382</v>
      </c>
      <c r="C2741" s="2" t="s">
        <v>3659</v>
      </c>
      <c r="D2741" s="2" t="s">
        <v>789</v>
      </c>
      <c r="E2741" s="2" t="s">
        <v>790</v>
      </c>
      <c r="F2741" s="2">
        <v>10323.0</v>
      </c>
      <c r="G2741" s="2">
        <v>5.49</v>
      </c>
      <c r="H2741" s="2">
        <v>1880.3</v>
      </c>
      <c r="I2741" s="2" t="s">
        <v>805</v>
      </c>
    </row>
    <row r="2742" ht="15.75" customHeight="1">
      <c r="A2742" s="2" t="s">
        <v>4383</v>
      </c>
      <c r="B2742" s="2" t="s">
        <v>4384</v>
      </c>
      <c r="C2742" s="2" t="s">
        <v>3659</v>
      </c>
      <c r="D2742" s="2" t="s">
        <v>1038</v>
      </c>
      <c r="E2742" s="2" t="s">
        <v>1039</v>
      </c>
      <c r="F2742" s="2">
        <v>1213.0</v>
      </c>
      <c r="G2742" s="2">
        <v>11.36</v>
      </c>
      <c r="H2742" s="2">
        <v>106.8</v>
      </c>
      <c r="I2742" s="2" t="s">
        <v>27</v>
      </c>
    </row>
    <row r="2743" ht="15.75" customHeight="1">
      <c r="A2743" s="2" t="s">
        <v>6459</v>
      </c>
      <c r="B2743" s="2" t="s">
        <v>6460</v>
      </c>
      <c r="C2743" s="2" t="s">
        <v>3659</v>
      </c>
      <c r="D2743" s="2" t="s">
        <v>1038</v>
      </c>
      <c r="E2743" s="2" t="s">
        <v>1039</v>
      </c>
      <c r="F2743" s="2">
        <v>418.0</v>
      </c>
      <c r="G2743" s="2">
        <v>4.9</v>
      </c>
      <c r="H2743" s="2">
        <v>85.3</v>
      </c>
      <c r="I2743" s="2" t="s">
        <v>47</v>
      </c>
    </row>
    <row r="2744" ht="15.75" customHeight="1">
      <c r="A2744" s="2" t="s">
        <v>6461</v>
      </c>
      <c r="B2744" s="2" t="s">
        <v>6462</v>
      </c>
      <c r="C2744" s="2" t="s">
        <v>3659</v>
      </c>
      <c r="D2744" s="2" t="s">
        <v>904</v>
      </c>
      <c r="E2744" s="2" t="s">
        <v>906</v>
      </c>
      <c r="F2744" s="2">
        <v>341.0</v>
      </c>
      <c r="G2744" s="2">
        <v>11.14</v>
      </c>
      <c r="H2744" s="2">
        <v>30.6</v>
      </c>
      <c r="I2744" s="2" t="s">
        <v>47</v>
      </c>
    </row>
    <row r="2745" ht="15.75" customHeight="1">
      <c r="A2745" s="2" t="s">
        <v>6463</v>
      </c>
      <c r="B2745" s="2" t="s">
        <v>6464</v>
      </c>
      <c r="C2745" s="2" t="s">
        <v>3659</v>
      </c>
      <c r="D2745" s="2" t="s">
        <v>1004</v>
      </c>
      <c r="E2745" s="2" t="s">
        <v>1006</v>
      </c>
      <c r="F2745" s="2">
        <v>227.0</v>
      </c>
      <c r="G2745" s="2">
        <v>3.93</v>
      </c>
      <c r="H2745" s="2">
        <v>57.8</v>
      </c>
      <c r="I2745" s="2" t="s">
        <v>47</v>
      </c>
    </row>
    <row r="2746" ht="15.75" customHeight="1">
      <c r="A2746" s="2" t="s">
        <v>4385</v>
      </c>
      <c r="B2746" s="2" t="s">
        <v>4386</v>
      </c>
      <c r="C2746" s="2" t="s">
        <v>3659</v>
      </c>
      <c r="D2746" s="2" t="s">
        <v>792</v>
      </c>
      <c r="E2746" s="2" t="s">
        <v>793</v>
      </c>
      <c r="F2746" s="2">
        <v>719.0</v>
      </c>
      <c r="G2746" s="2">
        <v>5.32</v>
      </c>
      <c r="H2746" s="2">
        <v>135.2</v>
      </c>
      <c r="I2746" s="2" t="s">
        <v>27</v>
      </c>
    </row>
    <row r="2747" ht="15.75" customHeight="1">
      <c r="A2747" s="2" t="s">
        <v>4387</v>
      </c>
      <c r="B2747" s="2" t="s">
        <v>4388</v>
      </c>
      <c r="C2747" s="2" t="s">
        <v>3659</v>
      </c>
      <c r="D2747" s="2" t="s">
        <v>823</v>
      </c>
      <c r="E2747" s="2" t="s">
        <v>824</v>
      </c>
      <c r="F2747" s="2">
        <v>13138.0</v>
      </c>
      <c r="G2747" s="2">
        <v>7.04</v>
      </c>
      <c r="H2747" s="2">
        <v>1866.2</v>
      </c>
      <c r="I2747" s="2" t="s">
        <v>805</v>
      </c>
    </row>
    <row r="2748" ht="15.75" customHeight="1">
      <c r="A2748" s="2" t="s">
        <v>4389</v>
      </c>
      <c r="B2748" s="2" t="s">
        <v>4390</v>
      </c>
      <c r="C2748" s="2" t="s">
        <v>3659</v>
      </c>
      <c r="D2748" s="2" t="s">
        <v>962</v>
      </c>
      <c r="E2748" s="2" t="s">
        <v>965</v>
      </c>
      <c r="F2748" s="2">
        <v>493.0</v>
      </c>
      <c r="G2748" s="2">
        <v>5.37</v>
      </c>
      <c r="H2748" s="2">
        <v>91.8</v>
      </c>
      <c r="I2748" s="2" t="s">
        <v>47</v>
      </c>
    </row>
    <row r="2749" ht="15.75" customHeight="1">
      <c r="A2749" s="2" t="s">
        <v>4391</v>
      </c>
      <c r="B2749" s="2" t="s">
        <v>4392</v>
      </c>
      <c r="C2749" s="2" t="s">
        <v>3659</v>
      </c>
      <c r="D2749" s="2" t="s">
        <v>888</v>
      </c>
      <c r="E2749" s="2" t="s">
        <v>889</v>
      </c>
      <c r="F2749" s="2">
        <v>5780.0</v>
      </c>
      <c r="G2749" s="2">
        <v>34.32</v>
      </c>
      <c r="H2749" s="2">
        <v>168.4</v>
      </c>
      <c r="I2749" s="2" t="s">
        <v>138</v>
      </c>
    </row>
    <row r="2750" ht="15.75" customHeight="1">
      <c r="A2750" s="2" t="s">
        <v>4393</v>
      </c>
      <c r="B2750" s="2" t="s">
        <v>4394</v>
      </c>
      <c r="C2750" s="2" t="s">
        <v>3659</v>
      </c>
      <c r="D2750" s="2" t="s">
        <v>1038</v>
      </c>
      <c r="E2750" s="2" t="s">
        <v>1039</v>
      </c>
      <c r="F2750" s="2">
        <v>566.0</v>
      </c>
      <c r="G2750" s="2">
        <v>2.75</v>
      </c>
      <c r="H2750" s="2">
        <v>205.8</v>
      </c>
      <c r="I2750" s="2" t="s">
        <v>27</v>
      </c>
    </row>
    <row r="2751" ht="15.75" customHeight="1">
      <c r="A2751" s="2" t="s">
        <v>4395</v>
      </c>
      <c r="B2751" s="2" t="s">
        <v>4396</v>
      </c>
      <c r="C2751" s="2" t="s">
        <v>3659</v>
      </c>
      <c r="D2751" s="2" t="s">
        <v>951</v>
      </c>
      <c r="E2751" s="2" t="s">
        <v>953</v>
      </c>
      <c r="F2751" s="2">
        <v>559.0</v>
      </c>
      <c r="G2751" s="2">
        <v>13.0</v>
      </c>
      <c r="H2751" s="2">
        <v>43.0</v>
      </c>
      <c r="I2751" s="2" t="s">
        <v>27</v>
      </c>
    </row>
    <row r="2752" ht="15.75" customHeight="1">
      <c r="A2752" s="2" t="s">
        <v>4397</v>
      </c>
      <c r="B2752" s="2" t="s">
        <v>4398</v>
      </c>
      <c r="C2752" s="2" t="s">
        <v>3659</v>
      </c>
      <c r="D2752" s="2" t="s">
        <v>904</v>
      </c>
      <c r="E2752" s="2" t="s">
        <v>906</v>
      </c>
      <c r="F2752" s="2">
        <v>768.0</v>
      </c>
      <c r="G2752" s="2">
        <v>10.86</v>
      </c>
      <c r="H2752" s="2">
        <v>70.7</v>
      </c>
      <c r="I2752" s="2" t="s">
        <v>27</v>
      </c>
    </row>
    <row r="2753" ht="15.75" customHeight="1">
      <c r="A2753" s="2" t="s">
        <v>4400</v>
      </c>
      <c r="B2753" s="2" t="s">
        <v>4402</v>
      </c>
      <c r="C2753" s="2" t="s">
        <v>3659</v>
      </c>
      <c r="D2753" s="2" t="s">
        <v>1038</v>
      </c>
      <c r="E2753" s="2" t="s">
        <v>1039</v>
      </c>
      <c r="F2753" s="2">
        <v>770.0</v>
      </c>
      <c r="G2753" s="2">
        <v>6.7</v>
      </c>
      <c r="H2753" s="2">
        <v>114.9</v>
      </c>
      <c r="I2753" s="2" t="s">
        <v>27</v>
      </c>
    </row>
    <row r="2754" ht="15.75" customHeight="1">
      <c r="A2754" s="2" t="s">
        <v>6465</v>
      </c>
      <c r="B2754" s="2" t="s">
        <v>6466</v>
      </c>
      <c r="C2754" s="2" t="s">
        <v>3659</v>
      </c>
      <c r="D2754" s="2" t="s">
        <v>904</v>
      </c>
      <c r="E2754" s="2" t="s">
        <v>906</v>
      </c>
      <c r="F2754" s="2">
        <v>458.0</v>
      </c>
      <c r="G2754" s="2">
        <v>9.24</v>
      </c>
      <c r="H2754" s="2">
        <v>49.6</v>
      </c>
      <c r="I2754" s="2" t="s">
        <v>47</v>
      </c>
    </row>
    <row r="2755" ht="15.75" customHeight="1">
      <c r="A2755" s="2" t="s">
        <v>4405</v>
      </c>
      <c r="B2755" s="2" t="s">
        <v>4406</v>
      </c>
      <c r="C2755" s="2" t="s">
        <v>3659</v>
      </c>
      <c r="D2755" s="2" t="s">
        <v>1004</v>
      </c>
      <c r="E2755" s="2" t="s">
        <v>1006</v>
      </c>
      <c r="F2755" s="2">
        <v>1574.0</v>
      </c>
      <c r="G2755" s="2">
        <v>4.54</v>
      </c>
      <c r="H2755" s="2">
        <v>346.7</v>
      </c>
      <c r="I2755" s="2" t="s">
        <v>27</v>
      </c>
    </row>
    <row r="2756" ht="15.75" customHeight="1">
      <c r="A2756" s="2" t="s">
        <v>4407</v>
      </c>
      <c r="B2756" s="2" t="s">
        <v>4408</v>
      </c>
      <c r="C2756" s="2" t="s">
        <v>3659</v>
      </c>
      <c r="D2756" s="2" t="s">
        <v>823</v>
      </c>
      <c r="E2756" s="2" t="s">
        <v>824</v>
      </c>
      <c r="F2756" s="2">
        <v>422.0</v>
      </c>
      <c r="G2756" s="2">
        <v>7.81</v>
      </c>
      <c r="H2756" s="2">
        <v>54.0</v>
      </c>
      <c r="I2756" s="2" t="s">
        <v>47</v>
      </c>
    </row>
    <row r="2757" ht="15.75" customHeight="1">
      <c r="A2757" s="2" t="s">
        <v>6467</v>
      </c>
      <c r="B2757" s="2" t="s">
        <v>6468</v>
      </c>
      <c r="C2757" s="2" t="s">
        <v>3659</v>
      </c>
      <c r="D2757" s="2" t="s">
        <v>840</v>
      </c>
      <c r="E2757" s="2" t="s">
        <v>842</v>
      </c>
      <c r="F2757" s="2">
        <v>789.0</v>
      </c>
      <c r="G2757" s="2">
        <v>10.51</v>
      </c>
      <c r="H2757" s="2">
        <v>75.1</v>
      </c>
      <c r="I2757" s="2" t="s">
        <v>27</v>
      </c>
    </row>
    <row r="2758" ht="15.75" customHeight="1">
      <c r="A2758" s="2" t="s">
        <v>6469</v>
      </c>
      <c r="B2758" s="2" t="s">
        <v>6470</v>
      </c>
      <c r="C2758" s="2" t="s">
        <v>3659</v>
      </c>
      <c r="D2758" s="2" t="s">
        <v>1004</v>
      </c>
      <c r="E2758" s="2" t="s">
        <v>1006</v>
      </c>
      <c r="F2758" s="2">
        <v>325.0</v>
      </c>
      <c r="G2758" s="2">
        <v>6.14</v>
      </c>
      <c r="H2758" s="2">
        <v>52.9</v>
      </c>
      <c r="I2758" s="2" t="s">
        <v>47</v>
      </c>
    </row>
    <row r="2759" ht="15.75" customHeight="1">
      <c r="A2759" s="2" t="s">
        <v>4409</v>
      </c>
      <c r="B2759" s="2" t="s">
        <v>4410</v>
      </c>
      <c r="C2759" s="2" t="s">
        <v>3659</v>
      </c>
      <c r="D2759" s="2" t="s">
        <v>962</v>
      </c>
      <c r="E2759" s="2" t="s">
        <v>965</v>
      </c>
      <c r="F2759" s="2">
        <v>919.0</v>
      </c>
      <c r="G2759" s="2">
        <v>7.16</v>
      </c>
      <c r="H2759" s="2">
        <v>128.4</v>
      </c>
      <c r="I2759" s="2" t="s">
        <v>27</v>
      </c>
    </row>
    <row r="2760" ht="15.75" customHeight="1">
      <c r="A2760" s="2" t="s">
        <v>6471</v>
      </c>
      <c r="B2760" s="2" t="s">
        <v>6472</v>
      </c>
      <c r="C2760" s="2" t="s">
        <v>3659</v>
      </c>
      <c r="D2760" s="2" t="s">
        <v>840</v>
      </c>
      <c r="E2760" s="2" t="s">
        <v>842</v>
      </c>
      <c r="F2760" s="2">
        <v>545.0</v>
      </c>
      <c r="G2760" s="2">
        <v>9.31</v>
      </c>
      <c r="H2760" s="2">
        <v>58.5</v>
      </c>
      <c r="I2760" s="2" t="s">
        <v>27</v>
      </c>
    </row>
    <row r="2761" ht="15.75" customHeight="1">
      <c r="A2761" s="2" t="s">
        <v>6473</v>
      </c>
      <c r="B2761" s="2" t="s">
        <v>6474</v>
      </c>
      <c r="C2761" s="2" t="s">
        <v>3659</v>
      </c>
      <c r="D2761" s="2" t="s">
        <v>823</v>
      </c>
      <c r="E2761" s="2" t="s">
        <v>824</v>
      </c>
      <c r="F2761" s="2">
        <v>114.0</v>
      </c>
      <c r="G2761" s="2">
        <v>2.42</v>
      </c>
      <c r="H2761" s="2">
        <v>47.1</v>
      </c>
      <c r="I2761" s="2" t="s">
        <v>47</v>
      </c>
    </row>
    <row r="2762" ht="15.75" customHeight="1">
      <c r="A2762" s="2" t="s">
        <v>6475</v>
      </c>
      <c r="B2762" s="2" t="s">
        <v>6476</v>
      </c>
      <c r="C2762" s="2" t="s">
        <v>3659</v>
      </c>
      <c r="D2762" s="2" t="s">
        <v>951</v>
      </c>
      <c r="E2762" s="2" t="s">
        <v>953</v>
      </c>
      <c r="F2762" s="2">
        <v>104.0</v>
      </c>
      <c r="G2762" s="2">
        <v>6.19</v>
      </c>
      <c r="H2762" s="2">
        <v>16.8</v>
      </c>
      <c r="I2762" s="2" t="s">
        <v>47</v>
      </c>
    </row>
    <row r="2763" ht="15.75" customHeight="1">
      <c r="A2763" s="2" t="s">
        <v>6477</v>
      </c>
      <c r="B2763" s="2" t="s">
        <v>6478</v>
      </c>
      <c r="C2763" s="2" t="s">
        <v>3659</v>
      </c>
      <c r="D2763" s="2" t="s">
        <v>1038</v>
      </c>
      <c r="E2763" s="2" t="s">
        <v>1039</v>
      </c>
      <c r="F2763" s="2">
        <v>452.0</v>
      </c>
      <c r="G2763" s="2">
        <v>2.4</v>
      </c>
      <c r="H2763" s="2">
        <v>188.3</v>
      </c>
      <c r="I2763" s="2" t="s">
        <v>47</v>
      </c>
    </row>
    <row r="2764" ht="15.75" customHeight="1">
      <c r="A2764" s="2" t="s">
        <v>4411</v>
      </c>
      <c r="B2764" s="2" t="s">
        <v>4412</v>
      </c>
      <c r="C2764" s="2" t="s">
        <v>3659</v>
      </c>
      <c r="D2764" s="2" t="s">
        <v>888</v>
      </c>
      <c r="E2764" s="2" t="s">
        <v>889</v>
      </c>
      <c r="F2764" s="2">
        <v>867.0</v>
      </c>
      <c r="G2764" s="2">
        <v>4.8</v>
      </c>
      <c r="H2764" s="2">
        <v>180.6</v>
      </c>
      <c r="I2764" s="2" t="s">
        <v>27</v>
      </c>
    </row>
    <row r="2765" ht="15.75" customHeight="1">
      <c r="A2765" s="2" t="s">
        <v>4413</v>
      </c>
      <c r="B2765" s="2" t="s">
        <v>4414</v>
      </c>
      <c r="C2765" s="2" t="s">
        <v>3659</v>
      </c>
      <c r="D2765" s="2" t="s">
        <v>904</v>
      </c>
      <c r="E2765" s="2" t="s">
        <v>906</v>
      </c>
      <c r="F2765" s="2">
        <v>307.0</v>
      </c>
      <c r="G2765" s="2">
        <v>4.44</v>
      </c>
      <c r="H2765" s="2">
        <v>69.1</v>
      </c>
      <c r="I2765" s="2" t="s">
        <v>47</v>
      </c>
    </row>
    <row r="2766" ht="15.75" customHeight="1">
      <c r="A2766" s="2" t="s">
        <v>6479</v>
      </c>
      <c r="B2766" s="2" t="s">
        <v>6480</v>
      </c>
      <c r="C2766" s="2" t="s">
        <v>3659</v>
      </c>
      <c r="D2766" s="2" t="s">
        <v>904</v>
      </c>
      <c r="E2766" s="2" t="s">
        <v>906</v>
      </c>
      <c r="F2766" s="2">
        <v>244.0</v>
      </c>
      <c r="G2766" s="2">
        <v>5.81</v>
      </c>
      <c r="H2766" s="2">
        <v>42.0</v>
      </c>
      <c r="I2766" s="2" t="s">
        <v>47</v>
      </c>
    </row>
    <row r="2767" ht="15.75" customHeight="1">
      <c r="A2767" s="2" t="s">
        <v>4415</v>
      </c>
      <c r="B2767" s="2" t="s">
        <v>4416</v>
      </c>
      <c r="C2767" s="2" t="s">
        <v>3659</v>
      </c>
      <c r="D2767" s="2" t="s">
        <v>807</v>
      </c>
      <c r="E2767" s="2" t="s">
        <v>808</v>
      </c>
      <c r="F2767" s="2">
        <v>3062.0</v>
      </c>
      <c r="G2767" s="2">
        <v>2.01</v>
      </c>
      <c r="H2767" s="2">
        <v>1523.4</v>
      </c>
      <c r="I2767" s="2" t="s">
        <v>138</v>
      </c>
    </row>
    <row r="2768" ht="15.75" customHeight="1">
      <c r="A2768" s="2" t="s">
        <v>6483</v>
      </c>
      <c r="B2768" s="2" t="s">
        <v>6484</v>
      </c>
      <c r="C2768" s="2" t="s">
        <v>3659</v>
      </c>
      <c r="D2768" s="2" t="s">
        <v>1004</v>
      </c>
      <c r="E2768" s="2" t="s">
        <v>1006</v>
      </c>
      <c r="F2768" s="2">
        <v>298.0</v>
      </c>
      <c r="G2768" s="2">
        <v>4.38</v>
      </c>
      <c r="H2768" s="2">
        <v>68.0</v>
      </c>
      <c r="I2768" s="2" t="s">
        <v>47</v>
      </c>
    </row>
    <row r="2769" ht="15.75" customHeight="1">
      <c r="A2769" s="2" t="s">
        <v>4417</v>
      </c>
      <c r="B2769" s="2" t="s">
        <v>4418</v>
      </c>
      <c r="C2769" s="2" t="s">
        <v>3659</v>
      </c>
      <c r="D2769" s="2" t="s">
        <v>951</v>
      </c>
      <c r="E2769" s="2" t="s">
        <v>953</v>
      </c>
      <c r="F2769" s="2">
        <v>642.0</v>
      </c>
      <c r="G2769" s="2">
        <v>15.92</v>
      </c>
      <c r="H2769" s="2">
        <v>40.3</v>
      </c>
      <c r="I2769" s="2" t="s">
        <v>27</v>
      </c>
    </row>
    <row r="2770" ht="15.75" customHeight="1">
      <c r="A2770" s="2" t="s">
        <v>6485</v>
      </c>
      <c r="B2770" s="2" t="s">
        <v>6486</v>
      </c>
      <c r="C2770" s="2" t="s">
        <v>3659</v>
      </c>
      <c r="D2770" s="2" t="s">
        <v>1038</v>
      </c>
      <c r="E2770" s="2" t="s">
        <v>1039</v>
      </c>
      <c r="F2770" s="2">
        <v>307.0</v>
      </c>
      <c r="G2770" s="2">
        <v>6.16</v>
      </c>
      <c r="H2770" s="2">
        <v>49.8</v>
      </c>
      <c r="I2770" s="2" t="s">
        <v>47</v>
      </c>
    </row>
    <row r="2771" ht="15.75" customHeight="1">
      <c r="A2771" s="2" t="s">
        <v>6481</v>
      </c>
      <c r="B2771" s="2" t="s">
        <v>6482</v>
      </c>
      <c r="C2771" s="2" t="s">
        <v>3659</v>
      </c>
      <c r="D2771" s="2" t="s">
        <v>1004</v>
      </c>
      <c r="E2771" s="2" t="s">
        <v>1006</v>
      </c>
      <c r="F2771" s="2">
        <v>227.0</v>
      </c>
      <c r="G2771" s="2">
        <v>3.88</v>
      </c>
      <c r="H2771" s="2">
        <v>58.5</v>
      </c>
      <c r="I2771" s="2" t="s">
        <v>47</v>
      </c>
    </row>
    <row r="2772" ht="15.75" customHeight="1">
      <c r="A2772" s="2" t="s">
        <v>4419</v>
      </c>
      <c r="B2772" s="2" t="s">
        <v>4420</v>
      </c>
      <c r="C2772" s="2" t="s">
        <v>3659</v>
      </c>
      <c r="D2772" s="2" t="s">
        <v>997</v>
      </c>
      <c r="E2772" s="2" t="s">
        <v>999</v>
      </c>
      <c r="F2772" s="2">
        <v>675.0</v>
      </c>
      <c r="G2772" s="2">
        <v>11.65</v>
      </c>
      <c r="H2772" s="2">
        <v>57.9</v>
      </c>
      <c r="I2772" s="2" t="s">
        <v>27</v>
      </c>
    </row>
    <row r="2773" ht="15.75" customHeight="1">
      <c r="A2773" s="2" t="s">
        <v>6487</v>
      </c>
      <c r="B2773" s="2" t="s">
        <v>6488</v>
      </c>
      <c r="C2773" s="2" t="s">
        <v>3659</v>
      </c>
      <c r="D2773" s="2" t="s">
        <v>962</v>
      </c>
      <c r="E2773" s="2" t="s">
        <v>965</v>
      </c>
      <c r="F2773" s="2">
        <v>529.0</v>
      </c>
      <c r="G2773" s="2">
        <v>9.89</v>
      </c>
      <c r="H2773" s="2">
        <v>53.5</v>
      </c>
      <c r="I2773" s="2" t="s">
        <v>27</v>
      </c>
    </row>
    <row r="2774" ht="15.75" customHeight="1">
      <c r="A2774" s="2" t="s">
        <v>4421</v>
      </c>
      <c r="B2774" s="2" t="s">
        <v>4422</v>
      </c>
      <c r="C2774" s="2" t="s">
        <v>3659</v>
      </c>
      <c r="D2774" s="2" t="s">
        <v>962</v>
      </c>
      <c r="E2774" s="2" t="s">
        <v>965</v>
      </c>
      <c r="F2774" s="2">
        <v>292.0</v>
      </c>
      <c r="G2774" s="2">
        <v>1.99</v>
      </c>
      <c r="H2774" s="2">
        <v>146.7</v>
      </c>
      <c r="I2774" s="2" t="s">
        <v>47</v>
      </c>
    </row>
    <row r="2775" ht="15.75" customHeight="1">
      <c r="A2775" s="2" t="s">
        <v>6489</v>
      </c>
      <c r="B2775" s="2" t="s">
        <v>6490</v>
      </c>
      <c r="C2775" s="2" t="s">
        <v>3659</v>
      </c>
      <c r="D2775" s="2" t="s">
        <v>792</v>
      </c>
      <c r="E2775" s="2" t="s">
        <v>793</v>
      </c>
      <c r="F2775" s="2">
        <v>420.0</v>
      </c>
      <c r="G2775" s="2">
        <v>2.76</v>
      </c>
      <c r="H2775" s="2">
        <v>152.2</v>
      </c>
      <c r="I2775" s="2" t="s">
        <v>47</v>
      </c>
    </row>
    <row r="2776" ht="15.75" customHeight="1">
      <c r="A2776" s="2" t="s">
        <v>4423</v>
      </c>
      <c r="B2776" s="2" t="s">
        <v>4424</v>
      </c>
      <c r="C2776" s="2" t="s">
        <v>3659</v>
      </c>
      <c r="D2776" s="2" t="s">
        <v>861</v>
      </c>
      <c r="E2776" s="2" t="s">
        <v>862</v>
      </c>
      <c r="F2776" s="2">
        <v>720.0</v>
      </c>
      <c r="G2776" s="2">
        <v>13.97</v>
      </c>
      <c r="H2776" s="2">
        <v>51.5</v>
      </c>
      <c r="I2776" s="2" t="s">
        <v>27</v>
      </c>
    </row>
    <row r="2777" ht="15.75" customHeight="1">
      <c r="A2777" s="2" t="s">
        <v>6493</v>
      </c>
      <c r="B2777" s="2" t="s">
        <v>6494</v>
      </c>
      <c r="C2777" s="2" t="s">
        <v>3659</v>
      </c>
      <c r="D2777" s="2" t="s">
        <v>861</v>
      </c>
      <c r="E2777" s="2" t="s">
        <v>862</v>
      </c>
      <c r="F2777" s="2">
        <v>333.0</v>
      </c>
      <c r="G2777" s="2">
        <v>5.88</v>
      </c>
      <c r="H2777" s="2">
        <v>56.6</v>
      </c>
      <c r="I2777" s="2" t="s">
        <v>47</v>
      </c>
    </row>
    <row r="2778" ht="15.75" customHeight="1">
      <c r="A2778" s="2" t="s">
        <v>4425</v>
      </c>
      <c r="B2778" s="2" t="s">
        <v>4426</v>
      </c>
      <c r="C2778" s="2" t="s">
        <v>3659</v>
      </c>
      <c r="D2778" s="2" t="s">
        <v>833</v>
      </c>
      <c r="E2778" s="2" t="s">
        <v>835</v>
      </c>
      <c r="F2778" s="2">
        <v>663.0</v>
      </c>
      <c r="G2778" s="2">
        <v>2.84</v>
      </c>
      <c r="H2778" s="2">
        <v>233.5</v>
      </c>
      <c r="I2778" s="2" t="s">
        <v>27</v>
      </c>
    </row>
    <row r="2779" ht="15.75" customHeight="1">
      <c r="A2779" s="2" t="s">
        <v>6495</v>
      </c>
      <c r="B2779" s="2" t="s">
        <v>6496</v>
      </c>
      <c r="C2779" s="2" t="s">
        <v>3659</v>
      </c>
      <c r="D2779" s="2" t="s">
        <v>951</v>
      </c>
      <c r="E2779" s="2" t="s">
        <v>953</v>
      </c>
      <c r="F2779" s="2">
        <v>64.0</v>
      </c>
      <c r="G2779" s="2">
        <v>4.05</v>
      </c>
      <c r="H2779" s="2">
        <v>15.8</v>
      </c>
      <c r="I2779" s="2" t="s">
        <v>47</v>
      </c>
    </row>
    <row r="2780" ht="15.75" customHeight="1">
      <c r="A2780" s="2" t="s">
        <v>4427</v>
      </c>
      <c r="B2780" s="2" t="s">
        <v>4428</v>
      </c>
      <c r="C2780" s="2" t="s">
        <v>3659</v>
      </c>
      <c r="D2780" s="2" t="s">
        <v>1038</v>
      </c>
      <c r="E2780" s="2" t="s">
        <v>1039</v>
      </c>
      <c r="F2780" s="2">
        <v>702.0</v>
      </c>
      <c r="G2780" s="2">
        <v>8.94</v>
      </c>
      <c r="H2780" s="2">
        <v>78.5</v>
      </c>
      <c r="I2780" s="2" t="s">
        <v>27</v>
      </c>
    </row>
    <row r="2781" ht="15.75" customHeight="1">
      <c r="A2781" s="2" t="s">
        <v>4429</v>
      </c>
      <c r="B2781" s="2" t="s">
        <v>4430</v>
      </c>
      <c r="C2781" s="2" t="s">
        <v>3659</v>
      </c>
      <c r="D2781" s="2" t="s">
        <v>1038</v>
      </c>
      <c r="E2781" s="2" t="s">
        <v>1039</v>
      </c>
      <c r="F2781" s="2">
        <v>631.0</v>
      </c>
      <c r="G2781" s="2">
        <v>9.03</v>
      </c>
      <c r="H2781" s="2">
        <v>69.9</v>
      </c>
      <c r="I2781" s="2" t="s">
        <v>27</v>
      </c>
    </row>
    <row r="2782" ht="15.75" customHeight="1">
      <c r="A2782" s="2" t="s">
        <v>6497</v>
      </c>
      <c r="B2782" s="2" t="s">
        <v>6498</v>
      </c>
      <c r="C2782" s="2" t="s">
        <v>3659</v>
      </c>
      <c r="D2782" s="2" t="s">
        <v>1004</v>
      </c>
      <c r="E2782" s="2" t="s">
        <v>1006</v>
      </c>
      <c r="F2782" s="2">
        <v>210.0</v>
      </c>
      <c r="G2782" s="2">
        <v>12.06</v>
      </c>
      <c r="H2782" s="2">
        <v>17.4</v>
      </c>
      <c r="I2782" s="2" t="s">
        <v>47</v>
      </c>
    </row>
    <row r="2783" ht="15.75" customHeight="1">
      <c r="A2783" s="2" t="s">
        <v>4431</v>
      </c>
      <c r="B2783" s="2" t="s">
        <v>4432</v>
      </c>
      <c r="C2783" s="2" t="s">
        <v>3659</v>
      </c>
      <c r="D2783" s="2" t="s">
        <v>833</v>
      </c>
      <c r="E2783" s="2" t="s">
        <v>835</v>
      </c>
      <c r="F2783" s="2">
        <v>2257.0</v>
      </c>
      <c r="G2783" s="2">
        <v>5.36</v>
      </c>
      <c r="H2783" s="2">
        <v>421.1</v>
      </c>
      <c r="I2783" s="2" t="s">
        <v>138</v>
      </c>
    </row>
    <row r="2784" ht="15.75" customHeight="1">
      <c r="A2784" s="2" t="s">
        <v>6499</v>
      </c>
      <c r="B2784" s="2" t="s">
        <v>6500</v>
      </c>
      <c r="C2784" s="2" t="s">
        <v>3659</v>
      </c>
      <c r="D2784" s="2" t="s">
        <v>951</v>
      </c>
      <c r="E2784" s="2" t="s">
        <v>953</v>
      </c>
      <c r="F2784" s="2">
        <v>263.0</v>
      </c>
      <c r="G2784" s="2">
        <v>4.89</v>
      </c>
      <c r="H2784" s="2">
        <v>53.8</v>
      </c>
      <c r="I2784" s="2" t="s">
        <v>47</v>
      </c>
    </row>
    <row r="2785" ht="15.75" customHeight="1">
      <c r="A2785" s="2" t="s">
        <v>4433</v>
      </c>
      <c r="B2785" s="2" t="s">
        <v>4434</v>
      </c>
      <c r="C2785" s="2" t="s">
        <v>3659</v>
      </c>
      <c r="D2785" s="2" t="s">
        <v>1004</v>
      </c>
      <c r="E2785" s="2" t="s">
        <v>1006</v>
      </c>
      <c r="F2785" s="2">
        <v>349.0</v>
      </c>
      <c r="G2785" s="2">
        <v>8.05</v>
      </c>
      <c r="H2785" s="2">
        <v>43.4</v>
      </c>
      <c r="I2785" s="2" t="s">
        <v>47</v>
      </c>
    </row>
    <row r="2786" ht="15.75" customHeight="1">
      <c r="A2786" s="2" t="s">
        <v>4435</v>
      </c>
      <c r="B2786" s="2" t="s">
        <v>4436</v>
      </c>
      <c r="C2786" s="2" t="s">
        <v>3659</v>
      </c>
      <c r="D2786" s="2" t="s">
        <v>809</v>
      </c>
      <c r="E2786" s="2" t="s">
        <v>811</v>
      </c>
      <c r="F2786" s="2">
        <v>4297.0</v>
      </c>
      <c r="G2786" s="2">
        <v>10.72</v>
      </c>
      <c r="H2786" s="2">
        <v>400.8</v>
      </c>
      <c r="I2786" s="2" t="s">
        <v>138</v>
      </c>
    </row>
    <row r="2787" ht="15.75" customHeight="1">
      <c r="A2787" s="2" t="s">
        <v>6501</v>
      </c>
      <c r="B2787" s="2" t="s">
        <v>6502</v>
      </c>
      <c r="C2787" s="2" t="s">
        <v>3659</v>
      </c>
      <c r="D2787" s="2" t="s">
        <v>1082</v>
      </c>
      <c r="E2787" s="2" t="s">
        <v>1084</v>
      </c>
      <c r="F2787" s="2">
        <v>407.0</v>
      </c>
      <c r="G2787" s="2">
        <v>7.46</v>
      </c>
      <c r="H2787" s="2">
        <v>54.6</v>
      </c>
      <c r="I2787" s="2" t="s">
        <v>47</v>
      </c>
    </row>
    <row r="2788" ht="15.75" customHeight="1">
      <c r="A2788" s="2" t="s">
        <v>6503</v>
      </c>
      <c r="B2788" s="2" t="s">
        <v>6504</v>
      </c>
      <c r="C2788" s="2" t="s">
        <v>3659</v>
      </c>
      <c r="D2788" s="2" t="s">
        <v>899</v>
      </c>
      <c r="E2788" s="2" t="s">
        <v>900</v>
      </c>
      <c r="F2788" s="2">
        <v>227.0</v>
      </c>
      <c r="G2788" s="2">
        <v>5.92</v>
      </c>
      <c r="H2788" s="2">
        <v>38.3</v>
      </c>
      <c r="I2788" s="2" t="s">
        <v>47</v>
      </c>
    </row>
    <row r="2789" ht="15.75" customHeight="1">
      <c r="A2789" s="2" t="s">
        <v>6505</v>
      </c>
      <c r="B2789" s="2" t="s">
        <v>6506</v>
      </c>
      <c r="C2789" s="2" t="s">
        <v>3659</v>
      </c>
      <c r="D2789" s="2" t="s">
        <v>962</v>
      </c>
      <c r="E2789" s="2" t="s">
        <v>965</v>
      </c>
      <c r="F2789" s="2">
        <v>403.0</v>
      </c>
      <c r="G2789" s="2">
        <v>4.8</v>
      </c>
      <c r="H2789" s="2">
        <v>84.0</v>
      </c>
      <c r="I2789" s="2" t="s">
        <v>47</v>
      </c>
    </row>
    <row r="2790" ht="15.75" customHeight="1">
      <c r="A2790" s="2" t="s">
        <v>4437</v>
      </c>
      <c r="B2790" s="2" t="s">
        <v>4438</v>
      </c>
      <c r="C2790" s="2" t="s">
        <v>3659</v>
      </c>
      <c r="D2790" s="2" t="s">
        <v>792</v>
      </c>
      <c r="E2790" s="2" t="s">
        <v>793</v>
      </c>
      <c r="F2790" s="2">
        <v>1071.0</v>
      </c>
      <c r="G2790" s="2">
        <v>10.77</v>
      </c>
      <c r="H2790" s="2">
        <v>99.4</v>
      </c>
      <c r="I2790" s="2" t="s">
        <v>27</v>
      </c>
    </row>
    <row r="2791" ht="15.75" customHeight="1">
      <c r="A2791" s="2" t="s">
        <v>6507</v>
      </c>
      <c r="B2791" s="2" t="s">
        <v>6508</v>
      </c>
      <c r="C2791" s="2" t="s">
        <v>3659</v>
      </c>
      <c r="D2791" s="2" t="s">
        <v>904</v>
      </c>
      <c r="E2791" s="2" t="s">
        <v>906</v>
      </c>
      <c r="F2791" s="2">
        <v>190.0</v>
      </c>
      <c r="G2791" s="2">
        <v>8.34</v>
      </c>
      <c r="H2791" s="2">
        <v>22.8</v>
      </c>
      <c r="I2791" s="2" t="s">
        <v>47</v>
      </c>
    </row>
    <row r="2792" ht="15.75" customHeight="1">
      <c r="A2792" s="2" t="s">
        <v>6509</v>
      </c>
      <c r="B2792" s="2" t="s">
        <v>6510</v>
      </c>
      <c r="C2792" s="2" t="s">
        <v>3659</v>
      </c>
      <c r="D2792" s="2" t="s">
        <v>904</v>
      </c>
      <c r="E2792" s="2" t="s">
        <v>906</v>
      </c>
      <c r="F2792" s="2">
        <v>253.0</v>
      </c>
      <c r="G2792" s="2">
        <v>8.55</v>
      </c>
      <c r="H2792" s="2">
        <v>29.6</v>
      </c>
      <c r="I2792" s="2" t="s">
        <v>47</v>
      </c>
    </row>
    <row r="2793" ht="15.75" customHeight="1">
      <c r="A2793" s="2" t="s">
        <v>6511</v>
      </c>
      <c r="B2793" s="2" t="s">
        <v>6512</v>
      </c>
      <c r="C2793" s="2" t="s">
        <v>3659</v>
      </c>
      <c r="D2793" s="2" t="s">
        <v>833</v>
      </c>
      <c r="E2793" s="2" t="s">
        <v>835</v>
      </c>
      <c r="F2793" s="2">
        <v>238.0</v>
      </c>
      <c r="G2793" s="2">
        <v>6.07</v>
      </c>
      <c r="H2793" s="2">
        <v>39.2</v>
      </c>
      <c r="I2793" s="2" t="s">
        <v>47</v>
      </c>
    </row>
    <row r="2794" ht="15.75" customHeight="1">
      <c r="A2794" s="2" t="s">
        <v>6513</v>
      </c>
      <c r="B2794" s="2" t="s">
        <v>6514</v>
      </c>
      <c r="C2794" s="2" t="s">
        <v>3659</v>
      </c>
      <c r="D2794" s="2" t="s">
        <v>809</v>
      </c>
      <c r="E2794" s="2" t="s">
        <v>811</v>
      </c>
      <c r="F2794" s="2">
        <v>266.0</v>
      </c>
      <c r="G2794" s="2">
        <v>4.8</v>
      </c>
      <c r="H2794" s="2">
        <v>55.4</v>
      </c>
      <c r="I2794" s="2" t="s">
        <v>47</v>
      </c>
    </row>
    <row r="2795" ht="15.75" customHeight="1">
      <c r="A2795" s="2" t="s">
        <v>4439</v>
      </c>
      <c r="B2795" s="2" t="s">
        <v>4440</v>
      </c>
      <c r="C2795" s="2" t="s">
        <v>3659</v>
      </c>
      <c r="D2795" s="2" t="s">
        <v>888</v>
      </c>
      <c r="E2795" s="2" t="s">
        <v>889</v>
      </c>
      <c r="F2795" s="2">
        <v>675.0</v>
      </c>
      <c r="G2795" s="2">
        <v>5.45</v>
      </c>
      <c r="H2795" s="2">
        <v>123.9</v>
      </c>
      <c r="I2795" s="2" t="s">
        <v>27</v>
      </c>
    </row>
    <row r="2796" ht="15.75" customHeight="1">
      <c r="A2796" s="2" t="s">
        <v>6515</v>
      </c>
      <c r="B2796" s="2" t="s">
        <v>6516</v>
      </c>
      <c r="C2796" s="2" t="s">
        <v>3659</v>
      </c>
      <c r="D2796" s="2" t="s">
        <v>899</v>
      </c>
      <c r="E2796" s="2" t="s">
        <v>900</v>
      </c>
      <c r="F2796" s="2">
        <v>213.0</v>
      </c>
      <c r="G2796" s="2">
        <v>4.18</v>
      </c>
      <c r="H2796" s="2">
        <v>51.0</v>
      </c>
      <c r="I2796" s="2" t="s">
        <v>47</v>
      </c>
    </row>
    <row r="2797" ht="15.75" customHeight="1">
      <c r="A2797" s="2" t="s">
        <v>4441</v>
      </c>
      <c r="B2797" s="2" t="s">
        <v>4442</v>
      </c>
      <c r="C2797" s="2" t="s">
        <v>3659</v>
      </c>
      <c r="D2797" s="2" t="s">
        <v>792</v>
      </c>
      <c r="E2797" s="2" t="s">
        <v>793</v>
      </c>
      <c r="F2797" s="2">
        <v>464.0</v>
      </c>
      <c r="G2797" s="2">
        <v>4.88</v>
      </c>
      <c r="H2797" s="2">
        <v>95.1</v>
      </c>
      <c r="I2797" s="2" t="s">
        <v>47</v>
      </c>
    </row>
    <row r="2798" ht="15.75" customHeight="1">
      <c r="A2798" s="2" t="s">
        <v>6517</v>
      </c>
      <c r="B2798" s="2" t="s">
        <v>6518</v>
      </c>
      <c r="C2798" s="2" t="s">
        <v>3659</v>
      </c>
      <c r="D2798" s="2" t="s">
        <v>962</v>
      </c>
      <c r="E2798" s="2" t="s">
        <v>965</v>
      </c>
      <c r="F2798" s="2">
        <v>355.0</v>
      </c>
      <c r="G2798" s="2">
        <v>5.31</v>
      </c>
      <c r="H2798" s="2">
        <v>66.9</v>
      </c>
      <c r="I2798" s="2" t="s">
        <v>47</v>
      </c>
    </row>
    <row r="2799" ht="15.75" customHeight="1">
      <c r="A2799" s="2" t="s">
        <v>6521</v>
      </c>
      <c r="B2799" s="2" t="s">
        <v>6522</v>
      </c>
      <c r="C2799" s="2" t="s">
        <v>3659</v>
      </c>
      <c r="D2799" s="2" t="s">
        <v>833</v>
      </c>
      <c r="E2799" s="2" t="s">
        <v>835</v>
      </c>
      <c r="F2799" s="2">
        <v>596.0</v>
      </c>
      <c r="G2799" s="2">
        <v>15.65</v>
      </c>
      <c r="H2799" s="2">
        <v>38.1</v>
      </c>
      <c r="I2799" s="2" t="s">
        <v>27</v>
      </c>
    </row>
    <row r="2800" ht="15.75" customHeight="1">
      <c r="A2800" s="2" t="s">
        <v>4443</v>
      </c>
      <c r="B2800" s="2" t="s">
        <v>4444</v>
      </c>
      <c r="C2800" s="2" t="s">
        <v>3659</v>
      </c>
      <c r="D2800" s="2" t="s">
        <v>892</v>
      </c>
      <c r="E2800" s="2" t="s">
        <v>893</v>
      </c>
      <c r="F2800" s="2">
        <v>2032.0</v>
      </c>
      <c r="G2800" s="2">
        <v>18.32</v>
      </c>
      <c r="H2800" s="2">
        <v>110.9</v>
      </c>
      <c r="I2800" s="2" t="s">
        <v>138</v>
      </c>
    </row>
    <row r="2801" ht="15.75" customHeight="1">
      <c r="A2801" s="2" t="s">
        <v>4445</v>
      </c>
      <c r="B2801" s="2" t="s">
        <v>4446</v>
      </c>
      <c r="C2801" s="2" t="s">
        <v>3659</v>
      </c>
      <c r="D2801" s="2" t="s">
        <v>792</v>
      </c>
      <c r="E2801" s="2" t="s">
        <v>793</v>
      </c>
      <c r="F2801" s="2">
        <v>2687.0</v>
      </c>
      <c r="G2801" s="2">
        <v>17.38</v>
      </c>
      <c r="H2801" s="2">
        <v>154.6</v>
      </c>
      <c r="I2801" s="2" t="s">
        <v>138</v>
      </c>
    </row>
    <row r="2802" ht="15.75" customHeight="1">
      <c r="A2802" s="2" t="s">
        <v>6523</v>
      </c>
      <c r="B2802" s="2" t="s">
        <v>6524</v>
      </c>
      <c r="C2802" s="2" t="s">
        <v>3659</v>
      </c>
      <c r="D2802" s="2" t="s">
        <v>997</v>
      </c>
      <c r="E2802" s="2" t="s">
        <v>999</v>
      </c>
      <c r="F2802" s="2">
        <v>33.0</v>
      </c>
      <c r="G2802" s="2">
        <v>3.43</v>
      </c>
      <c r="H2802" s="2">
        <v>9.6</v>
      </c>
      <c r="I2802" s="2" t="s">
        <v>47</v>
      </c>
    </row>
    <row r="2803" ht="15.75" customHeight="1">
      <c r="A2803" s="2" t="s">
        <v>4447</v>
      </c>
      <c r="B2803" s="2" t="s">
        <v>4448</v>
      </c>
      <c r="C2803" s="2" t="s">
        <v>3659</v>
      </c>
      <c r="D2803" s="2" t="s">
        <v>1038</v>
      </c>
      <c r="E2803" s="2" t="s">
        <v>1039</v>
      </c>
      <c r="F2803" s="2">
        <v>253.0</v>
      </c>
      <c r="G2803" s="2">
        <v>4.77</v>
      </c>
      <c r="H2803" s="2">
        <v>53.0</v>
      </c>
      <c r="I2803" s="2" t="s">
        <v>47</v>
      </c>
    </row>
    <row r="2804" ht="15.75" customHeight="1">
      <c r="A2804" s="2" t="s">
        <v>6525</v>
      </c>
      <c r="B2804" s="2" t="s">
        <v>6526</v>
      </c>
      <c r="C2804" s="2" t="s">
        <v>3659</v>
      </c>
      <c r="D2804" s="2" t="s">
        <v>951</v>
      </c>
      <c r="E2804" s="2" t="s">
        <v>953</v>
      </c>
      <c r="F2804" s="2">
        <v>185.0</v>
      </c>
      <c r="G2804" s="2">
        <v>7.13</v>
      </c>
      <c r="H2804" s="2">
        <v>25.9</v>
      </c>
      <c r="I2804" s="2" t="s">
        <v>47</v>
      </c>
    </row>
    <row r="2805" ht="15.75" customHeight="1">
      <c r="A2805" s="2" t="s">
        <v>4449</v>
      </c>
      <c r="B2805" s="2" t="s">
        <v>4450</v>
      </c>
      <c r="C2805" s="2" t="s">
        <v>3659</v>
      </c>
      <c r="D2805" s="2" t="s">
        <v>892</v>
      </c>
      <c r="E2805" s="2" t="s">
        <v>893</v>
      </c>
      <c r="F2805" s="2">
        <v>2987.0</v>
      </c>
      <c r="G2805" s="2">
        <v>8.39</v>
      </c>
      <c r="H2805" s="2">
        <v>356.0</v>
      </c>
      <c r="I2805" s="2" t="s">
        <v>138</v>
      </c>
    </row>
    <row r="2806" ht="15.75" customHeight="1">
      <c r="A2806" s="2" t="s">
        <v>4451</v>
      </c>
      <c r="B2806" s="2" t="s">
        <v>4452</v>
      </c>
      <c r="C2806" s="2" t="s">
        <v>3659</v>
      </c>
      <c r="D2806" s="2" t="s">
        <v>1082</v>
      </c>
      <c r="E2806" s="2" t="s">
        <v>1084</v>
      </c>
      <c r="F2806" s="2">
        <v>1123.0</v>
      </c>
      <c r="G2806" s="2">
        <v>12.01</v>
      </c>
      <c r="H2806" s="2">
        <v>93.5</v>
      </c>
      <c r="I2806" s="2" t="s">
        <v>27</v>
      </c>
    </row>
    <row r="2807" ht="15.75" customHeight="1">
      <c r="A2807" s="2" t="s">
        <v>4453</v>
      </c>
      <c r="B2807" s="2" t="s">
        <v>4454</v>
      </c>
      <c r="C2807" s="2" t="s">
        <v>3659</v>
      </c>
      <c r="D2807" s="2" t="s">
        <v>792</v>
      </c>
      <c r="E2807" s="2" t="s">
        <v>793</v>
      </c>
      <c r="F2807" s="2">
        <v>1328.0</v>
      </c>
      <c r="G2807" s="2">
        <v>10.46</v>
      </c>
      <c r="H2807" s="2">
        <v>127.0</v>
      </c>
      <c r="I2807" s="2" t="s">
        <v>27</v>
      </c>
    </row>
    <row r="2808" ht="15.75" customHeight="1">
      <c r="A2808" s="2" t="s">
        <v>4455</v>
      </c>
      <c r="B2808" s="2" t="s">
        <v>4456</v>
      </c>
      <c r="C2808" s="2" t="s">
        <v>3659</v>
      </c>
      <c r="D2808" s="2" t="s">
        <v>1082</v>
      </c>
      <c r="E2808" s="2" t="s">
        <v>1084</v>
      </c>
      <c r="F2808" s="2">
        <v>794.0</v>
      </c>
      <c r="G2808" s="2">
        <v>5.94</v>
      </c>
      <c r="H2808" s="2">
        <v>133.7</v>
      </c>
      <c r="I2808" s="2" t="s">
        <v>27</v>
      </c>
    </row>
    <row r="2809" ht="15.75" customHeight="1">
      <c r="A2809" s="2" t="s">
        <v>4457</v>
      </c>
      <c r="B2809" s="2" t="s">
        <v>2434</v>
      </c>
      <c r="C2809" s="2" t="s">
        <v>3659</v>
      </c>
      <c r="D2809" s="2" t="s">
        <v>997</v>
      </c>
      <c r="E2809" s="2" t="s">
        <v>999</v>
      </c>
      <c r="F2809" s="2">
        <v>265.0</v>
      </c>
      <c r="G2809" s="2">
        <v>3.72</v>
      </c>
      <c r="H2809" s="2">
        <v>71.2</v>
      </c>
      <c r="I2809" s="2" t="s">
        <v>47</v>
      </c>
    </row>
    <row r="2810" ht="15.75" customHeight="1">
      <c r="A2810" s="2" t="s">
        <v>6527</v>
      </c>
      <c r="B2810" s="2" t="s">
        <v>6528</v>
      </c>
      <c r="C2810" s="2" t="s">
        <v>3659</v>
      </c>
      <c r="D2810" s="2" t="s">
        <v>1042</v>
      </c>
      <c r="E2810" s="2" t="s">
        <v>1043</v>
      </c>
      <c r="F2810" s="2">
        <v>558.0</v>
      </c>
      <c r="G2810" s="2">
        <v>4.37</v>
      </c>
      <c r="H2810" s="2">
        <v>127.7</v>
      </c>
      <c r="I2810" s="2" t="s">
        <v>27</v>
      </c>
    </row>
    <row r="2811" ht="15.75" customHeight="1">
      <c r="A2811" s="2" t="s">
        <v>6531</v>
      </c>
      <c r="B2811" s="2" t="s">
        <v>6532</v>
      </c>
      <c r="C2811" s="2" t="s">
        <v>3659</v>
      </c>
      <c r="D2811" s="2" t="s">
        <v>899</v>
      </c>
      <c r="E2811" s="2" t="s">
        <v>900</v>
      </c>
      <c r="F2811" s="2">
        <v>293.0</v>
      </c>
      <c r="G2811" s="2">
        <v>11.6</v>
      </c>
      <c r="H2811" s="2">
        <v>25.3</v>
      </c>
      <c r="I2811" s="2" t="s">
        <v>47</v>
      </c>
    </row>
    <row r="2812" ht="15.75" customHeight="1">
      <c r="A2812" s="2" t="s">
        <v>6533</v>
      </c>
      <c r="B2812" s="2" t="s">
        <v>6534</v>
      </c>
      <c r="C2812" s="2" t="s">
        <v>3659</v>
      </c>
      <c r="D2812" s="2" t="s">
        <v>792</v>
      </c>
      <c r="E2812" s="2" t="s">
        <v>793</v>
      </c>
      <c r="F2812" s="2">
        <v>53.0</v>
      </c>
      <c r="G2812" s="2">
        <v>1.14</v>
      </c>
      <c r="H2812" s="2">
        <v>46.5</v>
      </c>
      <c r="I2812" s="2" t="s">
        <v>47</v>
      </c>
    </row>
    <row r="2813" ht="15.75" customHeight="1">
      <c r="A2813" s="2" t="s">
        <v>4458</v>
      </c>
      <c r="B2813" s="2" t="s">
        <v>4459</v>
      </c>
      <c r="C2813" s="2" t="s">
        <v>3659</v>
      </c>
      <c r="D2813" s="2" t="s">
        <v>833</v>
      </c>
      <c r="E2813" s="2" t="s">
        <v>835</v>
      </c>
      <c r="F2813" s="2">
        <v>1970.0</v>
      </c>
      <c r="G2813" s="2">
        <v>10.87</v>
      </c>
      <c r="H2813" s="2">
        <v>181.2</v>
      </c>
      <c r="I2813" s="2" t="s">
        <v>27</v>
      </c>
    </row>
    <row r="2814" ht="15.75" customHeight="1">
      <c r="A2814" s="2" t="s">
        <v>6535</v>
      </c>
      <c r="B2814" s="2" t="s">
        <v>6536</v>
      </c>
      <c r="C2814" s="2" t="s">
        <v>3659</v>
      </c>
      <c r="D2814" s="2" t="s">
        <v>1004</v>
      </c>
      <c r="E2814" s="2" t="s">
        <v>1006</v>
      </c>
      <c r="F2814" s="2">
        <v>83.0</v>
      </c>
      <c r="G2814" s="2">
        <v>3.8</v>
      </c>
      <c r="H2814" s="2">
        <v>21.8</v>
      </c>
      <c r="I2814" s="2" t="s">
        <v>47</v>
      </c>
    </row>
    <row r="2815" ht="15.75" customHeight="1">
      <c r="A2815" s="2" t="s">
        <v>6537</v>
      </c>
      <c r="B2815" s="2" t="s">
        <v>6538</v>
      </c>
      <c r="C2815" s="2" t="s">
        <v>3659</v>
      </c>
      <c r="D2815" s="2" t="s">
        <v>899</v>
      </c>
      <c r="E2815" s="2" t="s">
        <v>900</v>
      </c>
      <c r="F2815" s="2">
        <v>251.0</v>
      </c>
      <c r="G2815" s="2">
        <v>5.18</v>
      </c>
      <c r="H2815" s="2">
        <v>48.5</v>
      </c>
      <c r="I2815" s="2" t="s">
        <v>47</v>
      </c>
    </row>
    <row r="2816" ht="15.75" customHeight="1">
      <c r="A2816" s="2" t="s">
        <v>4460</v>
      </c>
      <c r="B2816" s="2" t="s">
        <v>679</v>
      </c>
      <c r="C2816" s="2" t="s">
        <v>3659</v>
      </c>
      <c r="D2816" s="2" t="s">
        <v>789</v>
      </c>
      <c r="E2816" s="2" t="s">
        <v>790</v>
      </c>
      <c r="F2816" s="2">
        <v>8552.0</v>
      </c>
      <c r="G2816" s="2">
        <v>6.5</v>
      </c>
      <c r="H2816" s="2">
        <v>1315.7</v>
      </c>
      <c r="I2816" s="2" t="s">
        <v>138</v>
      </c>
    </row>
    <row r="2817" ht="15.75" customHeight="1">
      <c r="A2817" s="2" t="s">
        <v>6539</v>
      </c>
      <c r="B2817" s="2" t="s">
        <v>6540</v>
      </c>
      <c r="C2817" s="2" t="s">
        <v>3659</v>
      </c>
      <c r="D2817" s="2" t="s">
        <v>951</v>
      </c>
      <c r="E2817" s="2" t="s">
        <v>953</v>
      </c>
      <c r="F2817" s="2">
        <v>121.0</v>
      </c>
      <c r="G2817" s="2">
        <v>7.45</v>
      </c>
      <c r="H2817" s="2">
        <v>16.2</v>
      </c>
      <c r="I2817" s="2" t="s">
        <v>47</v>
      </c>
    </row>
    <row r="2818" ht="15.75" customHeight="1">
      <c r="A2818" s="2" t="s">
        <v>6529</v>
      </c>
      <c r="B2818" s="2" t="s">
        <v>6530</v>
      </c>
      <c r="C2818" s="2" t="s">
        <v>3659</v>
      </c>
      <c r="D2818" s="2" t="s">
        <v>1004</v>
      </c>
      <c r="E2818" s="2" t="s">
        <v>1006</v>
      </c>
      <c r="F2818" s="2">
        <v>516.0</v>
      </c>
      <c r="G2818" s="2">
        <v>9.43</v>
      </c>
      <c r="H2818" s="2">
        <v>54.7</v>
      </c>
      <c r="I2818" s="2" t="s">
        <v>27</v>
      </c>
    </row>
    <row r="2819" ht="15.75" customHeight="1">
      <c r="A2819" s="2" t="s">
        <v>6541</v>
      </c>
      <c r="B2819" s="2" t="s">
        <v>6542</v>
      </c>
      <c r="C2819" s="2" t="s">
        <v>3659</v>
      </c>
      <c r="D2819" s="2" t="s">
        <v>951</v>
      </c>
      <c r="E2819" s="2" t="s">
        <v>953</v>
      </c>
      <c r="F2819" s="2">
        <v>214.0</v>
      </c>
      <c r="G2819" s="2">
        <v>3.89</v>
      </c>
      <c r="H2819" s="2">
        <v>55.0</v>
      </c>
      <c r="I2819" s="2" t="s">
        <v>47</v>
      </c>
    </row>
    <row r="2820" ht="15.75" customHeight="1">
      <c r="A2820" s="2" t="s">
        <v>4461</v>
      </c>
      <c r="B2820" s="2" t="s">
        <v>4462</v>
      </c>
      <c r="C2820" s="2" t="s">
        <v>3659</v>
      </c>
      <c r="D2820" s="2" t="s">
        <v>792</v>
      </c>
      <c r="E2820" s="2" t="s">
        <v>793</v>
      </c>
      <c r="F2820" s="2">
        <v>1478.0</v>
      </c>
      <c r="G2820" s="2">
        <v>4.88</v>
      </c>
      <c r="H2820" s="2">
        <v>302.9</v>
      </c>
      <c r="I2820" s="2" t="s">
        <v>27</v>
      </c>
    </row>
    <row r="2821" ht="15.75" customHeight="1">
      <c r="A2821" s="2" t="s">
        <v>4463</v>
      </c>
      <c r="B2821" s="2" t="s">
        <v>4464</v>
      </c>
      <c r="C2821" s="2" t="s">
        <v>3659</v>
      </c>
      <c r="D2821" s="2" t="s">
        <v>1038</v>
      </c>
      <c r="E2821" s="2" t="s">
        <v>1039</v>
      </c>
      <c r="F2821" s="2">
        <v>691.0</v>
      </c>
      <c r="G2821" s="2">
        <v>5.51</v>
      </c>
      <c r="H2821" s="2">
        <v>125.4</v>
      </c>
      <c r="I2821" s="2" t="s">
        <v>27</v>
      </c>
    </row>
    <row r="2822" ht="15.75" customHeight="1">
      <c r="A2822" s="2" t="s">
        <v>6543</v>
      </c>
      <c r="B2822" s="2" t="s">
        <v>6544</v>
      </c>
      <c r="C2822" s="2" t="s">
        <v>3659</v>
      </c>
      <c r="D2822" s="2" t="s">
        <v>951</v>
      </c>
      <c r="E2822" s="2" t="s">
        <v>953</v>
      </c>
      <c r="F2822" s="2">
        <v>237.0</v>
      </c>
      <c r="G2822" s="2">
        <v>7.05</v>
      </c>
      <c r="H2822" s="2">
        <v>33.6</v>
      </c>
      <c r="I2822" s="2" t="s">
        <v>47</v>
      </c>
    </row>
    <row r="2823" ht="15.75" customHeight="1">
      <c r="A2823" s="2" t="s">
        <v>4465</v>
      </c>
      <c r="B2823" s="2" t="s">
        <v>4466</v>
      </c>
      <c r="C2823" s="2" t="s">
        <v>3659</v>
      </c>
      <c r="D2823" s="2" t="s">
        <v>888</v>
      </c>
      <c r="E2823" s="2" t="s">
        <v>889</v>
      </c>
      <c r="F2823" s="2">
        <v>1614.0</v>
      </c>
      <c r="G2823" s="2">
        <v>13.9</v>
      </c>
      <c r="H2823" s="2">
        <v>116.1</v>
      </c>
      <c r="I2823" s="2" t="s">
        <v>27</v>
      </c>
    </row>
    <row r="2824" ht="15.75" customHeight="1">
      <c r="A2824" s="2" t="s">
        <v>6545</v>
      </c>
      <c r="B2824" s="2" t="s">
        <v>6546</v>
      </c>
      <c r="C2824" s="2" t="s">
        <v>3659</v>
      </c>
      <c r="D2824" s="2" t="s">
        <v>997</v>
      </c>
      <c r="E2824" s="2" t="s">
        <v>999</v>
      </c>
      <c r="F2824" s="2">
        <v>285.0</v>
      </c>
      <c r="G2824" s="2">
        <v>6.45</v>
      </c>
      <c r="H2824" s="2">
        <v>44.2</v>
      </c>
      <c r="I2824" s="2" t="s">
        <v>47</v>
      </c>
    </row>
    <row r="2825" ht="15.75" customHeight="1">
      <c r="A2825" s="2" t="s">
        <v>4467</v>
      </c>
      <c r="B2825" s="2" t="s">
        <v>4468</v>
      </c>
      <c r="C2825" s="2" t="s">
        <v>3659</v>
      </c>
      <c r="D2825" s="2" t="s">
        <v>1038</v>
      </c>
      <c r="E2825" s="2" t="s">
        <v>1039</v>
      </c>
      <c r="F2825" s="2">
        <v>318.0</v>
      </c>
      <c r="G2825" s="2">
        <v>3.36</v>
      </c>
      <c r="H2825" s="2">
        <v>94.6</v>
      </c>
      <c r="I2825" s="2" t="s">
        <v>47</v>
      </c>
    </row>
    <row r="2826" ht="15.75" customHeight="1">
      <c r="A2826" s="2" t="s">
        <v>6519</v>
      </c>
      <c r="B2826" s="2" t="s">
        <v>6520</v>
      </c>
      <c r="C2826" s="2" t="s">
        <v>3659</v>
      </c>
      <c r="D2826" s="2" t="s">
        <v>1038</v>
      </c>
      <c r="E2826" s="2" t="s">
        <v>1039</v>
      </c>
      <c r="F2826" s="2">
        <v>394.0</v>
      </c>
      <c r="G2826" s="2">
        <v>3.61</v>
      </c>
      <c r="H2826" s="2">
        <v>109.1</v>
      </c>
      <c r="I2826" s="2" t="s">
        <v>47</v>
      </c>
    </row>
    <row r="2827" ht="15.75" customHeight="1">
      <c r="A2827" s="2" t="s">
        <v>4469</v>
      </c>
      <c r="B2827" s="2" t="s">
        <v>4470</v>
      </c>
      <c r="C2827" s="2" t="s">
        <v>3659</v>
      </c>
      <c r="D2827" s="2" t="s">
        <v>1082</v>
      </c>
      <c r="E2827" s="2" t="s">
        <v>1084</v>
      </c>
      <c r="F2827" s="2">
        <v>1381.0</v>
      </c>
      <c r="G2827" s="2">
        <v>4.91</v>
      </c>
      <c r="H2827" s="2">
        <v>281.3</v>
      </c>
      <c r="I2827" s="2" t="s">
        <v>27</v>
      </c>
    </row>
    <row r="2828" ht="15.75" customHeight="1">
      <c r="A2828" s="2" t="s">
        <v>6547</v>
      </c>
      <c r="B2828" s="2" t="s">
        <v>6548</v>
      </c>
      <c r="C2828" s="2" t="s">
        <v>3659</v>
      </c>
      <c r="D2828" s="2" t="s">
        <v>1004</v>
      </c>
      <c r="E2828" s="2" t="s">
        <v>1006</v>
      </c>
      <c r="F2828" s="2">
        <v>323.0</v>
      </c>
      <c r="G2828" s="2">
        <v>5.95</v>
      </c>
      <c r="H2828" s="2">
        <v>54.3</v>
      </c>
      <c r="I2828" s="2" t="s">
        <v>47</v>
      </c>
    </row>
    <row r="2829" ht="15.75" customHeight="1">
      <c r="A2829" s="2" t="s">
        <v>4471</v>
      </c>
      <c r="B2829" s="2" t="s">
        <v>4472</v>
      </c>
      <c r="C2829" s="2" t="s">
        <v>3659</v>
      </c>
      <c r="D2829" s="2" t="s">
        <v>792</v>
      </c>
      <c r="E2829" s="2" t="s">
        <v>793</v>
      </c>
      <c r="F2829" s="2">
        <v>2493.0</v>
      </c>
      <c r="G2829" s="2">
        <v>6.09</v>
      </c>
      <c r="H2829" s="2">
        <v>409.4</v>
      </c>
      <c r="I2829" s="2" t="s">
        <v>138</v>
      </c>
    </row>
    <row r="2830" ht="15.75" customHeight="1">
      <c r="A2830" s="2" t="s">
        <v>4473</v>
      </c>
      <c r="B2830" s="2" t="s">
        <v>4474</v>
      </c>
      <c r="C2830" s="2" t="s">
        <v>3659</v>
      </c>
      <c r="D2830" s="2" t="s">
        <v>997</v>
      </c>
      <c r="E2830" s="2" t="s">
        <v>999</v>
      </c>
      <c r="F2830" s="2">
        <v>285.0</v>
      </c>
      <c r="G2830" s="2">
        <v>9.31</v>
      </c>
      <c r="H2830" s="2">
        <v>30.6</v>
      </c>
      <c r="I2830" s="2" t="s">
        <v>47</v>
      </c>
    </row>
    <row r="2831" ht="15.75" customHeight="1">
      <c r="A2831" s="2" t="s">
        <v>4475</v>
      </c>
      <c r="B2831" s="2" t="s">
        <v>4476</v>
      </c>
      <c r="C2831" s="2" t="s">
        <v>3659</v>
      </c>
      <c r="D2831" s="2" t="s">
        <v>1038</v>
      </c>
      <c r="E2831" s="2" t="s">
        <v>1039</v>
      </c>
      <c r="F2831" s="2">
        <v>665.0</v>
      </c>
      <c r="G2831" s="2">
        <v>7.53</v>
      </c>
      <c r="H2831" s="2">
        <v>88.3</v>
      </c>
      <c r="I2831" s="2" t="s">
        <v>27</v>
      </c>
    </row>
    <row r="2832" ht="15.75" customHeight="1">
      <c r="A2832" s="2" t="s">
        <v>4477</v>
      </c>
      <c r="B2832" s="2" t="s">
        <v>4478</v>
      </c>
      <c r="C2832" s="2" t="s">
        <v>3659</v>
      </c>
      <c r="D2832" s="2" t="s">
        <v>1028</v>
      </c>
      <c r="E2832" s="2" t="s">
        <v>1029</v>
      </c>
      <c r="F2832" s="2">
        <v>3981.0</v>
      </c>
      <c r="G2832" s="2">
        <v>9.81</v>
      </c>
      <c r="H2832" s="2">
        <v>405.8</v>
      </c>
      <c r="I2832" s="2" t="s">
        <v>138</v>
      </c>
    </row>
    <row r="2833" ht="15.75" customHeight="1">
      <c r="A2833" s="2" t="s">
        <v>4479</v>
      </c>
      <c r="B2833" s="2" t="s">
        <v>4480</v>
      </c>
      <c r="C2833" s="2" t="s">
        <v>3659</v>
      </c>
      <c r="D2833" s="2" t="s">
        <v>807</v>
      </c>
      <c r="E2833" s="2" t="s">
        <v>808</v>
      </c>
      <c r="F2833" s="2">
        <v>5948.0</v>
      </c>
      <c r="G2833" s="2">
        <v>5.72</v>
      </c>
      <c r="H2833" s="2">
        <v>1039.9</v>
      </c>
      <c r="I2833" s="2" t="s">
        <v>138</v>
      </c>
    </row>
    <row r="2834" ht="15.75" customHeight="1">
      <c r="A2834" s="2" t="s">
        <v>6549</v>
      </c>
      <c r="B2834" s="2" t="s">
        <v>6550</v>
      </c>
      <c r="C2834" s="2" t="s">
        <v>3659</v>
      </c>
      <c r="D2834" s="2" t="s">
        <v>951</v>
      </c>
      <c r="E2834" s="2" t="s">
        <v>953</v>
      </c>
      <c r="F2834" s="2">
        <v>150.0</v>
      </c>
      <c r="G2834" s="2">
        <v>6.75</v>
      </c>
      <c r="H2834" s="2">
        <v>22.2</v>
      </c>
      <c r="I2834" s="2" t="s">
        <v>47</v>
      </c>
    </row>
    <row r="2835" ht="15.75" customHeight="1">
      <c r="A2835" s="2" t="s">
        <v>6551</v>
      </c>
      <c r="B2835" s="2" t="s">
        <v>6552</v>
      </c>
      <c r="C2835" s="2" t="s">
        <v>3659</v>
      </c>
      <c r="D2835" s="2" t="s">
        <v>1038</v>
      </c>
      <c r="E2835" s="2" t="s">
        <v>1039</v>
      </c>
      <c r="F2835" s="2">
        <v>310.0</v>
      </c>
      <c r="G2835" s="2">
        <v>6.25</v>
      </c>
      <c r="H2835" s="2">
        <v>49.6</v>
      </c>
      <c r="I2835" s="2" t="s">
        <v>47</v>
      </c>
    </row>
    <row r="2836" ht="15.75" customHeight="1">
      <c r="A2836" s="2" t="s">
        <v>6553</v>
      </c>
      <c r="B2836" s="2" t="s">
        <v>6554</v>
      </c>
      <c r="C2836" s="2" t="s">
        <v>3659</v>
      </c>
      <c r="D2836" s="2" t="s">
        <v>1004</v>
      </c>
      <c r="E2836" s="2" t="s">
        <v>1006</v>
      </c>
      <c r="F2836" s="2">
        <v>294.0</v>
      </c>
      <c r="G2836" s="2">
        <v>4.26</v>
      </c>
      <c r="H2836" s="2">
        <v>69.0</v>
      </c>
      <c r="I2836" s="2" t="s">
        <v>47</v>
      </c>
    </row>
    <row r="2837" ht="15.75" customHeight="1">
      <c r="A2837" s="2" t="s">
        <v>6555</v>
      </c>
      <c r="B2837" s="2" t="s">
        <v>6556</v>
      </c>
      <c r="C2837" s="2" t="s">
        <v>3659</v>
      </c>
      <c r="D2837" s="2" t="s">
        <v>904</v>
      </c>
      <c r="E2837" s="2" t="s">
        <v>906</v>
      </c>
      <c r="F2837" s="2">
        <v>122.0</v>
      </c>
      <c r="G2837" s="2">
        <v>5.47</v>
      </c>
      <c r="H2837" s="2">
        <v>22.3</v>
      </c>
      <c r="I2837" s="2" t="s">
        <v>47</v>
      </c>
    </row>
    <row r="2838" ht="15.75" customHeight="1">
      <c r="A2838" s="2" t="s">
        <v>6557</v>
      </c>
      <c r="B2838" s="2" t="s">
        <v>2508</v>
      </c>
      <c r="C2838" s="2" t="s">
        <v>3659</v>
      </c>
      <c r="D2838" s="2" t="s">
        <v>809</v>
      </c>
      <c r="E2838" s="2" t="s">
        <v>811</v>
      </c>
      <c r="F2838" s="2">
        <v>289.0</v>
      </c>
      <c r="G2838" s="2">
        <v>4.44</v>
      </c>
      <c r="H2838" s="2">
        <v>65.1</v>
      </c>
      <c r="I2838" s="2" t="s">
        <v>47</v>
      </c>
    </row>
    <row r="2839" ht="15.75" customHeight="1">
      <c r="A2839" s="2" t="s">
        <v>4481</v>
      </c>
      <c r="B2839" s="2" t="s">
        <v>4482</v>
      </c>
      <c r="C2839" s="2" t="s">
        <v>3659</v>
      </c>
      <c r="D2839" s="2" t="s">
        <v>833</v>
      </c>
      <c r="E2839" s="2" t="s">
        <v>835</v>
      </c>
      <c r="F2839" s="2">
        <v>880.0</v>
      </c>
      <c r="G2839" s="2">
        <v>11.96</v>
      </c>
      <c r="H2839" s="2">
        <v>73.6</v>
      </c>
      <c r="I2839" s="2" t="s">
        <v>27</v>
      </c>
    </row>
    <row r="2840" ht="15.75" customHeight="1">
      <c r="A2840" s="2" t="s">
        <v>6558</v>
      </c>
      <c r="B2840" s="2" t="s">
        <v>6559</v>
      </c>
      <c r="C2840" s="2" t="s">
        <v>3659</v>
      </c>
      <c r="D2840" s="2" t="s">
        <v>899</v>
      </c>
      <c r="E2840" s="2" t="s">
        <v>900</v>
      </c>
      <c r="F2840" s="2">
        <v>173.0</v>
      </c>
      <c r="G2840" s="2">
        <v>4.03</v>
      </c>
      <c r="H2840" s="2">
        <v>42.9</v>
      </c>
      <c r="I2840" s="2" t="s">
        <v>47</v>
      </c>
    </row>
    <row r="2841" ht="15.75" customHeight="1">
      <c r="A2841" s="2" t="s">
        <v>6560</v>
      </c>
      <c r="B2841" s="2" t="s">
        <v>6561</v>
      </c>
      <c r="C2841" s="2" t="s">
        <v>3659</v>
      </c>
      <c r="D2841" s="2" t="s">
        <v>792</v>
      </c>
      <c r="E2841" s="2" t="s">
        <v>793</v>
      </c>
      <c r="F2841" s="2">
        <v>618.0</v>
      </c>
      <c r="G2841" s="2">
        <v>4.06</v>
      </c>
      <c r="H2841" s="2">
        <v>152.2</v>
      </c>
      <c r="I2841" s="2" t="s">
        <v>27</v>
      </c>
    </row>
    <row r="2842" ht="15.75" customHeight="1">
      <c r="A2842" s="2" t="s">
        <v>4483</v>
      </c>
      <c r="B2842" s="2" t="s">
        <v>4484</v>
      </c>
      <c r="C2842" s="2" t="s">
        <v>3659</v>
      </c>
      <c r="D2842" s="2" t="s">
        <v>888</v>
      </c>
      <c r="E2842" s="2" t="s">
        <v>889</v>
      </c>
      <c r="F2842" s="2">
        <v>2349.0</v>
      </c>
      <c r="G2842" s="2">
        <v>17.86</v>
      </c>
      <c r="H2842" s="2">
        <v>131.5</v>
      </c>
      <c r="I2842" s="2" t="s">
        <v>138</v>
      </c>
    </row>
    <row r="2843" ht="15.75" customHeight="1">
      <c r="A2843" s="2" t="s">
        <v>6562</v>
      </c>
      <c r="B2843" s="2" t="s">
        <v>6563</v>
      </c>
      <c r="C2843" s="2" t="s">
        <v>3659</v>
      </c>
      <c r="D2843" s="2" t="s">
        <v>899</v>
      </c>
      <c r="E2843" s="2" t="s">
        <v>900</v>
      </c>
      <c r="F2843" s="2">
        <v>318.0</v>
      </c>
      <c r="G2843" s="2">
        <v>9.77</v>
      </c>
      <c r="H2843" s="2">
        <v>32.5</v>
      </c>
      <c r="I2843" s="2" t="s">
        <v>47</v>
      </c>
    </row>
    <row r="2844" ht="15.75" customHeight="1">
      <c r="A2844" s="2" t="s">
        <v>6564</v>
      </c>
      <c r="B2844" s="2" t="s">
        <v>6565</v>
      </c>
      <c r="C2844" s="2" t="s">
        <v>3659</v>
      </c>
      <c r="D2844" s="2" t="s">
        <v>792</v>
      </c>
      <c r="E2844" s="2" t="s">
        <v>793</v>
      </c>
      <c r="F2844" s="2">
        <v>830.0</v>
      </c>
      <c r="G2844" s="2">
        <v>7.32</v>
      </c>
      <c r="H2844" s="2">
        <v>113.4</v>
      </c>
      <c r="I2844" s="2" t="s">
        <v>27</v>
      </c>
    </row>
    <row r="2845" ht="15.75" customHeight="1">
      <c r="A2845" s="2" t="s">
        <v>4485</v>
      </c>
      <c r="B2845" s="2" t="s">
        <v>4486</v>
      </c>
      <c r="C2845" s="2" t="s">
        <v>3659</v>
      </c>
      <c r="D2845" s="2" t="s">
        <v>892</v>
      </c>
      <c r="E2845" s="2" t="s">
        <v>893</v>
      </c>
      <c r="F2845" s="2">
        <v>821.0</v>
      </c>
      <c r="G2845" s="2">
        <v>6.65</v>
      </c>
      <c r="H2845" s="2">
        <v>123.5</v>
      </c>
      <c r="I2845" s="2" t="s">
        <v>27</v>
      </c>
    </row>
    <row r="2846" ht="15.75" customHeight="1">
      <c r="A2846" s="2" t="s">
        <v>4487</v>
      </c>
      <c r="B2846" s="2" t="s">
        <v>4488</v>
      </c>
      <c r="C2846" s="2" t="s">
        <v>3659</v>
      </c>
      <c r="D2846" s="2" t="s">
        <v>809</v>
      </c>
      <c r="E2846" s="2" t="s">
        <v>811</v>
      </c>
      <c r="F2846" s="2">
        <v>1041.0</v>
      </c>
      <c r="G2846" s="2">
        <v>20.94</v>
      </c>
      <c r="H2846" s="2">
        <v>49.7</v>
      </c>
      <c r="I2846" s="2" t="s">
        <v>27</v>
      </c>
    </row>
    <row r="2847" ht="15.75" customHeight="1">
      <c r="A2847" s="2" t="s">
        <v>4489</v>
      </c>
      <c r="B2847" s="2" t="s">
        <v>4490</v>
      </c>
      <c r="C2847" s="2" t="s">
        <v>3659</v>
      </c>
      <c r="D2847" s="2" t="s">
        <v>1082</v>
      </c>
      <c r="E2847" s="2" t="s">
        <v>1084</v>
      </c>
      <c r="F2847" s="2">
        <v>6459.0</v>
      </c>
      <c r="G2847" s="2">
        <v>9.84</v>
      </c>
      <c r="H2847" s="2">
        <v>656.4</v>
      </c>
      <c r="I2847" s="2" t="s">
        <v>138</v>
      </c>
    </row>
    <row r="2848" ht="15.75" customHeight="1">
      <c r="A2848" s="2" t="s">
        <v>4491</v>
      </c>
      <c r="B2848" s="2" t="s">
        <v>4492</v>
      </c>
      <c r="C2848" s="2" t="s">
        <v>3659</v>
      </c>
      <c r="D2848" s="2" t="s">
        <v>997</v>
      </c>
      <c r="E2848" s="2" t="s">
        <v>999</v>
      </c>
      <c r="F2848" s="2">
        <v>520.0</v>
      </c>
      <c r="G2848" s="2">
        <v>7.53</v>
      </c>
      <c r="H2848" s="2">
        <v>69.1</v>
      </c>
      <c r="I2848" s="2" t="s">
        <v>27</v>
      </c>
    </row>
    <row r="2849" ht="15.75" customHeight="1">
      <c r="A2849" s="2" t="s">
        <v>4493</v>
      </c>
      <c r="B2849" s="2" t="s">
        <v>4494</v>
      </c>
      <c r="C2849" s="2" t="s">
        <v>3659</v>
      </c>
      <c r="D2849" s="2" t="s">
        <v>823</v>
      </c>
      <c r="E2849" s="2" t="s">
        <v>824</v>
      </c>
      <c r="F2849" s="2">
        <v>3353.0</v>
      </c>
      <c r="G2849" s="2">
        <v>3.53</v>
      </c>
      <c r="H2849" s="2">
        <v>949.9</v>
      </c>
      <c r="I2849" s="2" t="s">
        <v>138</v>
      </c>
    </row>
    <row r="2850" ht="15.75" customHeight="1">
      <c r="A2850" s="2" t="s">
        <v>4495</v>
      </c>
      <c r="B2850" s="2" t="s">
        <v>4496</v>
      </c>
      <c r="C2850" s="2" t="s">
        <v>3659</v>
      </c>
      <c r="D2850" s="2" t="s">
        <v>823</v>
      </c>
      <c r="E2850" s="2" t="s">
        <v>824</v>
      </c>
      <c r="F2850" s="2">
        <v>10888.0</v>
      </c>
      <c r="G2850" s="2">
        <v>12.92</v>
      </c>
      <c r="H2850" s="2">
        <v>842.7</v>
      </c>
      <c r="I2850" s="2" t="s">
        <v>805</v>
      </c>
    </row>
    <row r="2851" ht="15.75" customHeight="1">
      <c r="A2851" s="2" t="s">
        <v>6566</v>
      </c>
      <c r="B2851" s="2" t="s">
        <v>6567</v>
      </c>
      <c r="C2851" s="2" t="s">
        <v>3659</v>
      </c>
      <c r="D2851" s="2" t="s">
        <v>861</v>
      </c>
      <c r="E2851" s="2" t="s">
        <v>862</v>
      </c>
      <c r="F2851" s="2">
        <v>443.0</v>
      </c>
      <c r="G2851" s="2">
        <v>6.28</v>
      </c>
      <c r="H2851" s="2">
        <v>70.5</v>
      </c>
      <c r="I2851" s="2" t="s">
        <v>47</v>
      </c>
    </row>
    <row r="2852" ht="15.75" customHeight="1">
      <c r="A2852" s="2" t="s">
        <v>6568</v>
      </c>
      <c r="B2852" s="2" t="s">
        <v>6569</v>
      </c>
      <c r="C2852" s="2" t="s">
        <v>3659</v>
      </c>
      <c r="D2852" s="2" t="s">
        <v>833</v>
      </c>
      <c r="E2852" s="2" t="s">
        <v>835</v>
      </c>
      <c r="F2852" s="2">
        <v>264.0</v>
      </c>
      <c r="G2852" s="2">
        <v>6.72</v>
      </c>
      <c r="H2852" s="2">
        <v>39.3</v>
      </c>
      <c r="I2852" s="2" t="s">
        <v>47</v>
      </c>
    </row>
    <row r="2853" ht="15.75" customHeight="1">
      <c r="A2853" s="2" t="s">
        <v>4497</v>
      </c>
      <c r="B2853" s="2" t="s">
        <v>4498</v>
      </c>
      <c r="C2853" s="2" t="s">
        <v>3659</v>
      </c>
      <c r="D2853" s="2" t="s">
        <v>833</v>
      </c>
      <c r="E2853" s="2" t="s">
        <v>835</v>
      </c>
      <c r="F2853" s="2">
        <v>5843.0</v>
      </c>
      <c r="G2853" s="2">
        <v>10.39</v>
      </c>
      <c r="H2853" s="2">
        <v>562.4</v>
      </c>
      <c r="I2853" s="2" t="s">
        <v>138</v>
      </c>
    </row>
    <row r="2854" ht="15.75" customHeight="1">
      <c r="A2854" s="2" t="s">
        <v>6570</v>
      </c>
      <c r="B2854" s="2" t="s">
        <v>6571</v>
      </c>
      <c r="C2854" s="2" t="s">
        <v>3659</v>
      </c>
      <c r="D2854" s="2" t="s">
        <v>1082</v>
      </c>
      <c r="E2854" s="2" t="s">
        <v>1084</v>
      </c>
      <c r="F2854" s="2">
        <v>216.0</v>
      </c>
      <c r="G2854" s="2">
        <v>3.44</v>
      </c>
      <c r="H2854" s="2">
        <v>62.8</v>
      </c>
      <c r="I2854" s="2" t="s">
        <v>47</v>
      </c>
    </row>
    <row r="2855" ht="15.75" customHeight="1">
      <c r="A2855" s="2" t="s">
        <v>6572</v>
      </c>
      <c r="B2855" s="2" t="s">
        <v>6573</v>
      </c>
      <c r="C2855" s="2" t="s">
        <v>3659</v>
      </c>
      <c r="D2855" s="2" t="s">
        <v>951</v>
      </c>
      <c r="E2855" s="2" t="s">
        <v>953</v>
      </c>
      <c r="F2855" s="2">
        <v>131.0</v>
      </c>
      <c r="G2855" s="2">
        <v>5.68</v>
      </c>
      <c r="H2855" s="2">
        <v>23.1</v>
      </c>
      <c r="I2855" s="2" t="s">
        <v>47</v>
      </c>
    </row>
    <row r="2856" ht="15.75" customHeight="1">
      <c r="A2856" s="2" t="s">
        <v>4499</v>
      </c>
      <c r="B2856" s="2" t="s">
        <v>4500</v>
      </c>
      <c r="C2856" s="2" t="s">
        <v>3659</v>
      </c>
      <c r="D2856" s="2" t="s">
        <v>1004</v>
      </c>
      <c r="E2856" s="2" t="s">
        <v>1006</v>
      </c>
      <c r="F2856" s="2">
        <v>826.0</v>
      </c>
      <c r="G2856" s="2">
        <v>5.96</v>
      </c>
      <c r="H2856" s="2">
        <v>138.6</v>
      </c>
      <c r="I2856" s="2" t="s">
        <v>27</v>
      </c>
    </row>
    <row r="2857" ht="15.75" customHeight="1">
      <c r="A2857" s="2" t="s">
        <v>4501</v>
      </c>
      <c r="B2857" s="2" t="s">
        <v>4502</v>
      </c>
      <c r="C2857" s="2" t="s">
        <v>3659</v>
      </c>
      <c r="D2857" s="2" t="s">
        <v>1082</v>
      </c>
      <c r="E2857" s="2" t="s">
        <v>1084</v>
      </c>
      <c r="F2857" s="2">
        <v>4494.0</v>
      </c>
      <c r="G2857" s="2">
        <v>3.19</v>
      </c>
      <c r="H2857" s="2">
        <v>1408.8</v>
      </c>
      <c r="I2857" s="2" t="s">
        <v>138</v>
      </c>
    </row>
    <row r="2858" ht="15.75" customHeight="1">
      <c r="A2858" s="2" t="s">
        <v>4503</v>
      </c>
      <c r="B2858" s="2" t="s">
        <v>4504</v>
      </c>
      <c r="C2858" s="2" t="s">
        <v>3659</v>
      </c>
      <c r="D2858" s="2" t="s">
        <v>833</v>
      </c>
      <c r="E2858" s="2" t="s">
        <v>835</v>
      </c>
      <c r="F2858" s="2">
        <v>14382.0</v>
      </c>
      <c r="G2858" s="2">
        <v>16.49</v>
      </c>
      <c r="H2858" s="2">
        <v>872.2</v>
      </c>
      <c r="I2858" s="2" t="s">
        <v>805</v>
      </c>
    </row>
    <row r="2859" ht="15.75" customHeight="1">
      <c r="A2859" s="2" t="s">
        <v>4505</v>
      </c>
      <c r="B2859" s="2" t="s">
        <v>4506</v>
      </c>
      <c r="C2859" s="2" t="s">
        <v>3659</v>
      </c>
      <c r="D2859" s="2" t="s">
        <v>888</v>
      </c>
      <c r="E2859" s="2" t="s">
        <v>889</v>
      </c>
      <c r="F2859" s="2">
        <v>1073.0</v>
      </c>
      <c r="G2859" s="2">
        <v>10.72</v>
      </c>
      <c r="H2859" s="2">
        <v>100.1</v>
      </c>
      <c r="I2859" s="2" t="s">
        <v>27</v>
      </c>
    </row>
    <row r="2860" ht="15.75" customHeight="1">
      <c r="A2860" s="2" t="s">
        <v>4507</v>
      </c>
      <c r="B2860" s="2" t="s">
        <v>4508</v>
      </c>
      <c r="C2860" s="2" t="s">
        <v>3659</v>
      </c>
      <c r="D2860" s="2" t="s">
        <v>1004</v>
      </c>
      <c r="E2860" s="2" t="s">
        <v>1006</v>
      </c>
      <c r="F2860" s="2">
        <v>4677.0</v>
      </c>
      <c r="G2860" s="2">
        <v>8.22</v>
      </c>
      <c r="H2860" s="2">
        <v>569.0</v>
      </c>
      <c r="I2860" s="2" t="s">
        <v>138</v>
      </c>
    </row>
    <row r="2861" ht="15.75" customHeight="1">
      <c r="A2861" s="2" t="s">
        <v>6574</v>
      </c>
      <c r="B2861" s="2" t="s">
        <v>6575</v>
      </c>
      <c r="C2861" s="2" t="s">
        <v>3659</v>
      </c>
      <c r="D2861" s="2" t="s">
        <v>899</v>
      </c>
      <c r="E2861" s="2" t="s">
        <v>900</v>
      </c>
      <c r="F2861" s="2">
        <v>105.0</v>
      </c>
      <c r="G2861" s="2">
        <v>4.1</v>
      </c>
      <c r="H2861" s="2">
        <v>25.6</v>
      </c>
      <c r="I2861" s="2" t="s">
        <v>47</v>
      </c>
    </row>
    <row r="2862" ht="15.75" customHeight="1">
      <c r="A2862" s="2" t="s">
        <v>4509</v>
      </c>
      <c r="B2862" s="2" t="s">
        <v>4510</v>
      </c>
      <c r="C2862" s="2" t="s">
        <v>3659</v>
      </c>
      <c r="D2862" s="2" t="s">
        <v>840</v>
      </c>
      <c r="E2862" s="2" t="s">
        <v>842</v>
      </c>
      <c r="F2862" s="2">
        <v>773.0</v>
      </c>
      <c r="G2862" s="2">
        <v>7.4</v>
      </c>
      <c r="H2862" s="2">
        <v>104.5</v>
      </c>
      <c r="I2862" s="2" t="s">
        <v>27</v>
      </c>
    </row>
    <row r="2863" ht="15.75" customHeight="1">
      <c r="A2863" s="2" t="s">
        <v>4511</v>
      </c>
      <c r="B2863" s="2" t="s">
        <v>4512</v>
      </c>
      <c r="C2863" s="2" t="s">
        <v>3659</v>
      </c>
      <c r="D2863" s="2" t="s">
        <v>792</v>
      </c>
      <c r="E2863" s="2" t="s">
        <v>793</v>
      </c>
      <c r="F2863" s="2">
        <v>2999.0</v>
      </c>
      <c r="G2863" s="2">
        <v>14.3</v>
      </c>
      <c r="H2863" s="2">
        <v>209.7</v>
      </c>
      <c r="I2863" s="2" t="s">
        <v>138</v>
      </c>
    </row>
    <row r="2864" ht="15.75" customHeight="1">
      <c r="A2864" s="2" t="s">
        <v>4513</v>
      </c>
      <c r="B2864" s="2" t="s">
        <v>4514</v>
      </c>
      <c r="C2864" s="2" t="s">
        <v>3659</v>
      </c>
      <c r="D2864" s="2" t="s">
        <v>823</v>
      </c>
      <c r="E2864" s="2" t="s">
        <v>824</v>
      </c>
      <c r="F2864" s="2">
        <v>5029.0</v>
      </c>
      <c r="G2864" s="2">
        <v>13.77</v>
      </c>
      <c r="H2864" s="2">
        <v>365.2</v>
      </c>
      <c r="I2864" s="2" t="s">
        <v>138</v>
      </c>
    </row>
    <row r="2865" ht="15.75" customHeight="1">
      <c r="A2865" s="2" t="s">
        <v>4515</v>
      </c>
      <c r="B2865" s="2" t="s">
        <v>4516</v>
      </c>
      <c r="C2865" s="2" t="s">
        <v>3659</v>
      </c>
      <c r="D2865" s="2" t="s">
        <v>1082</v>
      </c>
      <c r="E2865" s="2" t="s">
        <v>1084</v>
      </c>
      <c r="F2865" s="2">
        <v>3471.0</v>
      </c>
      <c r="G2865" s="2">
        <v>4.39</v>
      </c>
      <c r="H2865" s="2">
        <v>790.7</v>
      </c>
      <c r="I2865" s="2" t="s">
        <v>138</v>
      </c>
    </row>
    <row r="2866" ht="15.75" customHeight="1">
      <c r="A2866" s="2" t="s">
        <v>4517</v>
      </c>
      <c r="B2866" s="2" t="s">
        <v>4518</v>
      </c>
      <c r="C2866" s="2" t="s">
        <v>3659</v>
      </c>
      <c r="D2866" s="2" t="s">
        <v>888</v>
      </c>
      <c r="E2866" s="2" t="s">
        <v>889</v>
      </c>
      <c r="F2866" s="2">
        <v>1708.0</v>
      </c>
      <c r="G2866" s="2">
        <v>18.5</v>
      </c>
      <c r="H2866" s="2">
        <v>92.3</v>
      </c>
      <c r="I2866" s="2" t="s">
        <v>27</v>
      </c>
    </row>
    <row r="2867" ht="15.75" customHeight="1">
      <c r="A2867" s="2" t="s">
        <v>4519</v>
      </c>
      <c r="B2867" s="2" t="s">
        <v>4520</v>
      </c>
      <c r="C2867" s="2" t="s">
        <v>3659</v>
      </c>
      <c r="D2867" s="2" t="s">
        <v>807</v>
      </c>
      <c r="E2867" s="2" t="s">
        <v>808</v>
      </c>
      <c r="F2867" s="2">
        <v>9414.0</v>
      </c>
      <c r="G2867" s="2">
        <v>3.83</v>
      </c>
      <c r="H2867" s="2">
        <v>2458.0</v>
      </c>
      <c r="I2867" s="2" t="s">
        <v>138</v>
      </c>
    </row>
    <row r="2868" ht="15.75" customHeight="1">
      <c r="A2868" s="2" t="s">
        <v>4521</v>
      </c>
      <c r="B2868" s="2" t="s">
        <v>4522</v>
      </c>
      <c r="C2868" s="2" t="s">
        <v>3659</v>
      </c>
      <c r="D2868" s="2" t="s">
        <v>833</v>
      </c>
      <c r="E2868" s="2" t="s">
        <v>835</v>
      </c>
      <c r="F2868" s="2">
        <v>521.0</v>
      </c>
      <c r="G2868" s="2">
        <v>3.93</v>
      </c>
      <c r="H2868" s="2">
        <v>132.6</v>
      </c>
      <c r="I2868" s="2" t="s">
        <v>27</v>
      </c>
    </row>
    <row r="2869" ht="15.75" customHeight="1">
      <c r="A2869" s="2" t="s">
        <v>4523</v>
      </c>
      <c r="B2869" s="2" t="s">
        <v>4524</v>
      </c>
      <c r="C2869" s="2" t="s">
        <v>3659</v>
      </c>
      <c r="D2869" s="2" t="s">
        <v>861</v>
      </c>
      <c r="E2869" s="2" t="s">
        <v>862</v>
      </c>
      <c r="F2869" s="2">
        <v>4704.0</v>
      </c>
      <c r="G2869" s="2">
        <v>16.84</v>
      </c>
      <c r="H2869" s="2">
        <v>279.3</v>
      </c>
      <c r="I2869" s="2" t="s">
        <v>138</v>
      </c>
    </row>
    <row r="2870" ht="15.75" customHeight="1">
      <c r="A2870" s="2" t="s">
        <v>4525</v>
      </c>
      <c r="B2870" s="2" t="s">
        <v>4526</v>
      </c>
      <c r="C2870" s="2" t="s">
        <v>3659</v>
      </c>
      <c r="D2870" s="2" t="s">
        <v>840</v>
      </c>
      <c r="E2870" s="2" t="s">
        <v>842</v>
      </c>
      <c r="F2870" s="2">
        <v>4668.0</v>
      </c>
      <c r="G2870" s="2">
        <v>14.45</v>
      </c>
      <c r="H2870" s="2">
        <v>323.0</v>
      </c>
      <c r="I2870" s="2" t="s">
        <v>138</v>
      </c>
    </row>
    <row r="2871" ht="15.75" customHeight="1">
      <c r="A2871" s="2" t="s">
        <v>6576</v>
      </c>
      <c r="B2871" s="2" t="s">
        <v>6577</v>
      </c>
      <c r="C2871" s="2" t="s">
        <v>3659</v>
      </c>
      <c r="D2871" s="2" t="s">
        <v>1042</v>
      </c>
      <c r="E2871" s="2" t="s">
        <v>1043</v>
      </c>
      <c r="F2871" s="2">
        <v>315.0</v>
      </c>
      <c r="G2871" s="2">
        <v>6.22</v>
      </c>
      <c r="H2871" s="2">
        <v>50.6</v>
      </c>
      <c r="I2871" s="2" t="s">
        <v>47</v>
      </c>
    </row>
    <row r="2872" ht="15.75" customHeight="1">
      <c r="A2872" s="2" t="s">
        <v>6578</v>
      </c>
      <c r="B2872" s="2" t="s">
        <v>6579</v>
      </c>
      <c r="C2872" s="2" t="s">
        <v>3659</v>
      </c>
      <c r="D2872" s="2" t="s">
        <v>997</v>
      </c>
      <c r="E2872" s="2" t="s">
        <v>999</v>
      </c>
      <c r="F2872" s="2">
        <v>198.0</v>
      </c>
      <c r="G2872" s="2">
        <v>3.37</v>
      </c>
      <c r="H2872" s="2">
        <v>58.8</v>
      </c>
      <c r="I2872" s="2" t="s">
        <v>47</v>
      </c>
    </row>
    <row r="2873" ht="15.75" customHeight="1">
      <c r="A2873" s="2" t="s">
        <v>6582</v>
      </c>
      <c r="B2873" s="2" t="s">
        <v>6583</v>
      </c>
      <c r="C2873" s="2" t="s">
        <v>3659</v>
      </c>
      <c r="D2873" s="2" t="s">
        <v>904</v>
      </c>
      <c r="E2873" s="2" t="s">
        <v>906</v>
      </c>
      <c r="F2873" s="2">
        <v>83.0</v>
      </c>
      <c r="G2873" s="2">
        <v>2.49</v>
      </c>
      <c r="H2873" s="2">
        <v>33.3</v>
      </c>
      <c r="I2873" s="2" t="s">
        <v>47</v>
      </c>
    </row>
    <row r="2874" ht="15.75" customHeight="1">
      <c r="A2874" s="2" t="s">
        <v>6584</v>
      </c>
      <c r="B2874" s="2" t="s">
        <v>6585</v>
      </c>
      <c r="C2874" s="2" t="s">
        <v>3659</v>
      </c>
      <c r="D2874" s="2" t="s">
        <v>904</v>
      </c>
      <c r="E2874" s="2" t="s">
        <v>906</v>
      </c>
      <c r="F2874" s="2">
        <v>182.0</v>
      </c>
      <c r="G2874" s="2">
        <v>6.51</v>
      </c>
      <c r="H2874" s="2">
        <v>28.0</v>
      </c>
      <c r="I2874" s="2" t="s">
        <v>47</v>
      </c>
    </row>
    <row r="2875" ht="15.75" customHeight="1">
      <c r="A2875" s="2" t="s">
        <v>6586</v>
      </c>
      <c r="B2875" s="2" t="s">
        <v>6587</v>
      </c>
      <c r="C2875" s="2" t="s">
        <v>3659</v>
      </c>
      <c r="D2875" s="2" t="s">
        <v>1038</v>
      </c>
      <c r="E2875" s="2" t="s">
        <v>1039</v>
      </c>
      <c r="F2875" s="2">
        <v>390.0</v>
      </c>
      <c r="G2875" s="2">
        <v>4.09</v>
      </c>
      <c r="H2875" s="2">
        <v>95.4</v>
      </c>
      <c r="I2875" s="2" t="s">
        <v>47</v>
      </c>
    </row>
    <row r="2876" ht="15.75" customHeight="1">
      <c r="A2876" s="2" t="s">
        <v>6588</v>
      </c>
      <c r="B2876" s="2" t="s">
        <v>6589</v>
      </c>
      <c r="C2876" s="2" t="s">
        <v>3659</v>
      </c>
      <c r="D2876" s="2" t="s">
        <v>1038</v>
      </c>
      <c r="E2876" s="2" t="s">
        <v>1039</v>
      </c>
      <c r="F2876" s="2">
        <v>438.0</v>
      </c>
      <c r="G2876" s="2">
        <v>9.04</v>
      </c>
      <c r="H2876" s="2">
        <v>48.5</v>
      </c>
      <c r="I2876" s="2" t="s">
        <v>47</v>
      </c>
    </row>
    <row r="2877" ht="15.75" customHeight="1">
      <c r="A2877" s="2" t="s">
        <v>4527</v>
      </c>
      <c r="B2877" s="2" t="s">
        <v>4528</v>
      </c>
      <c r="C2877" s="2" t="s">
        <v>3659</v>
      </c>
      <c r="D2877" s="2" t="s">
        <v>1038</v>
      </c>
      <c r="E2877" s="2" t="s">
        <v>1039</v>
      </c>
      <c r="F2877" s="2">
        <v>409.0</v>
      </c>
      <c r="G2877" s="2">
        <v>5.59</v>
      </c>
      <c r="H2877" s="2">
        <v>73.2</v>
      </c>
      <c r="I2877" s="2" t="s">
        <v>47</v>
      </c>
    </row>
    <row r="2878" ht="15.75" customHeight="1">
      <c r="A2878" s="2" t="s">
        <v>6590</v>
      </c>
      <c r="B2878" s="2" t="s">
        <v>6591</v>
      </c>
      <c r="C2878" s="2" t="s">
        <v>3659</v>
      </c>
      <c r="D2878" s="2" t="s">
        <v>899</v>
      </c>
      <c r="E2878" s="2" t="s">
        <v>900</v>
      </c>
      <c r="F2878" s="2">
        <v>325.0</v>
      </c>
      <c r="G2878" s="2">
        <v>5.36</v>
      </c>
      <c r="H2878" s="2">
        <v>60.6</v>
      </c>
      <c r="I2878" s="2" t="s">
        <v>47</v>
      </c>
    </row>
    <row r="2879" ht="15.75" customHeight="1">
      <c r="A2879" s="2" t="s">
        <v>6592</v>
      </c>
      <c r="B2879" s="2" t="s">
        <v>6593</v>
      </c>
      <c r="C2879" s="2" t="s">
        <v>3659</v>
      </c>
      <c r="D2879" s="2" t="s">
        <v>904</v>
      </c>
      <c r="E2879" s="2" t="s">
        <v>906</v>
      </c>
      <c r="F2879" s="2">
        <v>750.0</v>
      </c>
      <c r="G2879" s="2">
        <v>12.88</v>
      </c>
      <c r="H2879" s="2">
        <v>58.2</v>
      </c>
      <c r="I2879" s="2" t="s">
        <v>27</v>
      </c>
    </row>
    <row r="2880" ht="15.75" customHeight="1">
      <c r="A2880" s="2" t="s">
        <v>4529</v>
      </c>
      <c r="B2880" s="2" t="s">
        <v>4530</v>
      </c>
      <c r="C2880" s="2" t="s">
        <v>3659</v>
      </c>
      <c r="D2880" s="2" t="s">
        <v>904</v>
      </c>
      <c r="E2880" s="2" t="s">
        <v>906</v>
      </c>
      <c r="F2880" s="2">
        <v>929.0</v>
      </c>
      <c r="G2880" s="2">
        <v>7.57</v>
      </c>
      <c r="H2880" s="2">
        <v>122.7</v>
      </c>
      <c r="I2880" s="2" t="s">
        <v>27</v>
      </c>
    </row>
    <row r="2881" ht="15.75" customHeight="1">
      <c r="A2881" s="2" t="s">
        <v>6594</v>
      </c>
      <c r="B2881" s="2" t="s">
        <v>6595</v>
      </c>
      <c r="C2881" s="2" t="s">
        <v>3659</v>
      </c>
      <c r="D2881" s="2" t="s">
        <v>861</v>
      </c>
      <c r="E2881" s="2" t="s">
        <v>862</v>
      </c>
      <c r="F2881" s="2">
        <v>299.0</v>
      </c>
      <c r="G2881" s="2">
        <v>6.35</v>
      </c>
      <c r="H2881" s="2">
        <v>47.1</v>
      </c>
      <c r="I2881" s="2" t="s">
        <v>47</v>
      </c>
    </row>
    <row r="2882" ht="15.75" customHeight="1">
      <c r="A2882" s="2" t="s">
        <v>6596</v>
      </c>
      <c r="B2882" s="2" t="s">
        <v>6597</v>
      </c>
      <c r="C2882" s="2" t="s">
        <v>3659</v>
      </c>
      <c r="D2882" s="2" t="s">
        <v>899</v>
      </c>
      <c r="E2882" s="2" t="s">
        <v>900</v>
      </c>
      <c r="F2882" s="2">
        <v>324.0</v>
      </c>
      <c r="G2882" s="2">
        <v>8.07</v>
      </c>
      <c r="H2882" s="2">
        <v>40.1</v>
      </c>
      <c r="I2882" s="2" t="s">
        <v>47</v>
      </c>
    </row>
    <row r="2883" ht="15.75" customHeight="1">
      <c r="A2883" s="2" t="s">
        <v>4531</v>
      </c>
      <c r="B2883" s="2" t="s">
        <v>4532</v>
      </c>
      <c r="C2883" s="2" t="s">
        <v>3659</v>
      </c>
      <c r="D2883" s="2" t="s">
        <v>962</v>
      </c>
      <c r="E2883" s="2" t="s">
        <v>965</v>
      </c>
      <c r="F2883" s="2">
        <v>685.0</v>
      </c>
      <c r="G2883" s="2">
        <v>15.26</v>
      </c>
      <c r="H2883" s="2">
        <v>44.9</v>
      </c>
      <c r="I2883" s="2" t="s">
        <v>27</v>
      </c>
    </row>
    <row r="2884" ht="15.75" customHeight="1">
      <c r="A2884" s="2" t="s">
        <v>6598</v>
      </c>
      <c r="B2884" s="2" t="s">
        <v>6599</v>
      </c>
      <c r="C2884" s="2" t="s">
        <v>3659</v>
      </c>
      <c r="D2884" s="2" t="s">
        <v>861</v>
      </c>
      <c r="E2884" s="2" t="s">
        <v>862</v>
      </c>
      <c r="F2884" s="2">
        <v>251.0</v>
      </c>
      <c r="G2884" s="2">
        <v>2.06</v>
      </c>
      <c r="H2884" s="2">
        <v>121.8</v>
      </c>
      <c r="I2884" s="2" t="s">
        <v>47</v>
      </c>
    </row>
    <row r="2885" ht="15.75" customHeight="1">
      <c r="A2885" s="2" t="s">
        <v>6600</v>
      </c>
      <c r="B2885" s="2" t="s">
        <v>3534</v>
      </c>
      <c r="C2885" s="2" t="s">
        <v>3659</v>
      </c>
      <c r="D2885" s="2" t="s">
        <v>951</v>
      </c>
      <c r="E2885" s="2" t="s">
        <v>953</v>
      </c>
      <c r="F2885" s="2">
        <v>159.0</v>
      </c>
      <c r="G2885" s="2">
        <v>4.9</v>
      </c>
      <c r="H2885" s="2">
        <v>32.4</v>
      </c>
      <c r="I2885" s="2" t="s">
        <v>47</v>
      </c>
    </row>
    <row r="2886" ht="15.75" customHeight="1">
      <c r="A2886" s="2" t="s">
        <v>4533</v>
      </c>
      <c r="B2886" s="2" t="s">
        <v>4534</v>
      </c>
      <c r="C2886" s="2" t="s">
        <v>3659</v>
      </c>
      <c r="D2886" s="2" t="s">
        <v>833</v>
      </c>
      <c r="E2886" s="2" t="s">
        <v>835</v>
      </c>
      <c r="F2886" s="2">
        <v>1210.0</v>
      </c>
      <c r="G2886" s="2">
        <v>10.4</v>
      </c>
      <c r="H2886" s="2">
        <v>116.3</v>
      </c>
      <c r="I2886" s="2" t="s">
        <v>27</v>
      </c>
    </row>
    <row r="2887" ht="15.75" customHeight="1">
      <c r="A2887" s="2" t="s">
        <v>6603</v>
      </c>
      <c r="B2887" s="2" t="s">
        <v>6604</v>
      </c>
      <c r="C2887" s="2" t="s">
        <v>3659</v>
      </c>
      <c r="D2887" s="2" t="s">
        <v>807</v>
      </c>
      <c r="E2887" s="2" t="s">
        <v>808</v>
      </c>
      <c r="F2887" s="2">
        <v>1147.0</v>
      </c>
      <c r="G2887" s="2">
        <v>6.3</v>
      </c>
      <c r="H2887" s="2">
        <v>182.1</v>
      </c>
      <c r="I2887" s="2" t="s">
        <v>27</v>
      </c>
    </row>
    <row r="2888" ht="15.75" customHeight="1">
      <c r="A2888" s="2" t="s">
        <v>4535</v>
      </c>
      <c r="B2888" s="2" t="s">
        <v>4536</v>
      </c>
      <c r="C2888" s="2" t="s">
        <v>3659</v>
      </c>
      <c r="D2888" s="2" t="s">
        <v>962</v>
      </c>
      <c r="E2888" s="2" t="s">
        <v>965</v>
      </c>
      <c r="F2888" s="2">
        <v>594.0</v>
      </c>
      <c r="G2888" s="2">
        <v>3.89</v>
      </c>
      <c r="H2888" s="2">
        <v>152.7</v>
      </c>
      <c r="I2888" s="2" t="s">
        <v>27</v>
      </c>
    </row>
    <row r="2889" ht="15.75" customHeight="1">
      <c r="A2889" s="2" t="s">
        <v>6605</v>
      </c>
      <c r="B2889" s="2" t="s">
        <v>6606</v>
      </c>
      <c r="C2889" s="2" t="s">
        <v>3659</v>
      </c>
      <c r="D2889" s="2" t="s">
        <v>1004</v>
      </c>
      <c r="E2889" s="2" t="s">
        <v>1006</v>
      </c>
      <c r="F2889" s="2">
        <v>118.0</v>
      </c>
      <c r="G2889" s="2">
        <v>7.38</v>
      </c>
      <c r="H2889" s="2">
        <v>16.0</v>
      </c>
      <c r="I2889" s="2" t="s">
        <v>47</v>
      </c>
    </row>
    <row r="2890" ht="15.75" customHeight="1">
      <c r="A2890" s="2" t="s">
        <v>4537</v>
      </c>
      <c r="B2890" s="2" t="s">
        <v>4538</v>
      </c>
      <c r="C2890" s="2" t="s">
        <v>3659</v>
      </c>
      <c r="D2890" s="2" t="s">
        <v>904</v>
      </c>
      <c r="E2890" s="2" t="s">
        <v>906</v>
      </c>
      <c r="F2890" s="2">
        <v>569.0</v>
      </c>
      <c r="G2890" s="2">
        <v>5.14</v>
      </c>
      <c r="H2890" s="2">
        <v>110.7</v>
      </c>
      <c r="I2890" s="2" t="s">
        <v>27</v>
      </c>
    </row>
    <row r="2891" ht="15.75" customHeight="1">
      <c r="A2891" s="2" t="s">
        <v>6607</v>
      </c>
      <c r="B2891" s="2" t="s">
        <v>6608</v>
      </c>
      <c r="C2891" s="2" t="s">
        <v>3659</v>
      </c>
      <c r="D2891" s="2" t="s">
        <v>1004</v>
      </c>
      <c r="E2891" s="2" t="s">
        <v>1006</v>
      </c>
      <c r="F2891" s="2">
        <v>286.0</v>
      </c>
      <c r="G2891" s="2">
        <v>3.14</v>
      </c>
      <c r="H2891" s="2">
        <v>91.1</v>
      </c>
      <c r="I2891" s="2" t="s">
        <v>47</v>
      </c>
    </row>
    <row r="2892" ht="15.75" customHeight="1">
      <c r="A2892" s="2" t="s">
        <v>6609</v>
      </c>
      <c r="B2892" s="2" t="s">
        <v>6610</v>
      </c>
      <c r="C2892" s="2" t="s">
        <v>3659</v>
      </c>
      <c r="D2892" s="2" t="s">
        <v>904</v>
      </c>
      <c r="E2892" s="2" t="s">
        <v>906</v>
      </c>
      <c r="F2892" s="2">
        <v>205.0</v>
      </c>
      <c r="G2892" s="2">
        <v>6.62</v>
      </c>
      <c r="H2892" s="2">
        <v>31.0</v>
      </c>
      <c r="I2892" s="2" t="s">
        <v>47</v>
      </c>
    </row>
    <row r="2893" ht="15.75" customHeight="1">
      <c r="A2893" s="2" t="s">
        <v>4539</v>
      </c>
      <c r="B2893" s="2" t="s">
        <v>4540</v>
      </c>
      <c r="C2893" s="2" t="s">
        <v>3659</v>
      </c>
      <c r="D2893" s="2" t="s">
        <v>809</v>
      </c>
      <c r="E2893" s="2" t="s">
        <v>811</v>
      </c>
      <c r="F2893" s="2">
        <v>942.0</v>
      </c>
      <c r="G2893" s="2">
        <v>6.81</v>
      </c>
      <c r="H2893" s="2">
        <v>138.3</v>
      </c>
      <c r="I2893" s="2" t="s">
        <v>27</v>
      </c>
    </row>
    <row r="2894" ht="15.75" customHeight="1">
      <c r="A2894" s="2" t="s">
        <v>6611</v>
      </c>
      <c r="B2894" s="2" t="s">
        <v>6612</v>
      </c>
      <c r="C2894" s="2" t="s">
        <v>3659</v>
      </c>
      <c r="D2894" s="2" t="s">
        <v>997</v>
      </c>
      <c r="E2894" s="2" t="s">
        <v>999</v>
      </c>
      <c r="F2894" s="2">
        <v>375.0</v>
      </c>
      <c r="G2894" s="2">
        <v>7.26</v>
      </c>
      <c r="H2894" s="2">
        <v>51.7</v>
      </c>
      <c r="I2894" s="2" t="s">
        <v>47</v>
      </c>
    </row>
    <row r="2895" ht="15.75" customHeight="1">
      <c r="A2895" s="2" t="s">
        <v>4541</v>
      </c>
      <c r="B2895" s="2" t="s">
        <v>4542</v>
      </c>
      <c r="C2895" s="2" t="s">
        <v>3659</v>
      </c>
      <c r="D2895" s="2" t="s">
        <v>807</v>
      </c>
      <c r="E2895" s="2" t="s">
        <v>808</v>
      </c>
      <c r="F2895" s="2">
        <v>2663.0</v>
      </c>
      <c r="G2895" s="2">
        <v>6.66</v>
      </c>
      <c r="H2895" s="2">
        <v>399.8</v>
      </c>
      <c r="I2895" s="2" t="s">
        <v>138</v>
      </c>
    </row>
    <row r="2896" ht="15.75" customHeight="1">
      <c r="A2896" s="2" t="s">
        <v>4543</v>
      </c>
      <c r="B2896" s="2" t="s">
        <v>4544</v>
      </c>
      <c r="C2896" s="2" t="s">
        <v>3659</v>
      </c>
      <c r="D2896" s="2" t="s">
        <v>962</v>
      </c>
      <c r="E2896" s="2" t="s">
        <v>965</v>
      </c>
      <c r="F2896" s="2">
        <v>624.0</v>
      </c>
      <c r="G2896" s="2">
        <v>6.91</v>
      </c>
      <c r="H2896" s="2">
        <v>90.3</v>
      </c>
      <c r="I2896" s="2" t="s">
        <v>27</v>
      </c>
    </row>
    <row r="2897" ht="15.75" customHeight="1">
      <c r="A2897" s="2" t="s">
        <v>4545</v>
      </c>
      <c r="B2897" s="2" t="s">
        <v>4546</v>
      </c>
      <c r="C2897" s="2" t="s">
        <v>3659</v>
      </c>
      <c r="D2897" s="2" t="s">
        <v>904</v>
      </c>
      <c r="E2897" s="2" t="s">
        <v>906</v>
      </c>
      <c r="F2897" s="2">
        <v>359.0</v>
      </c>
      <c r="G2897" s="2">
        <v>7.39</v>
      </c>
      <c r="H2897" s="2">
        <v>48.6</v>
      </c>
      <c r="I2897" s="2" t="s">
        <v>47</v>
      </c>
    </row>
    <row r="2898" ht="15.75" customHeight="1">
      <c r="A2898" s="2" t="s">
        <v>6601</v>
      </c>
      <c r="B2898" s="2" t="s">
        <v>6602</v>
      </c>
      <c r="C2898" s="2" t="s">
        <v>3659</v>
      </c>
      <c r="D2898" s="2" t="s">
        <v>1004</v>
      </c>
      <c r="E2898" s="2" t="s">
        <v>1006</v>
      </c>
      <c r="F2898" s="2">
        <v>49.0</v>
      </c>
      <c r="G2898" s="2">
        <v>2.45</v>
      </c>
      <c r="H2898" s="2">
        <v>20.0</v>
      </c>
      <c r="I2898" s="2" t="s">
        <v>47</v>
      </c>
    </row>
    <row r="2899" ht="15.75" customHeight="1">
      <c r="A2899" s="2" t="s">
        <v>6613</v>
      </c>
      <c r="B2899" s="2" t="s">
        <v>6614</v>
      </c>
      <c r="C2899" s="2" t="s">
        <v>3659</v>
      </c>
      <c r="D2899" s="2" t="s">
        <v>1004</v>
      </c>
      <c r="E2899" s="2" t="s">
        <v>1006</v>
      </c>
      <c r="F2899" s="2">
        <v>265.0</v>
      </c>
      <c r="G2899" s="2">
        <v>4.89</v>
      </c>
      <c r="H2899" s="2">
        <v>54.2</v>
      </c>
      <c r="I2899" s="2" t="s">
        <v>47</v>
      </c>
    </row>
    <row r="2900" ht="15.75" customHeight="1">
      <c r="A2900" s="2" t="s">
        <v>6615</v>
      </c>
      <c r="B2900" s="2" t="s">
        <v>6616</v>
      </c>
      <c r="C2900" s="2" t="s">
        <v>3659</v>
      </c>
      <c r="D2900" s="2" t="s">
        <v>892</v>
      </c>
      <c r="E2900" s="2" t="s">
        <v>893</v>
      </c>
      <c r="F2900" s="2">
        <v>150.0</v>
      </c>
      <c r="G2900" s="2">
        <v>8.61</v>
      </c>
      <c r="H2900" s="2">
        <v>17.4</v>
      </c>
      <c r="I2900" s="2" t="s">
        <v>47</v>
      </c>
    </row>
    <row r="2901" ht="15.75" customHeight="1">
      <c r="A2901" s="2" t="s">
        <v>4547</v>
      </c>
      <c r="B2901" s="2" t="s">
        <v>4548</v>
      </c>
      <c r="C2901" s="2" t="s">
        <v>3659</v>
      </c>
      <c r="D2901" s="2" t="s">
        <v>1004</v>
      </c>
      <c r="E2901" s="2" t="s">
        <v>1006</v>
      </c>
      <c r="F2901" s="2">
        <v>259.0</v>
      </c>
      <c r="G2901" s="2">
        <v>6.92</v>
      </c>
      <c r="H2901" s="2">
        <v>37.4</v>
      </c>
      <c r="I2901" s="2" t="s">
        <v>47</v>
      </c>
    </row>
    <row r="2902" ht="15.75" customHeight="1">
      <c r="A2902" s="2" t="s">
        <v>6617</v>
      </c>
      <c r="B2902" s="2" t="s">
        <v>6618</v>
      </c>
      <c r="C2902" s="2" t="s">
        <v>3659</v>
      </c>
      <c r="D2902" s="2" t="s">
        <v>1004</v>
      </c>
      <c r="E2902" s="2" t="s">
        <v>1006</v>
      </c>
      <c r="F2902" s="2">
        <v>125.0</v>
      </c>
      <c r="G2902" s="2">
        <v>2.49</v>
      </c>
      <c r="H2902" s="2">
        <v>50.2</v>
      </c>
      <c r="I2902" s="2" t="s">
        <v>47</v>
      </c>
    </row>
    <row r="2903" ht="15.75" customHeight="1">
      <c r="A2903" s="2" t="s">
        <v>4549</v>
      </c>
      <c r="B2903" s="2" t="s">
        <v>4550</v>
      </c>
      <c r="C2903" s="2" t="s">
        <v>3659</v>
      </c>
      <c r="D2903" s="2" t="s">
        <v>833</v>
      </c>
      <c r="E2903" s="2" t="s">
        <v>835</v>
      </c>
      <c r="F2903" s="2">
        <v>815.0</v>
      </c>
      <c r="G2903" s="2">
        <v>22.85</v>
      </c>
      <c r="H2903" s="2">
        <v>35.7</v>
      </c>
      <c r="I2903" s="2" t="s">
        <v>27</v>
      </c>
    </row>
    <row r="2904" ht="15.75" customHeight="1">
      <c r="A2904" s="2" t="s">
        <v>6621</v>
      </c>
      <c r="B2904" s="2" t="s">
        <v>6622</v>
      </c>
      <c r="C2904" s="2" t="s">
        <v>3659</v>
      </c>
      <c r="D2904" s="2" t="s">
        <v>904</v>
      </c>
      <c r="E2904" s="2" t="s">
        <v>906</v>
      </c>
      <c r="F2904" s="2">
        <v>96.0</v>
      </c>
      <c r="G2904" s="2">
        <v>1.25</v>
      </c>
      <c r="H2904" s="2">
        <v>76.8</v>
      </c>
      <c r="I2904" s="2" t="s">
        <v>47</v>
      </c>
    </row>
    <row r="2905" ht="15.75" customHeight="1">
      <c r="A2905" s="2" t="s">
        <v>4551</v>
      </c>
      <c r="B2905" s="2" t="s">
        <v>4552</v>
      </c>
      <c r="C2905" s="2" t="s">
        <v>3659</v>
      </c>
      <c r="D2905" s="2" t="s">
        <v>1082</v>
      </c>
      <c r="E2905" s="2" t="s">
        <v>1084</v>
      </c>
      <c r="F2905" s="2">
        <v>1310.0</v>
      </c>
      <c r="G2905" s="2">
        <v>8.99</v>
      </c>
      <c r="H2905" s="2">
        <v>145.7</v>
      </c>
      <c r="I2905" s="2" t="s">
        <v>27</v>
      </c>
    </row>
    <row r="2906" ht="15.75" customHeight="1">
      <c r="A2906" s="2" t="s">
        <v>4553</v>
      </c>
      <c r="B2906" s="2" t="s">
        <v>4554</v>
      </c>
      <c r="C2906" s="2" t="s">
        <v>3659</v>
      </c>
      <c r="D2906" s="2" t="s">
        <v>833</v>
      </c>
      <c r="E2906" s="2" t="s">
        <v>835</v>
      </c>
      <c r="F2906" s="2">
        <v>1146.0</v>
      </c>
      <c r="G2906" s="2">
        <v>8.65</v>
      </c>
      <c r="H2906" s="2">
        <v>132.5</v>
      </c>
      <c r="I2906" s="2" t="s">
        <v>27</v>
      </c>
    </row>
    <row r="2907" ht="15.75" customHeight="1">
      <c r="A2907" s="2" t="s">
        <v>6623</v>
      </c>
      <c r="B2907" s="2" t="s">
        <v>6624</v>
      </c>
      <c r="C2907" s="2" t="s">
        <v>3659</v>
      </c>
      <c r="D2907" s="2" t="s">
        <v>809</v>
      </c>
      <c r="E2907" s="2" t="s">
        <v>811</v>
      </c>
      <c r="F2907" s="2">
        <v>163.0</v>
      </c>
      <c r="G2907" s="2">
        <v>6.68</v>
      </c>
      <c r="H2907" s="2">
        <v>24.4</v>
      </c>
      <c r="I2907" s="2" t="s">
        <v>47</v>
      </c>
    </row>
    <row r="2908" ht="15.75" customHeight="1">
      <c r="A2908" s="2" t="s">
        <v>6625</v>
      </c>
      <c r="B2908" s="2" t="s">
        <v>6626</v>
      </c>
      <c r="C2908" s="2" t="s">
        <v>3659</v>
      </c>
      <c r="D2908" s="2" t="s">
        <v>904</v>
      </c>
      <c r="E2908" s="2" t="s">
        <v>906</v>
      </c>
      <c r="F2908" s="2">
        <v>215.0</v>
      </c>
      <c r="G2908" s="2">
        <v>2.92</v>
      </c>
      <c r="H2908" s="2">
        <v>73.6</v>
      </c>
      <c r="I2908" s="2" t="s">
        <v>47</v>
      </c>
    </row>
    <row r="2909" ht="15.75" customHeight="1">
      <c r="A2909" s="2" t="s">
        <v>4555</v>
      </c>
      <c r="B2909" s="2" t="s">
        <v>4556</v>
      </c>
      <c r="C2909" s="2" t="s">
        <v>3659</v>
      </c>
      <c r="D2909" s="2" t="s">
        <v>1082</v>
      </c>
      <c r="E2909" s="2" t="s">
        <v>1084</v>
      </c>
      <c r="F2909" s="2">
        <v>1616.0</v>
      </c>
      <c r="G2909" s="2">
        <v>7.68</v>
      </c>
      <c r="H2909" s="2">
        <v>210.4</v>
      </c>
      <c r="I2909" s="2" t="s">
        <v>27</v>
      </c>
    </row>
    <row r="2910" ht="15.75" customHeight="1">
      <c r="A2910" s="2" t="s">
        <v>6627</v>
      </c>
      <c r="B2910" s="2" t="s">
        <v>6628</v>
      </c>
      <c r="C2910" s="2" t="s">
        <v>3659</v>
      </c>
      <c r="D2910" s="2" t="s">
        <v>1004</v>
      </c>
      <c r="E2910" s="2" t="s">
        <v>1006</v>
      </c>
      <c r="F2910" s="2">
        <v>154.0</v>
      </c>
      <c r="G2910" s="2">
        <v>6.43</v>
      </c>
      <c r="H2910" s="2">
        <v>24.0</v>
      </c>
      <c r="I2910" s="2" t="s">
        <v>47</v>
      </c>
    </row>
    <row r="2911" ht="15.75" customHeight="1">
      <c r="A2911" s="2" t="s">
        <v>4557</v>
      </c>
      <c r="B2911" s="2" t="s">
        <v>4558</v>
      </c>
      <c r="C2911" s="2" t="s">
        <v>3659</v>
      </c>
      <c r="D2911" s="2" t="s">
        <v>833</v>
      </c>
      <c r="E2911" s="2" t="s">
        <v>835</v>
      </c>
      <c r="F2911" s="2">
        <v>1072.0</v>
      </c>
      <c r="G2911" s="2">
        <v>7.25</v>
      </c>
      <c r="H2911" s="2">
        <v>147.9</v>
      </c>
      <c r="I2911" s="2" t="s">
        <v>27</v>
      </c>
    </row>
    <row r="2912" ht="15.75" customHeight="1">
      <c r="A2912" s="2" t="s">
        <v>4559</v>
      </c>
      <c r="B2912" s="2" t="s">
        <v>4560</v>
      </c>
      <c r="C2912" s="2" t="s">
        <v>3659</v>
      </c>
      <c r="D2912" s="2" t="s">
        <v>904</v>
      </c>
      <c r="E2912" s="2" t="s">
        <v>906</v>
      </c>
      <c r="F2912" s="2">
        <v>818.0</v>
      </c>
      <c r="G2912" s="2">
        <v>10.77</v>
      </c>
      <c r="H2912" s="2">
        <v>76.0</v>
      </c>
      <c r="I2912" s="2" t="s">
        <v>27</v>
      </c>
    </row>
    <row r="2913" ht="15.75" customHeight="1">
      <c r="A2913" s="2" t="s">
        <v>6629</v>
      </c>
      <c r="B2913" s="2" t="s">
        <v>6630</v>
      </c>
      <c r="C2913" s="2" t="s">
        <v>3659</v>
      </c>
      <c r="D2913" s="2" t="s">
        <v>861</v>
      </c>
      <c r="E2913" s="2" t="s">
        <v>862</v>
      </c>
      <c r="F2913" s="2">
        <v>291.0</v>
      </c>
      <c r="G2913" s="2">
        <v>11.32</v>
      </c>
      <c r="H2913" s="2">
        <v>25.7</v>
      </c>
      <c r="I2913" s="2" t="s">
        <v>47</v>
      </c>
    </row>
    <row r="2914" ht="15.75" customHeight="1">
      <c r="A2914" s="2" t="s">
        <v>6631</v>
      </c>
      <c r="B2914" s="2" t="s">
        <v>6632</v>
      </c>
      <c r="C2914" s="2" t="s">
        <v>3659</v>
      </c>
      <c r="D2914" s="2" t="s">
        <v>1004</v>
      </c>
      <c r="E2914" s="2" t="s">
        <v>1006</v>
      </c>
      <c r="F2914" s="2">
        <v>81.0</v>
      </c>
      <c r="G2914" s="2">
        <v>4.27</v>
      </c>
      <c r="H2914" s="2">
        <v>19.0</v>
      </c>
      <c r="I2914" s="2" t="s">
        <v>47</v>
      </c>
    </row>
    <row r="2915" ht="15.75" customHeight="1">
      <c r="A2915" s="2" t="s">
        <v>6633</v>
      </c>
      <c r="B2915" s="2" t="s">
        <v>6634</v>
      </c>
      <c r="C2915" s="2" t="s">
        <v>3659</v>
      </c>
      <c r="D2915" s="2" t="s">
        <v>951</v>
      </c>
      <c r="E2915" s="2" t="s">
        <v>953</v>
      </c>
      <c r="F2915" s="2">
        <v>171.0</v>
      </c>
      <c r="G2915" s="2">
        <v>5.28</v>
      </c>
      <c r="H2915" s="2">
        <v>32.4</v>
      </c>
      <c r="I2915" s="2" t="s">
        <v>47</v>
      </c>
    </row>
    <row r="2916" ht="15.75" customHeight="1">
      <c r="A2916" s="2" t="s">
        <v>6635</v>
      </c>
      <c r="B2916" s="2" t="s">
        <v>6636</v>
      </c>
      <c r="C2916" s="2" t="s">
        <v>3659</v>
      </c>
      <c r="D2916" s="2" t="s">
        <v>899</v>
      </c>
      <c r="E2916" s="2" t="s">
        <v>900</v>
      </c>
      <c r="F2916" s="2">
        <v>233.0</v>
      </c>
      <c r="G2916" s="2">
        <v>11.86</v>
      </c>
      <c r="H2916" s="2">
        <v>19.6</v>
      </c>
      <c r="I2916" s="2" t="s">
        <v>47</v>
      </c>
    </row>
    <row r="2917" ht="15.75" customHeight="1">
      <c r="A2917" s="2" t="s">
        <v>6637</v>
      </c>
      <c r="B2917" s="2" t="s">
        <v>6638</v>
      </c>
      <c r="C2917" s="2" t="s">
        <v>3659</v>
      </c>
      <c r="D2917" s="2" t="s">
        <v>1038</v>
      </c>
      <c r="E2917" s="2" t="s">
        <v>1039</v>
      </c>
      <c r="F2917" s="2">
        <v>907.0</v>
      </c>
      <c r="G2917" s="2">
        <v>3.41</v>
      </c>
      <c r="H2917" s="2">
        <v>266.0</v>
      </c>
      <c r="I2917" s="2" t="s">
        <v>27</v>
      </c>
    </row>
    <row r="2918" ht="15.75" customHeight="1">
      <c r="A2918" s="2" t="s">
        <v>4561</v>
      </c>
      <c r="B2918" s="2" t="s">
        <v>4562</v>
      </c>
      <c r="C2918" s="2" t="s">
        <v>3659</v>
      </c>
      <c r="D2918" s="2" t="s">
        <v>833</v>
      </c>
      <c r="E2918" s="2" t="s">
        <v>835</v>
      </c>
      <c r="F2918" s="2">
        <v>1376.0</v>
      </c>
      <c r="G2918" s="2">
        <v>18.22</v>
      </c>
      <c r="H2918" s="2">
        <v>75.5</v>
      </c>
      <c r="I2918" s="2" t="s">
        <v>27</v>
      </c>
    </row>
    <row r="2919" ht="15.75" customHeight="1">
      <c r="A2919" s="2" t="s">
        <v>6639</v>
      </c>
      <c r="B2919" s="2" t="s">
        <v>6640</v>
      </c>
      <c r="C2919" s="2" t="s">
        <v>3659</v>
      </c>
      <c r="D2919" s="2" t="s">
        <v>899</v>
      </c>
      <c r="E2919" s="2" t="s">
        <v>900</v>
      </c>
      <c r="F2919" s="2">
        <v>55.0</v>
      </c>
      <c r="G2919" s="2">
        <v>2.24</v>
      </c>
      <c r="H2919" s="2">
        <v>24.6</v>
      </c>
      <c r="I2919" s="2" t="s">
        <v>47</v>
      </c>
    </row>
    <row r="2920" ht="15.75" customHeight="1">
      <c r="A2920" s="2" t="s">
        <v>4563</v>
      </c>
      <c r="B2920" s="2" t="s">
        <v>4564</v>
      </c>
      <c r="C2920" s="2" t="s">
        <v>3659</v>
      </c>
      <c r="D2920" s="2" t="s">
        <v>997</v>
      </c>
      <c r="E2920" s="2" t="s">
        <v>999</v>
      </c>
      <c r="F2920" s="2">
        <v>204.0</v>
      </c>
      <c r="G2920" s="2">
        <v>4.62</v>
      </c>
      <c r="H2920" s="2">
        <v>44.2</v>
      </c>
      <c r="I2920" s="2" t="s">
        <v>47</v>
      </c>
    </row>
    <row r="2921" ht="15.75" customHeight="1">
      <c r="A2921" s="2" t="s">
        <v>6643</v>
      </c>
      <c r="B2921" s="2" t="s">
        <v>6644</v>
      </c>
      <c r="C2921" s="2" t="s">
        <v>3659</v>
      </c>
      <c r="D2921" s="2" t="s">
        <v>1004</v>
      </c>
      <c r="E2921" s="2" t="s">
        <v>1006</v>
      </c>
      <c r="F2921" s="2">
        <v>293.0</v>
      </c>
      <c r="G2921" s="2">
        <v>6.2</v>
      </c>
      <c r="H2921" s="2">
        <v>47.3</v>
      </c>
      <c r="I2921" s="2" t="s">
        <v>47</v>
      </c>
    </row>
    <row r="2922" ht="15.75" customHeight="1">
      <c r="A2922" s="2" t="s">
        <v>6645</v>
      </c>
      <c r="B2922" s="2" t="s">
        <v>6646</v>
      </c>
      <c r="C2922" s="2" t="s">
        <v>3659</v>
      </c>
      <c r="D2922" s="2" t="s">
        <v>809</v>
      </c>
      <c r="E2922" s="2" t="s">
        <v>811</v>
      </c>
      <c r="F2922" s="2">
        <v>578.0</v>
      </c>
      <c r="G2922" s="2">
        <v>6.95</v>
      </c>
      <c r="H2922" s="2">
        <v>83.2</v>
      </c>
      <c r="I2922" s="2" t="s">
        <v>27</v>
      </c>
    </row>
    <row r="2923" ht="15.75" customHeight="1">
      <c r="A2923" s="2" t="s">
        <v>6647</v>
      </c>
      <c r="B2923" s="2" t="s">
        <v>6648</v>
      </c>
      <c r="C2923" s="2" t="s">
        <v>3659</v>
      </c>
      <c r="D2923" s="2" t="s">
        <v>1004</v>
      </c>
      <c r="E2923" s="2" t="s">
        <v>1006</v>
      </c>
      <c r="F2923" s="2">
        <v>67.0</v>
      </c>
      <c r="G2923" s="2">
        <v>3.3</v>
      </c>
      <c r="H2923" s="2">
        <v>20.3</v>
      </c>
      <c r="I2923" s="2" t="s">
        <v>47</v>
      </c>
    </row>
    <row r="2924" ht="15.75" customHeight="1">
      <c r="A2924" s="2" t="s">
        <v>6649</v>
      </c>
      <c r="B2924" s="2" t="s">
        <v>6650</v>
      </c>
      <c r="C2924" s="2" t="s">
        <v>3659</v>
      </c>
      <c r="D2924" s="2" t="s">
        <v>899</v>
      </c>
      <c r="E2924" s="2" t="s">
        <v>900</v>
      </c>
      <c r="F2924" s="2">
        <v>245.0</v>
      </c>
      <c r="G2924" s="2">
        <v>5.98</v>
      </c>
      <c r="H2924" s="2">
        <v>41.0</v>
      </c>
      <c r="I2924" s="2" t="s">
        <v>47</v>
      </c>
    </row>
    <row r="2925" ht="15.75" customHeight="1">
      <c r="A2925" s="2" t="s">
        <v>6651</v>
      </c>
      <c r="B2925" s="2" t="s">
        <v>6652</v>
      </c>
      <c r="C2925" s="2" t="s">
        <v>3659</v>
      </c>
      <c r="D2925" s="2" t="s">
        <v>1004</v>
      </c>
      <c r="E2925" s="2" t="s">
        <v>1006</v>
      </c>
      <c r="F2925" s="2">
        <v>538.0</v>
      </c>
      <c r="G2925" s="2">
        <v>9.21</v>
      </c>
      <c r="H2925" s="2">
        <v>58.4</v>
      </c>
      <c r="I2925" s="2" t="s">
        <v>27</v>
      </c>
    </row>
    <row r="2926" ht="15.75" customHeight="1">
      <c r="A2926" s="2" t="s">
        <v>4565</v>
      </c>
      <c r="B2926" s="2" t="s">
        <v>4566</v>
      </c>
      <c r="C2926" s="2" t="s">
        <v>3659</v>
      </c>
      <c r="D2926" s="2" t="s">
        <v>792</v>
      </c>
      <c r="E2926" s="2" t="s">
        <v>793</v>
      </c>
      <c r="F2926" s="2">
        <v>1138.0</v>
      </c>
      <c r="G2926" s="2">
        <v>2.98</v>
      </c>
      <c r="H2926" s="2">
        <v>381.9</v>
      </c>
      <c r="I2926" s="2" t="s">
        <v>27</v>
      </c>
    </row>
    <row r="2927" ht="15.75" customHeight="1">
      <c r="A2927" s="2" t="s">
        <v>4567</v>
      </c>
      <c r="B2927" s="2" t="s">
        <v>4568</v>
      </c>
      <c r="C2927" s="2" t="s">
        <v>3659</v>
      </c>
      <c r="D2927" s="2" t="s">
        <v>962</v>
      </c>
      <c r="E2927" s="2" t="s">
        <v>965</v>
      </c>
      <c r="F2927" s="2">
        <v>494.0</v>
      </c>
      <c r="G2927" s="2">
        <v>7.65</v>
      </c>
      <c r="H2927" s="2">
        <v>64.6</v>
      </c>
      <c r="I2927" s="2" t="s">
        <v>47</v>
      </c>
    </row>
    <row r="2928" ht="15.75" customHeight="1">
      <c r="A2928" s="2" t="s">
        <v>6653</v>
      </c>
      <c r="B2928" s="2" t="s">
        <v>6654</v>
      </c>
      <c r="C2928" s="2" t="s">
        <v>3659</v>
      </c>
      <c r="D2928" s="2" t="s">
        <v>1004</v>
      </c>
      <c r="E2928" s="2" t="s">
        <v>1006</v>
      </c>
      <c r="F2928" s="2">
        <v>89.0</v>
      </c>
      <c r="G2928" s="2">
        <v>4.84</v>
      </c>
      <c r="H2928" s="2">
        <v>18.4</v>
      </c>
      <c r="I2928" s="2" t="s">
        <v>47</v>
      </c>
    </row>
    <row r="2929" ht="15.75" customHeight="1">
      <c r="A2929" s="2" t="s">
        <v>4569</v>
      </c>
      <c r="B2929" s="2" t="s">
        <v>4570</v>
      </c>
      <c r="C2929" s="2" t="s">
        <v>3659</v>
      </c>
      <c r="D2929" s="2" t="s">
        <v>997</v>
      </c>
      <c r="E2929" s="2" t="s">
        <v>999</v>
      </c>
      <c r="F2929" s="2">
        <v>1099.0</v>
      </c>
      <c r="G2929" s="2">
        <v>14.02</v>
      </c>
      <c r="H2929" s="2">
        <v>78.4</v>
      </c>
      <c r="I2929" s="2" t="s">
        <v>27</v>
      </c>
    </row>
    <row r="2930" ht="15.75" customHeight="1">
      <c r="A2930" s="2" t="s">
        <v>4571</v>
      </c>
      <c r="B2930" s="2" t="s">
        <v>4572</v>
      </c>
      <c r="C2930" s="2" t="s">
        <v>3659</v>
      </c>
      <c r="D2930" s="2" t="s">
        <v>807</v>
      </c>
      <c r="E2930" s="2" t="s">
        <v>808</v>
      </c>
      <c r="F2930" s="2">
        <v>8536.0</v>
      </c>
      <c r="G2930" s="2">
        <v>10.64</v>
      </c>
      <c r="H2930" s="2">
        <v>802.3</v>
      </c>
      <c r="I2930" s="2" t="s">
        <v>138</v>
      </c>
    </row>
    <row r="2931" ht="15.75" customHeight="1">
      <c r="A2931" s="2" t="s">
        <v>4573</v>
      </c>
      <c r="B2931" s="2" t="s">
        <v>4574</v>
      </c>
      <c r="C2931" s="2" t="s">
        <v>3659</v>
      </c>
      <c r="D2931" s="2" t="s">
        <v>792</v>
      </c>
      <c r="E2931" s="2" t="s">
        <v>793</v>
      </c>
      <c r="F2931" s="2">
        <v>2374.0</v>
      </c>
      <c r="G2931" s="2">
        <v>3.65</v>
      </c>
      <c r="H2931" s="2">
        <v>650.4</v>
      </c>
      <c r="I2931" s="2" t="s">
        <v>138</v>
      </c>
    </row>
    <row r="2932" ht="15.75" customHeight="1">
      <c r="A2932" s="2" t="s">
        <v>6657</v>
      </c>
      <c r="B2932" s="2" t="s">
        <v>6658</v>
      </c>
      <c r="C2932" s="2" t="s">
        <v>3659</v>
      </c>
      <c r="D2932" s="2" t="s">
        <v>951</v>
      </c>
      <c r="E2932" s="2" t="s">
        <v>953</v>
      </c>
      <c r="F2932" s="2">
        <v>235.0</v>
      </c>
      <c r="G2932" s="2">
        <v>10.69</v>
      </c>
      <c r="H2932" s="2">
        <v>22.0</v>
      </c>
      <c r="I2932" s="2" t="s">
        <v>47</v>
      </c>
    </row>
    <row r="2933" ht="15.75" customHeight="1">
      <c r="A2933" s="2" t="s">
        <v>6659</v>
      </c>
      <c r="B2933" s="2" t="s">
        <v>6660</v>
      </c>
      <c r="C2933" s="2" t="s">
        <v>3659</v>
      </c>
      <c r="D2933" s="2" t="s">
        <v>951</v>
      </c>
      <c r="E2933" s="2" t="s">
        <v>953</v>
      </c>
      <c r="F2933" s="2">
        <v>665.0</v>
      </c>
      <c r="G2933" s="2">
        <v>15.62</v>
      </c>
      <c r="H2933" s="2">
        <v>42.6</v>
      </c>
      <c r="I2933" s="2" t="s">
        <v>27</v>
      </c>
    </row>
    <row r="2934" ht="15.75" customHeight="1">
      <c r="A2934" s="2" t="s">
        <v>6661</v>
      </c>
      <c r="B2934" s="2" t="s">
        <v>6662</v>
      </c>
      <c r="C2934" s="2" t="s">
        <v>3659</v>
      </c>
      <c r="D2934" s="2" t="s">
        <v>861</v>
      </c>
      <c r="E2934" s="2" t="s">
        <v>862</v>
      </c>
      <c r="F2934" s="2">
        <v>516.0</v>
      </c>
      <c r="G2934" s="2">
        <v>7.08</v>
      </c>
      <c r="H2934" s="2">
        <v>72.9</v>
      </c>
      <c r="I2934" s="2" t="s">
        <v>27</v>
      </c>
    </row>
    <row r="2935" ht="15.75" customHeight="1">
      <c r="A2935" s="2" t="s">
        <v>4575</v>
      </c>
      <c r="B2935" s="2" t="s">
        <v>4576</v>
      </c>
      <c r="C2935" s="2" t="s">
        <v>3659</v>
      </c>
      <c r="D2935" s="2" t="s">
        <v>792</v>
      </c>
      <c r="E2935" s="2" t="s">
        <v>793</v>
      </c>
      <c r="F2935" s="2">
        <v>4729.0</v>
      </c>
      <c r="G2935" s="2">
        <v>10.42</v>
      </c>
      <c r="H2935" s="2">
        <v>453.8</v>
      </c>
      <c r="I2935" s="2" t="s">
        <v>138</v>
      </c>
    </row>
    <row r="2936" ht="15.75" customHeight="1">
      <c r="A2936" s="2" t="s">
        <v>4577</v>
      </c>
      <c r="B2936" s="2" t="s">
        <v>4578</v>
      </c>
      <c r="C2936" s="2" t="s">
        <v>3659</v>
      </c>
      <c r="D2936" s="2" t="s">
        <v>792</v>
      </c>
      <c r="E2936" s="2" t="s">
        <v>793</v>
      </c>
      <c r="F2936" s="2">
        <v>1978.0</v>
      </c>
      <c r="G2936" s="2">
        <v>3.59</v>
      </c>
      <c r="H2936" s="2">
        <v>551.0</v>
      </c>
      <c r="I2936" s="2" t="s">
        <v>27</v>
      </c>
    </row>
    <row r="2937" ht="15.75" customHeight="1">
      <c r="A2937" s="2" t="s">
        <v>4579</v>
      </c>
      <c r="B2937" s="2" t="s">
        <v>4580</v>
      </c>
      <c r="C2937" s="2" t="s">
        <v>3659</v>
      </c>
      <c r="D2937" s="2" t="s">
        <v>792</v>
      </c>
      <c r="E2937" s="2" t="s">
        <v>793</v>
      </c>
      <c r="F2937" s="2">
        <v>3445.0</v>
      </c>
      <c r="G2937" s="2">
        <v>3.67</v>
      </c>
      <c r="H2937" s="2">
        <v>938.7</v>
      </c>
      <c r="I2937" s="2" t="s">
        <v>138</v>
      </c>
    </row>
    <row r="2938" ht="15.75" customHeight="1">
      <c r="A2938" s="2" t="s">
        <v>4581</v>
      </c>
      <c r="B2938" s="2" t="s">
        <v>4582</v>
      </c>
      <c r="C2938" s="2" t="s">
        <v>3659</v>
      </c>
      <c r="D2938" s="2" t="s">
        <v>809</v>
      </c>
      <c r="E2938" s="2" t="s">
        <v>811</v>
      </c>
      <c r="F2938" s="2">
        <v>2571.0</v>
      </c>
      <c r="G2938" s="2">
        <v>11.02</v>
      </c>
      <c r="H2938" s="2">
        <v>233.3</v>
      </c>
      <c r="I2938" s="2" t="s">
        <v>138</v>
      </c>
    </row>
    <row r="2939" ht="15.75" customHeight="1">
      <c r="A2939" s="2" t="s">
        <v>6663</v>
      </c>
      <c r="B2939" s="2" t="s">
        <v>6664</v>
      </c>
      <c r="C2939" s="2" t="s">
        <v>3659</v>
      </c>
      <c r="D2939" s="2" t="s">
        <v>899</v>
      </c>
      <c r="E2939" s="2" t="s">
        <v>900</v>
      </c>
      <c r="F2939" s="2">
        <v>351.0</v>
      </c>
      <c r="G2939" s="2">
        <v>9.73</v>
      </c>
      <c r="H2939" s="2">
        <v>36.1</v>
      </c>
      <c r="I2939" s="2" t="s">
        <v>47</v>
      </c>
    </row>
    <row r="2940" ht="15.75" customHeight="1">
      <c r="A2940" s="2" t="s">
        <v>4583</v>
      </c>
      <c r="B2940" s="2" t="s">
        <v>4584</v>
      </c>
      <c r="C2940" s="2" t="s">
        <v>3659</v>
      </c>
      <c r="D2940" s="2" t="s">
        <v>861</v>
      </c>
      <c r="E2940" s="2" t="s">
        <v>862</v>
      </c>
      <c r="F2940" s="2">
        <v>391.0</v>
      </c>
      <c r="G2940" s="2">
        <v>5.83</v>
      </c>
      <c r="H2940" s="2">
        <v>67.1</v>
      </c>
      <c r="I2940" s="2" t="s">
        <v>47</v>
      </c>
    </row>
    <row r="2941" ht="15.75" customHeight="1">
      <c r="A2941" s="2" t="s">
        <v>4585</v>
      </c>
      <c r="B2941" s="2" t="s">
        <v>4586</v>
      </c>
      <c r="C2941" s="2" t="s">
        <v>3659</v>
      </c>
      <c r="D2941" s="2" t="s">
        <v>792</v>
      </c>
      <c r="E2941" s="2" t="s">
        <v>793</v>
      </c>
      <c r="F2941" s="2">
        <v>882.0</v>
      </c>
      <c r="G2941" s="2">
        <v>3.46</v>
      </c>
      <c r="H2941" s="2">
        <v>254.9</v>
      </c>
      <c r="I2941" s="2" t="s">
        <v>27</v>
      </c>
    </row>
    <row r="2942" ht="15.75" customHeight="1">
      <c r="A2942" s="2" t="s">
        <v>4587</v>
      </c>
      <c r="B2942" s="2" t="s">
        <v>4588</v>
      </c>
      <c r="C2942" s="2" t="s">
        <v>3659</v>
      </c>
      <c r="D2942" s="2" t="s">
        <v>888</v>
      </c>
      <c r="E2942" s="2" t="s">
        <v>889</v>
      </c>
      <c r="F2942" s="2">
        <v>1511.0</v>
      </c>
      <c r="G2942" s="2">
        <v>21.2</v>
      </c>
      <c r="H2942" s="2">
        <v>71.3</v>
      </c>
      <c r="I2942" s="2" t="s">
        <v>27</v>
      </c>
    </row>
    <row r="2943" ht="15.75" customHeight="1">
      <c r="A2943" s="2" t="s">
        <v>6669</v>
      </c>
      <c r="B2943" s="2" t="s">
        <v>6670</v>
      </c>
      <c r="C2943" s="2" t="s">
        <v>3659</v>
      </c>
      <c r="D2943" s="2" t="s">
        <v>904</v>
      </c>
      <c r="E2943" s="2" t="s">
        <v>906</v>
      </c>
      <c r="F2943" s="2">
        <v>368.0</v>
      </c>
      <c r="G2943" s="2">
        <v>3.85</v>
      </c>
      <c r="H2943" s="2">
        <v>95.6</v>
      </c>
      <c r="I2943" s="2" t="s">
        <v>47</v>
      </c>
    </row>
    <row r="2944" ht="15.75" customHeight="1">
      <c r="A2944" s="2" t="s">
        <v>6671</v>
      </c>
      <c r="B2944" s="2" t="s">
        <v>6672</v>
      </c>
      <c r="C2944" s="2" t="s">
        <v>3659</v>
      </c>
      <c r="D2944" s="2" t="s">
        <v>904</v>
      </c>
      <c r="E2944" s="2" t="s">
        <v>906</v>
      </c>
      <c r="F2944" s="2">
        <v>127.0</v>
      </c>
      <c r="G2944" s="2">
        <v>3.22</v>
      </c>
      <c r="H2944" s="2">
        <v>39.4</v>
      </c>
      <c r="I2944" s="2" t="s">
        <v>47</v>
      </c>
    </row>
    <row r="2945" ht="15.75" customHeight="1">
      <c r="A2945" s="2" t="s">
        <v>6677</v>
      </c>
      <c r="B2945" s="2" t="s">
        <v>6678</v>
      </c>
      <c r="C2945" s="2" t="s">
        <v>3659</v>
      </c>
      <c r="D2945" s="2" t="s">
        <v>904</v>
      </c>
      <c r="E2945" s="2" t="s">
        <v>906</v>
      </c>
      <c r="F2945" s="2">
        <v>137.0</v>
      </c>
      <c r="G2945" s="2">
        <v>2.5</v>
      </c>
      <c r="H2945" s="2">
        <v>54.8</v>
      </c>
      <c r="I2945" s="2" t="s">
        <v>47</v>
      </c>
    </row>
    <row r="2946" ht="15.75" customHeight="1">
      <c r="A2946" s="2" t="s">
        <v>6665</v>
      </c>
      <c r="B2946" s="2" t="s">
        <v>6666</v>
      </c>
      <c r="C2946" s="2" t="s">
        <v>3659</v>
      </c>
      <c r="D2946" s="2" t="s">
        <v>807</v>
      </c>
      <c r="E2946" s="2" t="s">
        <v>808</v>
      </c>
      <c r="F2946" s="2">
        <v>607.0</v>
      </c>
      <c r="G2946" s="2">
        <v>5.23</v>
      </c>
      <c r="H2946" s="2">
        <v>116.1</v>
      </c>
      <c r="I2946" s="2" t="s">
        <v>27</v>
      </c>
    </row>
    <row r="2947" ht="15.75" customHeight="1">
      <c r="A2947" s="2" t="s">
        <v>6667</v>
      </c>
      <c r="B2947" s="2" t="s">
        <v>6668</v>
      </c>
      <c r="C2947" s="2" t="s">
        <v>3659</v>
      </c>
      <c r="D2947" s="2" t="s">
        <v>997</v>
      </c>
      <c r="E2947" s="2" t="s">
        <v>999</v>
      </c>
      <c r="F2947" s="2">
        <v>245.0</v>
      </c>
      <c r="G2947" s="2">
        <v>5.84</v>
      </c>
      <c r="H2947" s="2">
        <v>42.0</v>
      </c>
      <c r="I2947" s="2" t="s">
        <v>47</v>
      </c>
    </row>
    <row r="2948" ht="15.75" customHeight="1">
      <c r="A2948" s="2" t="s">
        <v>6675</v>
      </c>
      <c r="B2948" s="2" t="s">
        <v>6676</v>
      </c>
      <c r="C2948" s="2" t="s">
        <v>3659</v>
      </c>
      <c r="D2948" s="2" t="s">
        <v>1004</v>
      </c>
      <c r="E2948" s="2" t="s">
        <v>1006</v>
      </c>
      <c r="F2948" s="2">
        <v>255.0</v>
      </c>
      <c r="G2948" s="2">
        <v>8.41</v>
      </c>
      <c r="H2948" s="2">
        <v>30.3</v>
      </c>
      <c r="I2948" s="2" t="s">
        <v>47</v>
      </c>
    </row>
    <row r="2949" ht="15.75" customHeight="1">
      <c r="A2949" s="2" t="s">
        <v>6673</v>
      </c>
      <c r="B2949" s="2" t="s">
        <v>6674</v>
      </c>
      <c r="C2949" s="2" t="s">
        <v>3659</v>
      </c>
      <c r="D2949" s="2" t="s">
        <v>1038</v>
      </c>
      <c r="E2949" s="2" t="s">
        <v>1039</v>
      </c>
      <c r="F2949" s="2">
        <v>243.0</v>
      </c>
      <c r="G2949" s="2">
        <v>4.43</v>
      </c>
      <c r="H2949" s="2">
        <v>54.9</v>
      </c>
      <c r="I2949" s="2" t="s">
        <v>47</v>
      </c>
    </row>
    <row r="2950" ht="15.75" customHeight="1">
      <c r="A2950" s="2" t="s">
        <v>4589</v>
      </c>
      <c r="B2950" s="2" t="s">
        <v>4590</v>
      </c>
      <c r="C2950" s="2" t="s">
        <v>3659</v>
      </c>
      <c r="D2950" s="2" t="s">
        <v>807</v>
      </c>
      <c r="E2950" s="2" t="s">
        <v>808</v>
      </c>
      <c r="F2950" s="2">
        <v>4270.0</v>
      </c>
      <c r="G2950" s="2">
        <v>11.43</v>
      </c>
      <c r="H2950" s="2">
        <v>373.6</v>
      </c>
      <c r="I2950" s="2" t="s">
        <v>138</v>
      </c>
    </row>
    <row r="2951" ht="15.75" customHeight="1">
      <c r="A2951" s="2" t="s">
        <v>6679</v>
      </c>
      <c r="B2951" s="2" t="s">
        <v>6680</v>
      </c>
      <c r="C2951" s="2" t="s">
        <v>3659</v>
      </c>
      <c r="D2951" s="2" t="s">
        <v>951</v>
      </c>
      <c r="E2951" s="2" t="s">
        <v>953</v>
      </c>
      <c r="F2951" s="2">
        <v>146.0</v>
      </c>
      <c r="G2951" s="2">
        <v>4.62</v>
      </c>
      <c r="H2951" s="2">
        <v>31.6</v>
      </c>
      <c r="I2951" s="2" t="s">
        <v>47</v>
      </c>
    </row>
    <row r="2952" ht="15.75" customHeight="1">
      <c r="A2952" s="2" t="s">
        <v>4591</v>
      </c>
      <c r="B2952" s="2" t="s">
        <v>4592</v>
      </c>
      <c r="C2952" s="2" t="s">
        <v>3659</v>
      </c>
      <c r="D2952" s="2" t="s">
        <v>792</v>
      </c>
      <c r="E2952" s="2" t="s">
        <v>793</v>
      </c>
      <c r="F2952" s="2">
        <v>3839.0</v>
      </c>
      <c r="G2952" s="2">
        <v>10.02</v>
      </c>
      <c r="H2952" s="2">
        <v>383.1</v>
      </c>
      <c r="I2952" s="2" t="s">
        <v>138</v>
      </c>
    </row>
    <row r="2953" ht="15.75" customHeight="1">
      <c r="A2953" s="2" t="s">
        <v>6681</v>
      </c>
      <c r="B2953" s="2" t="s">
        <v>6682</v>
      </c>
      <c r="C2953" s="2" t="s">
        <v>3659</v>
      </c>
      <c r="D2953" s="2" t="s">
        <v>1038</v>
      </c>
      <c r="E2953" s="2" t="s">
        <v>1039</v>
      </c>
      <c r="F2953" s="2">
        <v>632.0</v>
      </c>
      <c r="G2953" s="2">
        <v>6.41</v>
      </c>
      <c r="H2953" s="2">
        <v>98.6</v>
      </c>
      <c r="I2953" s="2" t="s">
        <v>27</v>
      </c>
    </row>
    <row r="2954" ht="15.75" customHeight="1">
      <c r="A2954" s="2" t="s">
        <v>4593</v>
      </c>
      <c r="B2954" s="2" t="s">
        <v>4594</v>
      </c>
      <c r="C2954" s="2" t="s">
        <v>3659</v>
      </c>
      <c r="D2954" s="2" t="s">
        <v>1038</v>
      </c>
      <c r="E2954" s="2" t="s">
        <v>1039</v>
      </c>
      <c r="F2954" s="2">
        <v>4849.0</v>
      </c>
      <c r="G2954" s="2">
        <v>18.77</v>
      </c>
      <c r="H2954" s="2">
        <v>258.3</v>
      </c>
      <c r="I2954" s="2" t="s">
        <v>138</v>
      </c>
    </row>
    <row r="2955" ht="15.75" customHeight="1">
      <c r="A2955" s="2" t="s">
        <v>6655</v>
      </c>
      <c r="B2955" s="2" t="s">
        <v>6656</v>
      </c>
      <c r="C2955" s="2" t="s">
        <v>3659</v>
      </c>
      <c r="D2955" s="2" t="s">
        <v>997</v>
      </c>
      <c r="E2955" s="2" t="s">
        <v>999</v>
      </c>
      <c r="F2955" s="2">
        <v>130.0</v>
      </c>
      <c r="G2955" s="2">
        <v>3.17</v>
      </c>
      <c r="H2955" s="2">
        <v>41.0</v>
      </c>
      <c r="I2955" s="2" t="s">
        <v>47</v>
      </c>
    </row>
    <row r="2956" ht="15.75" customHeight="1">
      <c r="A2956" s="2" t="s">
        <v>4595</v>
      </c>
      <c r="B2956" s="2" t="s">
        <v>4596</v>
      </c>
      <c r="C2956" s="2" t="s">
        <v>3659</v>
      </c>
      <c r="D2956" s="2" t="s">
        <v>809</v>
      </c>
      <c r="E2956" s="2" t="s">
        <v>811</v>
      </c>
      <c r="F2956" s="2">
        <v>449.0</v>
      </c>
      <c r="G2956" s="2">
        <v>8.72</v>
      </c>
      <c r="H2956" s="2">
        <v>51.5</v>
      </c>
      <c r="I2956" s="2" t="s">
        <v>47</v>
      </c>
    </row>
    <row r="2957" ht="15.75" customHeight="1">
      <c r="A2957" s="2" t="s">
        <v>6683</v>
      </c>
      <c r="B2957" s="2" t="s">
        <v>6684</v>
      </c>
      <c r="C2957" s="2" t="s">
        <v>3659</v>
      </c>
      <c r="D2957" s="2" t="s">
        <v>892</v>
      </c>
      <c r="E2957" s="2" t="s">
        <v>893</v>
      </c>
      <c r="F2957" s="2">
        <v>259.0</v>
      </c>
      <c r="G2957" s="2">
        <v>2.46</v>
      </c>
      <c r="H2957" s="2">
        <v>105.3</v>
      </c>
      <c r="I2957" s="2" t="s">
        <v>47</v>
      </c>
    </row>
    <row r="2958" ht="15.75" customHeight="1">
      <c r="A2958" s="2" t="s">
        <v>4597</v>
      </c>
      <c r="B2958" s="2" t="s">
        <v>4598</v>
      </c>
      <c r="C2958" s="2" t="s">
        <v>3659</v>
      </c>
      <c r="D2958" s="2" t="s">
        <v>899</v>
      </c>
      <c r="E2958" s="2" t="s">
        <v>900</v>
      </c>
      <c r="F2958" s="2">
        <v>261.0</v>
      </c>
      <c r="G2958" s="2">
        <v>9.13</v>
      </c>
      <c r="H2958" s="2">
        <v>28.6</v>
      </c>
      <c r="I2958" s="2" t="s">
        <v>47</v>
      </c>
    </row>
    <row r="2959" ht="15.75" customHeight="1">
      <c r="A2959" s="2" t="s">
        <v>4599</v>
      </c>
      <c r="B2959" s="2" t="s">
        <v>4600</v>
      </c>
      <c r="C2959" s="2" t="s">
        <v>3659</v>
      </c>
      <c r="D2959" s="2" t="s">
        <v>1082</v>
      </c>
      <c r="E2959" s="2" t="s">
        <v>1084</v>
      </c>
      <c r="F2959" s="2">
        <v>1062.0</v>
      </c>
      <c r="G2959" s="2">
        <v>9.73</v>
      </c>
      <c r="H2959" s="2">
        <v>109.1</v>
      </c>
      <c r="I2959" s="2" t="s">
        <v>27</v>
      </c>
    </row>
    <row r="2960" ht="15.75" customHeight="1">
      <c r="A2960" s="2" t="s">
        <v>4601</v>
      </c>
      <c r="B2960" s="2" t="s">
        <v>4602</v>
      </c>
      <c r="C2960" s="2" t="s">
        <v>3659</v>
      </c>
      <c r="D2960" s="2" t="s">
        <v>809</v>
      </c>
      <c r="E2960" s="2" t="s">
        <v>811</v>
      </c>
      <c r="F2960" s="2">
        <v>1062.0</v>
      </c>
      <c r="G2960" s="2">
        <v>14.29</v>
      </c>
      <c r="H2960" s="2">
        <v>74.3</v>
      </c>
      <c r="I2960" s="2" t="s">
        <v>27</v>
      </c>
    </row>
    <row r="2961" ht="15.75" customHeight="1">
      <c r="A2961" s="2" t="s">
        <v>6685</v>
      </c>
      <c r="B2961" s="2" t="s">
        <v>6686</v>
      </c>
      <c r="C2961" s="2" t="s">
        <v>3659</v>
      </c>
      <c r="D2961" s="2" t="s">
        <v>899</v>
      </c>
      <c r="E2961" s="2" t="s">
        <v>900</v>
      </c>
      <c r="F2961" s="2">
        <v>259.0</v>
      </c>
      <c r="G2961" s="2">
        <v>6.07</v>
      </c>
      <c r="H2961" s="2">
        <v>42.7</v>
      </c>
      <c r="I2961" s="2" t="s">
        <v>47</v>
      </c>
    </row>
    <row r="2962" ht="15.75" customHeight="1">
      <c r="A2962" s="2" t="s">
        <v>6687</v>
      </c>
      <c r="B2962" s="2" t="s">
        <v>6688</v>
      </c>
      <c r="C2962" s="2" t="s">
        <v>3659</v>
      </c>
      <c r="D2962" s="2" t="s">
        <v>899</v>
      </c>
      <c r="E2962" s="2" t="s">
        <v>900</v>
      </c>
      <c r="F2962" s="2">
        <v>253.0</v>
      </c>
      <c r="G2962" s="2">
        <v>7.14</v>
      </c>
      <c r="H2962" s="2">
        <v>35.4</v>
      </c>
      <c r="I2962" s="2" t="s">
        <v>47</v>
      </c>
    </row>
    <row r="2963" ht="15.75" customHeight="1">
      <c r="A2963" s="2" t="s">
        <v>4603</v>
      </c>
      <c r="B2963" s="2" t="s">
        <v>4604</v>
      </c>
      <c r="C2963" s="2" t="s">
        <v>3659</v>
      </c>
      <c r="D2963" s="2" t="s">
        <v>1082</v>
      </c>
      <c r="E2963" s="2" t="s">
        <v>1084</v>
      </c>
      <c r="F2963" s="2">
        <v>626.0</v>
      </c>
      <c r="G2963" s="2">
        <v>8.95</v>
      </c>
      <c r="H2963" s="2">
        <v>69.9</v>
      </c>
      <c r="I2963" s="2" t="s">
        <v>27</v>
      </c>
    </row>
    <row r="2964" ht="15.75" customHeight="1">
      <c r="A2964" s="2" t="s">
        <v>6689</v>
      </c>
      <c r="B2964" s="2" t="s">
        <v>6690</v>
      </c>
      <c r="C2964" s="2" t="s">
        <v>3659</v>
      </c>
      <c r="D2964" s="2" t="s">
        <v>904</v>
      </c>
      <c r="E2964" s="2" t="s">
        <v>906</v>
      </c>
      <c r="F2964" s="2">
        <v>748.0</v>
      </c>
      <c r="G2964" s="2">
        <v>10.34</v>
      </c>
      <c r="H2964" s="2">
        <v>72.3</v>
      </c>
      <c r="I2964" s="2" t="s">
        <v>27</v>
      </c>
    </row>
    <row r="2965" ht="15.75" customHeight="1">
      <c r="A2965" s="2" t="s">
        <v>4605</v>
      </c>
      <c r="B2965" s="2" t="s">
        <v>4606</v>
      </c>
      <c r="C2965" s="2" t="s">
        <v>3659</v>
      </c>
      <c r="D2965" s="2" t="s">
        <v>833</v>
      </c>
      <c r="E2965" s="2" t="s">
        <v>835</v>
      </c>
      <c r="F2965" s="2">
        <v>1328.0</v>
      </c>
      <c r="G2965" s="2">
        <v>3.77</v>
      </c>
      <c r="H2965" s="2">
        <v>352.3</v>
      </c>
      <c r="I2965" s="2" t="s">
        <v>27</v>
      </c>
    </row>
    <row r="2966" ht="15.75" customHeight="1">
      <c r="A2966" s="2" t="s">
        <v>6691</v>
      </c>
      <c r="B2966" s="2" t="s">
        <v>6692</v>
      </c>
      <c r="C2966" s="2" t="s">
        <v>3659</v>
      </c>
      <c r="D2966" s="2" t="s">
        <v>997</v>
      </c>
      <c r="E2966" s="2" t="s">
        <v>999</v>
      </c>
      <c r="F2966" s="2">
        <v>131.0</v>
      </c>
      <c r="G2966" s="2">
        <v>3.7</v>
      </c>
      <c r="H2966" s="2">
        <v>35.4</v>
      </c>
      <c r="I2966" s="2" t="s">
        <v>47</v>
      </c>
    </row>
    <row r="2967" ht="15.75" customHeight="1">
      <c r="A2967" s="2" t="s">
        <v>6693</v>
      </c>
      <c r="B2967" s="2" t="s">
        <v>6694</v>
      </c>
      <c r="C2967" s="2" t="s">
        <v>3659</v>
      </c>
      <c r="D2967" s="2" t="s">
        <v>904</v>
      </c>
      <c r="E2967" s="2" t="s">
        <v>906</v>
      </c>
      <c r="F2967" s="2">
        <v>177.0</v>
      </c>
      <c r="G2967" s="2">
        <v>5.15</v>
      </c>
      <c r="H2967" s="2">
        <v>34.4</v>
      </c>
      <c r="I2967" s="2" t="s">
        <v>47</v>
      </c>
    </row>
    <row r="2968" ht="15.75" customHeight="1">
      <c r="A2968" s="2" t="s">
        <v>6695</v>
      </c>
      <c r="B2968" s="2" t="s">
        <v>6696</v>
      </c>
      <c r="C2968" s="2" t="s">
        <v>3659</v>
      </c>
      <c r="D2968" s="2" t="s">
        <v>904</v>
      </c>
      <c r="E2968" s="2" t="s">
        <v>906</v>
      </c>
      <c r="F2968" s="2">
        <v>377.0</v>
      </c>
      <c r="G2968" s="2">
        <v>5.44</v>
      </c>
      <c r="H2968" s="2">
        <v>69.3</v>
      </c>
      <c r="I2968" s="2" t="s">
        <v>47</v>
      </c>
    </row>
    <row r="2969" ht="15.75" customHeight="1">
      <c r="A2969" s="2" t="s">
        <v>6697</v>
      </c>
      <c r="B2969" s="2" t="s">
        <v>6698</v>
      </c>
      <c r="C2969" s="2" t="s">
        <v>3659</v>
      </c>
      <c r="D2969" s="2" t="s">
        <v>904</v>
      </c>
      <c r="E2969" s="2" t="s">
        <v>906</v>
      </c>
      <c r="F2969" s="2">
        <v>218.0</v>
      </c>
      <c r="G2969" s="2">
        <v>4.06</v>
      </c>
      <c r="H2969" s="2">
        <v>53.7</v>
      </c>
      <c r="I2969" s="2" t="s">
        <v>47</v>
      </c>
    </row>
    <row r="2970" ht="15.75" customHeight="1">
      <c r="A2970" s="2" t="s">
        <v>6701</v>
      </c>
      <c r="B2970" s="2" t="s">
        <v>6702</v>
      </c>
      <c r="C2970" s="2" t="s">
        <v>3659</v>
      </c>
      <c r="D2970" s="2" t="s">
        <v>1004</v>
      </c>
      <c r="E2970" s="2" t="s">
        <v>1006</v>
      </c>
      <c r="F2970" s="2">
        <v>197.0</v>
      </c>
      <c r="G2970" s="2">
        <v>4.75</v>
      </c>
      <c r="H2970" s="2">
        <v>41.5</v>
      </c>
      <c r="I2970" s="2" t="s">
        <v>47</v>
      </c>
    </row>
    <row r="2971" ht="15.75" customHeight="1">
      <c r="A2971" s="2" t="s">
        <v>4607</v>
      </c>
      <c r="B2971" s="2" t="s">
        <v>4608</v>
      </c>
      <c r="C2971" s="2" t="s">
        <v>3659</v>
      </c>
      <c r="D2971" s="2" t="s">
        <v>962</v>
      </c>
      <c r="E2971" s="2" t="s">
        <v>965</v>
      </c>
      <c r="F2971" s="2">
        <v>1203.0</v>
      </c>
      <c r="G2971" s="2">
        <v>11.71</v>
      </c>
      <c r="H2971" s="2">
        <v>102.7</v>
      </c>
      <c r="I2971" s="2" t="s">
        <v>27</v>
      </c>
    </row>
    <row r="2972" ht="15.75" customHeight="1">
      <c r="A2972" s="2" t="s">
        <v>6703</v>
      </c>
      <c r="B2972" s="2" t="s">
        <v>6704</v>
      </c>
      <c r="C2972" s="2" t="s">
        <v>3659</v>
      </c>
      <c r="D2972" s="2" t="s">
        <v>792</v>
      </c>
      <c r="E2972" s="2" t="s">
        <v>793</v>
      </c>
      <c r="F2972" s="2">
        <v>246.0</v>
      </c>
      <c r="G2972" s="2">
        <v>2.97</v>
      </c>
      <c r="H2972" s="2">
        <v>82.8</v>
      </c>
      <c r="I2972" s="2" t="s">
        <v>47</v>
      </c>
    </row>
    <row r="2973" ht="15.75" customHeight="1">
      <c r="A2973" s="2" t="s">
        <v>6705</v>
      </c>
      <c r="B2973" s="2" t="s">
        <v>6706</v>
      </c>
      <c r="C2973" s="2" t="s">
        <v>3659</v>
      </c>
      <c r="D2973" s="2" t="s">
        <v>951</v>
      </c>
      <c r="E2973" s="2" t="s">
        <v>953</v>
      </c>
      <c r="F2973" s="2">
        <v>267.0</v>
      </c>
      <c r="G2973" s="2">
        <v>6.88</v>
      </c>
      <c r="H2973" s="2">
        <v>38.8</v>
      </c>
      <c r="I2973" s="2" t="s">
        <v>47</v>
      </c>
    </row>
    <row r="2974" ht="15.75" customHeight="1">
      <c r="A2974" s="2" t="s">
        <v>6707</v>
      </c>
      <c r="B2974" s="2" t="s">
        <v>6708</v>
      </c>
      <c r="C2974" s="2" t="s">
        <v>3659</v>
      </c>
      <c r="D2974" s="2" t="s">
        <v>809</v>
      </c>
      <c r="E2974" s="2" t="s">
        <v>811</v>
      </c>
      <c r="F2974" s="2">
        <v>244.0</v>
      </c>
      <c r="G2974" s="2">
        <v>7.19</v>
      </c>
      <c r="H2974" s="2">
        <v>33.9</v>
      </c>
      <c r="I2974" s="2" t="s">
        <v>47</v>
      </c>
    </row>
    <row r="2975" ht="15.75" customHeight="1">
      <c r="A2975" s="2" t="s">
        <v>6711</v>
      </c>
      <c r="B2975" s="2" t="s">
        <v>6712</v>
      </c>
      <c r="C2975" s="2" t="s">
        <v>3659</v>
      </c>
      <c r="D2975" s="2" t="s">
        <v>892</v>
      </c>
      <c r="E2975" s="2" t="s">
        <v>893</v>
      </c>
      <c r="F2975" s="2">
        <v>834.0</v>
      </c>
      <c r="G2975" s="2">
        <v>18.95</v>
      </c>
      <c r="H2975" s="2">
        <v>44.0</v>
      </c>
      <c r="I2975" s="2" t="s">
        <v>27</v>
      </c>
    </row>
    <row r="2976" ht="15.75" customHeight="1">
      <c r="A2976" s="2" t="s">
        <v>6709</v>
      </c>
      <c r="B2976" s="2" t="s">
        <v>6710</v>
      </c>
      <c r="C2976" s="2" t="s">
        <v>3659</v>
      </c>
      <c r="D2976" s="2" t="s">
        <v>861</v>
      </c>
      <c r="E2976" s="2" t="s">
        <v>862</v>
      </c>
      <c r="F2976" s="2">
        <v>228.0</v>
      </c>
      <c r="G2976" s="2">
        <v>3.87</v>
      </c>
      <c r="H2976" s="2">
        <v>58.9</v>
      </c>
      <c r="I2976" s="2" t="s">
        <v>47</v>
      </c>
    </row>
    <row r="2977" ht="15.75" customHeight="1">
      <c r="A2977" s="2" t="s">
        <v>6713</v>
      </c>
      <c r="B2977" s="2" t="s">
        <v>6714</v>
      </c>
      <c r="C2977" s="2" t="s">
        <v>3659</v>
      </c>
      <c r="D2977" s="2" t="s">
        <v>899</v>
      </c>
      <c r="E2977" s="2" t="s">
        <v>900</v>
      </c>
      <c r="F2977" s="2">
        <v>183.0</v>
      </c>
      <c r="G2977" s="2">
        <v>10.19</v>
      </c>
      <c r="H2977" s="2">
        <v>18.0</v>
      </c>
      <c r="I2977" s="2" t="s">
        <v>47</v>
      </c>
    </row>
    <row r="2978" ht="15.75" customHeight="1">
      <c r="A2978" s="2" t="s">
        <v>6715</v>
      </c>
      <c r="B2978" s="2" t="s">
        <v>6716</v>
      </c>
      <c r="C2978" s="2" t="s">
        <v>3659</v>
      </c>
      <c r="D2978" s="2" t="s">
        <v>1004</v>
      </c>
      <c r="E2978" s="2" t="s">
        <v>1006</v>
      </c>
      <c r="F2978" s="2">
        <v>138.0</v>
      </c>
      <c r="G2978" s="2">
        <v>2.41</v>
      </c>
      <c r="H2978" s="2">
        <v>57.3</v>
      </c>
      <c r="I2978" s="2" t="s">
        <v>47</v>
      </c>
    </row>
    <row r="2979" ht="15.75" customHeight="1">
      <c r="A2979" s="2" t="s">
        <v>4609</v>
      </c>
      <c r="B2979" s="2" t="s">
        <v>4610</v>
      </c>
      <c r="C2979" s="2" t="s">
        <v>3659</v>
      </c>
      <c r="D2979" s="2" t="s">
        <v>1082</v>
      </c>
      <c r="E2979" s="2" t="s">
        <v>1084</v>
      </c>
      <c r="F2979" s="2">
        <v>660.0</v>
      </c>
      <c r="G2979" s="2">
        <v>4.09</v>
      </c>
      <c r="H2979" s="2">
        <v>161.4</v>
      </c>
      <c r="I2979" s="2" t="s">
        <v>27</v>
      </c>
    </row>
    <row r="2980" ht="15.75" customHeight="1">
      <c r="A2980" s="2" t="s">
        <v>4611</v>
      </c>
      <c r="B2980" s="2" t="s">
        <v>4612</v>
      </c>
      <c r="C2980" s="2" t="s">
        <v>3659</v>
      </c>
      <c r="D2980" s="2" t="s">
        <v>823</v>
      </c>
      <c r="E2980" s="2" t="s">
        <v>824</v>
      </c>
      <c r="F2980" s="2">
        <v>6256.0</v>
      </c>
      <c r="G2980" s="2">
        <v>8.1</v>
      </c>
      <c r="H2980" s="2">
        <v>772.3</v>
      </c>
      <c r="I2980" s="2" t="s">
        <v>138</v>
      </c>
    </row>
    <row r="2981" ht="15.75" customHeight="1">
      <c r="A2981" s="2" t="s">
        <v>4613</v>
      </c>
      <c r="B2981" s="2" t="s">
        <v>4614</v>
      </c>
      <c r="C2981" s="2" t="s">
        <v>3659</v>
      </c>
      <c r="D2981" s="2" t="s">
        <v>823</v>
      </c>
      <c r="E2981" s="2" t="s">
        <v>824</v>
      </c>
      <c r="F2981" s="2">
        <v>3866.0</v>
      </c>
      <c r="G2981" s="2">
        <v>22.02</v>
      </c>
      <c r="H2981" s="2">
        <v>175.6</v>
      </c>
      <c r="I2981" s="2" t="s">
        <v>138</v>
      </c>
    </row>
    <row r="2982" ht="15.75" customHeight="1">
      <c r="A2982" s="2" t="s">
        <v>4615</v>
      </c>
      <c r="B2982" s="2" t="s">
        <v>4616</v>
      </c>
      <c r="C2982" s="2" t="s">
        <v>3659</v>
      </c>
      <c r="D2982" s="2" t="s">
        <v>807</v>
      </c>
      <c r="E2982" s="2" t="s">
        <v>808</v>
      </c>
      <c r="F2982" s="2">
        <v>8720.0</v>
      </c>
      <c r="G2982" s="2">
        <v>6.03</v>
      </c>
      <c r="H2982" s="2">
        <v>1446.1</v>
      </c>
      <c r="I2982" s="2" t="s">
        <v>138</v>
      </c>
    </row>
    <row r="2983" ht="15.75" customHeight="1">
      <c r="A2983" s="2" t="s">
        <v>4617</v>
      </c>
      <c r="B2983" s="2" t="s">
        <v>4618</v>
      </c>
      <c r="C2983" s="2" t="s">
        <v>3659</v>
      </c>
      <c r="D2983" s="2" t="s">
        <v>861</v>
      </c>
      <c r="E2983" s="2" t="s">
        <v>862</v>
      </c>
      <c r="F2983" s="2">
        <v>768.0</v>
      </c>
      <c r="G2983" s="2">
        <v>12.53</v>
      </c>
      <c r="H2983" s="2">
        <v>61.3</v>
      </c>
      <c r="I2983" s="2" t="s">
        <v>27</v>
      </c>
    </row>
    <row r="2984" ht="15.75" customHeight="1">
      <c r="A2984" s="2" t="s">
        <v>4619</v>
      </c>
      <c r="B2984" s="2" t="s">
        <v>4620</v>
      </c>
      <c r="C2984" s="2" t="s">
        <v>3659</v>
      </c>
      <c r="D2984" s="2" t="s">
        <v>962</v>
      </c>
      <c r="E2984" s="2" t="s">
        <v>965</v>
      </c>
      <c r="F2984" s="2">
        <v>492.0</v>
      </c>
      <c r="G2984" s="2">
        <v>12.11</v>
      </c>
      <c r="H2984" s="2">
        <v>40.6</v>
      </c>
      <c r="I2984" s="2" t="s">
        <v>47</v>
      </c>
    </row>
    <row r="2985" ht="15.75" customHeight="1">
      <c r="A2985" s="2" t="s">
        <v>6717</v>
      </c>
      <c r="B2985" s="2" t="s">
        <v>6718</v>
      </c>
      <c r="C2985" s="2" t="s">
        <v>3659</v>
      </c>
      <c r="D2985" s="2" t="s">
        <v>962</v>
      </c>
      <c r="E2985" s="2" t="s">
        <v>965</v>
      </c>
      <c r="F2985" s="2">
        <v>222.0</v>
      </c>
      <c r="G2985" s="2">
        <v>3.75</v>
      </c>
      <c r="H2985" s="2">
        <v>59.2</v>
      </c>
      <c r="I2985" s="2" t="s">
        <v>47</v>
      </c>
    </row>
    <row r="2986" ht="15.75" customHeight="1">
      <c r="A2986" s="2" t="s">
        <v>4622</v>
      </c>
      <c r="B2986" s="2" t="s">
        <v>4624</v>
      </c>
      <c r="C2986" s="2" t="s">
        <v>3659</v>
      </c>
      <c r="D2986" s="2" t="s">
        <v>892</v>
      </c>
      <c r="E2986" s="2" t="s">
        <v>893</v>
      </c>
      <c r="F2986" s="2">
        <v>835.0</v>
      </c>
      <c r="G2986" s="2">
        <v>12.61</v>
      </c>
      <c r="H2986" s="2">
        <v>66.2</v>
      </c>
      <c r="I2986" s="2" t="s">
        <v>27</v>
      </c>
    </row>
    <row r="2987" ht="15.75" customHeight="1">
      <c r="A2987" s="2" t="s">
        <v>4625</v>
      </c>
      <c r="B2987" s="2" t="s">
        <v>4626</v>
      </c>
      <c r="C2987" s="2" t="s">
        <v>3659</v>
      </c>
      <c r="D2987" s="2" t="s">
        <v>792</v>
      </c>
      <c r="E2987" s="2" t="s">
        <v>793</v>
      </c>
      <c r="F2987" s="2">
        <v>636.0</v>
      </c>
      <c r="G2987" s="2">
        <v>5.53</v>
      </c>
      <c r="H2987" s="2">
        <v>115.0</v>
      </c>
      <c r="I2987" s="2" t="s">
        <v>27</v>
      </c>
    </row>
    <row r="2988" ht="15.75" customHeight="1">
      <c r="A2988" s="2" t="s">
        <v>4627</v>
      </c>
      <c r="B2988" s="2" t="s">
        <v>4628</v>
      </c>
      <c r="C2988" s="2" t="s">
        <v>3659</v>
      </c>
      <c r="D2988" s="2" t="s">
        <v>833</v>
      </c>
      <c r="E2988" s="2" t="s">
        <v>835</v>
      </c>
      <c r="F2988" s="2">
        <v>973.0</v>
      </c>
      <c r="G2988" s="2">
        <v>4.16</v>
      </c>
      <c r="H2988" s="2">
        <v>233.9</v>
      </c>
      <c r="I2988" s="2" t="s">
        <v>27</v>
      </c>
    </row>
    <row r="2989" ht="15.75" customHeight="1">
      <c r="A2989" s="2" t="s">
        <v>4629</v>
      </c>
      <c r="B2989" s="2" t="s">
        <v>4630</v>
      </c>
      <c r="C2989" s="2" t="s">
        <v>3659</v>
      </c>
      <c r="D2989" s="2" t="s">
        <v>833</v>
      </c>
      <c r="E2989" s="2" t="s">
        <v>835</v>
      </c>
      <c r="F2989" s="2">
        <v>3321.0</v>
      </c>
      <c r="G2989" s="2">
        <v>6.25</v>
      </c>
      <c r="H2989" s="2">
        <v>531.4</v>
      </c>
      <c r="I2989" s="2" t="s">
        <v>138</v>
      </c>
    </row>
    <row r="2990" ht="15.75" customHeight="1">
      <c r="A2990" s="2" t="s">
        <v>6721</v>
      </c>
      <c r="B2990" s="2" t="s">
        <v>6722</v>
      </c>
      <c r="C2990" s="2" t="s">
        <v>3659</v>
      </c>
      <c r="D2990" s="2" t="s">
        <v>997</v>
      </c>
      <c r="E2990" s="2" t="s">
        <v>999</v>
      </c>
      <c r="F2990" s="2">
        <v>425.0</v>
      </c>
      <c r="G2990" s="2">
        <v>4.28</v>
      </c>
      <c r="H2990" s="2">
        <v>99.3</v>
      </c>
      <c r="I2990" s="2" t="s">
        <v>47</v>
      </c>
    </row>
    <row r="2991" ht="15.75" customHeight="1">
      <c r="A2991" s="2" t="s">
        <v>6719</v>
      </c>
      <c r="B2991" s="2" t="s">
        <v>6720</v>
      </c>
      <c r="C2991" s="2" t="s">
        <v>3659</v>
      </c>
      <c r="D2991" s="2" t="s">
        <v>951</v>
      </c>
      <c r="E2991" s="2" t="s">
        <v>953</v>
      </c>
      <c r="F2991" s="2">
        <v>588.0</v>
      </c>
      <c r="G2991" s="2">
        <v>7.33</v>
      </c>
      <c r="H2991" s="2">
        <v>80.2</v>
      </c>
      <c r="I2991" s="2" t="s">
        <v>27</v>
      </c>
    </row>
    <row r="2992" ht="15.75" customHeight="1">
      <c r="A2992" s="2" t="s">
        <v>4631</v>
      </c>
      <c r="B2992" s="2" t="s">
        <v>4632</v>
      </c>
      <c r="C2992" s="2" t="s">
        <v>3659</v>
      </c>
      <c r="D2992" s="2" t="s">
        <v>833</v>
      </c>
      <c r="E2992" s="2" t="s">
        <v>835</v>
      </c>
      <c r="F2992" s="2">
        <v>592.0</v>
      </c>
      <c r="G2992" s="2">
        <v>3.91</v>
      </c>
      <c r="H2992" s="2">
        <v>151.4</v>
      </c>
      <c r="I2992" s="2" t="s">
        <v>27</v>
      </c>
    </row>
    <row r="2993" ht="15.75" customHeight="1">
      <c r="A2993" s="2" t="s">
        <v>4633</v>
      </c>
      <c r="B2993" s="2" t="s">
        <v>4634</v>
      </c>
      <c r="C2993" s="2" t="s">
        <v>3659</v>
      </c>
      <c r="D2993" s="2" t="s">
        <v>962</v>
      </c>
      <c r="E2993" s="2" t="s">
        <v>965</v>
      </c>
      <c r="F2993" s="2">
        <v>1084.0</v>
      </c>
      <c r="G2993" s="2">
        <v>7.21</v>
      </c>
      <c r="H2993" s="2">
        <v>150.3</v>
      </c>
      <c r="I2993" s="2" t="s">
        <v>27</v>
      </c>
    </row>
    <row r="2994" ht="15.75" customHeight="1">
      <c r="A2994" s="2" t="s">
        <v>4635</v>
      </c>
      <c r="B2994" s="2" t="s">
        <v>4636</v>
      </c>
      <c r="C2994" s="2" t="s">
        <v>3659</v>
      </c>
      <c r="D2994" s="2" t="s">
        <v>888</v>
      </c>
      <c r="E2994" s="2" t="s">
        <v>889</v>
      </c>
      <c r="F2994" s="2">
        <v>1820.0</v>
      </c>
      <c r="G2994" s="2">
        <v>16.46</v>
      </c>
      <c r="H2994" s="2">
        <v>110.6</v>
      </c>
      <c r="I2994" s="2" t="s">
        <v>27</v>
      </c>
    </row>
    <row r="2995" ht="15.75" customHeight="1">
      <c r="A2995" s="2" t="s">
        <v>6093</v>
      </c>
      <c r="B2995" s="2" t="s">
        <v>6094</v>
      </c>
      <c r="C2995" s="2" t="s">
        <v>3659</v>
      </c>
      <c r="D2995" s="2" t="s">
        <v>899</v>
      </c>
      <c r="E2995" s="2" t="s">
        <v>900</v>
      </c>
      <c r="F2995" s="2">
        <v>178.0</v>
      </c>
      <c r="G2995" s="2">
        <v>6.09</v>
      </c>
      <c r="H2995" s="2">
        <v>29.2</v>
      </c>
      <c r="I2995" s="2" t="s">
        <v>47</v>
      </c>
    </row>
    <row r="2996" ht="15.75" customHeight="1">
      <c r="A2996" s="2" t="s">
        <v>6095</v>
      </c>
      <c r="B2996" s="2" t="s">
        <v>6096</v>
      </c>
      <c r="C2996" s="2" t="s">
        <v>3659</v>
      </c>
      <c r="D2996" s="2" t="s">
        <v>1004</v>
      </c>
      <c r="E2996" s="2" t="s">
        <v>1006</v>
      </c>
      <c r="F2996" s="2">
        <v>124.0</v>
      </c>
      <c r="G2996" s="2">
        <v>2.22</v>
      </c>
      <c r="H2996" s="2">
        <v>55.9</v>
      </c>
      <c r="I2996" s="2" t="s">
        <v>47</v>
      </c>
    </row>
    <row r="2997" ht="15.75" customHeight="1">
      <c r="A2997" s="2" t="s">
        <v>4637</v>
      </c>
      <c r="B2997" s="2" t="s">
        <v>4638</v>
      </c>
      <c r="C2997" s="2" t="s">
        <v>3659</v>
      </c>
      <c r="D2997" s="2" t="s">
        <v>1038</v>
      </c>
      <c r="E2997" s="2" t="s">
        <v>1039</v>
      </c>
      <c r="F2997" s="2">
        <v>1706.0</v>
      </c>
      <c r="G2997" s="2">
        <v>9.45</v>
      </c>
      <c r="H2997" s="2">
        <v>180.5</v>
      </c>
      <c r="I2997" s="2" t="s">
        <v>27</v>
      </c>
    </row>
    <row r="2998" ht="15.75" customHeight="1">
      <c r="A2998" s="2" t="s">
        <v>4641</v>
      </c>
      <c r="B2998" s="2" t="s">
        <v>4642</v>
      </c>
      <c r="C2998" s="2" t="s">
        <v>3659</v>
      </c>
      <c r="D2998" s="2" t="s">
        <v>997</v>
      </c>
      <c r="E2998" s="2" t="s">
        <v>999</v>
      </c>
      <c r="F2998" s="2">
        <v>485.0</v>
      </c>
      <c r="G2998" s="2">
        <v>8.5</v>
      </c>
      <c r="H2998" s="2">
        <v>57.1</v>
      </c>
      <c r="I2998" s="2" t="s">
        <v>47</v>
      </c>
    </row>
    <row r="2999" ht="15.75" customHeight="1">
      <c r="A2999" s="2" t="s">
        <v>6097</v>
      </c>
      <c r="B2999" s="2" t="s">
        <v>6098</v>
      </c>
      <c r="C2999" s="2" t="s">
        <v>3659</v>
      </c>
      <c r="D2999" s="2" t="s">
        <v>809</v>
      </c>
      <c r="E2999" s="2" t="s">
        <v>811</v>
      </c>
      <c r="F2999" s="2">
        <v>682.0</v>
      </c>
      <c r="G2999" s="2">
        <v>9.15</v>
      </c>
      <c r="H2999" s="2">
        <v>74.5</v>
      </c>
      <c r="I2999" s="2" t="s">
        <v>27</v>
      </c>
    </row>
    <row r="3000" ht="15.75" customHeight="1">
      <c r="A3000" s="2" t="s">
        <v>6099</v>
      </c>
      <c r="B3000" s="2" t="s">
        <v>6100</v>
      </c>
      <c r="C3000" s="2" t="s">
        <v>3659</v>
      </c>
      <c r="D3000" s="2" t="s">
        <v>1082</v>
      </c>
      <c r="E3000" s="2" t="s">
        <v>1084</v>
      </c>
      <c r="F3000" s="2">
        <v>370.0</v>
      </c>
      <c r="G3000" s="2">
        <v>3.0</v>
      </c>
      <c r="H3000" s="2">
        <v>123.3</v>
      </c>
      <c r="I3000" s="2" t="s">
        <v>47</v>
      </c>
    </row>
    <row r="3001" ht="15.75" customHeight="1">
      <c r="A3001" s="2" t="s">
        <v>4645</v>
      </c>
      <c r="B3001" s="2" t="s">
        <v>4646</v>
      </c>
      <c r="C3001" s="2" t="s">
        <v>3659</v>
      </c>
      <c r="D3001" s="2" t="s">
        <v>807</v>
      </c>
      <c r="E3001" s="2" t="s">
        <v>808</v>
      </c>
      <c r="F3001" s="2">
        <v>2805.0</v>
      </c>
      <c r="G3001" s="2">
        <v>1.17</v>
      </c>
      <c r="H3001" s="2">
        <v>2397.4</v>
      </c>
      <c r="I3001" s="2" t="s">
        <v>138</v>
      </c>
    </row>
    <row r="3002" ht="15.75" customHeight="1">
      <c r="A3002" s="2" t="s">
        <v>4647</v>
      </c>
      <c r="B3002" s="2" t="s">
        <v>4648</v>
      </c>
      <c r="C3002" s="2" t="s">
        <v>3659</v>
      </c>
      <c r="D3002" s="2" t="s">
        <v>833</v>
      </c>
      <c r="E3002" s="2" t="s">
        <v>835</v>
      </c>
      <c r="F3002" s="2">
        <v>3737.0</v>
      </c>
      <c r="G3002" s="2">
        <v>25.69</v>
      </c>
      <c r="H3002" s="2">
        <v>145.5</v>
      </c>
      <c r="I3002" s="2" t="s">
        <v>138</v>
      </c>
    </row>
    <row r="3003" ht="15.75" customHeight="1">
      <c r="A3003" s="2" t="s">
        <v>4649</v>
      </c>
      <c r="B3003" s="2" t="s">
        <v>4650</v>
      </c>
      <c r="C3003" s="2" t="s">
        <v>3659</v>
      </c>
      <c r="D3003" s="2" t="s">
        <v>1038</v>
      </c>
      <c r="E3003" s="2" t="s">
        <v>1039</v>
      </c>
      <c r="F3003" s="2">
        <v>491.0</v>
      </c>
      <c r="G3003" s="2">
        <v>8.11</v>
      </c>
      <c r="H3003" s="2">
        <v>60.5</v>
      </c>
      <c r="I3003" s="2" t="s">
        <v>47</v>
      </c>
    </row>
    <row r="3004" ht="15.75" customHeight="1">
      <c r="A3004" s="2" t="s">
        <v>4651</v>
      </c>
      <c r="B3004" s="2" t="s">
        <v>4652</v>
      </c>
      <c r="C3004" s="2" t="s">
        <v>3659</v>
      </c>
      <c r="D3004" s="2" t="s">
        <v>823</v>
      </c>
      <c r="E3004" s="2" t="s">
        <v>824</v>
      </c>
      <c r="F3004" s="2">
        <v>2619.0</v>
      </c>
      <c r="G3004" s="2">
        <v>3.93</v>
      </c>
      <c r="H3004" s="2">
        <v>666.4</v>
      </c>
      <c r="I3004" s="2" t="s">
        <v>138</v>
      </c>
    </row>
    <row r="3005" ht="15.75" customHeight="1">
      <c r="A3005" s="2" t="s">
        <v>6105</v>
      </c>
      <c r="B3005" s="2" t="s">
        <v>6106</v>
      </c>
      <c r="C3005" s="2" t="s">
        <v>3659</v>
      </c>
      <c r="D3005" s="2" t="s">
        <v>1004</v>
      </c>
      <c r="E3005" s="2" t="s">
        <v>1006</v>
      </c>
      <c r="F3005" s="2">
        <v>71.0</v>
      </c>
      <c r="G3005" s="2">
        <v>4.27</v>
      </c>
      <c r="H3005" s="2">
        <v>16.6</v>
      </c>
      <c r="I3005" s="2" t="s">
        <v>47</v>
      </c>
    </row>
    <row r="3006" ht="15.75" customHeight="1">
      <c r="A3006" s="2" t="s">
        <v>6109</v>
      </c>
      <c r="B3006" s="2" t="s">
        <v>6110</v>
      </c>
      <c r="C3006" s="2" t="s">
        <v>3659</v>
      </c>
      <c r="D3006" s="2" t="s">
        <v>1004</v>
      </c>
      <c r="E3006" s="2" t="s">
        <v>1006</v>
      </c>
      <c r="F3006" s="2">
        <v>221.0</v>
      </c>
      <c r="G3006" s="2">
        <v>6.4</v>
      </c>
      <c r="H3006" s="2">
        <v>34.5</v>
      </c>
      <c r="I3006" s="2" t="s">
        <v>47</v>
      </c>
    </row>
    <row r="3007" ht="15.75" customHeight="1">
      <c r="A3007" s="2" t="s">
        <v>6127</v>
      </c>
      <c r="B3007" s="2" t="s">
        <v>6128</v>
      </c>
      <c r="C3007" s="2" t="s">
        <v>3659</v>
      </c>
      <c r="D3007" s="2" t="s">
        <v>1038</v>
      </c>
      <c r="E3007" s="2" t="s">
        <v>1039</v>
      </c>
      <c r="F3007" s="2">
        <v>476.0</v>
      </c>
      <c r="G3007" s="2">
        <v>5.21</v>
      </c>
      <c r="H3007" s="2">
        <v>91.4</v>
      </c>
      <c r="I3007" s="2" t="s">
        <v>47</v>
      </c>
    </row>
    <row r="3008" ht="15.75" customHeight="1">
      <c r="A3008" s="2" t="s">
        <v>4653</v>
      </c>
      <c r="B3008" s="2" t="s">
        <v>4654</v>
      </c>
      <c r="C3008" s="2" t="s">
        <v>3659</v>
      </c>
      <c r="D3008" s="2" t="s">
        <v>809</v>
      </c>
      <c r="E3008" s="2" t="s">
        <v>811</v>
      </c>
      <c r="F3008" s="2">
        <v>10710.0</v>
      </c>
      <c r="G3008" s="2">
        <v>12.53</v>
      </c>
      <c r="H3008" s="2">
        <v>854.7</v>
      </c>
      <c r="I3008" s="2" t="s">
        <v>805</v>
      </c>
    </row>
    <row r="3009" ht="15.75" customHeight="1">
      <c r="A3009" s="2" t="s">
        <v>6129</v>
      </c>
      <c r="B3009" s="2" t="s">
        <v>6130</v>
      </c>
      <c r="C3009" s="2" t="s">
        <v>3659</v>
      </c>
      <c r="D3009" s="2" t="s">
        <v>1038</v>
      </c>
      <c r="E3009" s="2" t="s">
        <v>1039</v>
      </c>
      <c r="F3009" s="2">
        <v>252.0</v>
      </c>
      <c r="G3009" s="2">
        <v>3.54</v>
      </c>
      <c r="H3009" s="2">
        <v>71.2</v>
      </c>
      <c r="I3009" s="2" t="s">
        <v>47</v>
      </c>
    </row>
    <row r="3010" ht="15.75" customHeight="1">
      <c r="A3010" s="2" t="s">
        <v>6131</v>
      </c>
      <c r="B3010" s="2" t="s">
        <v>6132</v>
      </c>
      <c r="C3010" s="2" t="s">
        <v>3659</v>
      </c>
      <c r="D3010" s="2" t="s">
        <v>1082</v>
      </c>
      <c r="E3010" s="2" t="s">
        <v>1084</v>
      </c>
      <c r="F3010" s="2">
        <v>327.0</v>
      </c>
      <c r="G3010" s="2">
        <v>2.25</v>
      </c>
      <c r="H3010" s="2">
        <v>145.3</v>
      </c>
      <c r="I3010" s="2" t="s">
        <v>47</v>
      </c>
    </row>
    <row r="3011" ht="15.75" customHeight="1">
      <c r="A3011" s="2" t="s">
        <v>4655</v>
      </c>
      <c r="B3011" s="2" t="s">
        <v>4656</v>
      </c>
      <c r="C3011" s="2" t="s">
        <v>3659</v>
      </c>
      <c r="D3011" s="2" t="s">
        <v>789</v>
      </c>
      <c r="E3011" s="2" t="s">
        <v>790</v>
      </c>
      <c r="F3011" s="2">
        <v>4628.0</v>
      </c>
      <c r="G3011" s="2">
        <v>4.56</v>
      </c>
      <c r="H3011" s="2">
        <v>1014.9</v>
      </c>
      <c r="I3011" s="2" t="s">
        <v>138</v>
      </c>
    </row>
    <row r="3012" ht="15.75" customHeight="1">
      <c r="A3012" s="2" t="s">
        <v>6453</v>
      </c>
      <c r="B3012" s="2" t="s">
        <v>6454</v>
      </c>
      <c r="C3012" s="2" t="s">
        <v>3659</v>
      </c>
      <c r="D3012" s="2" t="s">
        <v>1004</v>
      </c>
      <c r="E3012" s="2" t="s">
        <v>1006</v>
      </c>
      <c r="F3012" s="2">
        <v>251.0</v>
      </c>
      <c r="G3012" s="2">
        <v>8.77</v>
      </c>
      <c r="H3012" s="2">
        <v>28.6</v>
      </c>
      <c r="I3012" s="2" t="s">
        <v>47</v>
      </c>
    </row>
    <row r="3013" ht="15.75" customHeight="1">
      <c r="A3013" s="2" t="s">
        <v>4658</v>
      </c>
      <c r="B3013" s="2" t="s">
        <v>4660</v>
      </c>
      <c r="C3013" s="2" t="s">
        <v>4661</v>
      </c>
      <c r="D3013" s="2" t="s">
        <v>796</v>
      </c>
      <c r="E3013" s="2" t="s">
        <v>797</v>
      </c>
      <c r="F3013" s="2">
        <v>22395.0</v>
      </c>
      <c r="G3013" s="2">
        <v>26.24</v>
      </c>
      <c r="H3013" s="2">
        <v>853.5</v>
      </c>
      <c r="I3013" s="2" t="s">
        <v>805</v>
      </c>
    </row>
    <row r="3014" ht="15.75" customHeight="1">
      <c r="A3014" s="2" t="s">
        <v>6723</v>
      </c>
      <c r="B3014" s="2" t="s">
        <v>6724</v>
      </c>
      <c r="C3014" s="2" t="s">
        <v>4661</v>
      </c>
      <c r="D3014" s="2" t="s">
        <v>1071</v>
      </c>
      <c r="E3014" s="2" t="s">
        <v>1075</v>
      </c>
      <c r="F3014" s="2">
        <v>263.0</v>
      </c>
      <c r="G3014" s="2">
        <v>9.52</v>
      </c>
      <c r="H3014" s="2">
        <v>27.6</v>
      </c>
      <c r="I3014" s="2" t="s">
        <v>47</v>
      </c>
    </row>
    <row r="3015" ht="15.75" customHeight="1">
      <c r="A3015" s="2" t="s">
        <v>6725</v>
      </c>
      <c r="B3015" s="2" t="s">
        <v>6726</v>
      </c>
      <c r="C3015" s="2" t="s">
        <v>4661</v>
      </c>
      <c r="D3015" s="2" t="s">
        <v>980</v>
      </c>
      <c r="E3015" s="2" t="s">
        <v>981</v>
      </c>
      <c r="F3015" s="2">
        <v>590.0</v>
      </c>
      <c r="G3015" s="2">
        <v>7.18</v>
      </c>
      <c r="H3015" s="2">
        <v>82.2</v>
      </c>
      <c r="I3015" s="2" t="s">
        <v>27</v>
      </c>
    </row>
    <row r="3016" ht="15.75" customHeight="1">
      <c r="A3016" s="2" t="s">
        <v>6727</v>
      </c>
      <c r="B3016" s="2" t="s">
        <v>6728</v>
      </c>
      <c r="C3016" s="2" t="s">
        <v>4661</v>
      </c>
      <c r="D3016" s="2" t="s">
        <v>1022</v>
      </c>
      <c r="E3016" s="2" t="s">
        <v>1025</v>
      </c>
      <c r="F3016" s="2">
        <v>501.0</v>
      </c>
      <c r="G3016" s="2">
        <v>12.32</v>
      </c>
      <c r="H3016" s="2">
        <v>40.7</v>
      </c>
      <c r="I3016" s="2" t="s">
        <v>27</v>
      </c>
    </row>
    <row r="3017" ht="15.75" customHeight="1">
      <c r="A3017" s="2" t="s">
        <v>6729</v>
      </c>
      <c r="B3017" s="2" t="s">
        <v>6730</v>
      </c>
      <c r="C3017" s="2" t="s">
        <v>4661</v>
      </c>
      <c r="D3017" s="2" t="s">
        <v>1009</v>
      </c>
      <c r="E3017" s="2" t="s">
        <v>1010</v>
      </c>
      <c r="F3017" s="2">
        <v>83.0</v>
      </c>
      <c r="G3017" s="2">
        <v>3.3</v>
      </c>
      <c r="H3017" s="2">
        <v>25.2</v>
      </c>
      <c r="I3017" s="2" t="s">
        <v>47</v>
      </c>
    </row>
    <row r="3018" ht="15.75" customHeight="1">
      <c r="A3018" s="2" t="s">
        <v>6731</v>
      </c>
      <c r="B3018" s="2" t="s">
        <v>6732</v>
      </c>
      <c r="C3018" s="2" t="s">
        <v>4661</v>
      </c>
      <c r="D3018" s="2" t="s">
        <v>1051</v>
      </c>
      <c r="E3018" s="2" t="s">
        <v>1053</v>
      </c>
      <c r="F3018" s="2">
        <v>215.0</v>
      </c>
      <c r="G3018" s="2">
        <v>5.98</v>
      </c>
      <c r="H3018" s="2">
        <v>36.0</v>
      </c>
      <c r="I3018" s="2" t="s">
        <v>47</v>
      </c>
    </row>
    <row r="3019" ht="15.75" customHeight="1">
      <c r="A3019" s="2" t="s">
        <v>4662</v>
      </c>
      <c r="B3019" s="2" t="s">
        <v>4663</v>
      </c>
      <c r="C3019" s="2" t="s">
        <v>4661</v>
      </c>
      <c r="D3019" s="2" t="s">
        <v>1022</v>
      </c>
      <c r="E3019" s="2" t="s">
        <v>1025</v>
      </c>
      <c r="F3019" s="2">
        <v>904.0</v>
      </c>
      <c r="G3019" s="2">
        <v>10.78</v>
      </c>
      <c r="H3019" s="2">
        <v>83.9</v>
      </c>
      <c r="I3019" s="2" t="s">
        <v>27</v>
      </c>
    </row>
    <row r="3020" ht="15.75" customHeight="1">
      <c r="A3020" s="2" t="s">
        <v>4664</v>
      </c>
      <c r="B3020" s="2" t="s">
        <v>4665</v>
      </c>
      <c r="C3020" s="2" t="s">
        <v>4661</v>
      </c>
      <c r="D3020" s="2" t="s">
        <v>1051</v>
      </c>
      <c r="E3020" s="2" t="s">
        <v>1053</v>
      </c>
      <c r="F3020" s="2">
        <v>1024.0</v>
      </c>
      <c r="G3020" s="2">
        <v>10.86</v>
      </c>
      <c r="H3020" s="2">
        <v>94.3</v>
      </c>
      <c r="I3020" s="2" t="s">
        <v>27</v>
      </c>
    </row>
    <row r="3021" ht="15.75" customHeight="1">
      <c r="A3021" s="2" t="s">
        <v>4667</v>
      </c>
      <c r="B3021" s="2" t="s">
        <v>4669</v>
      </c>
      <c r="C3021" s="2" t="s">
        <v>4661</v>
      </c>
      <c r="D3021" s="2" t="s">
        <v>853</v>
      </c>
      <c r="E3021" s="2" t="s">
        <v>854</v>
      </c>
      <c r="F3021" s="2">
        <v>2648.0</v>
      </c>
      <c r="G3021" s="2">
        <v>25.37</v>
      </c>
      <c r="H3021" s="2">
        <v>104.4</v>
      </c>
      <c r="I3021" s="2" t="s">
        <v>138</v>
      </c>
    </row>
    <row r="3022" ht="15.75" customHeight="1">
      <c r="A3022" s="2" t="s">
        <v>4670</v>
      </c>
      <c r="B3022" s="2" t="s">
        <v>4671</v>
      </c>
      <c r="C3022" s="2" t="s">
        <v>4661</v>
      </c>
      <c r="D3022" s="2" t="s">
        <v>1035</v>
      </c>
      <c r="E3022" s="2" t="s">
        <v>1037</v>
      </c>
      <c r="F3022" s="2">
        <v>3003.0</v>
      </c>
      <c r="G3022" s="2">
        <v>15.1</v>
      </c>
      <c r="H3022" s="2">
        <v>198.9</v>
      </c>
      <c r="I3022" s="2" t="s">
        <v>138</v>
      </c>
    </row>
    <row r="3023" ht="15.75" customHeight="1">
      <c r="A3023" s="2" t="s">
        <v>4672</v>
      </c>
      <c r="B3023" s="2" t="s">
        <v>4673</v>
      </c>
      <c r="C3023" s="2" t="s">
        <v>4661</v>
      </c>
      <c r="D3023" s="2" t="s">
        <v>1066</v>
      </c>
      <c r="E3023" s="2" t="s">
        <v>1069</v>
      </c>
      <c r="F3023" s="2">
        <v>2204.0</v>
      </c>
      <c r="G3023" s="2">
        <v>24.83</v>
      </c>
      <c r="H3023" s="2">
        <v>88.8</v>
      </c>
      <c r="I3023" s="2" t="s">
        <v>138</v>
      </c>
    </row>
    <row r="3024" ht="15.75" customHeight="1">
      <c r="A3024" s="2" t="s">
        <v>6733</v>
      </c>
      <c r="B3024" s="2" t="s">
        <v>6734</v>
      </c>
      <c r="C3024" s="2" t="s">
        <v>4661</v>
      </c>
      <c r="D3024" s="2" t="s">
        <v>880</v>
      </c>
      <c r="E3024" s="2" t="s">
        <v>881</v>
      </c>
      <c r="F3024" s="2">
        <v>69.0</v>
      </c>
      <c r="G3024" s="2">
        <v>3.58</v>
      </c>
      <c r="H3024" s="2">
        <v>19.3</v>
      </c>
      <c r="I3024" s="2" t="s">
        <v>47</v>
      </c>
    </row>
    <row r="3025" ht="15.75" customHeight="1">
      <c r="A3025" s="2" t="s">
        <v>6735</v>
      </c>
      <c r="B3025" s="2" t="s">
        <v>6736</v>
      </c>
      <c r="C3025" s="2" t="s">
        <v>4661</v>
      </c>
      <c r="D3025" s="2" t="s">
        <v>880</v>
      </c>
      <c r="E3025" s="2" t="s">
        <v>881</v>
      </c>
      <c r="F3025" s="2">
        <v>66.0</v>
      </c>
      <c r="G3025" s="2">
        <v>3.68</v>
      </c>
      <c r="H3025" s="2">
        <v>17.9</v>
      </c>
      <c r="I3025" s="2" t="s">
        <v>47</v>
      </c>
    </row>
    <row r="3026" ht="15.75" customHeight="1">
      <c r="A3026" s="2" t="s">
        <v>4676</v>
      </c>
      <c r="B3026" s="2" t="s">
        <v>4677</v>
      </c>
      <c r="C3026" s="2" t="s">
        <v>4661</v>
      </c>
      <c r="D3026" s="2" t="s">
        <v>980</v>
      </c>
      <c r="E3026" s="2" t="s">
        <v>981</v>
      </c>
      <c r="F3026" s="2">
        <v>9521.0</v>
      </c>
      <c r="G3026" s="2">
        <v>13.85</v>
      </c>
      <c r="H3026" s="2">
        <v>687.4</v>
      </c>
      <c r="I3026" s="2" t="s">
        <v>138</v>
      </c>
    </row>
    <row r="3027" ht="15.75" customHeight="1">
      <c r="A3027" s="2" t="s">
        <v>6737</v>
      </c>
      <c r="B3027" s="2" t="s">
        <v>6738</v>
      </c>
      <c r="C3027" s="2" t="s">
        <v>4661</v>
      </c>
      <c r="D3027" s="2" t="s">
        <v>880</v>
      </c>
      <c r="E3027" s="2" t="s">
        <v>881</v>
      </c>
      <c r="F3027" s="2">
        <v>419.0</v>
      </c>
      <c r="G3027" s="2">
        <v>8.4</v>
      </c>
      <c r="H3027" s="2">
        <v>49.9</v>
      </c>
      <c r="I3027" s="2" t="s">
        <v>47</v>
      </c>
    </row>
    <row r="3028" ht="15.75" customHeight="1">
      <c r="A3028" s="2" t="s">
        <v>6739</v>
      </c>
      <c r="B3028" s="2" t="s">
        <v>6740</v>
      </c>
      <c r="C3028" s="2" t="s">
        <v>4661</v>
      </c>
      <c r="D3028" s="2" t="s">
        <v>936</v>
      </c>
      <c r="E3028" s="2" t="s">
        <v>937</v>
      </c>
      <c r="F3028" s="2">
        <v>253.0</v>
      </c>
      <c r="G3028" s="2">
        <v>2.2</v>
      </c>
      <c r="H3028" s="2">
        <v>115.0</v>
      </c>
      <c r="I3028" s="2" t="s">
        <v>47</v>
      </c>
    </row>
    <row r="3029" ht="15.75" customHeight="1">
      <c r="A3029" s="2" t="s">
        <v>4678</v>
      </c>
      <c r="B3029" s="2" t="s">
        <v>4679</v>
      </c>
      <c r="C3029" s="2" t="s">
        <v>4661</v>
      </c>
      <c r="D3029" s="2" t="s">
        <v>1066</v>
      </c>
      <c r="E3029" s="2" t="s">
        <v>1069</v>
      </c>
      <c r="F3029" s="2">
        <v>843.0</v>
      </c>
      <c r="G3029" s="2">
        <v>13.07</v>
      </c>
      <c r="H3029" s="2">
        <v>64.5</v>
      </c>
      <c r="I3029" s="2" t="s">
        <v>27</v>
      </c>
    </row>
    <row r="3030" ht="15.75" customHeight="1">
      <c r="A3030" s="2" t="s">
        <v>6741</v>
      </c>
      <c r="B3030" s="2" t="s">
        <v>6742</v>
      </c>
      <c r="C3030" s="2" t="s">
        <v>4661</v>
      </c>
      <c r="D3030" s="2" t="s">
        <v>774</v>
      </c>
      <c r="E3030" s="2" t="s">
        <v>775</v>
      </c>
      <c r="F3030" s="2">
        <v>778.0</v>
      </c>
      <c r="G3030" s="2">
        <v>10.57</v>
      </c>
      <c r="H3030" s="2">
        <v>73.6</v>
      </c>
      <c r="I3030" s="2" t="s">
        <v>27</v>
      </c>
    </row>
    <row r="3031" ht="15.75" customHeight="1">
      <c r="A3031" s="2" t="s">
        <v>4680</v>
      </c>
      <c r="B3031" s="2" t="s">
        <v>4681</v>
      </c>
      <c r="C3031" s="2" t="s">
        <v>4661</v>
      </c>
      <c r="D3031" s="2" t="s">
        <v>774</v>
      </c>
      <c r="E3031" s="2" t="s">
        <v>775</v>
      </c>
      <c r="F3031" s="2">
        <v>136449.0</v>
      </c>
      <c r="G3031" s="2">
        <v>50.4</v>
      </c>
      <c r="H3031" s="2">
        <v>2707.3</v>
      </c>
      <c r="I3031" s="2" t="s">
        <v>3730</v>
      </c>
    </row>
    <row r="3032" ht="15.75" customHeight="1">
      <c r="A3032" s="2" t="s">
        <v>6743</v>
      </c>
      <c r="B3032" s="2" t="s">
        <v>6744</v>
      </c>
      <c r="C3032" s="2" t="s">
        <v>4661</v>
      </c>
      <c r="D3032" s="2" t="s">
        <v>1066</v>
      </c>
      <c r="E3032" s="2" t="s">
        <v>1069</v>
      </c>
      <c r="F3032" s="2">
        <v>233.0</v>
      </c>
      <c r="G3032" s="2">
        <v>8.43</v>
      </c>
      <c r="H3032" s="2">
        <v>27.6</v>
      </c>
      <c r="I3032" s="2" t="s">
        <v>47</v>
      </c>
    </row>
    <row r="3033" ht="15.75" customHeight="1">
      <c r="A3033" s="2" t="s">
        <v>6745</v>
      </c>
      <c r="B3033" s="2" t="s">
        <v>6746</v>
      </c>
      <c r="C3033" s="2" t="s">
        <v>4661</v>
      </c>
      <c r="D3033" s="2" t="s">
        <v>948</v>
      </c>
      <c r="E3033" s="2" t="s">
        <v>950</v>
      </c>
      <c r="F3033" s="2">
        <v>282.0</v>
      </c>
      <c r="G3033" s="2">
        <v>7.82</v>
      </c>
      <c r="H3033" s="2">
        <v>36.1</v>
      </c>
      <c r="I3033" s="2" t="s">
        <v>47</v>
      </c>
    </row>
    <row r="3034" ht="15.75" customHeight="1">
      <c r="A3034" s="2" t="s">
        <v>4682</v>
      </c>
      <c r="B3034" s="2" t="s">
        <v>4683</v>
      </c>
      <c r="C3034" s="2" t="s">
        <v>4661</v>
      </c>
      <c r="D3034" s="2" t="s">
        <v>1051</v>
      </c>
      <c r="E3034" s="2" t="s">
        <v>1053</v>
      </c>
      <c r="F3034" s="2">
        <v>322.0</v>
      </c>
      <c r="G3034" s="2">
        <v>9.48</v>
      </c>
      <c r="H3034" s="2">
        <v>34.0</v>
      </c>
      <c r="I3034" s="2" t="s">
        <v>47</v>
      </c>
    </row>
    <row r="3035" ht="15.75" customHeight="1">
      <c r="A3035" s="2" t="s">
        <v>6749</v>
      </c>
      <c r="B3035" s="2" t="s">
        <v>6750</v>
      </c>
      <c r="C3035" s="2" t="s">
        <v>4661</v>
      </c>
      <c r="D3035" s="2" t="s">
        <v>1066</v>
      </c>
      <c r="E3035" s="2" t="s">
        <v>1069</v>
      </c>
      <c r="F3035" s="2">
        <v>31.0</v>
      </c>
      <c r="G3035" s="2">
        <v>2.55</v>
      </c>
      <c r="H3035" s="2">
        <v>12.2</v>
      </c>
      <c r="I3035" s="2" t="s">
        <v>47</v>
      </c>
    </row>
    <row r="3036" ht="15.75" customHeight="1">
      <c r="A3036" s="2" t="s">
        <v>6747</v>
      </c>
      <c r="B3036" s="2" t="s">
        <v>6748</v>
      </c>
      <c r="C3036" s="2" t="s">
        <v>4661</v>
      </c>
      <c r="D3036" s="2" t="s">
        <v>1035</v>
      </c>
      <c r="E3036" s="2" t="s">
        <v>1037</v>
      </c>
      <c r="F3036" s="2">
        <v>543.0</v>
      </c>
      <c r="G3036" s="2">
        <v>10.27</v>
      </c>
      <c r="H3036" s="2">
        <v>52.9</v>
      </c>
      <c r="I3036" s="2" t="s">
        <v>27</v>
      </c>
    </row>
    <row r="3037" ht="15.75" customHeight="1">
      <c r="A3037" s="2" t="s">
        <v>6751</v>
      </c>
      <c r="B3037" s="2" t="s">
        <v>4774</v>
      </c>
      <c r="C3037" s="2" t="s">
        <v>4661</v>
      </c>
      <c r="D3037" s="2" t="s">
        <v>948</v>
      </c>
      <c r="E3037" s="2" t="s">
        <v>950</v>
      </c>
      <c r="F3037" s="2">
        <v>33.0</v>
      </c>
      <c r="G3037" s="2">
        <v>2.17</v>
      </c>
      <c r="H3037" s="2">
        <v>15.2</v>
      </c>
      <c r="I3037" s="2" t="s">
        <v>47</v>
      </c>
    </row>
    <row r="3038" ht="15.75" customHeight="1">
      <c r="A3038" s="2" t="s">
        <v>6752</v>
      </c>
      <c r="B3038" s="2" t="s">
        <v>6753</v>
      </c>
      <c r="C3038" s="2" t="s">
        <v>4661</v>
      </c>
      <c r="D3038" s="2" t="s">
        <v>980</v>
      </c>
      <c r="E3038" s="2" t="s">
        <v>981</v>
      </c>
      <c r="F3038" s="2">
        <v>152.0</v>
      </c>
      <c r="G3038" s="2">
        <v>7.7</v>
      </c>
      <c r="H3038" s="2">
        <v>19.7</v>
      </c>
      <c r="I3038" s="2" t="s">
        <v>47</v>
      </c>
    </row>
    <row r="3039" ht="15.75" customHeight="1">
      <c r="A3039" s="2" t="s">
        <v>4684</v>
      </c>
      <c r="B3039" s="2" t="s">
        <v>4685</v>
      </c>
      <c r="C3039" s="2" t="s">
        <v>4661</v>
      </c>
      <c r="D3039" s="2" t="s">
        <v>796</v>
      </c>
      <c r="E3039" s="2" t="s">
        <v>797</v>
      </c>
      <c r="F3039" s="2">
        <v>820.0</v>
      </c>
      <c r="G3039" s="2">
        <v>11.13</v>
      </c>
      <c r="H3039" s="2">
        <v>73.7</v>
      </c>
      <c r="I3039" s="2" t="s">
        <v>27</v>
      </c>
    </row>
    <row r="3040" ht="15.75" customHeight="1">
      <c r="A3040" s="2" t="s">
        <v>6754</v>
      </c>
      <c r="B3040" s="2" t="s">
        <v>6755</v>
      </c>
      <c r="C3040" s="2" t="s">
        <v>4661</v>
      </c>
      <c r="D3040" s="2" t="s">
        <v>1051</v>
      </c>
      <c r="E3040" s="2" t="s">
        <v>1053</v>
      </c>
      <c r="F3040" s="2">
        <v>212.0</v>
      </c>
      <c r="G3040" s="2">
        <v>7.41</v>
      </c>
      <c r="H3040" s="2">
        <v>28.6</v>
      </c>
      <c r="I3040" s="2" t="s">
        <v>47</v>
      </c>
    </row>
    <row r="3041" ht="15.75" customHeight="1">
      <c r="A3041" s="2" t="s">
        <v>4686</v>
      </c>
      <c r="B3041" s="2" t="s">
        <v>4687</v>
      </c>
      <c r="C3041" s="2" t="s">
        <v>4661</v>
      </c>
      <c r="D3041" s="2" t="s">
        <v>853</v>
      </c>
      <c r="E3041" s="2" t="s">
        <v>854</v>
      </c>
      <c r="F3041" s="2">
        <v>759.0</v>
      </c>
      <c r="G3041" s="2">
        <v>12.77</v>
      </c>
      <c r="H3041" s="2">
        <v>59.4</v>
      </c>
      <c r="I3041" s="2" t="s">
        <v>27</v>
      </c>
    </row>
    <row r="3042" ht="15.75" customHeight="1">
      <c r="A3042" s="2" t="s">
        <v>6756</v>
      </c>
      <c r="B3042" s="2" t="s">
        <v>6757</v>
      </c>
      <c r="C3042" s="2" t="s">
        <v>4661</v>
      </c>
      <c r="D3042" s="2" t="s">
        <v>948</v>
      </c>
      <c r="E3042" s="2" t="s">
        <v>950</v>
      </c>
      <c r="F3042" s="2">
        <v>136.0</v>
      </c>
      <c r="G3042" s="2">
        <v>7.31</v>
      </c>
      <c r="H3042" s="2">
        <v>18.6</v>
      </c>
      <c r="I3042" s="2" t="s">
        <v>47</v>
      </c>
    </row>
    <row r="3043" ht="15.75" customHeight="1">
      <c r="A3043" s="2" t="s">
        <v>6758</v>
      </c>
      <c r="B3043" s="2" t="s">
        <v>6759</v>
      </c>
      <c r="C3043" s="2" t="s">
        <v>4661</v>
      </c>
      <c r="D3043" s="2" t="s">
        <v>1071</v>
      </c>
      <c r="E3043" s="2" t="s">
        <v>1075</v>
      </c>
      <c r="F3043" s="2">
        <v>311.0</v>
      </c>
      <c r="G3043" s="2">
        <v>5.52</v>
      </c>
      <c r="H3043" s="2">
        <v>56.3</v>
      </c>
      <c r="I3043" s="2" t="s">
        <v>47</v>
      </c>
    </row>
    <row r="3044" ht="15.75" customHeight="1">
      <c r="A3044" s="2" t="s">
        <v>4690</v>
      </c>
      <c r="B3044" s="2" t="s">
        <v>3723</v>
      </c>
      <c r="C3044" s="2" t="s">
        <v>4661</v>
      </c>
      <c r="D3044" s="2" t="s">
        <v>869</v>
      </c>
      <c r="E3044" s="2" t="s">
        <v>870</v>
      </c>
      <c r="F3044" s="2">
        <v>614.0</v>
      </c>
      <c r="G3044" s="2">
        <v>10.81</v>
      </c>
      <c r="H3044" s="2">
        <v>56.8</v>
      </c>
      <c r="I3044" s="2" t="s">
        <v>27</v>
      </c>
    </row>
    <row r="3045" ht="15.75" customHeight="1">
      <c r="A3045" s="2" t="s">
        <v>6760</v>
      </c>
      <c r="B3045" s="2" t="s">
        <v>6761</v>
      </c>
      <c r="C3045" s="2" t="s">
        <v>4661</v>
      </c>
      <c r="D3045" s="2" t="s">
        <v>853</v>
      </c>
      <c r="E3045" s="2" t="s">
        <v>854</v>
      </c>
      <c r="F3045" s="2">
        <v>69.0</v>
      </c>
      <c r="G3045" s="2">
        <v>3.85</v>
      </c>
      <c r="H3045" s="2">
        <v>17.9</v>
      </c>
      <c r="I3045" s="2" t="s">
        <v>47</v>
      </c>
    </row>
    <row r="3046" ht="15.75" customHeight="1">
      <c r="A3046" s="2" t="s">
        <v>4691</v>
      </c>
      <c r="B3046" s="2" t="s">
        <v>4692</v>
      </c>
      <c r="C3046" s="2" t="s">
        <v>4661</v>
      </c>
      <c r="D3046" s="2" t="s">
        <v>1016</v>
      </c>
      <c r="E3046" s="2" t="s">
        <v>1017</v>
      </c>
      <c r="F3046" s="2">
        <v>502.0</v>
      </c>
      <c r="G3046" s="2">
        <v>9.69</v>
      </c>
      <c r="H3046" s="2">
        <v>51.8</v>
      </c>
      <c r="I3046" s="2" t="s">
        <v>27</v>
      </c>
    </row>
    <row r="3047" ht="15.75" customHeight="1">
      <c r="A3047" s="2" t="s">
        <v>6762</v>
      </c>
      <c r="B3047" s="2" t="s">
        <v>6763</v>
      </c>
      <c r="C3047" s="2" t="s">
        <v>4661</v>
      </c>
      <c r="D3047" s="2" t="s">
        <v>853</v>
      </c>
      <c r="E3047" s="2" t="s">
        <v>854</v>
      </c>
      <c r="F3047" s="2">
        <v>170.0</v>
      </c>
      <c r="G3047" s="2">
        <v>4.89</v>
      </c>
      <c r="H3047" s="2">
        <v>34.8</v>
      </c>
      <c r="I3047" s="2" t="s">
        <v>47</v>
      </c>
    </row>
    <row r="3048" ht="15.75" customHeight="1">
      <c r="A3048" s="2" t="s">
        <v>6764</v>
      </c>
      <c r="B3048" s="2" t="s">
        <v>6765</v>
      </c>
      <c r="C3048" s="2" t="s">
        <v>4661</v>
      </c>
      <c r="D3048" s="2" t="s">
        <v>980</v>
      </c>
      <c r="E3048" s="2" t="s">
        <v>981</v>
      </c>
      <c r="F3048" s="2">
        <v>125.0</v>
      </c>
      <c r="G3048" s="2">
        <v>5.73</v>
      </c>
      <c r="H3048" s="2">
        <v>21.8</v>
      </c>
      <c r="I3048" s="2" t="s">
        <v>47</v>
      </c>
    </row>
    <row r="3049" ht="15.75" customHeight="1">
      <c r="A3049" s="2" t="s">
        <v>4693</v>
      </c>
      <c r="B3049" s="2" t="s">
        <v>4694</v>
      </c>
      <c r="C3049" s="2" t="s">
        <v>4661</v>
      </c>
      <c r="D3049" s="2" t="s">
        <v>936</v>
      </c>
      <c r="E3049" s="2" t="s">
        <v>937</v>
      </c>
      <c r="F3049" s="2">
        <v>1346.0</v>
      </c>
      <c r="G3049" s="2">
        <v>5.97</v>
      </c>
      <c r="H3049" s="2">
        <v>225.5</v>
      </c>
      <c r="I3049" s="2" t="s">
        <v>27</v>
      </c>
    </row>
    <row r="3050" ht="15.75" customHeight="1">
      <c r="A3050" s="2" t="s">
        <v>6768</v>
      </c>
      <c r="B3050" s="2" t="s">
        <v>6769</v>
      </c>
      <c r="C3050" s="2" t="s">
        <v>4661</v>
      </c>
      <c r="D3050" s="2" t="s">
        <v>1066</v>
      </c>
      <c r="E3050" s="2" t="s">
        <v>1069</v>
      </c>
      <c r="F3050" s="2">
        <v>119.0</v>
      </c>
      <c r="G3050" s="2">
        <v>3.32</v>
      </c>
      <c r="H3050" s="2">
        <v>35.8</v>
      </c>
      <c r="I3050" s="2" t="s">
        <v>47</v>
      </c>
    </row>
    <row r="3051" ht="15.75" customHeight="1">
      <c r="A3051" s="2" t="s">
        <v>6766</v>
      </c>
      <c r="B3051" s="2" t="s">
        <v>6767</v>
      </c>
      <c r="C3051" s="2" t="s">
        <v>4661</v>
      </c>
      <c r="D3051" s="2" t="s">
        <v>1066</v>
      </c>
      <c r="E3051" s="2" t="s">
        <v>1069</v>
      </c>
      <c r="F3051" s="2">
        <v>170.0</v>
      </c>
      <c r="G3051" s="2">
        <v>5.57</v>
      </c>
      <c r="H3051" s="2">
        <v>30.5</v>
      </c>
      <c r="I3051" s="2" t="s">
        <v>47</v>
      </c>
    </row>
    <row r="3052" ht="15.75" customHeight="1">
      <c r="A3052" s="2" t="s">
        <v>6770</v>
      </c>
      <c r="B3052" s="2" t="s">
        <v>6771</v>
      </c>
      <c r="C3052" s="2" t="s">
        <v>4661</v>
      </c>
      <c r="D3052" s="2" t="s">
        <v>1009</v>
      </c>
      <c r="E3052" s="2" t="s">
        <v>1010</v>
      </c>
      <c r="F3052" s="2">
        <v>120.0</v>
      </c>
      <c r="G3052" s="2">
        <v>8.27</v>
      </c>
      <c r="H3052" s="2">
        <v>14.5</v>
      </c>
      <c r="I3052" s="2" t="s">
        <v>47</v>
      </c>
    </row>
    <row r="3053" ht="15.75" customHeight="1">
      <c r="A3053" s="2" t="s">
        <v>6772</v>
      </c>
      <c r="B3053" s="2" t="s">
        <v>6773</v>
      </c>
      <c r="C3053" s="2" t="s">
        <v>4661</v>
      </c>
      <c r="D3053" s="2" t="s">
        <v>980</v>
      </c>
      <c r="E3053" s="2" t="s">
        <v>981</v>
      </c>
      <c r="F3053" s="2">
        <v>246.0</v>
      </c>
      <c r="G3053" s="2">
        <v>10.02</v>
      </c>
      <c r="H3053" s="2">
        <v>24.6</v>
      </c>
      <c r="I3053" s="2" t="s">
        <v>47</v>
      </c>
    </row>
    <row r="3054" ht="15.75" customHeight="1">
      <c r="A3054" s="2" t="s">
        <v>6774</v>
      </c>
      <c r="B3054" s="2" t="s">
        <v>6775</v>
      </c>
      <c r="C3054" s="2" t="s">
        <v>4661</v>
      </c>
      <c r="D3054" s="2" t="s">
        <v>1009</v>
      </c>
      <c r="E3054" s="2" t="s">
        <v>1010</v>
      </c>
      <c r="F3054" s="2">
        <v>393.0</v>
      </c>
      <c r="G3054" s="2">
        <v>4.59</v>
      </c>
      <c r="H3054" s="2">
        <v>85.6</v>
      </c>
      <c r="I3054" s="2" t="s">
        <v>47</v>
      </c>
    </row>
    <row r="3055" ht="15.75" customHeight="1">
      <c r="A3055" s="2" t="s">
        <v>6776</v>
      </c>
      <c r="B3055" s="2" t="s">
        <v>6777</v>
      </c>
      <c r="C3055" s="2" t="s">
        <v>4661</v>
      </c>
      <c r="D3055" s="2" t="s">
        <v>980</v>
      </c>
      <c r="E3055" s="2" t="s">
        <v>981</v>
      </c>
      <c r="F3055" s="2">
        <v>154.0</v>
      </c>
      <c r="G3055" s="2">
        <v>3.57</v>
      </c>
      <c r="H3055" s="2">
        <v>43.1</v>
      </c>
      <c r="I3055" s="2" t="s">
        <v>47</v>
      </c>
    </row>
    <row r="3056" ht="15.75" customHeight="1">
      <c r="A3056" s="2" t="s">
        <v>6778</v>
      </c>
      <c r="B3056" s="2" t="s">
        <v>6779</v>
      </c>
      <c r="C3056" s="2" t="s">
        <v>4661</v>
      </c>
      <c r="D3056" s="2" t="s">
        <v>1066</v>
      </c>
      <c r="E3056" s="2" t="s">
        <v>1069</v>
      </c>
      <c r="F3056" s="2">
        <v>48.0</v>
      </c>
      <c r="G3056" s="2">
        <v>4.91</v>
      </c>
      <c r="H3056" s="2">
        <v>9.8</v>
      </c>
      <c r="I3056" s="2" t="s">
        <v>47</v>
      </c>
    </row>
    <row r="3057" ht="15.75" customHeight="1">
      <c r="A3057" s="2" t="s">
        <v>6780</v>
      </c>
      <c r="B3057" s="2" t="s">
        <v>6781</v>
      </c>
      <c r="C3057" s="2" t="s">
        <v>4661</v>
      </c>
      <c r="D3057" s="2" t="s">
        <v>980</v>
      </c>
      <c r="E3057" s="2" t="s">
        <v>981</v>
      </c>
      <c r="F3057" s="2">
        <v>540.0</v>
      </c>
      <c r="G3057" s="2">
        <v>6.72</v>
      </c>
      <c r="H3057" s="2">
        <v>80.4</v>
      </c>
      <c r="I3057" s="2" t="s">
        <v>27</v>
      </c>
    </row>
    <row r="3058" ht="15.75" customHeight="1">
      <c r="A3058" s="2" t="s">
        <v>6782</v>
      </c>
      <c r="B3058" s="2" t="s">
        <v>6783</v>
      </c>
      <c r="C3058" s="2" t="s">
        <v>4661</v>
      </c>
      <c r="D3058" s="2" t="s">
        <v>1066</v>
      </c>
      <c r="E3058" s="2" t="s">
        <v>1069</v>
      </c>
      <c r="F3058" s="2">
        <v>63.0</v>
      </c>
      <c r="G3058" s="2">
        <v>6.14</v>
      </c>
      <c r="H3058" s="2">
        <v>10.3</v>
      </c>
      <c r="I3058" s="2" t="s">
        <v>47</v>
      </c>
    </row>
    <row r="3059" ht="15.75" customHeight="1">
      <c r="A3059" s="2" t="s">
        <v>6784</v>
      </c>
      <c r="B3059" s="2" t="s">
        <v>6785</v>
      </c>
      <c r="C3059" s="2" t="s">
        <v>4661</v>
      </c>
      <c r="D3059" s="2" t="s">
        <v>948</v>
      </c>
      <c r="E3059" s="2" t="s">
        <v>950</v>
      </c>
      <c r="F3059" s="2">
        <v>152.0</v>
      </c>
      <c r="G3059" s="2">
        <v>4.67</v>
      </c>
      <c r="H3059" s="2">
        <v>32.5</v>
      </c>
      <c r="I3059" s="2" t="s">
        <v>47</v>
      </c>
    </row>
    <row r="3060" ht="15.75" customHeight="1">
      <c r="A3060" s="2" t="s">
        <v>6786</v>
      </c>
      <c r="B3060" s="2" t="s">
        <v>6787</v>
      </c>
      <c r="C3060" s="2" t="s">
        <v>4661</v>
      </c>
      <c r="D3060" s="2" t="s">
        <v>1066</v>
      </c>
      <c r="E3060" s="2" t="s">
        <v>1069</v>
      </c>
      <c r="F3060" s="2">
        <v>461.0</v>
      </c>
      <c r="G3060" s="2">
        <v>6.31</v>
      </c>
      <c r="H3060" s="2">
        <v>73.1</v>
      </c>
      <c r="I3060" s="2" t="s">
        <v>47</v>
      </c>
    </row>
    <row r="3061" ht="15.75" customHeight="1">
      <c r="A3061" s="2" t="s">
        <v>6788</v>
      </c>
      <c r="B3061" s="2" t="s">
        <v>1137</v>
      </c>
      <c r="C3061" s="2" t="s">
        <v>4661</v>
      </c>
      <c r="D3061" s="2" t="s">
        <v>796</v>
      </c>
      <c r="E3061" s="2" t="s">
        <v>797</v>
      </c>
      <c r="F3061" s="2">
        <v>253.0</v>
      </c>
      <c r="G3061" s="2">
        <v>14.05</v>
      </c>
      <c r="H3061" s="2">
        <v>18.0</v>
      </c>
      <c r="I3061" s="2" t="s">
        <v>47</v>
      </c>
    </row>
    <row r="3062" ht="15.75" customHeight="1">
      <c r="A3062" s="2" t="s">
        <v>6789</v>
      </c>
      <c r="B3062" s="2" t="s">
        <v>6790</v>
      </c>
      <c r="C3062" s="2" t="s">
        <v>4661</v>
      </c>
      <c r="D3062" s="2" t="s">
        <v>1016</v>
      </c>
      <c r="E3062" s="2" t="s">
        <v>1017</v>
      </c>
      <c r="F3062" s="2">
        <v>243.0</v>
      </c>
      <c r="G3062" s="2">
        <v>5.12</v>
      </c>
      <c r="H3062" s="2">
        <v>47.5</v>
      </c>
      <c r="I3062" s="2" t="s">
        <v>47</v>
      </c>
    </row>
    <row r="3063" ht="15.75" customHeight="1">
      <c r="A3063" s="2" t="s">
        <v>6791</v>
      </c>
      <c r="B3063" s="2" t="s">
        <v>6792</v>
      </c>
      <c r="C3063" s="2" t="s">
        <v>4661</v>
      </c>
      <c r="D3063" s="2" t="s">
        <v>948</v>
      </c>
      <c r="E3063" s="2" t="s">
        <v>950</v>
      </c>
      <c r="F3063" s="2">
        <v>78.0</v>
      </c>
      <c r="G3063" s="2">
        <v>3.31</v>
      </c>
      <c r="H3063" s="2">
        <v>23.6</v>
      </c>
      <c r="I3063" s="2" t="s">
        <v>47</v>
      </c>
    </row>
    <row r="3064" ht="15.75" customHeight="1">
      <c r="A3064" s="2" t="s">
        <v>6793</v>
      </c>
      <c r="B3064" s="2" t="s">
        <v>6794</v>
      </c>
      <c r="C3064" s="2" t="s">
        <v>4661</v>
      </c>
      <c r="D3064" s="2" t="s">
        <v>880</v>
      </c>
      <c r="E3064" s="2" t="s">
        <v>881</v>
      </c>
      <c r="F3064" s="2">
        <v>233.0</v>
      </c>
      <c r="G3064" s="2">
        <v>7.54</v>
      </c>
      <c r="H3064" s="2">
        <v>30.9</v>
      </c>
      <c r="I3064" s="2" t="s">
        <v>47</v>
      </c>
    </row>
    <row r="3065" ht="15.75" customHeight="1">
      <c r="A3065" s="2" t="s">
        <v>6795</v>
      </c>
      <c r="B3065" s="2" t="s">
        <v>5904</v>
      </c>
      <c r="C3065" s="2" t="s">
        <v>4661</v>
      </c>
      <c r="D3065" s="2" t="s">
        <v>1009</v>
      </c>
      <c r="E3065" s="2" t="s">
        <v>1010</v>
      </c>
      <c r="F3065" s="2">
        <v>161.0</v>
      </c>
      <c r="G3065" s="2">
        <v>11.66</v>
      </c>
      <c r="H3065" s="2">
        <v>13.8</v>
      </c>
      <c r="I3065" s="2" t="s">
        <v>47</v>
      </c>
    </row>
    <row r="3066" ht="15.75" customHeight="1">
      <c r="A3066" s="2" t="s">
        <v>6796</v>
      </c>
      <c r="B3066" s="2" t="s">
        <v>6797</v>
      </c>
      <c r="C3066" s="2" t="s">
        <v>4661</v>
      </c>
      <c r="D3066" s="2" t="s">
        <v>1009</v>
      </c>
      <c r="E3066" s="2" t="s">
        <v>1010</v>
      </c>
      <c r="F3066" s="2">
        <v>104.0</v>
      </c>
      <c r="G3066" s="2">
        <v>7.72</v>
      </c>
      <c r="H3066" s="2">
        <v>13.5</v>
      </c>
      <c r="I3066" s="2" t="s">
        <v>47</v>
      </c>
    </row>
    <row r="3067" ht="15.75" customHeight="1">
      <c r="A3067" s="2" t="s">
        <v>6798</v>
      </c>
      <c r="B3067" s="2" t="s">
        <v>6799</v>
      </c>
      <c r="C3067" s="2" t="s">
        <v>4661</v>
      </c>
      <c r="D3067" s="2" t="s">
        <v>980</v>
      </c>
      <c r="E3067" s="2" t="s">
        <v>981</v>
      </c>
      <c r="F3067" s="2">
        <v>70.0</v>
      </c>
      <c r="G3067" s="2">
        <v>1.86</v>
      </c>
      <c r="H3067" s="2">
        <v>37.6</v>
      </c>
      <c r="I3067" s="2" t="s">
        <v>47</v>
      </c>
    </row>
    <row r="3068" ht="15.75" customHeight="1">
      <c r="A3068" s="2" t="s">
        <v>6800</v>
      </c>
      <c r="B3068" s="2" t="s">
        <v>6801</v>
      </c>
      <c r="C3068" s="2" t="s">
        <v>4661</v>
      </c>
      <c r="D3068" s="2" t="s">
        <v>1071</v>
      </c>
      <c r="E3068" s="2" t="s">
        <v>1075</v>
      </c>
      <c r="F3068" s="2">
        <v>340.0</v>
      </c>
      <c r="G3068" s="2">
        <v>8.13</v>
      </c>
      <c r="H3068" s="2">
        <v>41.8</v>
      </c>
      <c r="I3068" s="2" t="s">
        <v>47</v>
      </c>
    </row>
    <row r="3069" ht="15.75" customHeight="1">
      <c r="A3069" s="2" t="s">
        <v>6802</v>
      </c>
      <c r="B3069" s="2" t="s">
        <v>6803</v>
      </c>
      <c r="C3069" s="2" t="s">
        <v>4661</v>
      </c>
      <c r="D3069" s="2" t="s">
        <v>980</v>
      </c>
      <c r="E3069" s="2" t="s">
        <v>981</v>
      </c>
      <c r="F3069" s="2">
        <v>79.0</v>
      </c>
      <c r="G3069" s="2">
        <v>5.15</v>
      </c>
      <c r="H3069" s="2">
        <v>15.3</v>
      </c>
      <c r="I3069" s="2" t="s">
        <v>47</v>
      </c>
    </row>
    <row r="3070" ht="15.75" customHeight="1">
      <c r="A3070" s="2" t="s">
        <v>6806</v>
      </c>
      <c r="B3070" s="2" t="s">
        <v>6807</v>
      </c>
      <c r="C3070" s="2" t="s">
        <v>4661</v>
      </c>
      <c r="D3070" s="2" t="s">
        <v>1066</v>
      </c>
      <c r="E3070" s="2" t="s">
        <v>1069</v>
      </c>
      <c r="F3070" s="2">
        <v>207.0</v>
      </c>
      <c r="G3070" s="2">
        <v>6.75</v>
      </c>
      <c r="H3070" s="2">
        <v>30.7</v>
      </c>
      <c r="I3070" s="2" t="s">
        <v>47</v>
      </c>
    </row>
    <row r="3071" ht="15.75" customHeight="1">
      <c r="A3071" s="2" t="s">
        <v>4696</v>
      </c>
      <c r="B3071" s="2" t="s">
        <v>4698</v>
      </c>
      <c r="C3071" s="2" t="s">
        <v>4661</v>
      </c>
      <c r="D3071" s="2" t="s">
        <v>1066</v>
      </c>
      <c r="E3071" s="2" t="s">
        <v>1069</v>
      </c>
      <c r="F3071" s="2">
        <v>1396.0</v>
      </c>
      <c r="G3071" s="2">
        <v>5.04</v>
      </c>
      <c r="H3071" s="2">
        <v>277.0</v>
      </c>
      <c r="I3071" s="2" t="s">
        <v>27</v>
      </c>
    </row>
    <row r="3072" ht="15.75" customHeight="1">
      <c r="A3072" s="2" t="s">
        <v>4701</v>
      </c>
      <c r="B3072" s="2" t="s">
        <v>4702</v>
      </c>
      <c r="C3072" s="2" t="s">
        <v>4661</v>
      </c>
      <c r="D3072" s="2" t="s">
        <v>936</v>
      </c>
      <c r="E3072" s="2" t="s">
        <v>937</v>
      </c>
      <c r="F3072" s="2">
        <v>937.0</v>
      </c>
      <c r="G3072" s="2">
        <v>7.29</v>
      </c>
      <c r="H3072" s="2">
        <v>128.5</v>
      </c>
      <c r="I3072" s="2" t="s">
        <v>27</v>
      </c>
    </row>
    <row r="3073" ht="15.75" customHeight="1">
      <c r="A3073" s="2" t="s">
        <v>6808</v>
      </c>
      <c r="B3073" s="2" t="s">
        <v>6809</v>
      </c>
      <c r="C3073" s="2" t="s">
        <v>4661</v>
      </c>
      <c r="D3073" s="2" t="s">
        <v>853</v>
      </c>
      <c r="E3073" s="2" t="s">
        <v>854</v>
      </c>
      <c r="F3073" s="2">
        <v>161.0</v>
      </c>
      <c r="G3073" s="2">
        <v>5.93</v>
      </c>
      <c r="H3073" s="2">
        <v>27.2</v>
      </c>
      <c r="I3073" s="2" t="s">
        <v>47</v>
      </c>
    </row>
    <row r="3074" ht="15.75" customHeight="1">
      <c r="A3074" s="2" t="s">
        <v>6810</v>
      </c>
      <c r="B3074" s="2" t="s">
        <v>6811</v>
      </c>
      <c r="C3074" s="2" t="s">
        <v>4661</v>
      </c>
      <c r="D3074" s="2" t="s">
        <v>980</v>
      </c>
      <c r="E3074" s="2" t="s">
        <v>981</v>
      </c>
      <c r="F3074" s="2">
        <v>89.0</v>
      </c>
      <c r="G3074" s="2">
        <v>3.51</v>
      </c>
      <c r="H3074" s="2">
        <v>25.4</v>
      </c>
      <c r="I3074" s="2" t="s">
        <v>47</v>
      </c>
    </row>
    <row r="3075" ht="15.75" customHeight="1">
      <c r="A3075" s="2" t="s">
        <v>4706</v>
      </c>
      <c r="B3075" s="2" t="s">
        <v>4707</v>
      </c>
      <c r="C3075" s="2" t="s">
        <v>4661</v>
      </c>
      <c r="D3075" s="2" t="s">
        <v>1009</v>
      </c>
      <c r="E3075" s="2" t="s">
        <v>1010</v>
      </c>
      <c r="F3075" s="2">
        <v>278.0</v>
      </c>
      <c r="G3075" s="2">
        <v>5.43</v>
      </c>
      <c r="H3075" s="2">
        <v>51.2</v>
      </c>
      <c r="I3075" s="2" t="s">
        <v>47</v>
      </c>
    </row>
    <row r="3076" ht="15.75" customHeight="1">
      <c r="A3076" s="2" t="s">
        <v>6812</v>
      </c>
      <c r="B3076" s="2" t="s">
        <v>6813</v>
      </c>
      <c r="C3076" s="2" t="s">
        <v>4661</v>
      </c>
      <c r="D3076" s="2" t="s">
        <v>1071</v>
      </c>
      <c r="E3076" s="2" t="s">
        <v>1075</v>
      </c>
      <c r="F3076" s="2">
        <v>193.0</v>
      </c>
      <c r="G3076" s="2">
        <v>4.6</v>
      </c>
      <c r="H3076" s="2">
        <v>42.0</v>
      </c>
      <c r="I3076" s="2" t="s">
        <v>47</v>
      </c>
    </row>
    <row r="3077" ht="15.75" customHeight="1">
      <c r="A3077" s="2" t="s">
        <v>6814</v>
      </c>
      <c r="B3077" s="2" t="s">
        <v>6815</v>
      </c>
      <c r="C3077" s="2" t="s">
        <v>4661</v>
      </c>
      <c r="D3077" s="2" t="s">
        <v>1009</v>
      </c>
      <c r="E3077" s="2" t="s">
        <v>1010</v>
      </c>
      <c r="F3077" s="2">
        <v>215.0</v>
      </c>
      <c r="G3077" s="2">
        <v>6.18</v>
      </c>
      <c r="H3077" s="2">
        <v>34.8</v>
      </c>
      <c r="I3077" s="2" t="s">
        <v>47</v>
      </c>
    </row>
    <row r="3078" ht="15.75" customHeight="1">
      <c r="A3078" s="2" t="s">
        <v>6816</v>
      </c>
      <c r="B3078" s="2" t="s">
        <v>6817</v>
      </c>
      <c r="C3078" s="2" t="s">
        <v>4661</v>
      </c>
      <c r="D3078" s="2" t="s">
        <v>980</v>
      </c>
      <c r="E3078" s="2" t="s">
        <v>981</v>
      </c>
      <c r="F3078" s="2">
        <v>200.0</v>
      </c>
      <c r="G3078" s="2">
        <v>8.36</v>
      </c>
      <c r="H3078" s="2">
        <v>23.9</v>
      </c>
      <c r="I3078" s="2" t="s">
        <v>47</v>
      </c>
    </row>
    <row r="3079" ht="15.75" customHeight="1">
      <c r="A3079" s="2" t="s">
        <v>4708</v>
      </c>
      <c r="B3079" s="2" t="s">
        <v>4709</v>
      </c>
      <c r="C3079" s="2" t="s">
        <v>4661</v>
      </c>
      <c r="D3079" s="2" t="s">
        <v>1009</v>
      </c>
      <c r="E3079" s="2" t="s">
        <v>1010</v>
      </c>
      <c r="F3079" s="2">
        <v>1352.0</v>
      </c>
      <c r="G3079" s="2">
        <v>20.18</v>
      </c>
      <c r="H3079" s="2">
        <v>67.0</v>
      </c>
      <c r="I3079" s="2" t="s">
        <v>27</v>
      </c>
    </row>
    <row r="3080" ht="15.75" customHeight="1">
      <c r="A3080" s="2" t="s">
        <v>4712</v>
      </c>
      <c r="B3080" s="2" t="s">
        <v>4713</v>
      </c>
      <c r="C3080" s="2" t="s">
        <v>4661</v>
      </c>
      <c r="D3080" s="2" t="s">
        <v>1009</v>
      </c>
      <c r="E3080" s="2" t="s">
        <v>1010</v>
      </c>
      <c r="F3080" s="2">
        <v>1929.0</v>
      </c>
      <c r="G3080" s="2">
        <v>22.86</v>
      </c>
      <c r="H3080" s="2">
        <v>84.4</v>
      </c>
      <c r="I3080" s="2" t="s">
        <v>27</v>
      </c>
    </row>
    <row r="3081" ht="15.75" customHeight="1">
      <c r="A3081" s="2" t="s">
        <v>6820</v>
      </c>
      <c r="B3081" s="2" t="s">
        <v>351</v>
      </c>
      <c r="C3081" s="2" t="s">
        <v>4661</v>
      </c>
      <c r="D3081" s="2" t="s">
        <v>948</v>
      </c>
      <c r="E3081" s="2" t="s">
        <v>950</v>
      </c>
      <c r="F3081" s="2">
        <v>109.0</v>
      </c>
      <c r="G3081" s="2">
        <v>6.09</v>
      </c>
      <c r="H3081" s="2">
        <v>17.9</v>
      </c>
      <c r="I3081" s="2" t="s">
        <v>47</v>
      </c>
    </row>
    <row r="3082" ht="15.75" customHeight="1">
      <c r="A3082" s="2" t="s">
        <v>6823</v>
      </c>
      <c r="B3082" s="2" t="s">
        <v>6824</v>
      </c>
      <c r="C3082" s="2" t="s">
        <v>4661</v>
      </c>
      <c r="D3082" s="2" t="s">
        <v>796</v>
      </c>
      <c r="E3082" s="2" t="s">
        <v>797</v>
      </c>
      <c r="F3082" s="2">
        <v>494.0</v>
      </c>
      <c r="G3082" s="2">
        <v>6.1</v>
      </c>
      <c r="H3082" s="2">
        <v>81.0</v>
      </c>
      <c r="I3082" s="2" t="s">
        <v>47</v>
      </c>
    </row>
    <row r="3083" ht="15.75" customHeight="1">
      <c r="A3083" s="2" t="s">
        <v>4714</v>
      </c>
      <c r="B3083" s="2" t="s">
        <v>4715</v>
      </c>
      <c r="C3083" s="2" t="s">
        <v>4661</v>
      </c>
      <c r="D3083" s="2" t="s">
        <v>1066</v>
      </c>
      <c r="E3083" s="2" t="s">
        <v>1069</v>
      </c>
      <c r="F3083" s="2">
        <v>297.0</v>
      </c>
      <c r="G3083" s="2">
        <v>7.87</v>
      </c>
      <c r="H3083" s="2">
        <v>37.7</v>
      </c>
      <c r="I3083" s="2" t="s">
        <v>47</v>
      </c>
    </row>
    <row r="3084" ht="15.75" customHeight="1">
      <c r="A3084" s="2" t="s">
        <v>6827</v>
      </c>
      <c r="B3084" s="2" t="s">
        <v>6828</v>
      </c>
      <c r="C3084" s="2" t="s">
        <v>4661</v>
      </c>
      <c r="D3084" s="2" t="s">
        <v>1066</v>
      </c>
      <c r="E3084" s="2" t="s">
        <v>1069</v>
      </c>
      <c r="F3084" s="2">
        <v>80.0</v>
      </c>
      <c r="G3084" s="2">
        <v>6.57</v>
      </c>
      <c r="H3084" s="2">
        <v>12.2</v>
      </c>
      <c r="I3084" s="2" t="s">
        <v>47</v>
      </c>
    </row>
    <row r="3085" ht="15.75" customHeight="1">
      <c r="A3085" s="2" t="s">
        <v>6825</v>
      </c>
      <c r="B3085" s="2" t="s">
        <v>6826</v>
      </c>
      <c r="C3085" s="2" t="s">
        <v>4661</v>
      </c>
      <c r="D3085" s="2" t="s">
        <v>1071</v>
      </c>
      <c r="E3085" s="2" t="s">
        <v>1075</v>
      </c>
      <c r="F3085" s="2">
        <v>149.0</v>
      </c>
      <c r="G3085" s="2">
        <v>5.5</v>
      </c>
      <c r="H3085" s="2">
        <v>27.1</v>
      </c>
      <c r="I3085" s="2" t="s">
        <v>47</v>
      </c>
    </row>
    <row r="3086" ht="15.75" customHeight="1">
      <c r="A3086" s="2" t="s">
        <v>4716</v>
      </c>
      <c r="B3086" s="2" t="s">
        <v>4717</v>
      </c>
      <c r="C3086" s="2" t="s">
        <v>4661</v>
      </c>
      <c r="D3086" s="2" t="s">
        <v>1035</v>
      </c>
      <c r="E3086" s="2" t="s">
        <v>1037</v>
      </c>
      <c r="F3086" s="2">
        <v>717.0</v>
      </c>
      <c r="G3086" s="2">
        <v>13.24</v>
      </c>
      <c r="H3086" s="2">
        <v>54.2</v>
      </c>
      <c r="I3086" s="2" t="s">
        <v>27</v>
      </c>
    </row>
    <row r="3087" ht="15.75" customHeight="1">
      <c r="A3087" s="2" t="s">
        <v>6829</v>
      </c>
      <c r="B3087" s="2" t="s">
        <v>6830</v>
      </c>
      <c r="C3087" s="2" t="s">
        <v>4661</v>
      </c>
      <c r="D3087" s="2" t="s">
        <v>1066</v>
      </c>
      <c r="E3087" s="2" t="s">
        <v>1069</v>
      </c>
      <c r="F3087" s="2">
        <v>145.0</v>
      </c>
      <c r="G3087" s="2">
        <v>6.84</v>
      </c>
      <c r="H3087" s="2">
        <v>21.2</v>
      </c>
      <c r="I3087" s="2" t="s">
        <v>47</v>
      </c>
    </row>
    <row r="3088" ht="15.75" customHeight="1">
      <c r="A3088" s="2" t="s">
        <v>6831</v>
      </c>
      <c r="B3088" s="2" t="s">
        <v>6832</v>
      </c>
      <c r="C3088" s="2" t="s">
        <v>4661</v>
      </c>
      <c r="D3088" s="2" t="s">
        <v>1066</v>
      </c>
      <c r="E3088" s="2" t="s">
        <v>1069</v>
      </c>
      <c r="F3088" s="2">
        <v>197.0</v>
      </c>
      <c r="G3088" s="2">
        <v>4.12</v>
      </c>
      <c r="H3088" s="2">
        <v>47.8</v>
      </c>
      <c r="I3088" s="2" t="s">
        <v>47</v>
      </c>
    </row>
    <row r="3089" ht="15.75" customHeight="1">
      <c r="A3089" s="2" t="s">
        <v>4718</v>
      </c>
      <c r="B3089" s="2" t="s">
        <v>4719</v>
      </c>
      <c r="C3089" s="2" t="s">
        <v>4661</v>
      </c>
      <c r="D3089" s="2" t="s">
        <v>1009</v>
      </c>
      <c r="E3089" s="2" t="s">
        <v>1010</v>
      </c>
      <c r="F3089" s="2">
        <v>1042.0</v>
      </c>
      <c r="G3089" s="2">
        <v>17.44</v>
      </c>
      <c r="H3089" s="2">
        <v>59.7</v>
      </c>
      <c r="I3089" s="2" t="s">
        <v>27</v>
      </c>
    </row>
    <row r="3090" ht="15.75" customHeight="1">
      <c r="A3090" s="2" t="s">
        <v>6835</v>
      </c>
      <c r="B3090" s="2" t="s">
        <v>6836</v>
      </c>
      <c r="C3090" s="2" t="s">
        <v>4661</v>
      </c>
      <c r="D3090" s="2" t="s">
        <v>1051</v>
      </c>
      <c r="E3090" s="2" t="s">
        <v>1053</v>
      </c>
      <c r="F3090" s="2">
        <v>240.0</v>
      </c>
      <c r="G3090" s="2">
        <v>10.01</v>
      </c>
      <c r="H3090" s="2">
        <v>24.0</v>
      </c>
      <c r="I3090" s="2" t="s">
        <v>47</v>
      </c>
    </row>
    <row r="3091" ht="15.75" customHeight="1">
      <c r="A3091" s="2" t="s">
        <v>4721</v>
      </c>
      <c r="B3091" s="2" t="s">
        <v>4723</v>
      </c>
      <c r="C3091" s="2" t="s">
        <v>4661</v>
      </c>
      <c r="D3091" s="2" t="s">
        <v>880</v>
      </c>
      <c r="E3091" s="2" t="s">
        <v>881</v>
      </c>
      <c r="F3091" s="2">
        <v>353.0</v>
      </c>
      <c r="G3091" s="2">
        <v>7.61</v>
      </c>
      <c r="H3091" s="2">
        <v>46.4</v>
      </c>
      <c r="I3091" s="2" t="s">
        <v>47</v>
      </c>
    </row>
    <row r="3092" ht="15.75" customHeight="1">
      <c r="A3092" s="2" t="s">
        <v>6837</v>
      </c>
      <c r="B3092" s="2" t="s">
        <v>6838</v>
      </c>
      <c r="C3092" s="2" t="s">
        <v>4661</v>
      </c>
      <c r="D3092" s="2" t="s">
        <v>1009</v>
      </c>
      <c r="E3092" s="2" t="s">
        <v>1010</v>
      </c>
      <c r="F3092" s="2">
        <v>279.0</v>
      </c>
      <c r="G3092" s="2">
        <v>5.53</v>
      </c>
      <c r="H3092" s="2">
        <v>50.5</v>
      </c>
      <c r="I3092" s="2" t="s">
        <v>47</v>
      </c>
    </row>
    <row r="3093" ht="15.75" customHeight="1">
      <c r="A3093" s="2" t="s">
        <v>6839</v>
      </c>
      <c r="B3093" s="2" t="s">
        <v>6840</v>
      </c>
      <c r="C3093" s="2" t="s">
        <v>4661</v>
      </c>
      <c r="D3093" s="2" t="s">
        <v>1071</v>
      </c>
      <c r="E3093" s="2" t="s">
        <v>1075</v>
      </c>
      <c r="F3093" s="2">
        <v>155.0</v>
      </c>
      <c r="G3093" s="2">
        <v>4.42</v>
      </c>
      <c r="H3093" s="2">
        <v>35.1</v>
      </c>
      <c r="I3093" s="2" t="s">
        <v>47</v>
      </c>
    </row>
    <row r="3094" ht="15.75" customHeight="1">
      <c r="A3094" s="2" t="s">
        <v>6833</v>
      </c>
      <c r="B3094" s="2" t="s">
        <v>6834</v>
      </c>
      <c r="C3094" s="2" t="s">
        <v>4661</v>
      </c>
      <c r="D3094" s="2" t="s">
        <v>1009</v>
      </c>
      <c r="E3094" s="2" t="s">
        <v>1010</v>
      </c>
      <c r="F3094" s="2">
        <v>40.0</v>
      </c>
      <c r="G3094" s="2">
        <v>4.6</v>
      </c>
      <c r="H3094" s="2">
        <v>8.7</v>
      </c>
      <c r="I3094" s="2" t="s">
        <v>47</v>
      </c>
    </row>
    <row r="3095" ht="15.75" customHeight="1">
      <c r="A3095" s="2" t="s">
        <v>6841</v>
      </c>
      <c r="B3095" s="2" t="s">
        <v>6842</v>
      </c>
      <c r="C3095" s="2" t="s">
        <v>4661</v>
      </c>
      <c r="D3095" s="2" t="s">
        <v>774</v>
      </c>
      <c r="E3095" s="2" t="s">
        <v>775</v>
      </c>
      <c r="F3095" s="2">
        <v>815.0</v>
      </c>
      <c r="G3095" s="2">
        <v>8.63</v>
      </c>
      <c r="H3095" s="2">
        <v>94.4</v>
      </c>
      <c r="I3095" s="2" t="s">
        <v>27</v>
      </c>
    </row>
    <row r="3096" ht="15.75" customHeight="1">
      <c r="A3096" s="2" t="s">
        <v>4724</v>
      </c>
      <c r="B3096" s="2" t="s">
        <v>4725</v>
      </c>
      <c r="C3096" s="2" t="s">
        <v>4661</v>
      </c>
      <c r="D3096" s="2" t="s">
        <v>1035</v>
      </c>
      <c r="E3096" s="2" t="s">
        <v>1037</v>
      </c>
      <c r="F3096" s="2">
        <v>1092.0</v>
      </c>
      <c r="G3096" s="2">
        <v>4.63</v>
      </c>
      <c r="H3096" s="2">
        <v>235.9</v>
      </c>
      <c r="I3096" s="2" t="s">
        <v>27</v>
      </c>
    </row>
    <row r="3097" ht="15.75" customHeight="1">
      <c r="A3097" s="2" t="s">
        <v>6843</v>
      </c>
      <c r="B3097" s="2" t="s">
        <v>6844</v>
      </c>
      <c r="C3097" s="2" t="s">
        <v>4661</v>
      </c>
      <c r="D3097" s="2" t="s">
        <v>853</v>
      </c>
      <c r="E3097" s="2" t="s">
        <v>854</v>
      </c>
      <c r="F3097" s="2">
        <v>517.0</v>
      </c>
      <c r="G3097" s="2">
        <v>2.67</v>
      </c>
      <c r="H3097" s="2">
        <v>193.6</v>
      </c>
      <c r="I3097" s="2" t="s">
        <v>27</v>
      </c>
    </row>
    <row r="3098" ht="15.75" customHeight="1">
      <c r="A3098" s="2" t="s">
        <v>6845</v>
      </c>
      <c r="B3098" s="2" t="s">
        <v>6846</v>
      </c>
      <c r="C3098" s="2" t="s">
        <v>4661</v>
      </c>
      <c r="D3098" s="2" t="s">
        <v>980</v>
      </c>
      <c r="E3098" s="2" t="s">
        <v>981</v>
      </c>
      <c r="F3098" s="2">
        <v>220.0</v>
      </c>
      <c r="G3098" s="2">
        <v>6.18</v>
      </c>
      <c r="H3098" s="2">
        <v>35.6</v>
      </c>
      <c r="I3098" s="2" t="s">
        <v>47</v>
      </c>
    </row>
    <row r="3099" ht="15.75" customHeight="1">
      <c r="A3099" s="2" t="s">
        <v>6849</v>
      </c>
      <c r="B3099" s="2" t="s">
        <v>6850</v>
      </c>
      <c r="C3099" s="2" t="s">
        <v>4661</v>
      </c>
      <c r="D3099" s="2" t="s">
        <v>1066</v>
      </c>
      <c r="E3099" s="2" t="s">
        <v>1069</v>
      </c>
      <c r="F3099" s="2">
        <v>91.0</v>
      </c>
      <c r="G3099" s="2">
        <v>4.18</v>
      </c>
      <c r="H3099" s="2">
        <v>21.8</v>
      </c>
      <c r="I3099" s="2" t="s">
        <v>47</v>
      </c>
    </row>
    <row r="3100" ht="15.75" customHeight="1">
      <c r="A3100" s="2" t="s">
        <v>6851</v>
      </c>
      <c r="B3100" s="2" t="s">
        <v>6852</v>
      </c>
      <c r="C3100" s="2" t="s">
        <v>4661</v>
      </c>
      <c r="D3100" s="2" t="s">
        <v>796</v>
      </c>
      <c r="E3100" s="2" t="s">
        <v>797</v>
      </c>
      <c r="F3100" s="2">
        <v>209.0</v>
      </c>
      <c r="G3100" s="2">
        <v>7.34</v>
      </c>
      <c r="H3100" s="2">
        <v>28.5</v>
      </c>
      <c r="I3100" s="2" t="s">
        <v>47</v>
      </c>
    </row>
    <row r="3101" ht="15.75" customHeight="1">
      <c r="A3101" s="2" t="s">
        <v>6853</v>
      </c>
      <c r="B3101" s="2" t="s">
        <v>6854</v>
      </c>
      <c r="C3101" s="2" t="s">
        <v>4661</v>
      </c>
      <c r="D3101" s="2" t="s">
        <v>1035</v>
      </c>
      <c r="E3101" s="2" t="s">
        <v>1037</v>
      </c>
      <c r="F3101" s="2">
        <v>605.0</v>
      </c>
      <c r="G3101" s="2">
        <v>8.03</v>
      </c>
      <c r="H3101" s="2">
        <v>75.3</v>
      </c>
      <c r="I3101" s="2" t="s">
        <v>27</v>
      </c>
    </row>
    <row r="3102" ht="15.75" customHeight="1">
      <c r="A3102" s="2" t="s">
        <v>4728</v>
      </c>
      <c r="B3102" s="2" t="s">
        <v>4729</v>
      </c>
      <c r="C3102" s="2" t="s">
        <v>4661</v>
      </c>
      <c r="D3102" s="2" t="s">
        <v>948</v>
      </c>
      <c r="E3102" s="2" t="s">
        <v>950</v>
      </c>
      <c r="F3102" s="2">
        <v>900.0</v>
      </c>
      <c r="G3102" s="2">
        <v>14.68</v>
      </c>
      <c r="H3102" s="2">
        <v>61.3</v>
      </c>
      <c r="I3102" s="2" t="s">
        <v>27</v>
      </c>
    </row>
    <row r="3103" ht="15.75" customHeight="1">
      <c r="A3103" s="2" t="s">
        <v>4730</v>
      </c>
      <c r="B3103" s="2" t="s">
        <v>4731</v>
      </c>
      <c r="C3103" s="2" t="s">
        <v>4661</v>
      </c>
      <c r="D3103" s="2" t="s">
        <v>880</v>
      </c>
      <c r="E3103" s="2" t="s">
        <v>881</v>
      </c>
      <c r="F3103" s="2">
        <v>386.0</v>
      </c>
      <c r="G3103" s="2">
        <v>6.57</v>
      </c>
      <c r="H3103" s="2">
        <v>58.8</v>
      </c>
      <c r="I3103" s="2" t="s">
        <v>47</v>
      </c>
    </row>
    <row r="3104" ht="15.75" customHeight="1">
      <c r="A3104" s="2" t="s">
        <v>6855</v>
      </c>
      <c r="B3104" s="2" t="s">
        <v>6856</v>
      </c>
      <c r="C3104" s="2" t="s">
        <v>4661</v>
      </c>
      <c r="D3104" s="2" t="s">
        <v>948</v>
      </c>
      <c r="E3104" s="2" t="s">
        <v>950</v>
      </c>
      <c r="F3104" s="2">
        <v>57.0</v>
      </c>
      <c r="G3104" s="2">
        <v>2.43</v>
      </c>
      <c r="H3104" s="2">
        <v>23.5</v>
      </c>
      <c r="I3104" s="2" t="s">
        <v>47</v>
      </c>
    </row>
    <row r="3105" ht="15.75" customHeight="1">
      <c r="A3105" s="2" t="s">
        <v>6857</v>
      </c>
      <c r="B3105" s="2" t="s">
        <v>6858</v>
      </c>
      <c r="C3105" s="2" t="s">
        <v>4661</v>
      </c>
      <c r="D3105" s="2" t="s">
        <v>1032</v>
      </c>
      <c r="E3105" s="2" t="s">
        <v>1033</v>
      </c>
      <c r="F3105" s="2">
        <v>137.0</v>
      </c>
      <c r="G3105" s="2">
        <v>2.23</v>
      </c>
      <c r="H3105" s="2">
        <v>61.4</v>
      </c>
      <c r="I3105" s="2" t="s">
        <v>47</v>
      </c>
    </row>
    <row r="3106" ht="15.75" customHeight="1">
      <c r="A3106" s="2" t="s">
        <v>4732</v>
      </c>
      <c r="B3106" s="2" t="s">
        <v>4733</v>
      </c>
      <c r="C3106" s="2" t="s">
        <v>4661</v>
      </c>
      <c r="D3106" s="2" t="s">
        <v>869</v>
      </c>
      <c r="E3106" s="2" t="s">
        <v>870</v>
      </c>
      <c r="F3106" s="2">
        <v>178.0</v>
      </c>
      <c r="G3106" s="2">
        <v>4.97</v>
      </c>
      <c r="H3106" s="2">
        <v>35.8</v>
      </c>
      <c r="I3106" s="2" t="s">
        <v>47</v>
      </c>
    </row>
    <row r="3107" ht="15.75" customHeight="1">
      <c r="A3107" s="2" t="s">
        <v>4734</v>
      </c>
      <c r="B3107" s="2" t="s">
        <v>4735</v>
      </c>
      <c r="C3107" s="2" t="s">
        <v>4661</v>
      </c>
      <c r="D3107" s="2" t="s">
        <v>774</v>
      </c>
      <c r="E3107" s="2" t="s">
        <v>775</v>
      </c>
      <c r="F3107" s="2">
        <v>613.0</v>
      </c>
      <c r="G3107" s="2">
        <v>12.51</v>
      </c>
      <c r="H3107" s="2">
        <v>49.0</v>
      </c>
      <c r="I3107" s="2" t="s">
        <v>27</v>
      </c>
    </row>
    <row r="3108" ht="15.75" customHeight="1">
      <c r="A3108" s="2" t="s">
        <v>6859</v>
      </c>
      <c r="B3108" s="2" t="s">
        <v>6860</v>
      </c>
      <c r="C3108" s="2" t="s">
        <v>4661</v>
      </c>
      <c r="D3108" s="2" t="s">
        <v>1066</v>
      </c>
      <c r="E3108" s="2" t="s">
        <v>1069</v>
      </c>
      <c r="F3108" s="2">
        <v>161.0</v>
      </c>
      <c r="G3108" s="2">
        <v>8.01</v>
      </c>
      <c r="H3108" s="2">
        <v>20.1</v>
      </c>
      <c r="I3108" s="2" t="s">
        <v>47</v>
      </c>
    </row>
    <row r="3109" ht="15.75" customHeight="1">
      <c r="A3109" s="2" t="s">
        <v>6861</v>
      </c>
      <c r="B3109" s="2" t="s">
        <v>6862</v>
      </c>
      <c r="C3109" s="2" t="s">
        <v>4661</v>
      </c>
      <c r="D3109" s="2" t="s">
        <v>1009</v>
      </c>
      <c r="E3109" s="2" t="s">
        <v>1010</v>
      </c>
      <c r="F3109" s="2">
        <v>64.0</v>
      </c>
      <c r="G3109" s="2">
        <v>4.34</v>
      </c>
      <c r="H3109" s="2">
        <v>14.7</v>
      </c>
      <c r="I3109" s="2" t="s">
        <v>47</v>
      </c>
    </row>
    <row r="3110" ht="15.75" customHeight="1">
      <c r="A3110" s="2" t="s">
        <v>6863</v>
      </c>
      <c r="B3110" s="2" t="s">
        <v>6864</v>
      </c>
      <c r="C3110" s="2" t="s">
        <v>4661</v>
      </c>
      <c r="D3110" s="2" t="s">
        <v>796</v>
      </c>
      <c r="E3110" s="2" t="s">
        <v>797</v>
      </c>
      <c r="F3110" s="2">
        <v>441.0</v>
      </c>
      <c r="G3110" s="2">
        <v>15.75</v>
      </c>
      <c r="H3110" s="2">
        <v>28.0</v>
      </c>
      <c r="I3110" s="2" t="s">
        <v>47</v>
      </c>
    </row>
    <row r="3111" ht="15.75" customHeight="1">
      <c r="A3111" s="2" t="s">
        <v>4736</v>
      </c>
      <c r="B3111" s="2" t="s">
        <v>4737</v>
      </c>
      <c r="C3111" s="2" t="s">
        <v>4661</v>
      </c>
      <c r="D3111" s="2" t="s">
        <v>1016</v>
      </c>
      <c r="E3111" s="2" t="s">
        <v>1017</v>
      </c>
      <c r="F3111" s="2">
        <v>247.0</v>
      </c>
      <c r="G3111" s="2">
        <v>5.87</v>
      </c>
      <c r="H3111" s="2">
        <v>42.1</v>
      </c>
      <c r="I3111" s="2" t="s">
        <v>47</v>
      </c>
    </row>
    <row r="3112" ht="15.75" customHeight="1">
      <c r="A3112" s="2" t="s">
        <v>6865</v>
      </c>
      <c r="B3112" s="2" t="s">
        <v>6866</v>
      </c>
      <c r="C3112" s="2" t="s">
        <v>4661</v>
      </c>
      <c r="D3112" s="2" t="s">
        <v>1009</v>
      </c>
      <c r="E3112" s="2" t="s">
        <v>1010</v>
      </c>
      <c r="F3112" s="2">
        <v>325.0</v>
      </c>
      <c r="G3112" s="2">
        <v>10.19</v>
      </c>
      <c r="H3112" s="2">
        <v>31.9</v>
      </c>
      <c r="I3112" s="2" t="s">
        <v>47</v>
      </c>
    </row>
    <row r="3113" ht="15.75" customHeight="1">
      <c r="A3113" s="2" t="s">
        <v>6867</v>
      </c>
      <c r="B3113" s="2" t="s">
        <v>6868</v>
      </c>
      <c r="C3113" s="2" t="s">
        <v>4661</v>
      </c>
      <c r="D3113" s="2" t="s">
        <v>1066</v>
      </c>
      <c r="E3113" s="2" t="s">
        <v>1069</v>
      </c>
      <c r="F3113" s="2">
        <v>349.0</v>
      </c>
      <c r="G3113" s="2">
        <v>9.58</v>
      </c>
      <c r="H3113" s="2">
        <v>36.4</v>
      </c>
      <c r="I3113" s="2" t="s">
        <v>47</v>
      </c>
    </row>
    <row r="3114" ht="15.75" customHeight="1">
      <c r="A3114" s="2" t="s">
        <v>6869</v>
      </c>
      <c r="B3114" s="2" t="s">
        <v>6870</v>
      </c>
      <c r="C3114" s="2" t="s">
        <v>4661</v>
      </c>
      <c r="D3114" s="2" t="s">
        <v>880</v>
      </c>
      <c r="E3114" s="2" t="s">
        <v>881</v>
      </c>
      <c r="F3114" s="2">
        <v>283.0</v>
      </c>
      <c r="G3114" s="2">
        <v>10.15</v>
      </c>
      <c r="H3114" s="2">
        <v>27.9</v>
      </c>
      <c r="I3114" s="2" t="s">
        <v>47</v>
      </c>
    </row>
    <row r="3115" ht="15.75" customHeight="1">
      <c r="A3115" s="2" t="s">
        <v>6871</v>
      </c>
      <c r="B3115" s="2" t="s">
        <v>6872</v>
      </c>
      <c r="C3115" s="2" t="s">
        <v>4661</v>
      </c>
      <c r="D3115" s="2" t="s">
        <v>1071</v>
      </c>
      <c r="E3115" s="2" t="s">
        <v>1075</v>
      </c>
      <c r="F3115" s="2">
        <v>276.0</v>
      </c>
      <c r="G3115" s="2">
        <v>5.96</v>
      </c>
      <c r="H3115" s="2">
        <v>46.3</v>
      </c>
      <c r="I3115" s="2" t="s">
        <v>47</v>
      </c>
    </row>
    <row r="3116" ht="15.75" customHeight="1">
      <c r="A3116" s="2" t="s">
        <v>6873</v>
      </c>
      <c r="B3116" s="2" t="s">
        <v>6874</v>
      </c>
      <c r="C3116" s="2" t="s">
        <v>4661</v>
      </c>
      <c r="D3116" s="2" t="s">
        <v>1035</v>
      </c>
      <c r="E3116" s="2" t="s">
        <v>1037</v>
      </c>
      <c r="F3116" s="2">
        <v>158.0</v>
      </c>
      <c r="G3116" s="2">
        <v>4.58</v>
      </c>
      <c r="H3116" s="2">
        <v>34.5</v>
      </c>
      <c r="I3116" s="2" t="s">
        <v>47</v>
      </c>
    </row>
    <row r="3117" ht="15.75" customHeight="1">
      <c r="A3117" s="2" t="s">
        <v>6875</v>
      </c>
      <c r="B3117" s="2" t="s">
        <v>6876</v>
      </c>
      <c r="C3117" s="2" t="s">
        <v>4661</v>
      </c>
      <c r="D3117" s="2" t="s">
        <v>1051</v>
      </c>
      <c r="E3117" s="2" t="s">
        <v>1053</v>
      </c>
      <c r="F3117" s="2">
        <v>113.0</v>
      </c>
      <c r="G3117" s="2">
        <v>5.64</v>
      </c>
      <c r="H3117" s="2">
        <v>20.0</v>
      </c>
      <c r="I3117" s="2" t="s">
        <v>47</v>
      </c>
    </row>
    <row r="3118" ht="15.75" customHeight="1">
      <c r="A3118" s="2" t="s">
        <v>4738</v>
      </c>
      <c r="B3118" s="2" t="s">
        <v>4739</v>
      </c>
      <c r="C3118" s="2" t="s">
        <v>4661</v>
      </c>
      <c r="D3118" s="2" t="s">
        <v>1066</v>
      </c>
      <c r="E3118" s="2" t="s">
        <v>1069</v>
      </c>
      <c r="F3118" s="2">
        <v>389.0</v>
      </c>
      <c r="G3118" s="2">
        <v>10.27</v>
      </c>
      <c r="H3118" s="2">
        <v>37.9</v>
      </c>
      <c r="I3118" s="2" t="s">
        <v>47</v>
      </c>
    </row>
    <row r="3119" ht="15.75" customHeight="1">
      <c r="A3119" s="2" t="s">
        <v>4740</v>
      </c>
      <c r="B3119" s="2" t="s">
        <v>4741</v>
      </c>
      <c r="C3119" s="2" t="s">
        <v>4661</v>
      </c>
      <c r="D3119" s="2" t="s">
        <v>1032</v>
      </c>
      <c r="E3119" s="2" t="s">
        <v>1033</v>
      </c>
      <c r="F3119" s="2">
        <v>540.0</v>
      </c>
      <c r="G3119" s="2">
        <v>16.13</v>
      </c>
      <c r="H3119" s="2">
        <v>33.5</v>
      </c>
      <c r="I3119" s="2" t="s">
        <v>27</v>
      </c>
    </row>
    <row r="3120" ht="15.75" customHeight="1">
      <c r="A3120" s="2" t="s">
        <v>6877</v>
      </c>
      <c r="B3120" s="2" t="s">
        <v>6878</v>
      </c>
      <c r="C3120" s="2" t="s">
        <v>4661</v>
      </c>
      <c r="D3120" s="2" t="s">
        <v>948</v>
      </c>
      <c r="E3120" s="2" t="s">
        <v>950</v>
      </c>
      <c r="F3120" s="2">
        <v>142.0</v>
      </c>
      <c r="G3120" s="2">
        <v>3.58</v>
      </c>
      <c r="H3120" s="2">
        <v>39.7</v>
      </c>
      <c r="I3120" s="2" t="s">
        <v>47</v>
      </c>
    </row>
    <row r="3121" ht="15.75" customHeight="1">
      <c r="A3121" s="2" t="s">
        <v>4742</v>
      </c>
      <c r="B3121" s="2" t="s">
        <v>4743</v>
      </c>
      <c r="C3121" s="2" t="s">
        <v>4661</v>
      </c>
      <c r="D3121" s="2" t="s">
        <v>1009</v>
      </c>
      <c r="E3121" s="2" t="s">
        <v>1010</v>
      </c>
      <c r="F3121" s="2">
        <v>493.0</v>
      </c>
      <c r="G3121" s="2">
        <v>7.23</v>
      </c>
      <c r="H3121" s="2">
        <v>68.2</v>
      </c>
      <c r="I3121" s="2" t="s">
        <v>47</v>
      </c>
    </row>
    <row r="3122" ht="15.75" customHeight="1">
      <c r="A3122" s="2" t="s">
        <v>6879</v>
      </c>
      <c r="B3122" s="2" t="s">
        <v>6880</v>
      </c>
      <c r="C3122" s="2" t="s">
        <v>4661</v>
      </c>
      <c r="D3122" s="2" t="s">
        <v>1035</v>
      </c>
      <c r="E3122" s="2" t="s">
        <v>1037</v>
      </c>
      <c r="F3122" s="2">
        <v>376.0</v>
      </c>
      <c r="G3122" s="2">
        <v>6.92</v>
      </c>
      <c r="H3122" s="2">
        <v>54.3</v>
      </c>
      <c r="I3122" s="2" t="s">
        <v>47</v>
      </c>
    </row>
    <row r="3123" ht="15.75" customHeight="1">
      <c r="A3123" s="2" t="s">
        <v>4744</v>
      </c>
      <c r="B3123" s="2" t="s">
        <v>4745</v>
      </c>
      <c r="C3123" s="2" t="s">
        <v>4661</v>
      </c>
      <c r="D3123" s="2" t="s">
        <v>1022</v>
      </c>
      <c r="E3123" s="2" t="s">
        <v>1025</v>
      </c>
      <c r="F3123" s="2">
        <v>725.0</v>
      </c>
      <c r="G3123" s="2">
        <v>8.03</v>
      </c>
      <c r="H3123" s="2">
        <v>90.3</v>
      </c>
      <c r="I3123" s="2" t="s">
        <v>27</v>
      </c>
    </row>
    <row r="3124" ht="15.75" customHeight="1">
      <c r="A3124" s="2" t="s">
        <v>6881</v>
      </c>
      <c r="B3124" s="2" t="s">
        <v>6882</v>
      </c>
      <c r="C3124" s="2" t="s">
        <v>4661</v>
      </c>
      <c r="D3124" s="2" t="s">
        <v>948</v>
      </c>
      <c r="E3124" s="2" t="s">
        <v>950</v>
      </c>
      <c r="F3124" s="2">
        <v>80.0</v>
      </c>
      <c r="G3124" s="2">
        <v>3.33</v>
      </c>
      <c r="H3124" s="2">
        <v>24.0</v>
      </c>
      <c r="I3124" s="2" t="s">
        <v>47</v>
      </c>
    </row>
    <row r="3125" ht="15.75" customHeight="1">
      <c r="A3125" s="2" t="s">
        <v>4746</v>
      </c>
      <c r="B3125" s="2" t="s">
        <v>4747</v>
      </c>
      <c r="C3125" s="2" t="s">
        <v>4661</v>
      </c>
      <c r="D3125" s="2" t="s">
        <v>1032</v>
      </c>
      <c r="E3125" s="2" t="s">
        <v>1033</v>
      </c>
      <c r="F3125" s="2">
        <v>927.0</v>
      </c>
      <c r="G3125" s="2">
        <v>7.75</v>
      </c>
      <c r="H3125" s="2">
        <v>119.6</v>
      </c>
      <c r="I3125" s="2" t="s">
        <v>27</v>
      </c>
    </row>
    <row r="3126" ht="15.75" customHeight="1">
      <c r="A3126" s="2" t="s">
        <v>4748</v>
      </c>
      <c r="B3126" s="2" t="s">
        <v>4749</v>
      </c>
      <c r="C3126" s="2" t="s">
        <v>4661</v>
      </c>
      <c r="D3126" s="2" t="s">
        <v>936</v>
      </c>
      <c r="E3126" s="2" t="s">
        <v>937</v>
      </c>
      <c r="F3126" s="2">
        <v>783.0</v>
      </c>
      <c r="G3126" s="2">
        <v>6.79</v>
      </c>
      <c r="H3126" s="2">
        <v>115.3</v>
      </c>
      <c r="I3126" s="2" t="s">
        <v>27</v>
      </c>
    </row>
    <row r="3127" ht="15.75" customHeight="1">
      <c r="A3127" s="2" t="s">
        <v>6883</v>
      </c>
      <c r="B3127" s="2" t="s">
        <v>6884</v>
      </c>
      <c r="C3127" s="2" t="s">
        <v>4661</v>
      </c>
      <c r="D3127" s="2" t="s">
        <v>880</v>
      </c>
      <c r="E3127" s="2" t="s">
        <v>881</v>
      </c>
      <c r="F3127" s="2">
        <v>154.0</v>
      </c>
      <c r="G3127" s="2">
        <v>1.96</v>
      </c>
      <c r="H3127" s="2">
        <v>78.6</v>
      </c>
      <c r="I3127" s="2" t="s">
        <v>47</v>
      </c>
    </row>
    <row r="3128" ht="15.75" customHeight="1">
      <c r="A3128" s="2" t="s">
        <v>6885</v>
      </c>
      <c r="B3128" s="2" t="s">
        <v>6886</v>
      </c>
      <c r="C3128" s="2" t="s">
        <v>4661</v>
      </c>
      <c r="D3128" s="2" t="s">
        <v>980</v>
      </c>
      <c r="E3128" s="2" t="s">
        <v>981</v>
      </c>
      <c r="F3128" s="2">
        <v>528.0</v>
      </c>
      <c r="G3128" s="2">
        <v>8.17</v>
      </c>
      <c r="H3128" s="2">
        <v>64.6</v>
      </c>
      <c r="I3128" s="2" t="s">
        <v>27</v>
      </c>
    </row>
    <row r="3129" ht="15.75" customHeight="1">
      <c r="A3129" s="2" t="s">
        <v>4750</v>
      </c>
      <c r="B3129" s="2" t="s">
        <v>4751</v>
      </c>
      <c r="C3129" s="2" t="s">
        <v>4661</v>
      </c>
      <c r="D3129" s="2" t="s">
        <v>774</v>
      </c>
      <c r="E3129" s="2" t="s">
        <v>775</v>
      </c>
      <c r="F3129" s="2">
        <v>425.0</v>
      </c>
      <c r="G3129" s="2">
        <v>6.95</v>
      </c>
      <c r="H3129" s="2">
        <v>61.2</v>
      </c>
      <c r="I3129" s="2" t="s">
        <v>47</v>
      </c>
    </row>
    <row r="3130" ht="15.75" customHeight="1">
      <c r="A3130" s="2" t="s">
        <v>4752</v>
      </c>
      <c r="B3130" s="2" t="s">
        <v>4753</v>
      </c>
      <c r="C3130" s="2" t="s">
        <v>4661</v>
      </c>
      <c r="D3130" s="2" t="s">
        <v>774</v>
      </c>
      <c r="E3130" s="2" t="s">
        <v>775</v>
      </c>
      <c r="F3130" s="2">
        <v>3234.0</v>
      </c>
      <c r="G3130" s="2">
        <v>25.38</v>
      </c>
      <c r="H3130" s="2">
        <v>127.4</v>
      </c>
      <c r="I3130" s="2" t="s">
        <v>138</v>
      </c>
    </row>
    <row r="3131" ht="15.75" customHeight="1">
      <c r="A3131" s="2" t="s">
        <v>6887</v>
      </c>
      <c r="B3131" s="2" t="s">
        <v>6888</v>
      </c>
      <c r="C3131" s="2" t="s">
        <v>4661</v>
      </c>
      <c r="D3131" s="2" t="s">
        <v>853</v>
      </c>
      <c r="E3131" s="2" t="s">
        <v>854</v>
      </c>
      <c r="F3131" s="2">
        <v>203.0</v>
      </c>
      <c r="G3131" s="2">
        <v>7.25</v>
      </c>
      <c r="H3131" s="2">
        <v>28.0</v>
      </c>
      <c r="I3131" s="2" t="s">
        <v>47</v>
      </c>
    </row>
    <row r="3132" ht="15.75" customHeight="1">
      <c r="A3132" s="2" t="s">
        <v>6889</v>
      </c>
      <c r="B3132" s="2" t="s">
        <v>6890</v>
      </c>
      <c r="C3132" s="2" t="s">
        <v>4661</v>
      </c>
      <c r="D3132" s="2" t="s">
        <v>1051</v>
      </c>
      <c r="E3132" s="2" t="s">
        <v>1053</v>
      </c>
      <c r="F3132" s="2">
        <v>211.0</v>
      </c>
      <c r="G3132" s="2">
        <v>11.52</v>
      </c>
      <c r="H3132" s="2">
        <v>18.3</v>
      </c>
      <c r="I3132" s="2" t="s">
        <v>47</v>
      </c>
    </row>
    <row r="3133" ht="15.75" customHeight="1">
      <c r="A3133" s="2" t="s">
        <v>6891</v>
      </c>
      <c r="B3133" s="2" t="s">
        <v>6892</v>
      </c>
      <c r="C3133" s="2" t="s">
        <v>4661</v>
      </c>
      <c r="D3133" s="2" t="s">
        <v>1066</v>
      </c>
      <c r="E3133" s="2" t="s">
        <v>1069</v>
      </c>
      <c r="F3133" s="2">
        <v>82.0</v>
      </c>
      <c r="G3133" s="2">
        <v>2.42</v>
      </c>
      <c r="H3133" s="2">
        <v>33.9</v>
      </c>
      <c r="I3133" s="2" t="s">
        <v>47</v>
      </c>
    </row>
    <row r="3134" ht="15.75" customHeight="1">
      <c r="A3134" s="2" t="s">
        <v>6893</v>
      </c>
      <c r="B3134" s="2" t="s">
        <v>6894</v>
      </c>
      <c r="C3134" s="2" t="s">
        <v>4661</v>
      </c>
      <c r="D3134" s="2" t="s">
        <v>796</v>
      </c>
      <c r="E3134" s="2" t="s">
        <v>797</v>
      </c>
      <c r="F3134" s="2">
        <v>249.0</v>
      </c>
      <c r="G3134" s="2">
        <v>5.43</v>
      </c>
      <c r="H3134" s="2">
        <v>45.9</v>
      </c>
      <c r="I3134" s="2" t="s">
        <v>47</v>
      </c>
    </row>
    <row r="3135" ht="15.75" customHeight="1">
      <c r="A3135" s="2" t="s">
        <v>4756</v>
      </c>
      <c r="B3135" s="2" t="s">
        <v>4757</v>
      </c>
      <c r="C3135" s="2" t="s">
        <v>4661</v>
      </c>
      <c r="D3135" s="2" t="s">
        <v>980</v>
      </c>
      <c r="E3135" s="2" t="s">
        <v>981</v>
      </c>
      <c r="F3135" s="2">
        <v>1184.0</v>
      </c>
      <c r="G3135" s="2">
        <v>16.96</v>
      </c>
      <c r="H3135" s="2">
        <v>69.8</v>
      </c>
      <c r="I3135" s="2" t="s">
        <v>27</v>
      </c>
    </row>
    <row r="3136" ht="15.75" customHeight="1">
      <c r="A3136" s="2" t="s">
        <v>4759</v>
      </c>
      <c r="B3136" s="2" t="s">
        <v>4760</v>
      </c>
      <c r="C3136" s="2" t="s">
        <v>4661</v>
      </c>
      <c r="D3136" s="2" t="s">
        <v>1035</v>
      </c>
      <c r="E3136" s="2" t="s">
        <v>1037</v>
      </c>
      <c r="F3136" s="2">
        <v>707.0</v>
      </c>
      <c r="G3136" s="2">
        <v>5.73</v>
      </c>
      <c r="H3136" s="2">
        <v>123.4</v>
      </c>
      <c r="I3136" s="2" t="s">
        <v>27</v>
      </c>
    </row>
    <row r="3137" ht="15.75" customHeight="1">
      <c r="A3137" s="2" t="s">
        <v>6895</v>
      </c>
      <c r="B3137" s="2" t="s">
        <v>6896</v>
      </c>
      <c r="C3137" s="2" t="s">
        <v>4661</v>
      </c>
      <c r="D3137" s="2" t="s">
        <v>1016</v>
      </c>
      <c r="E3137" s="2" t="s">
        <v>1017</v>
      </c>
      <c r="F3137" s="2">
        <v>120.0</v>
      </c>
      <c r="G3137" s="2">
        <v>3.56</v>
      </c>
      <c r="H3137" s="2">
        <v>33.7</v>
      </c>
      <c r="I3137" s="2" t="s">
        <v>47</v>
      </c>
    </row>
    <row r="3138" ht="15.75" customHeight="1">
      <c r="A3138" s="2" t="s">
        <v>6897</v>
      </c>
      <c r="B3138" s="2" t="s">
        <v>6898</v>
      </c>
      <c r="C3138" s="2" t="s">
        <v>4661</v>
      </c>
      <c r="D3138" s="2" t="s">
        <v>869</v>
      </c>
      <c r="E3138" s="2" t="s">
        <v>870</v>
      </c>
      <c r="F3138" s="2">
        <v>45.0</v>
      </c>
      <c r="G3138" s="2">
        <v>2.19</v>
      </c>
      <c r="H3138" s="2">
        <v>20.5</v>
      </c>
      <c r="I3138" s="2" t="s">
        <v>47</v>
      </c>
    </row>
    <row r="3139" ht="15.75" customHeight="1">
      <c r="A3139" s="2" t="s">
        <v>6900</v>
      </c>
      <c r="B3139" s="2" t="s">
        <v>521</v>
      </c>
      <c r="C3139" s="2" t="s">
        <v>4661</v>
      </c>
      <c r="D3139" s="2" t="s">
        <v>880</v>
      </c>
      <c r="E3139" s="2" t="s">
        <v>881</v>
      </c>
      <c r="F3139" s="2">
        <v>350.0</v>
      </c>
      <c r="G3139" s="2">
        <v>6.93</v>
      </c>
      <c r="H3139" s="2">
        <v>50.5</v>
      </c>
      <c r="I3139" s="2" t="s">
        <v>47</v>
      </c>
    </row>
    <row r="3140" ht="15.75" customHeight="1">
      <c r="A3140" s="2" t="s">
        <v>4761</v>
      </c>
      <c r="B3140" s="2" t="s">
        <v>4762</v>
      </c>
      <c r="C3140" s="2" t="s">
        <v>4661</v>
      </c>
      <c r="D3140" s="2" t="s">
        <v>1066</v>
      </c>
      <c r="E3140" s="2" t="s">
        <v>1069</v>
      </c>
      <c r="F3140" s="2">
        <v>341.0</v>
      </c>
      <c r="G3140" s="2">
        <v>7.38</v>
      </c>
      <c r="H3140" s="2">
        <v>46.2</v>
      </c>
      <c r="I3140" s="2" t="s">
        <v>47</v>
      </c>
    </row>
    <row r="3141" ht="15.75" customHeight="1">
      <c r="A3141" s="2" t="s">
        <v>6901</v>
      </c>
      <c r="B3141" s="2" t="s">
        <v>6902</v>
      </c>
      <c r="C3141" s="2" t="s">
        <v>4661</v>
      </c>
      <c r="D3141" s="2" t="s">
        <v>1066</v>
      </c>
      <c r="E3141" s="2" t="s">
        <v>1069</v>
      </c>
      <c r="F3141" s="2">
        <v>109.0</v>
      </c>
      <c r="G3141" s="2">
        <v>2.43</v>
      </c>
      <c r="H3141" s="2">
        <v>44.9</v>
      </c>
      <c r="I3141" s="2" t="s">
        <v>47</v>
      </c>
    </row>
    <row r="3142" ht="15.75" customHeight="1">
      <c r="A3142" s="2" t="s">
        <v>4765</v>
      </c>
      <c r="B3142" s="2" t="s">
        <v>4766</v>
      </c>
      <c r="C3142" s="2" t="s">
        <v>4661</v>
      </c>
      <c r="D3142" s="2" t="s">
        <v>869</v>
      </c>
      <c r="E3142" s="2" t="s">
        <v>870</v>
      </c>
      <c r="F3142" s="2">
        <v>495.0</v>
      </c>
      <c r="G3142" s="2">
        <v>8.14</v>
      </c>
      <c r="H3142" s="2">
        <v>60.8</v>
      </c>
      <c r="I3142" s="2" t="s">
        <v>47</v>
      </c>
    </row>
    <row r="3143" ht="15.75" customHeight="1">
      <c r="A3143" s="2" t="s">
        <v>6903</v>
      </c>
      <c r="B3143" s="2" t="s">
        <v>6904</v>
      </c>
      <c r="C3143" s="2" t="s">
        <v>4661</v>
      </c>
      <c r="D3143" s="2" t="s">
        <v>1051</v>
      </c>
      <c r="E3143" s="2" t="s">
        <v>1053</v>
      </c>
      <c r="F3143" s="2">
        <v>155.0</v>
      </c>
      <c r="G3143" s="2">
        <v>6.44</v>
      </c>
      <c r="H3143" s="2">
        <v>24.1</v>
      </c>
      <c r="I3143" s="2" t="s">
        <v>47</v>
      </c>
    </row>
    <row r="3144" ht="15.75" customHeight="1">
      <c r="A3144" s="2" t="s">
        <v>6905</v>
      </c>
      <c r="B3144" s="2" t="s">
        <v>6906</v>
      </c>
      <c r="C3144" s="2" t="s">
        <v>4661</v>
      </c>
      <c r="D3144" s="2" t="s">
        <v>796</v>
      </c>
      <c r="E3144" s="2" t="s">
        <v>797</v>
      </c>
      <c r="F3144" s="2">
        <v>197.0</v>
      </c>
      <c r="G3144" s="2">
        <v>6.27</v>
      </c>
      <c r="H3144" s="2">
        <v>31.4</v>
      </c>
      <c r="I3144" s="2" t="s">
        <v>47</v>
      </c>
    </row>
    <row r="3145" ht="15.75" customHeight="1">
      <c r="A3145" s="2" t="s">
        <v>6899</v>
      </c>
      <c r="B3145" s="2" t="s">
        <v>6003</v>
      </c>
      <c r="C3145" s="2" t="s">
        <v>4661</v>
      </c>
      <c r="D3145" s="2" t="s">
        <v>1009</v>
      </c>
      <c r="E3145" s="2" t="s">
        <v>1010</v>
      </c>
      <c r="F3145" s="2">
        <v>116.0</v>
      </c>
      <c r="G3145" s="2">
        <v>1.85</v>
      </c>
      <c r="H3145" s="2">
        <v>62.7</v>
      </c>
      <c r="I3145" s="2" t="s">
        <v>47</v>
      </c>
    </row>
    <row r="3146" ht="15.75" customHeight="1">
      <c r="A3146" s="2" t="s">
        <v>4771</v>
      </c>
      <c r="B3146" s="2" t="s">
        <v>4772</v>
      </c>
      <c r="C3146" s="2" t="s">
        <v>4661</v>
      </c>
      <c r="D3146" s="2" t="s">
        <v>1051</v>
      </c>
      <c r="E3146" s="2" t="s">
        <v>1053</v>
      </c>
      <c r="F3146" s="2">
        <v>514.0</v>
      </c>
      <c r="G3146" s="2">
        <v>7.33</v>
      </c>
      <c r="H3146" s="2">
        <v>70.1</v>
      </c>
      <c r="I3146" s="2" t="s">
        <v>27</v>
      </c>
    </row>
    <row r="3147" ht="15.75" customHeight="1">
      <c r="A3147" s="2" t="s">
        <v>6907</v>
      </c>
      <c r="B3147" s="2" t="s">
        <v>6908</v>
      </c>
      <c r="C3147" s="2" t="s">
        <v>4661</v>
      </c>
      <c r="D3147" s="2" t="s">
        <v>1051</v>
      </c>
      <c r="E3147" s="2" t="s">
        <v>1053</v>
      </c>
      <c r="F3147" s="2">
        <v>341.0</v>
      </c>
      <c r="G3147" s="2">
        <v>7.31</v>
      </c>
      <c r="H3147" s="2">
        <v>46.6</v>
      </c>
      <c r="I3147" s="2" t="s">
        <v>47</v>
      </c>
    </row>
    <row r="3148" ht="15.75" customHeight="1">
      <c r="A3148" s="2" t="s">
        <v>6909</v>
      </c>
      <c r="B3148" s="2" t="s">
        <v>6910</v>
      </c>
      <c r="C3148" s="2" t="s">
        <v>4661</v>
      </c>
      <c r="D3148" s="2" t="s">
        <v>936</v>
      </c>
      <c r="E3148" s="2" t="s">
        <v>937</v>
      </c>
      <c r="F3148" s="2">
        <v>397.0</v>
      </c>
      <c r="G3148" s="2">
        <v>4.81</v>
      </c>
      <c r="H3148" s="2">
        <v>82.5</v>
      </c>
      <c r="I3148" s="2" t="s">
        <v>47</v>
      </c>
    </row>
    <row r="3149" ht="15.75" customHeight="1">
      <c r="A3149" s="2" t="s">
        <v>6911</v>
      </c>
      <c r="B3149" s="2" t="s">
        <v>6912</v>
      </c>
      <c r="C3149" s="2" t="s">
        <v>4661</v>
      </c>
      <c r="D3149" s="2" t="s">
        <v>880</v>
      </c>
      <c r="E3149" s="2" t="s">
        <v>881</v>
      </c>
      <c r="F3149" s="2">
        <v>220.0</v>
      </c>
      <c r="G3149" s="2">
        <v>7.83</v>
      </c>
      <c r="H3149" s="2">
        <v>28.1</v>
      </c>
      <c r="I3149" s="2" t="s">
        <v>47</v>
      </c>
    </row>
    <row r="3150" ht="15.75" customHeight="1">
      <c r="A3150" s="2" t="s">
        <v>6913</v>
      </c>
      <c r="B3150" s="2" t="s">
        <v>6914</v>
      </c>
      <c r="C3150" s="2" t="s">
        <v>4661</v>
      </c>
      <c r="D3150" s="2" t="s">
        <v>980</v>
      </c>
      <c r="E3150" s="2" t="s">
        <v>981</v>
      </c>
      <c r="F3150" s="2">
        <v>294.0</v>
      </c>
      <c r="G3150" s="2">
        <v>5.29</v>
      </c>
      <c r="H3150" s="2">
        <v>55.6</v>
      </c>
      <c r="I3150" s="2" t="s">
        <v>47</v>
      </c>
    </row>
    <row r="3151" ht="15.75" customHeight="1">
      <c r="A3151" s="2" t="s">
        <v>6915</v>
      </c>
      <c r="B3151" s="2" t="s">
        <v>6916</v>
      </c>
      <c r="C3151" s="2" t="s">
        <v>4661</v>
      </c>
      <c r="D3151" s="2" t="s">
        <v>948</v>
      </c>
      <c r="E3151" s="2" t="s">
        <v>950</v>
      </c>
      <c r="F3151" s="2">
        <v>144.0</v>
      </c>
      <c r="G3151" s="2">
        <v>6.92</v>
      </c>
      <c r="H3151" s="2">
        <v>20.8</v>
      </c>
      <c r="I3151" s="2" t="s">
        <v>47</v>
      </c>
    </row>
    <row r="3152" ht="15.75" customHeight="1">
      <c r="A3152" s="2" t="s">
        <v>6917</v>
      </c>
      <c r="B3152" s="2" t="s">
        <v>6918</v>
      </c>
      <c r="C3152" s="2" t="s">
        <v>4661</v>
      </c>
      <c r="D3152" s="2" t="s">
        <v>980</v>
      </c>
      <c r="E3152" s="2" t="s">
        <v>981</v>
      </c>
      <c r="F3152" s="2">
        <v>140.0</v>
      </c>
      <c r="G3152" s="2">
        <v>6.74</v>
      </c>
      <c r="H3152" s="2">
        <v>20.8</v>
      </c>
      <c r="I3152" s="2" t="s">
        <v>47</v>
      </c>
    </row>
    <row r="3153" ht="15.75" customHeight="1">
      <c r="A3153" s="2" t="s">
        <v>6919</v>
      </c>
      <c r="B3153" s="2" t="s">
        <v>6920</v>
      </c>
      <c r="C3153" s="2" t="s">
        <v>4661</v>
      </c>
      <c r="D3153" s="2" t="s">
        <v>880</v>
      </c>
      <c r="E3153" s="2" t="s">
        <v>881</v>
      </c>
      <c r="F3153" s="2">
        <v>207.0</v>
      </c>
      <c r="G3153" s="2">
        <v>6.89</v>
      </c>
      <c r="H3153" s="2">
        <v>30.0</v>
      </c>
      <c r="I3153" s="2" t="s">
        <v>47</v>
      </c>
    </row>
    <row r="3154" ht="15.75" customHeight="1">
      <c r="A3154" s="2" t="s">
        <v>4776</v>
      </c>
      <c r="B3154" s="2" t="s">
        <v>4777</v>
      </c>
      <c r="C3154" s="2" t="s">
        <v>4661</v>
      </c>
      <c r="D3154" s="2" t="s">
        <v>1051</v>
      </c>
      <c r="E3154" s="2" t="s">
        <v>1053</v>
      </c>
      <c r="F3154" s="2">
        <v>556.0</v>
      </c>
      <c r="G3154" s="2">
        <v>15.36</v>
      </c>
      <c r="H3154" s="2">
        <v>36.2</v>
      </c>
      <c r="I3154" s="2" t="s">
        <v>27</v>
      </c>
    </row>
    <row r="3155" ht="15.75" customHeight="1">
      <c r="A3155" s="2" t="s">
        <v>6921</v>
      </c>
      <c r="B3155" s="2" t="s">
        <v>6922</v>
      </c>
      <c r="C3155" s="2" t="s">
        <v>4661</v>
      </c>
      <c r="D3155" s="2" t="s">
        <v>1016</v>
      </c>
      <c r="E3155" s="2" t="s">
        <v>1017</v>
      </c>
      <c r="F3155" s="2">
        <v>370.0</v>
      </c>
      <c r="G3155" s="2">
        <v>8.11</v>
      </c>
      <c r="H3155" s="2">
        <v>45.6</v>
      </c>
      <c r="I3155" s="2" t="s">
        <v>47</v>
      </c>
    </row>
    <row r="3156" ht="15.75" customHeight="1">
      <c r="A3156" s="2" t="s">
        <v>6923</v>
      </c>
      <c r="B3156" s="2" t="s">
        <v>6924</v>
      </c>
      <c r="C3156" s="2" t="s">
        <v>4661</v>
      </c>
      <c r="D3156" s="2" t="s">
        <v>1066</v>
      </c>
      <c r="E3156" s="2" t="s">
        <v>1069</v>
      </c>
      <c r="F3156" s="2">
        <v>90.0</v>
      </c>
      <c r="G3156" s="2">
        <v>4.41</v>
      </c>
      <c r="H3156" s="2">
        <v>20.4</v>
      </c>
      <c r="I3156" s="2" t="s">
        <v>47</v>
      </c>
    </row>
    <row r="3157" ht="15.75" customHeight="1">
      <c r="A3157" s="2" t="s">
        <v>6925</v>
      </c>
      <c r="B3157" s="2" t="s">
        <v>6926</v>
      </c>
      <c r="C3157" s="2" t="s">
        <v>4661</v>
      </c>
      <c r="D3157" s="2" t="s">
        <v>869</v>
      </c>
      <c r="E3157" s="2" t="s">
        <v>870</v>
      </c>
      <c r="F3157" s="2">
        <v>41.0</v>
      </c>
      <c r="G3157" s="2">
        <v>1.88</v>
      </c>
      <c r="H3157" s="2">
        <v>21.8</v>
      </c>
      <c r="I3157" s="2" t="s">
        <v>47</v>
      </c>
    </row>
    <row r="3158" ht="15.75" customHeight="1">
      <c r="A3158" s="2" t="s">
        <v>6804</v>
      </c>
      <c r="B3158" s="2" t="s">
        <v>6805</v>
      </c>
      <c r="C3158" s="2" t="s">
        <v>4661</v>
      </c>
      <c r="D3158" s="2" t="s">
        <v>1009</v>
      </c>
      <c r="E3158" s="2" t="s">
        <v>1010</v>
      </c>
      <c r="F3158" s="2">
        <v>126.0</v>
      </c>
      <c r="G3158" s="2">
        <v>3.6</v>
      </c>
      <c r="H3158" s="2">
        <v>35.0</v>
      </c>
      <c r="I3158" s="2" t="s">
        <v>47</v>
      </c>
    </row>
    <row r="3159" ht="15.75" customHeight="1">
      <c r="A3159" s="2" t="s">
        <v>6818</v>
      </c>
      <c r="B3159" s="2" t="s">
        <v>6819</v>
      </c>
      <c r="C3159" s="2" t="s">
        <v>4661</v>
      </c>
      <c r="D3159" s="2" t="s">
        <v>980</v>
      </c>
      <c r="E3159" s="2" t="s">
        <v>981</v>
      </c>
      <c r="F3159" s="2">
        <v>153.0</v>
      </c>
      <c r="G3159" s="2">
        <v>3.58</v>
      </c>
      <c r="H3159" s="2">
        <v>42.7</v>
      </c>
      <c r="I3159" s="2" t="s">
        <v>47</v>
      </c>
    </row>
    <row r="3160" ht="15.75" customHeight="1">
      <c r="A3160" s="2" t="s">
        <v>4778</v>
      </c>
      <c r="B3160" s="2" t="s">
        <v>4779</v>
      </c>
      <c r="C3160" s="2" t="s">
        <v>4661</v>
      </c>
      <c r="D3160" s="2" t="s">
        <v>1022</v>
      </c>
      <c r="E3160" s="2" t="s">
        <v>1025</v>
      </c>
      <c r="F3160" s="2">
        <v>500.0</v>
      </c>
      <c r="G3160" s="2">
        <v>9.83</v>
      </c>
      <c r="H3160" s="2">
        <v>50.9</v>
      </c>
      <c r="I3160" s="2" t="s">
        <v>27</v>
      </c>
    </row>
    <row r="3161" ht="15.75" customHeight="1">
      <c r="A3161" s="2" t="s">
        <v>6821</v>
      </c>
      <c r="B3161" s="2" t="s">
        <v>6822</v>
      </c>
      <c r="C3161" s="2" t="s">
        <v>4661</v>
      </c>
      <c r="D3161" s="2" t="s">
        <v>1009</v>
      </c>
      <c r="E3161" s="2" t="s">
        <v>1010</v>
      </c>
      <c r="F3161" s="2">
        <v>301.0</v>
      </c>
      <c r="G3161" s="2">
        <v>7.09</v>
      </c>
      <c r="H3161" s="2">
        <v>42.5</v>
      </c>
      <c r="I3161" s="2" t="s">
        <v>47</v>
      </c>
    </row>
    <row r="3162" ht="15.75" customHeight="1">
      <c r="A3162" s="2" t="s">
        <v>4782</v>
      </c>
      <c r="B3162" s="2" t="s">
        <v>4783</v>
      </c>
      <c r="C3162" s="2" t="s">
        <v>4661</v>
      </c>
      <c r="D3162" s="2" t="s">
        <v>1022</v>
      </c>
      <c r="E3162" s="2" t="s">
        <v>1025</v>
      </c>
      <c r="F3162" s="2">
        <v>882.0</v>
      </c>
      <c r="G3162" s="2">
        <v>2.98</v>
      </c>
      <c r="H3162" s="2">
        <v>296.0</v>
      </c>
      <c r="I3162" s="2" t="s">
        <v>27</v>
      </c>
    </row>
    <row r="3163" ht="15.75" customHeight="1">
      <c r="A3163" s="2" t="s">
        <v>6847</v>
      </c>
      <c r="B3163" s="2" t="s">
        <v>6848</v>
      </c>
      <c r="C3163" s="2" t="s">
        <v>4661</v>
      </c>
      <c r="D3163" s="2" t="s">
        <v>869</v>
      </c>
      <c r="E3163" s="2" t="s">
        <v>870</v>
      </c>
      <c r="F3163" s="2">
        <v>124.0</v>
      </c>
      <c r="G3163" s="2">
        <v>2.88</v>
      </c>
      <c r="H3163" s="2">
        <v>43.1</v>
      </c>
      <c r="I3163" s="2" t="s">
        <v>47</v>
      </c>
    </row>
    <row r="3164" ht="15.75" customHeight="1">
      <c r="A3164" s="2" t="s">
        <v>6927</v>
      </c>
      <c r="B3164" s="2" t="s">
        <v>6928</v>
      </c>
      <c r="C3164" s="2" t="s">
        <v>4661</v>
      </c>
      <c r="D3164" s="2" t="s">
        <v>1016</v>
      </c>
      <c r="E3164" s="2" t="s">
        <v>1017</v>
      </c>
      <c r="F3164" s="2">
        <v>300.0</v>
      </c>
      <c r="G3164" s="2">
        <v>6.13</v>
      </c>
      <c r="H3164" s="2">
        <v>48.9</v>
      </c>
      <c r="I3164" s="2" t="s">
        <v>47</v>
      </c>
    </row>
    <row r="3165" ht="15.75" customHeight="1">
      <c r="A3165" s="2" t="s">
        <v>4786</v>
      </c>
      <c r="B3165" s="2" t="s">
        <v>4787</v>
      </c>
      <c r="C3165" s="2" t="s">
        <v>4661</v>
      </c>
      <c r="D3165" s="2" t="s">
        <v>774</v>
      </c>
      <c r="E3165" s="2" t="s">
        <v>775</v>
      </c>
      <c r="F3165" s="2">
        <v>1191.0</v>
      </c>
      <c r="G3165" s="2">
        <v>5.34</v>
      </c>
      <c r="H3165" s="2">
        <v>223.0</v>
      </c>
      <c r="I3165" s="2" t="s">
        <v>27</v>
      </c>
    </row>
    <row r="3166" ht="15.75" customHeight="1">
      <c r="A3166" s="2" t="s">
        <v>6929</v>
      </c>
      <c r="B3166" s="2" t="s">
        <v>6930</v>
      </c>
      <c r="C3166" s="2" t="s">
        <v>4661</v>
      </c>
      <c r="D3166" s="2" t="s">
        <v>1022</v>
      </c>
      <c r="E3166" s="2" t="s">
        <v>1025</v>
      </c>
      <c r="F3166" s="2">
        <v>222.0</v>
      </c>
      <c r="G3166" s="2">
        <v>7.05</v>
      </c>
      <c r="H3166" s="2">
        <v>31.5</v>
      </c>
      <c r="I3166" s="2" t="s">
        <v>47</v>
      </c>
    </row>
    <row r="3167" ht="15.75" customHeight="1">
      <c r="A3167" s="2" t="s">
        <v>4788</v>
      </c>
      <c r="B3167" s="2" t="s">
        <v>4789</v>
      </c>
      <c r="C3167" s="2" t="s">
        <v>4661</v>
      </c>
      <c r="D3167" s="2" t="s">
        <v>1071</v>
      </c>
      <c r="E3167" s="2" t="s">
        <v>1075</v>
      </c>
      <c r="F3167" s="2">
        <v>704.0</v>
      </c>
      <c r="G3167" s="2">
        <v>12.04</v>
      </c>
      <c r="H3167" s="2">
        <v>58.5</v>
      </c>
      <c r="I3167" s="2" t="s">
        <v>27</v>
      </c>
    </row>
    <row r="3168" ht="15.75" customHeight="1">
      <c r="A3168" s="2" t="s">
        <v>6931</v>
      </c>
      <c r="B3168" s="2" t="s">
        <v>6932</v>
      </c>
      <c r="C3168" s="2" t="s">
        <v>4661</v>
      </c>
      <c r="D3168" s="2" t="s">
        <v>796</v>
      </c>
      <c r="E3168" s="2" t="s">
        <v>797</v>
      </c>
      <c r="F3168" s="2">
        <v>740.0</v>
      </c>
      <c r="G3168" s="2">
        <v>12.8</v>
      </c>
      <c r="H3168" s="2">
        <v>57.8</v>
      </c>
      <c r="I3168" s="2" t="s">
        <v>27</v>
      </c>
    </row>
    <row r="3169" ht="15.75" customHeight="1">
      <c r="A3169" s="2" t="s">
        <v>4790</v>
      </c>
      <c r="B3169" s="2" t="s">
        <v>4791</v>
      </c>
      <c r="C3169" s="2" t="s">
        <v>4661</v>
      </c>
      <c r="D3169" s="2" t="s">
        <v>774</v>
      </c>
      <c r="E3169" s="2" t="s">
        <v>775</v>
      </c>
      <c r="F3169" s="2">
        <v>4359.0</v>
      </c>
      <c r="G3169" s="2">
        <v>13.04</v>
      </c>
      <c r="H3169" s="2">
        <v>334.3</v>
      </c>
      <c r="I3169" s="2" t="s">
        <v>138</v>
      </c>
    </row>
    <row r="3170" ht="15.75" customHeight="1">
      <c r="A3170" s="2" t="s">
        <v>6933</v>
      </c>
      <c r="B3170" s="2" t="s">
        <v>6934</v>
      </c>
      <c r="C3170" s="2" t="s">
        <v>4661</v>
      </c>
      <c r="D3170" s="2" t="s">
        <v>1066</v>
      </c>
      <c r="E3170" s="2" t="s">
        <v>1069</v>
      </c>
      <c r="F3170" s="2">
        <v>182.0</v>
      </c>
      <c r="G3170" s="2">
        <v>4.6</v>
      </c>
      <c r="H3170" s="2">
        <v>39.6</v>
      </c>
      <c r="I3170" s="2" t="s">
        <v>47</v>
      </c>
    </row>
    <row r="3171" ht="15.75" customHeight="1">
      <c r="A3171" s="2" t="s">
        <v>4794</v>
      </c>
      <c r="B3171" s="2" t="s">
        <v>4795</v>
      </c>
      <c r="C3171" s="2" t="s">
        <v>4661</v>
      </c>
      <c r="D3171" s="2" t="s">
        <v>1035</v>
      </c>
      <c r="E3171" s="2" t="s">
        <v>1037</v>
      </c>
      <c r="F3171" s="2">
        <v>705.0</v>
      </c>
      <c r="G3171" s="2">
        <v>10.21</v>
      </c>
      <c r="H3171" s="2">
        <v>69.0</v>
      </c>
      <c r="I3171" s="2" t="s">
        <v>27</v>
      </c>
    </row>
    <row r="3172" ht="15.75" customHeight="1">
      <c r="A3172" s="2" t="s">
        <v>4796</v>
      </c>
      <c r="B3172" s="2" t="s">
        <v>4797</v>
      </c>
      <c r="C3172" s="2" t="s">
        <v>4661</v>
      </c>
      <c r="D3172" s="2" t="s">
        <v>1051</v>
      </c>
      <c r="E3172" s="2" t="s">
        <v>1053</v>
      </c>
      <c r="F3172" s="2">
        <v>348.0</v>
      </c>
      <c r="G3172" s="2">
        <v>6.44</v>
      </c>
      <c r="H3172" s="2">
        <v>54.0</v>
      </c>
      <c r="I3172" s="2" t="s">
        <v>47</v>
      </c>
    </row>
    <row r="3173" ht="15.75" customHeight="1">
      <c r="A3173" s="2" t="s">
        <v>4798</v>
      </c>
      <c r="B3173" s="2" t="s">
        <v>4799</v>
      </c>
      <c r="C3173" s="2" t="s">
        <v>4661</v>
      </c>
      <c r="D3173" s="2" t="s">
        <v>1009</v>
      </c>
      <c r="E3173" s="2" t="s">
        <v>1010</v>
      </c>
      <c r="F3173" s="2">
        <v>1035.0</v>
      </c>
      <c r="G3173" s="2">
        <v>17.26</v>
      </c>
      <c r="H3173" s="2">
        <v>60.0</v>
      </c>
      <c r="I3173" s="2" t="s">
        <v>27</v>
      </c>
    </row>
    <row r="3174" ht="15.75" customHeight="1">
      <c r="A3174" s="2" t="s">
        <v>6935</v>
      </c>
      <c r="B3174" s="2" t="s">
        <v>6936</v>
      </c>
      <c r="C3174" s="2" t="s">
        <v>4661</v>
      </c>
      <c r="D3174" s="2" t="s">
        <v>1066</v>
      </c>
      <c r="E3174" s="2" t="s">
        <v>1069</v>
      </c>
      <c r="F3174" s="2">
        <v>59.0</v>
      </c>
      <c r="G3174" s="2">
        <v>3.76</v>
      </c>
      <c r="H3174" s="2">
        <v>15.7</v>
      </c>
      <c r="I3174" s="2" t="s">
        <v>47</v>
      </c>
    </row>
    <row r="3175" ht="15.75" customHeight="1">
      <c r="A3175" s="2" t="s">
        <v>6937</v>
      </c>
      <c r="B3175" s="2" t="s">
        <v>6938</v>
      </c>
      <c r="C3175" s="2" t="s">
        <v>4661</v>
      </c>
      <c r="D3175" s="2" t="s">
        <v>948</v>
      </c>
      <c r="E3175" s="2" t="s">
        <v>950</v>
      </c>
      <c r="F3175" s="2">
        <v>110.0</v>
      </c>
      <c r="G3175" s="2">
        <v>4.05</v>
      </c>
      <c r="H3175" s="2">
        <v>27.2</v>
      </c>
      <c r="I3175" s="2" t="s">
        <v>47</v>
      </c>
    </row>
    <row r="3176" ht="15.75" customHeight="1">
      <c r="A3176" s="2" t="s">
        <v>6939</v>
      </c>
      <c r="B3176" s="2" t="s">
        <v>6940</v>
      </c>
      <c r="C3176" s="2" t="s">
        <v>4661</v>
      </c>
      <c r="D3176" s="2" t="s">
        <v>796</v>
      </c>
      <c r="E3176" s="2" t="s">
        <v>797</v>
      </c>
      <c r="F3176" s="2">
        <v>548.0</v>
      </c>
      <c r="G3176" s="2">
        <v>6.16</v>
      </c>
      <c r="H3176" s="2">
        <v>89.0</v>
      </c>
      <c r="I3176" s="2" t="s">
        <v>27</v>
      </c>
    </row>
    <row r="3177" ht="15.75" customHeight="1">
      <c r="A3177" s="2" t="s">
        <v>4800</v>
      </c>
      <c r="B3177" s="2" t="s">
        <v>4801</v>
      </c>
      <c r="C3177" s="2" t="s">
        <v>4661</v>
      </c>
      <c r="D3177" s="2" t="s">
        <v>980</v>
      </c>
      <c r="E3177" s="2" t="s">
        <v>981</v>
      </c>
      <c r="F3177" s="2">
        <v>546.0</v>
      </c>
      <c r="G3177" s="2">
        <v>11.91</v>
      </c>
      <c r="H3177" s="2">
        <v>45.8</v>
      </c>
      <c r="I3177" s="2" t="s">
        <v>27</v>
      </c>
    </row>
    <row r="3178" ht="15.75" customHeight="1">
      <c r="A3178" s="2" t="s">
        <v>6941</v>
      </c>
      <c r="B3178" s="2" t="s">
        <v>6942</v>
      </c>
      <c r="C3178" s="2" t="s">
        <v>4661</v>
      </c>
      <c r="D3178" s="2" t="s">
        <v>774</v>
      </c>
      <c r="E3178" s="2" t="s">
        <v>775</v>
      </c>
      <c r="F3178" s="2">
        <v>513.0</v>
      </c>
      <c r="G3178" s="2">
        <v>5.49</v>
      </c>
      <c r="H3178" s="2">
        <v>93.4</v>
      </c>
      <c r="I3178" s="2" t="s">
        <v>27</v>
      </c>
    </row>
    <row r="3179" ht="15.75" customHeight="1">
      <c r="A3179" s="2" t="s">
        <v>7355</v>
      </c>
      <c r="B3179" s="2" t="s">
        <v>7356</v>
      </c>
      <c r="C3179" s="2" t="s">
        <v>4661</v>
      </c>
      <c r="D3179" s="2" t="s">
        <v>980</v>
      </c>
      <c r="E3179" s="2" t="s">
        <v>981</v>
      </c>
      <c r="F3179" s="2">
        <v>255.0</v>
      </c>
      <c r="G3179" s="2">
        <v>10.26</v>
      </c>
      <c r="H3179" s="2">
        <v>24.9</v>
      </c>
      <c r="I3179" s="2" t="s">
        <v>47</v>
      </c>
    </row>
    <row r="3180" ht="15.75" customHeight="1">
      <c r="A3180" s="2" t="s">
        <v>6945</v>
      </c>
      <c r="B3180" s="2" t="s">
        <v>6946</v>
      </c>
      <c r="C3180" s="2" t="s">
        <v>4661</v>
      </c>
      <c r="D3180" s="2" t="s">
        <v>948</v>
      </c>
      <c r="E3180" s="2" t="s">
        <v>950</v>
      </c>
      <c r="F3180" s="2">
        <v>250.0</v>
      </c>
      <c r="G3180" s="2">
        <v>5.55</v>
      </c>
      <c r="H3180" s="2">
        <v>45.0</v>
      </c>
      <c r="I3180" s="2" t="s">
        <v>47</v>
      </c>
    </row>
    <row r="3181" ht="15.75" customHeight="1">
      <c r="A3181" s="2" t="s">
        <v>4802</v>
      </c>
      <c r="B3181" s="2" t="s">
        <v>4803</v>
      </c>
      <c r="C3181" s="2" t="s">
        <v>4661</v>
      </c>
      <c r="D3181" s="2" t="s">
        <v>880</v>
      </c>
      <c r="E3181" s="2" t="s">
        <v>881</v>
      </c>
      <c r="F3181" s="2">
        <v>688.0</v>
      </c>
      <c r="G3181" s="2">
        <v>15.26</v>
      </c>
      <c r="H3181" s="2">
        <v>45.1</v>
      </c>
      <c r="I3181" s="2" t="s">
        <v>27</v>
      </c>
    </row>
    <row r="3182" ht="15.75" customHeight="1">
      <c r="A3182" s="2" t="s">
        <v>6947</v>
      </c>
      <c r="B3182" s="2" t="s">
        <v>6948</v>
      </c>
      <c r="C3182" s="2" t="s">
        <v>4661</v>
      </c>
      <c r="D3182" s="2" t="s">
        <v>1066</v>
      </c>
      <c r="E3182" s="2" t="s">
        <v>1069</v>
      </c>
      <c r="F3182" s="2">
        <v>223.0</v>
      </c>
      <c r="G3182" s="2">
        <v>5.43</v>
      </c>
      <c r="H3182" s="2">
        <v>41.1</v>
      </c>
      <c r="I3182" s="2" t="s">
        <v>47</v>
      </c>
    </row>
    <row r="3183" ht="15.75" customHeight="1">
      <c r="A3183" s="2" t="s">
        <v>6949</v>
      </c>
      <c r="B3183" s="2" t="s">
        <v>6950</v>
      </c>
      <c r="C3183" s="2" t="s">
        <v>4661</v>
      </c>
      <c r="D3183" s="2" t="s">
        <v>1035</v>
      </c>
      <c r="E3183" s="2" t="s">
        <v>1037</v>
      </c>
      <c r="F3183" s="2">
        <v>90.0</v>
      </c>
      <c r="G3183" s="2">
        <v>5.45</v>
      </c>
      <c r="H3183" s="2">
        <v>16.5</v>
      </c>
      <c r="I3183" s="2" t="s">
        <v>47</v>
      </c>
    </row>
    <row r="3184" ht="15.75" customHeight="1">
      <c r="A3184" s="2" t="s">
        <v>6951</v>
      </c>
      <c r="B3184" s="2" t="s">
        <v>6952</v>
      </c>
      <c r="C3184" s="2" t="s">
        <v>4661</v>
      </c>
      <c r="D3184" s="2" t="s">
        <v>853</v>
      </c>
      <c r="E3184" s="2" t="s">
        <v>854</v>
      </c>
      <c r="F3184" s="2">
        <v>123.0</v>
      </c>
      <c r="G3184" s="2">
        <v>5.47</v>
      </c>
      <c r="H3184" s="2">
        <v>22.5</v>
      </c>
      <c r="I3184" s="2" t="s">
        <v>47</v>
      </c>
    </row>
    <row r="3185" ht="15.75" customHeight="1">
      <c r="A3185" s="2" t="s">
        <v>4804</v>
      </c>
      <c r="B3185" s="2" t="s">
        <v>4805</v>
      </c>
      <c r="C3185" s="2" t="s">
        <v>4661</v>
      </c>
      <c r="D3185" s="2" t="s">
        <v>796</v>
      </c>
      <c r="E3185" s="2" t="s">
        <v>797</v>
      </c>
      <c r="F3185" s="2">
        <v>2316.0</v>
      </c>
      <c r="G3185" s="2">
        <v>27.24</v>
      </c>
      <c r="H3185" s="2">
        <v>85.0</v>
      </c>
      <c r="I3185" s="2" t="s">
        <v>138</v>
      </c>
    </row>
    <row r="3186" ht="15.75" customHeight="1">
      <c r="A3186" s="2" t="s">
        <v>4808</v>
      </c>
      <c r="B3186" s="2" t="s">
        <v>4809</v>
      </c>
      <c r="C3186" s="2" t="s">
        <v>4661</v>
      </c>
      <c r="D3186" s="2" t="s">
        <v>1016</v>
      </c>
      <c r="E3186" s="2" t="s">
        <v>1017</v>
      </c>
      <c r="F3186" s="2">
        <v>526.0</v>
      </c>
      <c r="G3186" s="2">
        <v>10.92</v>
      </c>
      <c r="H3186" s="2">
        <v>48.2</v>
      </c>
      <c r="I3186" s="2" t="s">
        <v>27</v>
      </c>
    </row>
    <row r="3187" ht="15.75" customHeight="1">
      <c r="A3187" s="2" t="s">
        <v>6953</v>
      </c>
      <c r="B3187" s="2" t="s">
        <v>6954</v>
      </c>
      <c r="C3187" s="2" t="s">
        <v>4661</v>
      </c>
      <c r="D3187" s="2" t="s">
        <v>1066</v>
      </c>
      <c r="E3187" s="2" t="s">
        <v>1069</v>
      </c>
      <c r="F3187" s="2">
        <v>278.0</v>
      </c>
      <c r="G3187" s="2">
        <v>5.61</v>
      </c>
      <c r="H3187" s="2">
        <v>49.6</v>
      </c>
      <c r="I3187" s="2" t="s">
        <v>47</v>
      </c>
    </row>
    <row r="3188" ht="15.75" customHeight="1">
      <c r="A3188" s="2" t="s">
        <v>6955</v>
      </c>
      <c r="B3188" s="2" t="s">
        <v>6956</v>
      </c>
      <c r="C3188" s="2" t="s">
        <v>4661</v>
      </c>
      <c r="D3188" s="2" t="s">
        <v>948</v>
      </c>
      <c r="E3188" s="2" t="s">
        <v>950</v>
      </c>
      <c r="F3188" s="2">
        <v>272.0</v>
      </c>
      <c r="G3188" s="2">
        <v>8.85</v>
      </c>
      <c r="H3188" s="2">
        <v>30.7</v>
      </c>
      <c r="I3188" s="2" t="s">
        <v>47</v>
      </c>
    </row>
    <row r="3189" ht="15.75" customHeight="1">
      <c r="A3189" s="2" t="s">
        <v>4810</v>
      </c>
      <c r="B3189" s="2" t="s">
        <v>4811</v>
      </c>
      <c r="C3189" s="2" t="s">
        <v>4661</v>
      </c>
      <c r="D3189" s="2" t="s">
        <v>1071</v>
      </c>
      <c r="E3189" s="2" t="s">
        <v>1075</v>
      </c>
      <c r="F3189" s="2">
        <v>1969.0</v>
      </c>
      <c r="G3189" s="2">
        <v>8.52</v>
      </c>
      <c r="H3189" s="2">
        <v>231.1</v>
      </c>
      <c r="I3189" s="2" t="s">
        <v>27</v>
      </c>
    </row>
    <row r="3190" ht="15.75" customHeight="1">
      <c r="A3190" s="2" t="s">
        <v>6957</v>
      </c>
      <c r="B3190" s="2" t="s">
        <v>6958</v>
      </c>
      <c r="C3190" s="2" t="s">
        <v>4661</v>
      </c>
      <c r="D3190" s="2" t="s">
        <v>853</v>
      </c>
      <c r="E3190" s="2" t="s">
        <v>854</v>
      </c>
      <c r="F3190" s="2">
        <v>570.0</v>
      </c>
      <c r="G3190" s="2">
        <v>11.56</v>
      </c>
      <c r="H3190" s="2">
        <v>49.3</v>
      </c>
      <c r="I3190" s="2" t="s">
        <v>27</v>
      </c>
    </row>
    <row r="3191" ht="15.75" customHeight="1">
      <c r="A3191" s="2" t="s">
        <v>6961</v>
      </c>
      <c r="B3191" s="2" t="s">
        <v>6962</v>
      </c>
      <c r="C3191" s="2" t="s">
        <v>4661</v>
      </c>
      <c r="D3191" s="2" t="s">
        <v>1071</v>
      </c>
      <c r="E3191" s="2" t="s">
        <v>1075</v>
      </c>
      <c r="F3191" s="2">
        <v>169.0</v>
      </c>
      <c r="G3191" s="2">
        <v>4.93</v>
      </c>
      <c r="H3191" s="2">
        <v>34.3</v>
      </c>
      <c r="I3191" s="2" t="s">
        <v>47</v>
      </c>
    </row>
    <row r="3192" ht="15.75" customHeight="1">
      <c r="A3192" s="2" t="s">
        <v>6963</v>
      </c>
      <c r="B3192" s="2" t="s">
        <v>6964</v>
      </c>
      <c r="C3192" s="2" t="s">
        <v>4661</v>
      </c>
      <c r="D3192" s="2" t="s">
        <v>1016</v>
      </c>
      <c r="E3192" s="2" t="s">
        <v>1017</v>
      </c>
      <c r="F3192" s="2">
        <v>172.0</v>
      </c>
      <c r="G3192" s="2">
        <v>6.9</v>
      </c>
      <c r="H3192" s="2">
        <v>24.9</v>
      </c>
      <c r="I3192" s="2" t="s">
        <v>47</v>
      </c>
    </row>
    <row r="3193" ht="15.75" customHeight="1">
      <c r="A3193" s="2" t="s">
        <v>6965</v>
      </c>
      <c r="B3193" s="2" t="s">
        <v>6966</v>
      </c>
      <c r="C3193" s="2" t="s">
        <v>4661</v>
      </c>
      <c r="D3193" s="2" t="s">
        <v>853</v>
      </c>
      <c r="E3193" s="2" t="s">
        <v>854</v>
      </c>
      <c r="F3193" s="2">
        <v>158.0</v>
      </c>
      <c r="G3193" s="2">
        <v>7.88</v>
      </c>
      <c r="H3193" s="2">
        <v>20.1</v>
      </c>
      <c r="I3193" s="2" t="s">
        <v>47</v>
      </c>
    </row>
    <row r="3194" ht="15.75" customHeight="1">
      <c r="A3194" s="2" t="s">
        <v>6967</v>
      </c>
      <c r="B3194" s="2" t="s">
        <v>6968</v>
      </c>
      <c r="C3194" s="2" t="s">
        <v>4661</v>
      </c>
      <c r="D3194" s="2" t="s">
        <v>1071</v>
      </c>
      <c r="E3194" s="2" t="s">
        <v>1075</v>
      </c>
      <c r="F3194" s="2">
        <v>152.0</v>
      </c>
      <c r="G3194" s="2">
        <v>4.61</v>
      </c>
      <c r="H3194" s="2">
        <v>33.0</v>
      </c>
      <c r="I3194" s="2" t="s">
        <v>47</v>
      </c>
    </row>
    <row r="3195" ht="15.75" customHeight="1">
      <c r="A3195" s="2" t="s">
        <v>6969</v>
      </c>
      <c r="B3195" s="2" t="s">
        <v>6970</v>
      </c>
      <c r="C3195" s="2" t="s">
        <v>4661</v>
      </c>
      <c r="D3195" s="2" t="s">
        <v>980</v>
      </c>
      <c r="E3195" s="2" t="s">
        <v>981</v>
      </c>
      <c r="F3195" s="2">
        <v>147.0</v>
      </c>
      <c r="G3195" s="2">
        <v>4.9</v>
      </c>
      <c r="H3195" s="2">
        <v>30.0</v>
      </c>
      <c r="I3195" s="2" t="s">
        <v>47</v>
      </c>
    </row>
    <row r="3196" ht="15.75" customHeight="1">
      <c r="A3196" s="2" t="s">
        <v>4814</v>
      </c>
      <c r="B3196" s="2" t="s">
        <v>4815</v>
      </c>
      <c r="C3196" s="2" t="s">
        <v>4661</v>
      </c>
      <c r="D3196" s="2" t="s">
        <v>1022</v>
      </c>
      <c r="E3196" s="2" t="s">
        <v>1025</v>
      </c>
      <c r="F3196" s="2">
        <v>1190.0</v>
      </c>
      <c r="G3196" s="2">
        <v>7.32</v>
      </c>
      <c r="H3196" s="2">
        <v>162.6</v>
      </c>
      <c r="I3196" s="2" t="s">
        <v>27</v>
      </c>
    </row>
    <row r="3197" ht="15.75" customHeight="1">
      <c r="A3197" s="2" t="s">
        <v>6971</v>
      </c>
      <c r="B3197" s="2" t="s">
        <v>6972</v>
      </c>
      <c r="C3197" s="2" t="s">
        <v>4661</v>
      </c>
      <c r="D3197" s="2" t="s">
        <v>796</v>
      </c>
      <c r="E3197" s="2" t="s">
        <v>797</v>
      </c>
      <c r="F3197" s="2">
        <v>240.0</v>
      </c>
      <c r="G3197" s="2">
        <v>6.45</v>
      </c>
      <c r="H3197" s="2">
        <v>37.2</v>
      </c>
      <c r="I3197" s="2" t="s">
        <v>47</v>
      </c>
    </row>
    <row r="3198" ht="15.75" customHeight="1">
      <c r="A3198" s="2" t="s">
        <v>6973</v>
      </c>
      <c r="B3198" s="2" t="s">
        <v>6974</v>
      </c>
      <c r="C3198" s="2" t="s">
        <v>4661</v>
      </c>
      <c r="D3198" s="2" t="s">
        <v>869</v>
      </c>
      <c r="E3198" s="2" t="s">
        <v>870</v>
      </c>
      <c r="F3198" s="2">
        <v>30.0</v>
      </c>
      <c r="G3198" s="2">
        <v>1.82</v>
      </c>
      <c r="H3198" s="2">
        <v>16.5</v>
      </c>
      <c r="I3198" s="2" t="s">
        <v>47</v>
      </c>
    </row>
    <row r="3199" ht="15.75" customHeight="1">
      <c r="A3199" s="2" t="s">
        <v>6975</v>
      </c>
      <c r="B3199" s="2" t="s">
        <v>6976</v>
      </c>
      <c r="C3199" s="2" t="s">
        <v>4661</v>
      </c>
      <c r="D3199" s="2" t="s">
        <v>774</v>
      </c>
      <c r="E3199" s="2" t="s">
        <v>775</v>
      </c>
      <c r="F3199" s="2">
        <v>376.0</v>
      </c>
      <c r="G3199" s="2">
        <v>6.62</v>
      </c>
      <c r="H3199" s="2">
        <v>56.8</v>
      </c>
      <c r="I3199" s="2" t="s">
        <v>47</v>
      </c>
    </row>
    <row r="3200" ht="15.75" customHeight="1">
      <c r="A3200" s="2" t="s">
        <v>4816</v>
      </c>
      <c r="B3200" s="2" t="s">
        <v>4817</v>
      </c>
      <c r="C3200" s="2" t="s">
        <v>4661</v>
      </c>
      <c r="D3200" s="2" t="s">
        <v>880</v>
      </c>
      <c r="E3200" s="2" t="s">
        <v>881</v>
      </c>
      <c r="F3200" s="2">
        <v>516.0</v>
      </c>
      <c r="G3200" s="2">
        <v>18.83</v>
      </c>
      <c r="H3200" s="2">
        <v>27.4</v>
      </c>
      <c r="I3200" s="2" t="s">
        <v>27</v>
      </c>
    </row>
    <row r="3201" ht="15.75" customHeight="1">
      <c r="A3201" s="2" t="s">
        <v>6977</v>
      </c>
      <c r="B3201" s="2" t="s">
        <v>6978</v>
      </c>
      <c r="C3201" s="2" t="s">
        <v>4661</v>
      </c>
      <c r="D3201" s="2" t="s">
        <v>1051</v>
      </c>
      <c r="E3201" s="2" t="s">
        <v>1053</v>
      </c>
      <c r="F3201" s="2">
        <v>220.0</v>
      </c>
      <c r="G3201" s="2">
        <v>9.63</v>
      </c>
      <c r="H3201" s="2">
        <v>22.8</v>
      </c>
      <c r="I3201" s="2" t="s">
        <v>47</v>
      </c>
    </row>
    <row r="3202" ht="15.75" customHeight="1">
      <c r="A3202" s="2" t="s">
        <v>6979</v>
      </c>
      <c r="B3202" s="2" t="s">
        <v>6980</v>
      </c>
      <c r="C3202" s="2" t="s">
        <v>4661</v>
      </c>
      <c r="D3202" s="2" t="s">
        <v>980</v>
      </c>
      <c r="E3202" s="2" t="s">
        <v>981</v>
      </c>
      <c r="F3202" s="2">
        <v>45.0</v>
      </c>
      <c r="G3202" s="2">
        <v>2.9</v>
      </c>
      <c r="H3202" s="2">
        <v>15.5</v>
      </c>
      <c r="I3202" s="2" t="s">
        <v>47</v>
      </c>
    </row>
    <row r="3203" ht="15.75" customHeight="1">
      <c r="A3203" s="2" t="s">
        <v>6981</v>
      </c>
      <c r="B3203" s="2" t="s">
        <v>6982</v>
      </c>
      <c r="C3203" s="2" t="s">
        <v>4661</v>
      </c>
      <c r="D3203" s="2" t="s">
        <v>1009</v>
      </c>
      <c r="E3203" s="2" t="s">
        <v>1010</v>
      </c>
      <c r="F3203" s="2">
        <v>387.0</v>
      </c>
      <c r="G3203" s="2">
        <v>6.1</v>
      </c>
      <c r="H3203" s="2">
        <v>63.4</v>
      </c>
      <c r="I3203" s="2" t="s">
        <v>47</v>
      </c>
    </row>
    <row r="3204" ht="15.75" customHeight="1">
      <c r="A3204" s="2" t="s">
        <v>6983</v>
      </c>
      <c r="B3204" s="2" t="s">
        <v>6984</v>
      </c>
      <c r="C3204" s="2" t="s">
        <v>4661</v>
      </c>
      <c r="D3204" s="2" t="s">
        <v>980</v>
      </c>
      <c r="E3204" s="2" t="s">
        <v>981</v>
      </c>
      <c r="F3204" s="2">
        <v>80.0</v>
      </c>
      <c r="G3204" s="2">
        <v>4.44</v>
      </c>
      <c r="H3204" s="2">
        <v>18.0</v>
      </c>
      <c r="I3204" s="2" t="s">
        <v>47</v>
      </c>
    </row>
    <row r="3205" ht="15.75" customHeight="1">
      <c r="A3205" s="2" t="s">
        <v>4818</v>
      </c>
      <c r="B3205" s="2" t="s">
        <v>4819</v>
      </c>
      <c r="C3205" s="2" t="s">
        <v>4661</v>
      </c>
      <c r="D3205" s="2" t="s">
        <v>880</v>
      </c>
      <c r="E3205" s="2" t="s">
        <v>881</v>
      </c>
      <c r="F3205" s="2">
        <v>757.0</v>
      </c>
      <c r="G3205" s="2">
        <v>9.87</v>
      </c>
      <c r="H3205" s="2">
        <v>76.7</v>
      </c>
      <c r="I3205" s="2" t="s">
        <v>27</v>
      </c>
    </row>
    <row r="3206" ht="15.75" customHeight="1">
      <c r="A3206" s="2" t="s">
        <v>4820</v>
      </c>
      <c r="B3206" s="2" t="s">
        <v>4821</v>
      </c>
      <c r="C3206" s="2" t="s">
        <v>4661</v>
      </c>
      <c r="D3206" s="2" t="s">
        <v>796</v>
      </c>
      <c r="E3206" s="2" t="s">
        <v>797</v>
      </c>
      <c r="F3206" s="2">
        <v>865.0</v>
      </c>
      <c r="G3206" s="2">
        <v>10.33</v>
      </c>
      <c r="H3206" s="2">
        <v>83.7</v>
      </c>
      <c r="I3206" s="2" t="s">
        <v>27</v>
      </c>
    </row>
    <row r="3207" ht="15.75" customHeight="1">
      <c r="A3207" s="2" t="s">
        <v>6985</v>
      </c>
      <c r="B3207" s="2" t="s">
        <v>6986</v>
      </c>
      <c r="C3207" s="2" t="s">
        <v>4661</v>
      </c>
      <c r="D3207" s="2" t="s">
        <v>980</v>
      </c>
      <c r="E3207" s="2" t="s">
        <v>981</v>
      </c>
      <c r="F3207" s="2">
        <v>122.0</v>
      </c>
      <c r="G3207" s="2">
        <v>5.74</v>
      </c>
      <c r="H3207" s="2">
        <v>21.3</v>
      </c>
      <c r="I3207" s="2" t="s">
        <v>47</v>
      </c>
    </row>
    <row r="3208" ht="15.75" customHeight="1">
      <c r="A3208" s="2" t="s">
        <v>6987</v>
      </c>
      <c r="B3208" s="2" t="s">
        <v>6988</v>
      </c>
      <c r="C3208" s="2" t="s">
        <v>4661</v>
      </c>
      <c r="D3208" s="2" t="s">
        <v>1009</v>
      </c>
      <c r="E3208" s="2" t="s">
        <v>1010</v>
      </c>
      <c r="F3208" s="2">
        <v>305.0</v>
      </c>
      <c r="G3208" s="2">
        <v>8.49</v>
      </c>
      <c r="H3208" s="2">
        <v>35.9</v>
      </c>
      <c r="I3208" s="2" t="s">
        <v>47</v>
      </c>
    </row>
    <row r="3209" ht="15.75" customHeight="1">
      <c r="A3209" s="2" t="s">
        <v>6989</v>
      </c>
      <c r="B3209" s="2" t="s">
        <v>5159</v>
      </c>
      <c r="C3209" s="2" t="s">
        <v>4661</v>
      </c>
      <c r="D3209" s="2" t="s">
        <v>1009</v>
      </c>
      <c r="E3209" s="2" t="s">
        <v>1010</v>
      </c>
      <c r="F3209" s="2">
        <v>210.0</v>
      </c>
      <c r="G3209" s="2">
        <v>6.5</v>
      </c>
      <c r="H3209" s="2">
        <v>32.3</v>
      </c>
      <c r="I3209" s="2" t="s">
        <v>47</v>
      </c>
    </row>
    <row r="3210" ht="15.75" customHeight="1">
      <c r="A3210" s="2" t="s">
        <v>6990</v>
      </c>
      <c r="B3210" s="2" t="s">
        <v>6991</v>
      </c>
      <c r="C3210" s="2" t="s">
        <v>4661</v>
      </c>
      <c r="D3210" s="2" t="s">
        <v>1066</v>
      </c>
      <c r="E3210" s="2" t="s">
        <v>1069</v>
      </c>
      <c r="F3210" s="2">
        <v>149.0</v>
      </c>
      <c r="G3210" s="2">
        <v>9.77</v>
      </c>
      <c r="H3210" s="2">
        <v>15.3</v>
      </c>
      <c r="I3210" s="2" t="s">
        <v>47</v>
      </c>
    </row>
    <row r="3211" ht="15.75" customHeight="1">
      <c r="A3211" s="2" t="s">
        <v>4823</v>
      </c>
      <c r="B3211" s="2" t="s">
        <v>4824</v>
      </c>
      <c r="C3211" s="2" t="s">
        <v>4661</v>
      </c>
      <c r="D3211" s="2" t="s">
        <v>1066</v>
      </c>
      <c r="E3211" s="2" t="s">
        <v>1069</v>
      </c>
      <c r="F3211" s="2">
        <v>1660.0</v>
      </c>
      <c r="G3211" s="2">
        <v>23.73</v>
      </c>
      <c r="H3211" s="2">
        <v>70.0</v>
      </c>
      <c r="I3211" s="2" t="s">
        <v>27</v>
      </c>
    </row>
    <row r="3212" ht="15.75" customHeight="1">
      <c r="A3212" s="2" t="s">
        <v>4826</v>
      </c>
      <c r="B3212" s="2" t="s">
        <v>4828</v>
      </c>
      <c r="C3212" s="2" t="s">
        <v>4661</v>
      </c>
      <c r="D3212" s="2" t="s">
        <v>1016</v>
      </c>
      <c r="E3212" s="2" t="s">
        <v>1017</v>
      </c>
      <c r="F3212" s="2">
        <v>5982.0</v>
      </c>
      <c r="G3212" s="2">
        <v>16.33</v>
      </c>
      <c r="H3212" s="2">
        <v>366.3</v>
      </c>
      <c r="I3212" s="2" t="s">
        <v>138</v>
      </c>
    </row>
    <row r="3213" ht="15.75" customHeight="1">
      <c r="A3213" s="2" t="s">
        <v>6992</v>
      </c>
      <c r="B3213" s="2" t="s">
        <v>6993</v>
      </c>
      <c r="C3213" s="2" t="s">
        <v>4661</v>
      </c>
      <c r="D3213" s="2" t="s">
        <v>853</v>
      </c>
      <c r="E3213" s="2" t="s">
        <v>854</v>
      </c>
      <c r="F3213" s="2">
        <v>566.0</v>
      </c>
      <c r="G3213" s="2">
        <v>10.68</v>
      </c>
      <c r="H3213" s="2">
        <v>53.0</v>
      </c>
      <c r="I3213" s="2" t="s">
        <v>27</v>
      </c>
    </row>
    <row r="3214" ht="15.75" customHeight="1">
      <c r="A3214" s="2" t="s">
        <v>6994</v>
      </c>
      <c r="B3214" s="2" t="s">
        <v>6995</v>
      </c>
      <c r="C3214" s="2" t="s">
        <v>4661</v>
      </c>
      <c r="D3214" s="2" t="s">
        <v>853</v>
      </c>
      <c r="E3214" s="2" t="s">
        <v>854</v>
      </c>
      <c r="F3214" s="2">
        <v>313.0</v>
      </c>
      <c r="G3214" s="2">
        <v>9.38</v>
      </c>
      <c r="H3214" s="2">
        <v>33.4</v>
      </c>
      <c r="I3214" s="2" t="s">
        <v>47</v>
      </c>
    </row>
    <row r="3215" ht="15.75" customHeight="1">
      <c r="A3215" s="2" t="s">
        <v>6996</v>
      </c>
      <c r="B3215" s="2" t="s">
        <v>6997</v>
      </c>
      <c r="C3215" s="2" t="s">
        <v>4661</v>
      </c>
      <c r="D3215" s="2" t="s">
        <v>1051</v>
      </c>
      <c r="E3215" s="2" t="s">
        <v>1053</v>
      </c>
      <c r="F3215" s="2">
        <v>214.0</v>
      </c>
      <c r="G3215" s="2">
        <v>9.62</v>
      </c>
      <c r="H3215" s="2">
        <v>22.2</v>
      </c>
      <c r="I3215" s="2" t="s">
        <v>47</v>
      </c>
    </row>
    <row r="3216" ht="15.75" customHeight="1">
      <c r="A3216" s="2" t="s">
        <v>6998</v>
      </c>
      <c r="B3216" s="2" t="s">
        <v>6999</v>
      </c>
      <c r="C3216" s="2" t="s">
        <v>4661</v>
      </c>
      <c r="D3216" s="2" t="s">
        <v>980</v>
      </c>
      <c r="E3216" s="2" t="s">
        <v>981</v>
      </c>
      <c r="F3216" s="2">
        <v>152.0</v>
      </c>
      <c r="G3216" s="2">
        <v>4.65</v>
      </c>
      <c r="H3216" s="2">
        <v>32.7</v>
      </c>
      <c r="I3216" s="2" t="s">
        <v>47</v>
      </c>
    </row>
    <row r="3217" ht="15.75" customHeight="1">
      <c r="A3217" s="2" t="s">
        <v>7000</v>
      </c>
      <c r="B3217" s="2" t="s">
        <v>7001</v>
      </c>
      <c r="C3217" s="2" t="s">
        <v>4661</v>
      </c>
      <c r="D3217" s="2" t="s">
        <v>980</v>
      </c>
      <c r="E3217" s="2" t="s">
        <v>981</v>
      </c>
      <c r="F3217" s="2">
        <v>69.0</v>
      </c>
      <c r="G3217" s="2">
        <v>2.03</v>
      </c>
      <c r="H3217" s="2">
        <v>34.0</v>
      </c>
      <c r="I3217" s="2" t="s">
        <v>47</v>
      </c>
    </row>
    <row r="3218" ht="15.75" customHeight="1">
      <c r="A3218" s="2" t="s">
        <v>7002</v>
      </c>
      <c r="B3218" s="2" t="s">
        <v>7003</v>
      </c>
      <c r="C3218" s="2" t="s">
        <v>4661</v>
      </c>
      <c r="D3218" s="2" t="s">
        <v>1066</v>
      </c>
      <c r="E3218" s="2" t="s">
        <v>1069</v>
      </c>
      <c r="F3218" s="2">
        <v>164.0</v>
      </c>
      <c r="G3218" s="2">
        <v>6.81</v>
      </c>
      <c r="H3218" s="2">
        <v>24.1</v>
      </c>
      <c r="I3218" s="2" t="s">
        <v>47</v>
      </c>
    </row>
    <row r="3219" ht="15.75" customHeight="1">
      <c r="A3219" s="2" t="s">
        <v>7004</v>
      </c>
      <c r="B3219" s="2" t="s">
        <v>7005</v>
      </c>
      <c r="C3219" s="2" t="s">
        <v>4661</v>
      </c>
      <c r="D3219" s="2" t="s">
        <v>1066</v>
      </c>
      <c r="E3219" s="2" t="s">
        <v>1069</v>
      </c>
      <c r="F3219" s="2">
        <v>65.0</v>
      </c>
      <c r="G3219" s="2">
        <v>4.37</v>
      </c>
      <c r="H3219" s="2">
        <v>14.9</v>
      </c>
      <c r="I3219" s="2" t="s">
        <v>47</v>
      </c>
    </row>
    <row r="3220" ht="15.75" customHeight="1">
      <c r="A3220" s="2" t="s">
        <v>7006</v>
      </c>
      <c r="B3220" s="2" t="s">
        <v>7007</v>
      </c>
      <c r="C3220" s="2" t="s">
        <v>4661</v>
      </c>
      <c r="D3220" s="2" t="s">
        <v>948</v>
      </c>
      <c r="E3220" s="2" t="s">
        <v>950</v>
      </c>
      <c r="F3220" s="2">
        <v>99.0</v>
      </c>
      <c r="G3220" s="2">
        <v>4.14</v>
      </c>
      <c r="H3220" s="2">
        <v>23.9</v>
      </c>
      <c r="I3220" s="2" t="s">
        <v>47</v>
      </c>
    </row>
    <row r="3221" ht="15.75" customHeight="1">
      <c r="A3221" s="2" t="s">
        <v>4830</v>
      </c>
      <c r="B3221" s="2" t="s">
        <v>4831</v>
      </c>
      <c r="C3221" s="2" t="s">
        <v>4661</v>
      </c>
      <c r="D3221" s="2" t="s">
        <v>1051</v>
      </c>
      <c r="E3221" s="2" t="s">
        <v>1053</v>
      </c>
      <c r="F3221" s="2">
        <v>304.0</v>
      </c>
      <c r="G3221" s="2">
        <v>9.66</v>
      </c>
      <c r="H3221" s="2">
        <v>31.5</v>
      </c>
      <c r="I3221" s="2" t="s">
        <v>47</v>
      </c>
    </row>
    <row r="3222" ht="15.75" customHeight="1">
      <c r="A3222" s="2" t="s">
        <v>7010</v>
      </c>
      <c r="B3222" s="2" t="s">
        <v>7011</v>
      </c>
      <c r="C3222" s="2" t="s">
        <v>4661</v>
      </c>
      <c r="D3222" s="2" t="s">
        <v>948</v>
      </c>
      <c r="E3222" s="2" t="s">
        <v>950</v>
      </c>
      <c r="F3222" s="2">
        <v>127.0</v>
      </c>
      <c r="G3222" s="2">
        <v>7.76</v>
      </c>
      <c r="H3222" s="2">
        <v>16.4</v>
      </c>
      <c r="I3222" s="2" t="s">
        <v>47</v>
      </c>
    </row>
    <row r="3223" ht="15.75" customHeight="1">
      <c r="A3223" s="2" t="s">
        <v>7012</v>
      </c>
      <c r="B3223" s="2" t="s">
        <v>7013</v>
      </c>
      <c r="C3223" s="2" t="s">
        <v>4661</v>
      </c>
      <c r="D3223" s="2" t="s">
        <v>774</v>
      </c>
      <c r="E3223" s="2" t="s">
        <v>775</v>
      </c>
      <c r="F3223" s="2">
        <v>186.0</v>
      </c>
      <c r="G3223" s="2">
        <v>5.08</v>
      </c>
      <c r="H3223" s="2">
        <v>36.6</v>
      </c>
      <c r="I3223" s="2" t="s">
        <v>47</v>
      </c>
    </row>
    <row r="3224" ht="15.75" customHeight="1">
      <c r="A3224" s="2" t="s">
        <v>4833</v>
      </c>
      <c r="B3224" s="2" t="s">
        <v>4834</v>
      </c>
      <c r="C3224" s="2" t="s">
        <v>4661</v>
      </c>
      <c r="D3224" s="2" t="s">
        <v>869</v>
      </c>
      <c r="E3224" s="2" t="s">
        <v>870</v>
      </c>
      <c r="F3224" s="2">
        <v>270.0</v>
      </c>
      <c r="G3224" s="2">
        <v>7.97</v>
      </c>
      <c r="H3224" s="2">
        <v>33.9</v>
      </c>
      <c r="I3224" s="2" t="s">
        <v>47</v>
      </c>
    </row>
    <row r="3225" ht="15.75" customHeight="1">
      <c r="A3225" s="2" t="s">
        <v>7014</v>
      </c>
      <c r="B3225" s="2" t="s">
        <v>7015</v>
      </c>
      <c r="C3225" s="2" t="s">
        <v>4661</v>
      </c>
      <c r="D3225" s="2" t="s">
        <v>1066</v>
      </c>
      <c r="E3225" s="2" t="s">
        <v>1069</v>
      </c>
      <c r="F3225" s="2">
        <v>460.0</v>
      </c>
      <c r="G3225" s="2">
        <v>8.92</v>
      </c>
      <c r="H3225" s="2">
        <v>51.6</v>
      </c>
      <c r="I3225" s="2" t="s">
        <v>47</v>
      </c>
    </row>
    <row r="3226" ht="15.75" customHeight="1">
      <c r="A3226" s="2" t="s">
        <v>4836</v>
      </c>
      <c r="B3226" s="2" t="s">
        <v>4839</v>
      </c>
      <c r="C3226" s="2" t="s">
        <v>4661</v>
      </c>
      <c r="D3226" s="2" t="s">
        <v>1035</v>
      </c>
      <c r="E3226" s="2" t="s">
        <v>1037</v>
      </c>
      <c r="F3226" s="2">
        <v>374.0</v>
      </c>
      <c r="G3226" s="2">
        <v>10.43</v>
      </c>
      <c r="H3226" s="2">
        <v>35.9</v>
      </c>
      <c r="I3226" s="2" t="s">
        <v>47</v>
      </c>
    </row>
    <row r="3227" ht="15.75" customHeight="1">
      <c r="A3227" s="2" t="s">
        <v>4840</v>
      </c>
      <c r="B3227" s="2" t="s">
        <v>4841</v>
      </c>
      <c r="C3227" s="2" t="s">
        <v>4661</v>
      </c>
      <c r="D3227" s="2" t="s">
        <v>1051</v>
      </c>
      <c r="E3227" s="2" t="s">
        <v>1053</v>
      </c>
      <c r="F3227" s="2">
        <v>1376.0</v>
      </c>
      <c r="G3227" s="2">
        <v>56.76</v>
      </c>
      <c r="H3227" s="2">
        <v>24.2</v>
      </c>
      <c r="I3227" s="2" t="s">
        <v>27</v>
      </c>
    </row>
    <row r="3228" ht="15.75" customHeight="1">
      <c r="A3228" s="2" t="s">
        <v>7008</v>
      </c>
      <c r="B3228" s="2" t="s">
        <v>7009</v>
      </c>
      <c r="C3228" s="2" t="s">
        <v>4661</v>
      </c>
      <c r="D3228" s="2" t="s">
        <v>948</v>
      </c>
      <c r="E3228" s="2" t="s">
        <v>950</v>
      </c>
      <c r="F3228" s="2">
        <v>115.0</v>
      </c>
      <c r="G3228" s="2">
        <v>2.59</v>
      </c>
      <c r="H3228" s="2">
        <v>44.4</v>
      </c>
      <c r="I3228" s="2" t="s">
        <v>47</v>
      </c>
    </row>
    <row r="3229" ht="15.75" customHeight="1">
      <c r="A3229" s="2" t="s">
        <v>7016</v>
      </c>
      <c r="B3229" s="2" t="s">
        <v>7017</v>
      </c>
      <c r="C3229" s="2" t="s">
        <v>4661</v>
      </c>
      <c r="D3229" s="2" t="s">
        <v>869</v>
      </c>
      <c r="E3229" s="2" t="s">
        <v>870</v>
      </c>
      <c r="F3229" s="2">
        <v>281.0</v>
      </c>
      <c r="G3229" s="2">
        <v>9.69</v>
      </c>
      <c r="H3229" s="2">
        <v>29.0</v>
      </c>
      <c r="I3229" s="2" t="s">
        <v>47</v>
      </c>
    </row>
    <row r="3230" ht="15.75" customHeight="1">
      <c r="A3230" s="2" t="s">
        <v>7018</v>
      </c>
      <c r="B3230" s="2" t="s">
        <v>7019</v>
      </c>
      <c r="C3230" s="2" t="s">
        <v>4661</v>
      </c>
      <c r="D3230" s="2" t="s">
        <v>980</v>
      </c>
      <c r="E3230" s="2" t="s">
        <v>981</v>
      </c>
      <c r="F3230" s="2">
        <v>152.0</v>
      </c>
      <c r="G3230" s="2">
        <v>5.89</v>
      </c>
      <c r="H3230" s="2">
        <v>25.8</v>
      </c>
      <c r="I3230" s="2" t="s">
        <v>47</v>
      </c>
    </row>
    <row r="3231" ht="15.75" customHeight="1">
      <c r="A3231" s="2" t="s">
        <v>7020</v>
      </c>
      <c r="B3231" s="2" t="s">
        <v>7021</v>
      </c>
      <c r="C3231" s="2" t="s">
        <v>4661</v>
      </c>
      <c r="D3231" s="2" t="s">
        <v>948</v>
      </c>
      <c r="E3231" s="2" t="s">
        <v>950</v>
      </c>
      <c r="F3231" s="2">
        <v>215.0</v>
      </c>
      <c r="G3231" s="2">
        <v>4.86</v>
      </c>
      <c r="H3231" s="2">
        <v>44.2</v>
      </c>
      <c r="I3231" s="2" t="s">
        <v>47</v>
      </c>
    </row>
    <row r="3232" ht="15.75" customHeight="1">
      <c r="A3232" s="2" t="s">
        <v>7022</v>
      </c>
      <c r="B3232" s="2" t="s">
        <v>7023</v>
      </c>
      <c r="C3232" s="2" t="s">
        <v>4661</v>
      </c>
      <c r="D3232" s="2" t="s">
        <v>948</v>
      </c>
      <c r="E3232" s="2" t="s">
        <v>950</v>
      </c>
      <c r="F3232" s="2">
        <v>150.0</v>
      </c>
      <c r="G3232" s="2">
        <v>5.91</v>
      </c>
      <c r="H3232" s="2">
        <v>25.4</v>
      </c>
      <c r="I3232" s="2" t="s">
        <v>47</v>
      </c>
    </row>
    <row r="3233" ht="15.75" customHeight="1">
      <c r="A3233" s="2" t="s">
        <v>4842</v>
      </c>
      <c r="B3233" s="2" t="s">
        <v>4843</v>
      </c>
      <c r="C3233" s="2" t="s">
        <v>4661</v>
      </c>
      <c r="D3233" s="2" t="s">
        <v>1016</v>
      </c>
      <c r="E3233" s="2" t="s">
        <v>1017</v>
      </c>
      <c r="F3233" s="2">
        <v>737.0</v>
      </c>
      <c r="G3233" s="2">
        <v>8.76</v>
      </c>
      <c r="H3233" s="2">
        <v>84.1</v>
      </c>
      <c r="I3233" s="2" t="s">
        <v>27</v>
      </c>
    </row>
    <row r="3234" ht="15.75" customHeight="1">
      <c r="A3234" s="2" t="s">
        <v>4846</v>
      </c>
      <c r="B3234" s="2" t="s">
        <v>4847</v>
      </c>
      <c r="C3234" s="2" t="s">
        <v>4661</v>
      </c>
      <c r="D3234" s="2" t="s">
        <v>936</v>
      </c>
      <c r="E3234" s="2" t="s">
        <v>937</v>
      </c>
      <c r="F3234" s="2">
        <v>1174.0</v>
      </c>
      <c r="G3234" s="2">
        <v>3.72</v>
      </c>
      <c r="H3234" s="2">
        <v>315.6</v>
      </c>
      <c r="I3234" s="2" t="s">
        <v>27</v>
      </c>
    </row>
    <row r="3235" ht="15.75" customHeight="1">
      <c r="A3235" s="2" t="s">
        <v>4849</v>
      </c>
      <c r="B3235" s="2" t="s">
        <v>4850</v>
      </c>
      <c r="C3235" s="2" t="s">
        <v>4661</v>
      </c>
      <c r="D3235" s="2" t="s">
        <v>948</v>
      </c>
      <c r="E3235" s="2" t="s">
        <v>950</v>
      </c>
      <c r="F3235" s="2">
        <v>555.0</v>
      </c>
      <c r="G3235" s="2">
        <v>11.8</v>
      </c>
      <c r="H3235" s="2">
        <v>47.0</v>
      </c>
      <c r="I3235" s="2" t="s">
        <v>27</v>
      </c>
    </row>
    <row r="3236" ht="15.75" customHeight="1">
      <c r="A3236" s="2" t="s">
        <v>4852</v>
      </c>
      <c r="B3236" s="2" t="s">
        <v>4854</v>
      </c>
      <c r="C3236" s="2" t="s">
        <v>4661</v>
      </c>
      <c r="D3236" s="2" t="s">
        <v>980</v>
      </c>
      <c r="E3236" s="2" t="s">
        <v>981</v>
      </c>
      <c r="F3236" s="2">
        <v>517.0</v>
      </c>
      <c r="G3236" s="2">
        <v>6.48</v>
      </c>
      <c r="H3236" s="2">
        <v>79.8</v>
      </c>
      <c r="I3236" s="2" t="s">
        <v>27</v>
      </c>
    </row>
    <row r="3237" ht="15.75" customHeight="1">
      <c r="A3237" s="2" t="s">
        <v>7024</v>
      </c>
      <c r="B3237" s="2" t="s">
        <v>7025</v>
      </c>
      <c r="C3237" s="2" t="s">
        <v>4661</v>
      </c>
      <c r="D3237" s="2" t="s">
        <v>880</v>
      </c>
      <c r="E3237" s="2" t="s">
        <v>881</v>
      </c>
      <c r="F3237" s="2">
        <v>59.0</v>
      </c>
      <c r="G3237" s="2">
        <v>2.75</v>
      </c>
      <c r="H3237" s="2">
        <v>21.5</v>
      </c>
      <c r="I3237" s="2" t="s">
        <v>47</v>
      </c>
    </row>
    <row r="3238" ht="15.75" customHeight="1">
      <c r="A3238" s="2" t="s">
        <v>4856</v>
      </c>
      <c r="B3238" s="2" t="s">
        <v>4857</v>
      </c>
      <c r="C3238" s="2" t="s">
        <v>4661</v>
      </c>
      <c r="D3238" s="2" t="s">
        <v>880</v>
      </c>
      <c r="E3238" s="2" t="s">
        <v>881</v>
      </c>
      <c r="F3238" s="2">
        <v>1389.0</v>
      </c>
      <c r="G3238" s="2">
        <v>8.66</v>
      </c>
      <c r="H3238" s="2">
        <v>160.4</v>
      </c>
      <c r="I3238" s="2" t="s">
        <v>27</v>
      </c>
    </row>
    <row r="3239" ht="15.75" customHeight="1">
      <c r="A3239" s="2" t="s">
        <v>4860</v>
      </c>
      <c r="B3239" s="2" t="s">
        <v>4861</v>
      </c>
      <c r="C3239" s="2" t="s">
        <v>4661</v>
      </c>
      <c r="D3239" s="2" t="s">
        <v>1035</v>
      </c>
      <c r="E3239" s="2" t="s">
        <v>1037</v>
      </c>
      <c r="F3239" s="2">
        <v>1081.0</v>
      </c>
      <c r="G3239" s="2">
        <v>17.93</v>
      </c>
      <c r="H3239" s="2">
        <v>60.3</v>
      </c>
      <c r="I3239" s="2" t="s">
        <v>27</v>
      </c>
    </row>
    <row r="3240" ht="15.75" customHeight="1">
      <c r="A3240" s="2" t="s">
        <v>7026</v>
      </c>
      <c r="B3240" s="2" t="s">
        <v>7027</v>
      </c>
      <c r="C3240" s="2" t="s">
        <v>4661</v>
      </c>
      <c r="D3240" s="2" t="s">
        <v>853</v>
      </c>
      <c r="E3240" s="2" t="s">
        <v>854</v>
      </c>
      <c r="F3240" s="2">
        <v>403.0</v>
      </c>
      <c r="G3240" s="2">
        <v>8.63</v>
      </c>
      <c r="H3240" s="2">
        <v>46.7</v>
      </c>
      <c r="I3240" s="2" t="s">
        <v>47</v>
      </c>
    </row>
    <row r="3241" ht="15.75" customHeight="1">
      <c r="A3241" s="2" t="s">
        <v>7028</v>
      </c>
      <c r="B3241" s="2" t="s">
        <v>7029</v>
      </c>
      <c r="C3241" s="2" t="s">
        <v>4661</v>
      </c>
      <c r="D3241" s="2" t="s">
        <v>1009</v>
      </c>
      <c r="E3241" s="2" t="s">
        <v>1010</v>
      </c>
      <c r="F3241" s="2">
        <v>44.0</v>
      </c>
      <c r="G3241" s="2">
        <v>1.95</v>
      </c>
      <c r="H3241" s="2">
        <v>22.6</v>
      </c>
      <c r="I3241" s="2" t="s">
        <v>47</v>
      </c>
    </row>
    <row r="3242" ht="15.75" customHeight="1">
      <c r="A3242" s="2" t="s">
        <v>7030</v>
      </c>
      <c r="B3242" s="2" t="s">
        <v>7031</v>
      </c>
      <c r="C3242" s="2" t="s">
        <v>4661</v>
      </c>
      <c r="D3242" s="2" t="s">
        <v>1051</v>
      </c>
      <c r="E3242" s="2" t="s">
        <v>1053</v>
      </c>
      <c r="F3242" s="2">
        <v>168.0</v>
      </c>
      <c r="G3242" s="2">
        <v>6.22</v>
      </c>
      <c r="H3242" s="2">
        <v>27.0</v>
      </c>
      <c r="I3242" s="2" t="s">
        <v>47</v>
      </c>
    </row>
    <row r="3243" ht="15.75" customHeight="1">
      <c r="A3243" s="2" t="s">
        <v>4862</v>
      </c>
      <c r="B3243" s="2" t="s">
        <v>4863</v>
      </c>
      <c r="C3243" s="2" t="s">
        <v>4661</v>
      </c>
      <c r="D3243" s="2" t="s">
        <v>1009</v>
      </c>
      <c r="E3243" s="2" t="s">
        <v>1010</v>
      </c>
      <c r="F3243" s="2">
        <v>287.0</v>
      </c>
      <c r="G3243" s="2">
        <v>8.95</v>
      </c>
      <c r="H3243" s="2">
        <v>32.1</v>
      </c>
      <c r="I3243" s="2" t="s">
        <v>47</v>
      </c>
    </row>
    <row r="3244" ht="15.75" customHeight="1">
      <c r="A3244" s="2" t="s">
        <v>7032</v>
      </c>
      <c r="B3244" s="2" t="s">
        <v>7033</v>
      </c>
      <c r="C3244" s="2" t="s">
        <v>4661</v>
      </c>
      <c r="D3244" s="2" t="s">
        <v>853</v>
      </c>
      <c r="E3244" s="2" t="s">
        <v>854</v>
      </c>
      <c r="F3244" s="2">
        <v>346.0</v>
      </c>
      <c r="G3244" s="2">
        <v>6.63</v>
      </c>
      <c r="H3244" s="2">
        <v>52.2</v>
      </c>
      <c r="I3244" s="2" t="s">
        <v>47</v>
      </c>
    </row>
    <row r="3245" ht="15.75" customHeight="1">
      <c r="A3245" s="2" t="s">
        <v>4866</v>
      </c>
      <c r="B3245" s="2" t="s">
        <v>4868</v>
      </c>
      <c r="C3245" s="2" t="s">
        <v>4661</v>
      </c>
      <c r="D3245" s="2" t="s">
        <v>1071</v>
      </c>
      <c r="E3245" s="2" t="s">
        <v>1075</v>
      </c>
      <c r="F3245" s="2">
        <v>709.0</v>
      </c>
      <c r="G3245" s="2">
        <v>11.13</v>
      </c>
      <c r="H3245" s="2">
        <v>63.7</v>
      </c>
      <c r="I3245" s="2" t="s">
        <v>27</v>
      </c>
    </row>
    <row r="3246" ht="15.75" customHeight="1">
      <c r="A3246" s="2" t="s">
        <v>4870</v>
      </c>
      <c r="B3246" s="2" t="s">
        <v>4871</v>
      </c>
      <c r="C3246" s="2" t="s">
        <v>4661</v>
      </c>
      <c r="D3246" s="2" t="s">
        <v>1051</v>
      </c>
      <c r="E3246" s="2" t="s">
        <v>1053</v>
      </c>
      <c r="F3246" s="2">
        <v>417.0</v>
      </c>
      <c r="G3246" s="2">
        <v>22.84</v>
      </c>
      <c r="H3246" s="2">
        <v>18.3</v>
      </c>
      <c r="I3246" s="2" t="s">
        <v>47</v>
      </c>
    </row>
    <row r="3247" ht="15.75" customHeight="1">
      <c r="A3247" s="2" t="s">
        <v>7034</v>
      </c>
      <c r="B3247" s="2" t="s">
        <v>7035</v>
      </c>
      <c r="C3247" s="2" t="s">
        <v>4661</v>
      </c>
      <c r="D3247" s="2" t="s">
        <v>1051</v>
      </c>
      <c r="E3247" s="2" t="s">
        <v>1053</v>
      </c>
      <c r="F3247" s="2">
        <v>308.0</v>
      </c>
      <c r="G3247" s="2">
        <v>8.45</v>
      </c>
      <c r="H3247" s="2">
        <v>36.4</v>
      </c>
      <c r="I3247" s="2" t="s">
        <v>47</v>
      </c>
    </row>
    <row r="3248" ht="15.75" customHeight="1">
      <c r="A3248" s="2" t="s">
        <v>4872</v>
      </c>
      <c r="B3248" s="2" t="s">
        <v>4873</v>
      </c>
      <c r="C3248" s="2" t="s">
        <v>4661</v>
      </c>
      <c r="D3248" s="2" t="s">
        <v>1051</v>
      </c>
      <c r="E3248" s="2" t="s">
        <v>1053</v>
      </c>
      <c r="F3248" s="2">
        <v>333.0</v>
      </c>
      <c r="G3248" s="2">
        <v>12.88</v>
      </c>
      <c r="H3248" s="2">
        <v>25.9</v>
      </c>
      <c r="I3248" s="2" t="s">
        <v>47</v>
      </c>
    </row>
    <row r="3249" ht="15.75" customHeight="1">
      <c r="A3249" s="2" t="s">
        <v>7036</v>
      </c>
      <c r="B3249" s="2" t="s">
        <v>7037</v>
      </c>
      <c r="C3249" s="2" t="s">
        <v>4661</v>
      </c>
      <c r="D3249" s="2" t="s">
        <v>796</v>
      </c>
      <c r="E3249" s="2" t="s">
        <v>797</v>
      </c>
      <c r="F3249" s="2">
        <v>363.0</v>
      </c>
      <c r="G3249" s="2">
        <v>5.0</v>
      </c>
      <c r="H3249" s="2">
        <v>72.6</v>
      </c>
      <c r="I3249" s="2" t="s">
        <v>47</v>
      </c>
    </row>
    <row r="3250" ht="15.75" customHeight="1">
      <c r="A3250" s="2" t="s">
        <v>7038</v>
      </c>
      <c r="B3250" s="2" t="s">
        <v>7039</v>
      </c>
      <c r="C3250" s="2" t="s">
        <v>4661</v>
      </c>
      <c r="D3250" s="2" t="s">
        <v>869</v>
      </c>
      <c r="E3250" s="2" t="s">
        <v>870</v>
      </c>
      <c r="F3250" s="2">
        <v>250.0</v>
      </c>
      <c r="G3250" s="2">
        <v>9.89</v>
      </c>
      <c r="H3250" s="2">
        <v>25.3</v>
      </c>
      <c r="I3250" s="2" t="s">
        <v>47</v>
      </c>
    </row>
    <row r="3251" ht="15.75" customHeight="1">
      <c r="A3251" s="2" t="s">
        <v>4876</v>
      </c>
      <c r="B3251" s="2" t="s">
        <v>4877</v>
      </c>
      <c r="C3251" s="2" t="s">
        <v>4661</v>
      </c>
      <c r="D3251" s="2" t="s">
        <v>1009</v>
      </c>
      <c r="E3251" s="2" t="s">
        <v>1010</v>
      </c>
      <c r="F3251" s="2">
        <v>5751.0</v>
      </c>
      <c r="G3251" s="2">
        <v>33.3</v>
      </c>
      <c r="H3251" s="2">
        <v>172.7</v>
      </c>
      <c r="I3251" s="2" t="s">
        <v>138</v>
      </c>
    </row>
    <row r="3252" ht="15.75" customHeight="1">
      <c r="A3252" s="2" t="s">
        <v>4879</v>
      </c>
      <c r="B3252" s="2" t="s">
        <v>4880</v>
      </c>
      <c r="C3252" s="2" t="s">
        <v>4661</v>
      </c>
      <c r="D3252" s="2" t="s">
        <v>774</v>
      </c>
      <c r="E3252" s="2" t="s">
        <v>775</v>
      </c>
      <c r="F3252" s="2">
        <v>1576.0</v>
      </c>
      <c r="G3252" s="2">
        <v>3.2</v>
      </c>
      <c r="H3252" s="2">
        <v>492.5</v>
      </c>
      <c r="I3252" s="2" t="s">
        <v>27</v>
      </c>
    </row>
    <row r="3253" ht="15.75" customHeight="1">
      <c r="A3253" s="2" t="s">
        <v>7040</v>
      </c>
      <c r="B3253" s="2" t="s">
        <v>7041</v>
      </c>
      <c r="C3253" s="2" t="s">
        <v>4661</v>
      </c>
      <c r="D3253" s="2" t="s">
        <v>880</v>
      </c>
      <c r="E3253" s="2" t="s">
        <v>881</v>
      </c>
      <c r="F3253" s="2">
        <v>78.0</v>
      </c>
      <c r="G3253" s="2">
        <v>5.04</v>
      </c>
      <c r="H3253" s="2">
        <v>15.5</v>
      </c>
      <c r="I3253" s="2" t="s">
        <v>47</v>
      </c>
    </row>
    <row r="3254" ht="15.75" customHeight="1">
      <c r="A3254" s="2" t="s">
        <v>7042</v>
      </c>
      <c r="B3254" s="2" t="s">
        <v>7043</v>
      </c>
      <c r="C3254" s="2" t="s">
        <v>4661</v>
      </c>
      <c r="D3254" s="2" t="s">
        <v>1066</v>
      </c>
      <c r="E3254" s="2" t="s">
        <v>1069</v>
      </c>
      <c r="F3254" s="2">
        <v>82.0</v>
      </c>
      <c r="G3254" s="2">
        <v>5.39</v>
      </c>
      <c r="H3254" s="2">
        <v>15.2</v>
      </c>
      <c r="I3254" s="2" t="s">
        <v>47</v>
      </c>
    </row>
    <row r="3255" ht="15.75" customHeight="1">
      <c r="A3255" s="2" t="s">
        <v>4881</v>
      </c>
      <c r="B3255" s="2" t="s">
        <v>4882</v>
      </c>
      <c r="C3255" s="2" t="s">
        <v>4661</v>
      </c>
      <c r="D3255" s="2" t="s">
        <v>796</v>
      </c>
      <c r="E3255" s="2" t="s">
        <v>797</v>
      </c>
      <c r="F3255" s="2">
        <v>887.0</v>
      </c>
      <c r="G3255" s="2">
        <v>11.09</v>
      </c>
      <c r="H3255" s="2">
        <v>80.0</v>
      </c>
      <c r="I3255" s="2" t="s">
        <v>27</v>
      </c>
    </row>
    <row r="3256" ht="15.75" customHeight="1">
      <c r="A3256" s="2" t="s">
        <v>4883</v>
      </c>
      <c r="B3256" s="2" t="s">
        <v>1148</v>
      </c>
      <c r="C3256" s="2" t="s">
        <v>4661</v>
      </c>
      <c r="D3256" s="2" t="s">
        <v>774</v>
      </c>
      <c r="E3256" s="2" t="s">
        <v>775</v>
      </c>
      <c r="F3256" s="2">
        <v>1441.0</v>
      </c>
      <c r="G3256" s="2">
        <v>11.03</v>
      </c>
      <c r="H3256" s="2">
        <v>130.6</v>
      </c>
      <c r="I3256" s="2" t="s">
        <v>27</v>
      </c>
    </row>
    <row r="3257" ht="15.75" customHeight="1">
      <c r="A3257" s="2" t="s">
        <v>4884</v>
      </c>
      <c r="B3257" s="2" t="s">
        <v>4885</v>
      </c>
      <c r="C3257" s="2" t="s">
        <v>4661</v>
      </c>
      <c r="D3257" s="2" t="s">
        <v>853</v>
      </c>
      <c r="E3257" s="2" t="s">
        <v>854</v>
      </c>
      <c r="F3257" s="2">
        <v>524.0</v>
      </c>
      <c r="G3257" s="2">
        <v>11.3</v>
      </c>
      <c r="H3257" s="2">
        <v>46.4</v>
      </c>
      <c r="I3257" s="2" t="s">
        <v>27</v>
      </c>
    </row>
    <row r="3258" ht="15.75" customHeight="1">
      <c r="A3258" s="2" t="s">
        <v>7044</v>
      </c>
      <c r="B3258" s="2" t="s">
        <v>7045</v>
      </c>
      <c r="C3258" s="2" t="s">
        <v>4661</v>
      </c>
      <c r="D3258" s="2" t="s">
        <v>796</v>
      </c>
      <c r="E3258" s="2" t="s">
        <v>797</v>
      </c>
      <c r="F3258" s="2">
        <v>357.0</v>
      </c>
      <c r="G3258" s="2">
        <v>4.43</v>
      </c>
      <c r="H3258" s="2">
        <v>80.6</v>
      </c>
      <c r="I3258" s="2" t="s">
        <v>47</v>
      </c>
    </row>
    <row r="3259" ht="15.75" customHeight="1">
      <c r="A3259" s="2" t="s">
        <v>4888</v>
      </c>
      <c r="B3259" s="2" t="s">
        <v>4889</v>
      </c>
      <c r="C3259" s="2" t="s">
        <v>4661</v>
      </c>
      <c r="D3259" s="2" t="s">
        <v>936</v>
      </c>
      <c r="E3259" s="2" t="s">
        <v>937</v>
      </c>
      <c r="F3259" s="2">
        <v>560.0</v>
      </c>
      <c r="G3259" s="2">
        <v>5.34</v>
      </c>
      <c r="H3259" s="2">
        <v>104.9</v>
      </c>
      <c r="I3259" s="2" t="s">
        <v>27</v>
      </c>
    </row>
    <row r="3260" ht="15.75" customHeight="1">
      <c r="A3260" s="2" t="s">
        <v>7050</v>
      </c>
      <c r="B3260" s="2" t="s">
        <v>7051</v>
      </c>
      <c r="C3260" s="2" t="s">
        <v>4661</v>
      </c>
      <c r="D3260" s="2" t="s">
        <v>980</v>
      </c>
      <c r="E3260" s="2" t="s">
        <v>981</v>
      </c>
      <c r="F3260" s="2">
        <v>282.0</v>
      </c>
      <c r="G3260" s="2">
        <v>9.17</v>
      </c>
      <c r="H3260" s="2">
        <v>30.8</v>
      </c>
      <c r="I3260" s="2" t="s">
        <v>47</v>
      </c>
    </row>
    <row r="3261" ht="15.75" customHeight="1">
      <c r="A3261" s="2" t="s">
        <v>7052</v>
      </c>
      <c r="B3261" s="2" t="s">
        <v>7053</v>
      </c>
      <c r="C3261" s="2" t="s">
        <v>4661</v>
      </c>
      <c r="D3261" s="2" t="s">
        <v>869</v>
      </c>
      <c r="E3261" s="2" t="s">
        <v>870</v>
      </c>
      <c r="F3261" s="2">
        <v>241.0</v>
      </c>
      <c r="G3261" s="2">
        <v>6.61</v>
      </c>
      <c r="H3261" s="2">
        <v>36.5</v>
      </c>
      <c r="I3261" s="2" t="s">
        <v>47</v>
      </c>
    </row>
    <row r="3262" ht="15.75" customHeight="1">
      <c r="A3262" s="2" t="s">
        <v>4890</v>
      </c>
      <c r="B3262" s="2" t="s">
        <v>4891</v>
      </c>
      <c r="C3262" s="2" t="s">
        <v>4661</v>
      </c>
      <c r="D3262" s="2" t="s">
        <v>869</v>
      </c>
      <c r="E3262" s="2" t="s">
        <v>870</v>
      </c>
      <c r="F3262" s="2">
        <v>1704.0</v>
      </c>
      <c r="G3262" s="2">
        <v>4.94</v>
      </c>
      <c r="H3262" s="2">
        <v>344.9</v>
      </c>
      <c r="I3262" s="2" t="s">
        <v>27</v>
      </c>
    </row>
    <row r="3263" ht="15.75" customHeight="1">
      <c r="A3263" s="2" t="s">
        <v>7066</v>
      </c>
      <c r="B3263" s="2" t="s">
        <v>7067</v>
      </c>
      <c r="C3263" s="2" t="s">
        <v>4661</v>
      </c>
      <c r="D3263" s="2" t="s">
        <v>948</v>
      </c>
      <c r="E3263" s="2" t="s">
        <v>950</v>
      </c>
      <c r="F3263" s="2">
        <v>201.0</v>
      </c>
      <c r="G3263" s="2">
        <v>8.26</v>
      </c>
      <c r="H3263" s="2">
        <v>24.3</v>
      </c>
      <c r="I3263" s="2" t="s">
        <v>47</v>
      </c>
    </row>
    <row r="3264" ht="15.75" customHeight="1">
      <c r="A3264" s="2" t="s">
        <v>7068</v>
      </c>
      <c r="B3264" s="2" t="s">
        <v>7069</v>
      </c>
      <c r="C3264" s="2" t="s">
        <v>4661</v>
      </c>
      <c r="D3264" s="2" t="s">
        <v>948</v>
      </c>
      <c r="E3264" s="2" t="s">
        <v>950</v>
      </c>
      <c r="F3264" s="2">
        <v>751.0</v>
      </c>
      <c r="G3264" s="2">
        <v>14.32</v>
      </c>
      <c r="H3264" s="2">
        <v>52.4</v>
      </c>
      <c r="I3264" s="2" t="s">
        <v>27</v>
      </c>
    </row>
    <row r="3265" ht="15.75" customHeight="1">
      <c r="A3265" s="2" t="s">
        <v>7070</v>
      </c>
      <c r="B3265" s="2" t="s">
        <v>7071</v>
      </c>
      <c r="C3265" s="2" t="s">
        <v>4661</v>
      </c>
      <c r="D3265" s="2" t="s">
        <v>1022</v>
      </c>
      <c r="E3265" s="2" t="s">
        <v>1025</v>
      </c>
      <c r="F3265" s="2">
        <v>132.0</v>
      </c>
      <c r="G3265" s="2">
        <v>4.21</v>
      </c>
      <c r="H3265" s="2">
        <v>31.4</v>
      </c>
      <c r="I3265" s="2" t="s">
        <v>47</v>
      </c>
    </row>
    <row r="3266" ht="15.75" customHeight="1">
      <c r="A3266" s="2" t="s">
        <v>7072</v>
      </c>
      <c r="B3266" s="2" t="s">
        <v>7073</v>
      </c>
      <c r="C3266" s="2" t="s">
        <v>4661</v>
      </c>
      <c r="D3266" s="2" t="s">
        <v>1051</v>
      </c>
      <c r="E3266" s="2" t="s">
        <v>1053</v>
      </c>
      <c r="F3266" s="2">
        <v>159.0</v>
      </c>
      <c r="G3266" s="2">
        <v>1.97</v>
      </c>
      <c r="H3266" s="2">
        <v>80.7</v>
      </c>
      <c r="I3266" s="2" t="s">
        <v>47</v>
      </c>
    </row>
    <row r="3267" ht="15.75" customHeight="1">
      <c r="A3267" s="2" t="s">
        <v>7074</v>
      </c>
      <c r="B3267" s="2" t="s">
        <v>7075</v>
      </c>
      <c r="C3267" s="2" t="s">
        <v>4661</v>
      </c>
      <c r="D3267" s="2" t="s">
        <v>853</v>
      </c>
      <c r="E3267" s="2" t="s">
        <v>854</v>
      </c>
      <c r="F3267" s="2">
        <v>159.0</v>
      </c>
      <c r="G3267" s="2">
        <v>5.62</v>
      </c>
      <c r="H3267" s="2">
        <v>28.3</v>
      </c>
      <c r="I3267" s="2" t="s">
        <v>47</v>
      </c>
    </row>
    <row r="3268" ht="15.75" customHeight="1">
      <c r="A3268" s="2" t="s">
        <v>4892</v>
      </c>
      <c r="B3268" s="2" t="s">
        <v>4893</v>
      </c>
      <c r="C3268" s="2" t="s">
        <v>4661</v>
      </c>
      <c r="D3268" s="2" t="s">
        <v>869</v>
      </c>
      <c r="E3268" s="2" t="s">
        <v>870</v>
      </c>
      <c r="F3268" s="2">
        <v>715.0</v>
      </c>
      <c r="G3268" s="2">
        <v>18.86</v>
      </c>
      <c r="H3268" s="2">
        <v>37.9</v>
      </c>
      <c r="I3268" s="2" t="s">
        <v>27</v>
      </c>
    </row>
    <row r="3269" ht="15.75" customHeight="1">
      <c r="A3269" s="2" t="s">
        <v>7076</v>
      </c>
      <c r="B3269" s="2" t="s">
        <v>7077</v>
      </c>
      <c r="C3269" s="2" t="s">
        <v>4661</v>
      </c>
      <c r="D3269" s="2" t="s">
        <v>1066</v>
      </c>
      <c r="E3269" s="2" t="s">
        <v>1069</v>
      </c>
      <c r="F3269" s="2">
        <v>270.0</v>
      </c>
      <c r="G3269" s="2">
        <v>6.6</v>
      </c>
      <c r="H3269" s="2">
        <v>40.9</v>
      </c>
      <c r="I3269" s="2" t="s">
        <v>47</v>
      </c>
    </row>
    <row r="3270" ht="15.75" customHeight="1">
      <c r="A3270" s="2" t="s">
        <v>7078</v>
      </c>
      <c r="B3270" s="2" t="s">
        <v>7079</v>
      </c>
      <c r="C3270" s="2" t="s">
        <v>4661</v>
      </c>
      <c r="D3270" s="2" t="s">
        <v>796</v>
      </c>
      <c r="E3270" s="2" t="s">
        <v>797</v>
      </c>
      <c r="F3270" s="2">
        <v>244.0</v>
      </c>
      <c r="G3270" s="2">
        <v>6.23</v>
      </c>
      <c r="H3270" s="2">
        <v>39.2</v>
      </c>
      <c r="I3270" s="2" t="s">
        <v>47</v>
      </c>
    </row>
    <row r="3271" ht="15.75" customHeight="1">
      <c r="A3271" s="2" t="s">
        <v>4894</v>
      </c>
      <c r="B3271" s="2" t="s">
        <v>4895</v>
      </c>
      <c r="C3271" s="2" t="s">
        <v>4661</v>
      </c>
      <c r="D3271" s="2" t="s">
        <v>1071</v>
      </c>
      <c r="E3271" s="2" t="s">
        <v>1075</v>
      </c>
      <c r="F3271" s="2">
        <v>379.0</v>
      </c>
      <c r="G3271" s="2">
        <v>6.52</v>
      </c>
      <c r="H3271" s="2">
        <v>58.1</v>
      </c>
      <c r="I3271" s="2" t="s">
        <v>47</v>
      </c>
    </row>
    <row r="3272" ht="15.75" customHeight="1">
      <c r="A3272" s="2" t="s">
        <v>4898</v>
      </c>
      <c r="B3272" s="2" t="s">
        <v>4899</v>
      </c>
      <c r="C3272" s="2" t="s">
        <v>4661</v>
      </c>
      <c r="D3272" s="2" t="s">
        <v>880</v>
      </c>
      <c r="E3272" s="2" t="s">
        <v>881</v>
      </c>
      <c r="F3272" s="2">
        <v>594.0</v>
      </c>
      <c r="G3272" s="2">
        <v>15.38</v>
      </c>
      <c r="H3272" s="2">
        <v>38.6</v>
      </c>
      <c r="I3272" s="2" t="s">
        <v>27</v>
      </c>
    </row>
    <row r="3273" ht="15.75" customHeight="1">
      <c r="A3273" s="2" t="s">
        <v>7080</v>
      </c>
      <c r="B3273" s="2" t="s">
        <v>7081</v>
      </c>
      <c r="C3273" s="2" t="s">
        <v>4661</v>
      </c>
      <c r="D3273" s="2" t="s">
        <v>1051</v>
      </c>
      <c r="E3273" s="2" t="s">
        <v>1053</v>
      </c>
      <c r="F3273" s="2">
        <v>398.0</v>
      </c>
      <c r="G3273" s="2">
        <v>11.18</v>
      </c>
      <c r="H3273" s="2">
        <v>35.6</v>
      </c>
      <c r="I3273" s="2" t="s">
        <v>47</v>
      </c>
    </row>
    <row r="3274" ht="15.75" customHeight="1">
      <c r="A3274" s="2" t="s">
        <v>7082</v>
      </c>
      <c r="B3274" s="2" t="s">
        <v>7083</v>
      </c>
      <c r="C3274" s="2" t="s">
        <v>4661</v>
      </c>
      <c r="D3274" s="2" t="s">
        <v>774</v>
      </c>
      <c r="E3274" s="2" t="s">
        <v>775</v>
      </c>
      <c r="F3274" s="2">
        <v>287.0</v>
      </c>
      <c r="G3274" s="2">
        <v>6.02</v>
      </c>
      <c r="H3274" s="2">
        <v>47.7</v>
      </c>
      <c r="I3274" s="2" t="s">
        <v>47</v>
      </c>
    </row>
    <row r="3275" ht="15.75" customHeight="1">
      <c r="A3275" s="2" t="s">
        <v>7093</v>
      </c>
      <c r="B3275" s="2" t="s">
        <v>7094</v>
      </c>
      <c r="C3275" s="2" t="s">
        <v>4661</v>
      </c>
      <c r="D3275" s="2" t="s">
        <v>869</v>
      </c>
      <c r="E3275" s="2" t="s">
        <v>870</v>
      </c>
      <c r="F3275" s="2">
        <v>163.0</v>
      </c>
      <c r="G3275" s="2">
        <v>6.35</v>
      </c>
      <c r="H3275" s="2">
        <v>25.7</v>
      </c>
      <c r="I3275" s="2" t="s">
        <v>47</v>
      </c>
    </row>
    <row r="3276" ht="15.75" customHeight="1">
      <c r="A3276" s="2" t="s">
        <v>7095</v>
      </c>
      <c r="B3276" s="2" t="s">
        <v>6134</v>
      </c>
      <c r="C3276" s="2" t="s">
        <v>4661</v>
      </c>
      <c r="D3276" s="2" t="s">
        <v>1066</v>
      </c>
      <c r="E3276" s="2" t="s">
        <v>1069</v>
      </c>
      <c r="F3276" s="2">
        <v>270.0</v>
      </c>
      <c r="G3276" s="2">
        <v>4.87</v>
      </c>
      <c r="H3276" s="2">
        <v>55.4</v>
      </c>
      <c r="I3276" s="2" t="s">
        <v>47</v>
      </c>
    </row>
    <row r="3277" ht="15.75" customHeight="1">
      <c r="A3277" s="2" t="s">
        <v>7096</v>
      </c>
      <c r="B3277" s="2" t="s">
        <v>1228</v>
      </c>
      <c r="C3277" s="2" t="s">
        <v>4661</v>
      </c>
      <c r="D3277" s="2" t="s">
        <v>948</v>
      </c>
      <c r="E3277" s="2" t="s">
        <v>950</v>
      </c>
      <c r="F3277" s="2">
        <v>171.0</v>
      </c>
      <c r="G3277" s="2">
        <v>6.72</v>
      </c>
      <c r="H3277" s="2">
        <v>25.4</v>
      </c>
      <c r="I3277" s="2" t="s">
        <v>47</v>
      </c>
    </row>
    <row r="3278" ht="15.75" customHeight="1">
      <c r="A3278" s="2" t="s">
        <v>4902</v>
      </c>
      <c r="B3278" s="2" t="s">
        <v>4903</v>
      </c>
      <c r="C3278" s="2" t="s">
        <v>4661</v>
      </c>
      <c r="D3278" s="2" t="s">
        <v>1051</v>
      </c>
      <c r="E3278" s="2" t="s">
        <v>1053</v>
      </c>
      <c r="F3278" s="2">
        <v>453.0</v>
      </c>
      <c r="G3278" s="2">
        <v>12.99</v>
      </c>
      <c r="H3278" s="2">
        <v>34.9</v>
      </c>
      <c r="I3278" s="2" t="s">
        <v>47</v>
      </c>
    </row>
    <row r="3279" ht="15.75" customHeight="1">
      <c r="A3279" s="2" t="s">
        <v>7097</v>
      </c>
      <c r="B3279" s="2" t="s">
        <v>7098</v>
      </c>
      <c r="C3279" s="2" t="s">
        <v>4661</v>
      </c>
      <c r="D3279" s="2" t="s">
        <v>1071</v>
      </c>
      <c r="E3279" s="2" t="s">
        <v>1075</v>
      </c>
      <c r="F3279" s="2">
        <v>91.0</v>
      </c>
      <c r="G3279" s="2">
        <v>3.91</v>
      </c>
      <c r="H3279" s="2">
        <v>23.3</v>
      </c>
      <c r="I3279" s="2" t="s">
        <v>47</v>
      </c>
    </row>
    <row r="3280" ht="15.75" customHeight="1">
      <c r="A3280" s="2" t="s">
        <v>7099</v>
      </c>
      <c r="B3280" s="2" t="s">
        <v>5378</v>
      </c>
      <c r="C3280" s="2" t="s">
        <v>4661</v>
      </c>
      <c r="D3280" s="2" t="s">
        <v>774</v>
      </c>
      <c r="E3280" s="2" t="s">
        <v>775</v>
      </c>
      <c r="F3280" s="2">
        <v>496.0</v>
      </c>
      <c r="G3280" s="2">
        <v>3.5</v>
      </c>
      <c r="H3280" s="2">
        <v>141.7</v>
      </c>
      <c r="I3280" s="2" t="s">
        <v>47</v>
      </c>
    </row>
    <row r="3281" ht="15.75" customHeight="1">
      <c r="A3281" s="2" t="s">
        <v>7100</v>
      </c>
      <c r="B3281" s="2" t="s">
        <v>7101</v>
      </c>
      <c r="C3281" s="2" t="s">
        <v>4661</v>
      </c>
      <c r="D3281" s="2" t="s">
        <v>948</v>
      </c>
      <c r="E3281" s="2" t="s">
        <v>950</v>
      </c>
      <c r="F3281" s="2">
        <v>136.0</v>
      </c>
      <c r="G3281" s="2">
        <v>5.06</v>
      </c>
      <c r="H3281" s="2">
        <v>26.9</v>
      </c>
      <c r="I3281" s="2" t="s">
        <v>47</v>
      </c>
    </row>
    <row r="3282" ht="15.75" customHeight="1">
      <c r="A3282" s="2" t="s">
        <v>7102</v>
      </c>
      <c r="B3282" s="2" t="s">
        <v>7103</v>
      </c>
      <c r="C3282" s="2" t="s">
        <v>4661</v>
      </c>
      <c r="D3282" s="2" t="s">
        <v>880</v>
      </c>
      <c r="E3282" s="2" t="s">
        <v>881</v>
      </c>
      <c r="F3282" s="2">
        <v>155.0</v>
      </c>
      <c r="G3282" s="2">
        <v>5.94</v>
      </c>
      <c r="H3282" s="2">
        <v>26.1</v>
      </c>
      <c r="I3282" s="2" t="s">
        <v>47</v>
      </c>
    </row>
    <row r="3283" ht="15.75" customHeight="1">
      <c r="A3283" s="2" t="s">
        <v>4914</v>
      </c>
      <c r="B3283" s="2" t="s">
        <v>4915</v>
      </c>
      <c r="C3283" s="2" t="s">
        <v>4661</v>
      </c>
      <c r="D3283" s="2" t="s">
        <v>1022</v>
      </c>
      <c r="E3283" s="2" t="s">
        <v>1025</v>
      </c>
      <c r="F3283" s="2">
        <v>2414.0</v>
      </c>
      <c r="G3283" s="2">
        <v>7.99</v>
      </c>
      <c r="H3283" s="2">
        <v>302.1</v>
      </c>
      <c r="I3283" s="2" t="s">
        <v>138</v>
      </c>
    </row>
    <row r="3284" ht="15.75" customHeight="1">
      <c r="A3284" s="2" t="s">
        <v>4917</v>
      </c>
      <c r="B3284" s="2" t="s">
        <v>4919</v>
      </c>
      <c r="C3284" s="2" t="s">
        <v>4661</v>
      </c>
      <c r="D3284" s="2" t="s">
        <v>1009</v>
      </c>
      <c r="E3284" s="2" t="s">
        <v>1010</v>
      </c>
      <c r="F3284" s="2">
        <v>339.0</v>
      </c>
      <c r="G3284" s="2">
        <v>9.68</v>
      </c>
      <c r="H3284" s="2">
        <v>35.0</v>
      </c>
      <c r="I3284" s="2" t="s">
        <v>47</v>
      </c>
    </row>
    <row r="3285" ht="15.75" customHeight="1">
      <c r="A3285" s="2" t="s">
        <v>4920</v>
      </c>
      <c r="B3285" s="2" t="s">
        <v>4921</v>
      </c>
      <c r="C3285" s="2" t="s">
        <v>4661</v>
      </c>
      <c r="D3285" s="2" t="s">
        <v>1009</v>
      </c>
      <c r="E3285" s="2" t="s">
        <v>1010</v>
      </c>
      <c r="F3285" s="2">
        <v>663.0</v>
      </c>
      <c r="G3285" s="2">
        <v>11.7</v>
      </c>
      <c r="H3285" s="2">
        <v>56.7</v>
      </c>
      <c r="I3285" s="2" t="s">
        <v>27</v>
      </c>
    </row>
    <row r="3286" ht="15.75" customHeight="1">
      <c r="A3286" s="2" t="s">
        <v>7104</v>
      </c>
      <c r="B3286" s="2" t="s">
        <v>7105</v>
      </c>
      <c r="C3286" s="2" t="s">
        <v>4661</v>
      </c>
      <c r="D3286" s="2" t="s">
        <v>948</v>
      </c>
      <c r="E3286" s="2" t="s">
        <v>950</v>
      </c>
      <c r="F3286" s="2">
        <v>142.0</v>
      </c>
      <c r="G3286" s="2">
        <v>6.62</v>
      </c>
      <c r="H3286" s="2">
        <v>21.5</v>
      </c>
      <c r="I3286" s="2" t="s">
        <v>47</v>
      </c>
    </row>
    <row r="3287" ht="15.75" customHeight="1">
      <c r="A3287" s="2" t="s">
        <v>7106</v>
      </c>
      <c r="B3287" s="2" t="s">
        <v>7107</v>
      </c>
      <c r="C3287" s="2" t="s">
        <v>4661</v>
      </c>
      <c r="D3287" s="2" t="s">
        <v>880</v>
      </c>
      <c r="E3287" s="2" t="s">
        <v>881</v>
      </c>
      <c r="F3287" s="2">
        <v>278.0</v>
      </c>
      <c r="G3287" s="2">
        <v>6.86</v>
      </c>
      <c r="H3287" s="2">
        <v>40.5</v>
      </c>
      <c r="I3287" s="2" t="s">
        <v>47</v>
      </c>
    </row>
    <row r="3288" ht="15.75" customHeight="1">
      <c r="A3288" s="2" t="s">
        <v>7108</v>
      </c>
      <c r="B3288" s="2" t="s">
        <v>7109</v>
      </c>
      <c r="C3288" s="2" t="s">
        <v>4661</v>
      </c>
      <c r="D3288" s="2" t="s">
        <v>880</v>
      </c>
      <c r="E3288" s="2" t="s">
        <v>881</v>
      </c>
      <c r="F3288" s="2">
        <v>299.0</v>
      </c>
      <c r="G3288" s="2">
        <v>7.4</v>
      </c>
      <c r="H3288" s="2">
        <v>40.4</v>
      </c>
      <c r="I3288" s="2" t="s">
        <v>47</v>
      </c>
    </row>
    <row r="3289" ht="15.75" customHeight="1">
      <c r="A3289" s="2" t="s">
        <v>7110</v>
      </c>
      <c r="B3289" s="2" t="s">
        <v>6146</v>
      </c>
      <c r="C3289" s="2" t="s">
        <v>4661</v>
      </c>
      <c r="D3289" s="2" t="s">
        <v>880</v>
      </c>
      <c r="E3289" s="2" t="s">
        <v>881</v>
      </c>
      <c r="F3289" s="2">
        <v>190.0</v>
      </c>
      <c r="G3289" s="2">
        <v>6.3</v>
      </c>
      <c r="H3289" s="2">
        <v>30.2</v>
      </c>
      <c r="I3289" s="2" t="s">
        <v>47</v>
      </c>
    </row>
    <row r="3290" ht="15.75" customHeight="1">
      <c r="A3290" s="2" t="s">
        <v>4924</v>
      </c>
      <c r="B3290" s="2" t="s">
        <v>4925</v>
      </c>
      <c r="C3290" s="2" t="s">
        <v>4661</v>
      </c>
      <c r="D3290" s="2" t="s">
        <v>853</v>
      </c>
      <c r="E3290" s="2" t="s">
        <v>854</v>
      </c>
      <c r="F3290" s="2">
        <v>531.0</v>
      </c>
      <c r="G3290" s="2">
        <v>4.67</v>
      </c>
      <c r="H3290" s="2">
        <v>113.7</v>
      </c>
      <c r="I3290" s="2" t="s">
        <v>27</v>
      </c>
    </row>
    <row r="3291" ht="15.75" customHeight="1">
      <c r="A3291" s="2" t="s">
        <v>4926</v>
      </c>
      <c r="B3291" s="2" t="s">
        <v>4927</v>
      </c>
      <c r="C3291" s="2" t="s">
        <v>4661</v>
      </c>
      <c r="D3291" s="2" t="s">
        <v>1009</v>
      </c>
      <c r="E3291" s="2" t="s">
        <v>1010</v>
      </c>
      <c r="F3291" s="2">
        <v>1937.0</v>
      </c>
      <c r="G3291" s="2">
        <v>20.75</v>
      </c>
      <c r="H3291" s="2">
        <v>93.3</v>
      </c>
      <c r="I3291" s="2" t="s">
        <v>27</v>
      </c>
    </row>
    <row r="3292" ht="15.75" customHeight="1">
      <c r="A3292" s="2" t="s">
        <v>7111</v>
      </c>
      <c r="B3292" s="2" t="s">
        <v>1260</v>
      </c>
      <c r="C3292" s="2" t="s">
        <v>4661</v>
      </c>
      <c r="D3292" s="2" t="s">
        <v>1066</v>
      </c>
      <c r="E3292" s="2" t="s">
        <v>1069</v>
      </c>
      <c r="F3292" s="2">
        <v>206.0</v>
      </c>
      <c r="G3292" s="2">
        <v>9.47</v>
      </c>
      <c r="H3292" s="2">
        <v>21.8</v>
      </c>
      <c r="I3292" s="2" t="s">
        <v>47</v>
      </c>
    </row>
    <row r="3293" ht="15.75" customHeight="1">
      <c r="A3293" s="2" t="s">
        <v>4930</v>
      </c>
      <c r="B3293" s="2" t="s">
        <v>4931</v>
      </c>
      <c r="C3293" s="2" t="s">
        <v>4661</v>
      </c>
      <c r="D3293" s="2" t="s">
        <v>1035</v>
      </c>
      <c r="E3293" s="2" t="s">
        <v>1037</v>
      </c>
      <c r="F3293" s="2">
        <v>3221.0</v>
      </c>
      <c r="G3293" s="2">
        <v>11.85</v>
      </c>
      <c r="H3293" s="2">
        <v>271.8</v>
      </c>
      <c r="I3293" s="2" t="s">
        <v>138</v>
      </c>
    </row>
    <row r="3294" ht="15.75" customHeight="1">
      <c r="A3294" s="2" t="s">
        <v>7112</v>
      </c>
      <c r="B3294" s="2" t="s">
        <v>7113</v>
      </c>
      <c r="C3294" s="2" t="s">
        <v>4661</v>
      </c>
      <c r="D3294" s="2" t="s">
        <v>1066</v>
      </c>
      <c r="E3294" s="2" t="s">
        <v>1069</v>
      </c>
      <c r="F3294" s="2">
        <v>320.0</v>
      </c>
      <c r="G3294" s="2">
        <v>6.4</v>
      </c>
      <c r="H3294" s="2">
        <v>50.0</v>
      </c>
      <c r="I3294" s="2" t="s">
        <v>47</v>
      </c>
    </row>
    <row r="3295" ht="15.75" customHeight="1">
      <c r="A3295" s="2" t="s">
        <v>7114</v>
      </c>
      <c r="B3295" s="2" t="s">
        <v>7115</v>
      </c>
      <c r="C3295" s="2" t="s">
        <v>4661</v>
      </c>
      <c r="D3295" s="2" t="s">
        <v>1071</v>
      </c>
      <c r="E3295" s="2" t="s">
        <v>1075</v>
      </c>
      <c r="F3295" s="2">
        <v>152.0</v>
      </c>
      <c r="G3295" s="2">
        <v>5.68</v>
      </c>
      <c r="H3295" s="2">
        <v>26.8</v>
      </c>
      <c r="I3295" s="2" t="s">
        <v>47</v>
      </c>
    </row>
    <row r="3296" ht="15.75" customHeight="1">
      <c r="A3296" s="2" t="s">
        <v>7116</v>
      </c>
      <c r="B3296" s="2" t="s">
        <v>7117</v>
      </c>
      <c r="C3296" s="2" t="s">
        <v>4661</v>
      </c>
      <c r="D3296" s="2" t="s">
        <v>853</v>
      </c>
      <c r="E3296" s="2" t="s">
        <v>854</v>
      </c>
      <c r="F3296" s="2">
        <v>154.0</v>
      </c>
      <c r="G3296" s="2">
        <v>6.07</v>
      </c>
      <c r="H3296" s="2">
        <v>25.4</v>
      </c>
      <c r="I3296" s="2" t="s">
        <v>47</v>
      </c>
    </row>
    <row r="3297" ht="15.75" customHeight="1">
      <c r="A3297" s="2" t="s">
        <v>4932</v>
      </c>
      <c r="B3297" s="2" t="s">
        <v>4933</v>
      </c>
      <c r="C3297" s="2" t="s">
        <v>4661</v>
      </c>
      <c r="D3297" s="2" t="s">
        <v>948</v>
      </c>
      <c r="E3297" s="2" t="s">
        <v>950</v>
      </c>
      <c r="F3297" s="2">
        <v>168.0</v>
      </c>
      <c r="G3297" s="2">
        <v>5.0</v>
      </c>
      <c r="H3297" s="2">
        <v>33.6</v>
      </c>
      <c r="I3297" s="2" t="s">
        <v>47</v>
      </c>
    </row>
    <row r="3298" ht="15.75" customHeight="1">
      <c r="A3298" s="2" t="s">
        <v>7118</v>
      </c>
      <c r="B3298" s="2" t="s">
        <v>7119</v>
      </c>
      <c r="C3298" s="2" t="s">
        <v>4661</v>
      </c>
      <c r="D3298" s="2" t="s">
        <v>1066</v>
      </c>
      <c r="E3298" s="2" t="s">
        <v>1069</v>
      </c>
      <c r="F3298" s="2">
        <v>143.0</v>
      </c>
      <c r="G3298" s="2">
        <v>7.47</v>
      </c>
      <c r="H3298" s="2">
        <v>19.1</v>
      </c>
      <c r="I3298" s="2" t="s">
        <v>47</v>
      </c>
    </row>
    <row r="3299" ht="15.75" customHeight="1">
      <c r="A3299" s="2" t="s">
        <v>7120</v>
      </c>
      <c r="B3299" s="2" t="s">
        <v>7121</v>
      </c>
      <c r="C3299" s="2" t="s">
        <v>4661</v>
      </c>
      <c r="D3299" s="2" t="s">
        <v>1071</v>
      </c>
      <c r="E3299" s="2" t="s">
        <v>1075</v>
      </c>
      <c r="F3299" s="2">
        <v>54.0</v>
      </c>
      <c r="G3299" s="2">
        <v>3.48</v>
      </c>
      <c r="H3299" s="2">
        <v>15.5</v>
      </c>
      <c r="I3299" s="2" t="s">
        <v>47</v>
      </c>
    </row>
    <row r="3300" ht="15.75" customHeight="1">
      <c r="A3300" s="2" t="s">
        <v>7122</v>
      </c>
      <c r="B3300" s="2" t="s">
        <v>7123</v>
      </c>
      <c r="C3300" s="2" t="s">
        <v>4661</v>
      </c>
      <c r="D3300" s="2" t="s">
        <v>948</v>
      </c>
      <c r="E3300" s="2" t="s">
        <v>950</v>
      </c>
      <c r="F3300" s="2">
        <v>97.0</v>
      </c>
      <c r="G3300" s="2">
        <v>9.05</v>
      </c>
      <c r="H3300" s="2">
        <v>10.7</v>
      </c>
      <c r="I3300" s="2" t="s">
        <v>47</v>
      </c>
    </row>
    <row r="3301" ht="15.75" customHeight="1">
      <c r="A3301" s="2" t="s">
        <v>7124</v>
      </c>
      <c r="B3301" s="2" t="s">
        <v>7125</v>
      </c>
      <c r="C3301" s="2" t="s">
        <v>4661</v>
      </c>
      <c r="D3301" s="2" t="s">
        <v>1051</v>
      </c>
      <c r="E3301" s="2" t="s">
        <v>1053</v>
      </c>
      <c r="F3301" s="2">
        <v>162.0</v>
      </c>
      <c r="G3301" s="2">
        <v>5.68</v>
      </c>
      <c r="H3301" s="2">
        <v>28.5</v>
      </c>
      <c r="I3301" s="2" t="s">
        <v>47</v>
      </c>
    </row>
    <row r="3302" ht="15.75" customHeight="1">
      <c r="A3302" s="2" t="s">
        <v>4935</v>
      </c>
      <c r="B3302" s="2" t="s">
        <v>4936</v>
      </c>
      <c r="C3302" s="2" t="s">
        <v>4661</v>
      </c>
      <c r="D3302" s="2" t="s">
        <v>796</v>
      </c>
      <c r="E3302" s="2" t="s">
        <v>797</v>
      </c>
      <c r="F3302" s="2">
        <v>502.0</v>
      </c>
      <c r="G3302" s="2">
        <v>15.17</v>
      </c>
      <c r="H3302" s="2">
        <v>33.1</v>
      </c>
      <c r="I3302" s="2" t="s">
        <v>27</v>
      </c>
    </row>
    <row r="3303" ht="15.75" customHeight="1">
      <c r="A3303" s="2" t="s">
        <v>7126</v>
      </c>
      <c r="B3303" s="2" t="s">
        <v>7127</v>
      </c>
      <c r="C3303" s="2" t="s">
        <v>4661</v>
      </c>
      <c r="D3303" s="2" t="s">
        <v>980</v>
      </c>
      <c r="E3303" s="2" t="s">
        <v>981</v>
      </c>
      <c r="F3303" s="2">
        <v>163.0</v>
      </c>
      <c r="G3303" s="2">
        <v>7.69</v>
      </c>
      <c r="H3303" s="2">
        <v>21.2</v>
      </c>
      <c r="I3303" s="2" t="s">
        <v>47</v>
      </c>
    </row>
    <row r="3304" ht="15.75" customHeight="1">
      <c r="A3304" s="2" t="s">
        <v>7128</v>
      </c>
      <c r="B3304" s="2" t="s">
        <v>7129</v>
      </c>
      <c r="C3304" s="2" t="s">
        <v>4661</v>
      </c>
      <c r="D3304" s="2" t="s">
        <v>1066</v>
      </c>
      <c r="E3304" s="2" t="s">
        <v>1069</v>
      </c>
      <c r="F3304" s="2">
        <v>226.0</v>
      </c>
      <c r="G3304" s="2">
        <v>2.98</v>
      </c>
      <c r="H3304" s="2">
        <v>75.8</v>
      </c>
      <c r="I3304" s="2" t="s">
        <v>47</v>
      </c>
    </row>
    <row r="3305" ht="15.75" customHeight="1">
      <c r="A3305" s="2" t="s">
        <v>7130</v>
      </c>
      <c r="B3305" s="2" t="s">
        <v>7131</v>
      </c>
      <c r="C3305" s="2" t="s">
        <v>4661</v>
      </c>
      <c r="D3305" s="2" t="s">
        <v>1051</v>
      </c>
      <c r="E3305" s="2" t="s">
        <v>1053</v>
      </c>
      <c r="F3305" s="2">
        <v>382.0</v>
      </c>
      <c r="G3305" s="2">
        <v>10.24</v>
      </c>
      <c r="H3305" s="2">
        <v>37.3</v>
      </c>
      <c r="I3305" s="2" t="s">
        <v>47</v>
      </c>
    </row>
    <row r="3306" ht="15.75" customHeight="1">
      <c r="A3306" s="2" t="s">
        <v>4938</v>
      </c>
      <c r="B3306" s="2" t="s">
        <v>4939</v>
      </c>
      <c r="C3306" s="2" t="s">
        <v>4661</v>
      </c>
      <c r="D3306" s="2" t="s">
        <v>1051</v>
      </c>
      <c r="E3306" s="2" t="s">
        <v>1053</v>
      </c>
      <c r="F3306" s="2">
        <v>314.0</v>
      </c>
      <c r="G3306" s="2">
        <v>3.32</v>
      </c>
      <c r="H3306" s="2">
        <v>94.6</v>
      </c>
      <c r="I3306" s="2" t="s">
        <v>47</v>
      </c>
    </row>
    <row r="3307" ht="15.75" customHeight="1">
      <c r="A3307" s="2" t="s">
        <v>4941</v>
      </c>
      <c r="B3307" s="2" t="s">
        <v>4943</v>
      </c>
      <c r="C3307" s="2" t="s">
        <v>4661</v>
      </c>
      <c r="D3307" s="2" t="s">
        <v>1051</v>
      </c>
      <c r="E3307" s="2" t="s">
        <v>1053</v>
      </c>
      <c r="F3307" s="2">
        <v>1363.0</v>
      </c>
      <c r="G3307" s="2">
        <v>13.47</v>
      </c>
      <c r="H3307" s="2">
        <v>101.2</v>
      </c>
      <c r="I3307" s="2" t="s">
        <v>27</v>
      </c>
    </row>
    <row r="3308" ht="15.75" customHeight="1">
      <c r="A3308" s="2" t="s">
        <v>7132</v>
      </c>
      <c r="B3308" s="2" t="s">
        <v>7133</v>
      </c>
      <c r="C3308" s="2" t="s">
        <v>4661</v>
      </c>
      <c r="D3308" s="2" t="s">
        <v>1066</v>
      </c>
      <c r="E3308" s="2" t="s">
        <v>1069</v>
      </c>
      <c r="F3308" s="2">
        <v>100.0</v>
      </c>
      <c r="G3308" s="2">
        <v>2.73</v>
      </c>
      <c r="H3308" s="2">
        <v>36.6</v>
      </c>
      <c r="I3308" s="2" t="s">
        <v>47</v>
      </c>
    </row>
    <row r="3309" ht="15.75" customHeight="1">
      <c r="A3309" s="2" t="s">
        <v>7136</v>
      </c>
      <c r="B3309" s="2" t="s">
        <v>7137</v>
      </c>
      <c r="C3309" s="2" t="s">
        <v>4661</v>
      </c>
      <c r="D3309" s="2" t="s">
        <v>1066</v>
      </c>
      <c r="E3309" s="2" t="s">
        <v>1069</v>
      </c>
      <c r="F3309" s="2">
        <v>79.0</v>
      </c>
      <c r="G3309" s="2">
        <v>2.97</v>
      </c>
      <c r="H3309" s="2">
        <v>26.6</v>
      </c>
      <c r="I3309" s="2" t="s">
        <v>47</v>
      </c>
    </row>
    <row r="3310" ht="15.75" customHeight="1">
      <c r="A3310" s="2" t="s">
        <v>7134</v>
      </c>
      <c r="B3310" s="2" t="s">
        <v>7135</v>
      </c>
      <c r="C3310" s="2" t="s">
        <v>4661</v>
      </c>
      <c r="D3310" s="2" t="s">
        <v>1071</v>
      </c>
      <c r="E3310" s="2" t="s">
        <v>1075</v>
      </c>
      <c r="F3310" s="2">
        <v>235.0</v>
      </c>
      <c r="G3310" s="2">
        <v>6.96</v>
      </c>
      <c r="H3310" s="2">
        <v>33.8</v>
      </c>
      <c r="I3310" s="2" t="s">
        <v>47</v>
      </c>
    </row>
    <row r="3311" ht="15.75" customHeight="1">
      <c r="A3311" s="2" t="s">
        <v>7138</v>
      </c>
      <c r="B3311" s="2" t="s">
        <v>7139</v>
      </c>
      <c r="C3311" s="2" t="s">
        <v>4661</v>
      </c>
      <c r="D3311" s="2" t="s">
        <v>853</v>
      </c>
      <c r="E3311" s="2" t="s">
        <v>854</v>
      </c>
      <c r="F3311" s="2">
        <v>216.0</v>
      </c>
      <c r="G3311" s="2">
        <v>3.67</v>
      </c>
      <c r="H3311" s="2">
        <v>58.9</v>
      </c>
      <c r="I3311" s="2" t="s">
        <v>47</v>
      </c>
    </row>
    <row r="3312" ht="15.75" customHeight="1">
      <c r="A3312" s="2" t="s">
        <v>4944</v>
      </c>
      <c r="B3312" s="2" t="s">
        <v>4945</v>
      </c>
      <c r="C3312" s="2" t="s">
        <v>4661</v>
      </c>
      <c r="D3312" s="2" t="s">
        <v>1016</v>
      </c>
      <c r="E3312" s="2" t="s">
        <v>1017</v>
      </c>
      <c r="F3312" s="2">
        <v>1723.0</v>
      </c>
      <c r="G3312" s="2">
        <v>5.73</v>
      </c>
      <c r="H3312" s="2">
        <v>300.7</v>
      </c>
      <c r="I3312" s="2" t="s">
        <v>27</v>
      </c>
    </row>
    <row r="3313" ht="15.75" customHeight="1">
      <c r="A3313" s="2" t="s">
        <v>7140</v>
      </c>
      <c r="B3313" s="2" t="s">
        <v>7141</v>
      </c>
      <c r="C3313" s="2" t="s">
        <v>4661</v>
      </c>
      <c r="D3313" s="2" t="s">
        <v>1071</v>
      </c>
      <c r="E3313" s="2" t="s">
        <v>1075</v>
      </c>
      <c r="F3313" s="2">
        <v>154.0</v>
      </c>
      <c r="G3313" s="2">
        <v>5.5</v>
      </c>
      <c r="H3313" s="2">
        <v>28.0</v>
      </c>
      <c r="I3313" s="2" t="s">
        <v>47</v>
      </c>
    </row>
    <row r="3314" ht="15.75" customHeight="1">
      <c r="A3314" s="2" t="s">
        <v>7142</v>
      </c>
      <c r="B3314" s="2" t="s">
        <v>7143</v>
      </c>
      <c r="C3314" s="2" t="s">
        <v>4661</v>
      </c>
      <c r="D3314" s="2" t="s">
        <v>1066</v>
      </c>
      <c r="E3314" s="2" t="s">
        <v>1069</v>
      </c>
      <c r="F3314" s="2">
        <v>181.0</v>
      </c>
      <c r="G3314" s="2">
        <v>4.57</v>
      </c>
      <c r="H3314" s="2">
        <v>39.6</v>
      </c>
      <c r="I3314" s="2" t="s">
        <v>47</v>
      </c>
    </row>
    <row r="3315" ht="15.75" customHeight="1">
      <c r="A3315" s="2" t="s">
        <v>7144</v>
      </c>
      <c r="B3315" s="2" t="s">
        <v>7145</v>
      </c>
      <c r="C3315" s="2" t="s">
        <v>4661</v>
      </c>
      <c r="D3315" s="2" t="s">
        <v>1035</v>
      </c>
      <c r="E3315" s="2" t="s">
        <v>1037</v>
      </c>
      <c r="F3315" s="2">
        <v>380.0</v>
      </c>
      <c r="G3315" s="2">
        <v>9.14</v>
      </c>
      <c r="H3315" s="2">
        <v>41.6</v>
      </c>
      <c r="I3315" s="2" t="s">
        <v>47</v>
      </c>
    </row>
    <row r="3316" ht="15.75" customHeight="1">
      <c r="A3316" s="2" t="s">
        <v>4946</v>
      </c>
      <c r="B3316" s="2" t="s">
        <v>4948</v>
      </c>
      <c r="C3316" s="2" t="s">
        <v>4661</v>
      </c>
      <c r="D3316" s="2" t="s">
        <v>1071</v>
      </c>
      <c r="E3316" s="2" t="s">
        <v>1075</v>
      </c>
      <c r="F3316" s="2">
        <v>443.0</v>
      </c>
      <c r="G3316" s="2">
        <v>9.96</v>
      </c>
      <c r="H3316" s="2">
        <v>44.5</v>
      </c>
      <c r="I3316" s="2" t="s">
        <v>47</v>
      </c>
    </row>
    <row r="3317" ht="15.75" customHeight="1">
      <c r="A3317" s="2" t="s">
        <v>7146</v>
      </c>
      <c r="B3317" s="2" t="s">
        <v>7147</v>
      </c>
      <c r="C3317" s="2" t="s">
        <v>4661</v>
      </c>
      <c r="D3317" s="2" t="s">
        <v>1066</v>
      </c>
      <c r="E3317" s="2" t="s">
        <v>1069</v>
      </c>
      <c r="F3317" s="2">
        <v>151.0</v>
      </c>
      <c r="G3317" s="2">
        <v>5.02</v>
      </c>
      <c r="H3317" s="2">
        <v>30.1</v>
      </c>
      <c r="I3317" s="2" t="s">
        <v>47</v>
      </c>
    </row>
    <row r="3318" ht="15.75" customHeight="1">
      <c r="A3318" s="2" t="s">
        <v>7148</v>
      </c>
      <c r="B3318" s="2" t="s">
        <v>5405</v>
      </c>
      <c r="C3318" s="2" t="s">
        <v>4661</v>
      </c>
      <c r="D3318" s="2" t="s">
        <v>1051</v>
      </c>
      <c r="E3318" s="2" t="s">
        <v>1053</v>
      </c>
      <c r="F3318" s="2">
        <v>176.0</v>
      </c>
      <c r="G3318" s="2">
        <v>5.85</v>
      </c>
      <c r="H3318" s="2">
        <v>30.1</v>
      </c>
      <c r="I3318" s="2" t="s">
        <v>47</v>
      </c>
    </row>
    <row r="3319" ht="15.75" customHeight="1">
      <c r="A3319" s="2" t="s">
        <v>7149</v>
      </c>
      <c r="B3319" s="2" t="s">
        <v>7150</v>
      </c>
      <c r="C3319" s="2" t="s">
        <v>4661</v>
      </c>
      <c r="D3319" s="2" t="s">
        <v>796</v>
      </c>
      <c r="E3319" s="2" t="s">
        <v>797</v>
      </c>
      <c r="F3319" s="2">
        <v>501.0</v>
      </c>
      <c r="G3319" s="2">
        <v>8.43</v>
      </c>
      <c r="H3319" s="2">
        <v>59.4</v>
      </c>
      <c r="I3319" s="2" t="s">
        <v>27</v>
      </c>
    </row>
    <row r="3320" ht="15.75" customHeight="1">
      <c r="A3320" s="2" t="s">
        <v>7151</v>
      </c>
      <c r="B3320" s="2" t="s">
        <v>1300</v>
      </c>
      <c r="C3320" s="2" t="s">
        <v>4661</v>
      </c>
      <c r="D3320" s="2" t="s">
        <v>1035</v>
      </c>
      <c r="E3320" s="2" t="s">
        <v>1037</v>
      </c>
      <c r="F3320" s="2">
        <v>163.0</v>
      </c>
      <c r="G3320" s="2">
        <v>6.25</v>
      </c>
      <c r="H3320" s="2">
        <v>26.1</v>
      </c>
      <c r="I3320" s="2" t="s">
        <v>47</v>
      </c>
    </row>
    <row r="3321" ht="15.75" customHeight="1">
      <c r="A3321" s="2" t="s">
        <v>7152</v>
      </c>
      <c r="B3321" s="2" t="s">
        <v>7153</v>
      </c>
      <c r="C3321" s="2" t="s">
        <v>4661</v>
      </c>
      <c r="D3321" s="2" t="s">
        <v>1071</v>
      </c>
      <c r="E3321" s="2" t="s">
        <v>1075</v>
      </c>
      <c r="F3321" s="2">
        <v>163.0</v>
      </c>
      <c r="G3321" s="2">
        <v>3.06</v>
      </c>
      <c r="H3321" s="2">
        <v>53.3</v>
      </c>
      <c r="I3321" s="2" t="s">
        <v>47</v>
      </c>
    </row>
    <row r="3322" ht="15.75" customHeight="1">
      <c r="A3322" s="2" t="s">
        <v>7154</v>
      </c>
      <c r="B3322" s="2" t="s">
        <v>7155</v>
      </c>
      <c r="C3322" s="2" t="s">
        <v>4661</v>
      </c>
      <c r="D3322" s="2" t="s">
        <v>1035</v>
      </c>
      <c r="E3322" s="2" t="s">
        <v>1037</v>
      </c>
      <c r="F3322" s="2">
        <v>193.0</v>
      </c>
      <c r="G3322" s="2">
        <v>5.66</v>
      </c>
      <c r="H3322" s="2">
        <v>34.1</v>
      </c>
      <c r="I3322" s="2" t="s">
        <v>47</v>
      </c>
    </row>
    <row r="3323" ht="15.75" customHeight="1">
      <c r="A3323" s="2" t="s">
        <v>7156</v>
      </c>
      <c r="B3323" s="2" t="s">
        <v>7157</v>
      </c>
      <c r="C3323" s="2" t="s">
        <v>4661</v>
      </c>
      <c r="D3323" s="2" t="s">
        <v>853</v>
      </c>
      <c r="E3323" s="2" t="s">
        <v>854</v>
      </c>
      <c r="F3323" s="2">
        <v>125.0</v>
      </c>
      <c r="G3323" s="2">
        <v>4.28</v>
      </c>
      <c r="H3323" s="2">
        <v>29.2</v>
      </c>
      <c r="I3323" s="2" t="s">
        <v>47</v>
      </c>
    </row>
    <row r="3324" ht="15.75" customHeight="1">
      <c r="A3324" s="2" t="s">
        <v>7158</v>
      </c>
      <c r="B3324" s="2" t="s">
        <v>7159</v>
      </c>
      <c r="C3324" s="2" t="s">
        <v>4661</v>
      </c>
      <c r="D3324" s="2" t="s">
        <v>1016</v>
      </c>
      <c r="E3324" s="2" t="s">
        <v>1017</v>
      </c>
      <c r="F3324" s="2">
        <v>558.0</v>
      </c>
      <c r="G3324" s="2">
        <v>4.79</v>
      </c>
      <c r="H3324" s="2">
        <v>116.5</v>
      </c>
      <c r="I3324" s="2" t="s">
        <v>27</v>
      </c>
    </row>
    <row r="3325" ht="15.75" customHeight="1">
      <c r="A3325" s="2" t="s">
        <v>7164</v>
      </c>
      <c r="B3325" s="2" t="s">
        <v>7165</v>
      </c>
      <c r="C3325" s="2" t="s">
        <v>4661</v>
      </c>
      <c r="D3325" s="2" t="s">
        <v>1071</v>
      </c>
      <c r="E3325" s="2" t="s">
        <v>1075</v>
      </c>
      <c r="F3325" s="2">
        <v>158.0</v>
      </c>
      <c r="G3325" s="2">
        <v>5.66</v>
      </c>
      <c r="H3325" s="2">
        <v>27.9</v>
      </c>
      <c r="I3325" s="2" t="s">
        <v>47</v>
      </c>
    </row>
    <row r="3326" ht="15.75" customHeight="1">
      <c r="A3326" s="2" t="s">
        <v>7166</v>
      </c>
      <c r="B3326" s="2" t="s">
        <v>7167</v>
      </c>
      <c r="C3326" s="2" t="s">
        <v>4661</v>
      </c>
      <c r="D3326" s="2" t="s">
        <v>1066</v>
      </c>
      <c r="E3326" s="2" t="s">
        <v>1069</v>
      </c>
      <c r="F3326" s="2">
        <v>211.0</v>
      </c>
      <c r="G3326" s="2">
        <v>3.53</v>
      </c>
      <c r="H3326" s="2">
        <v>59.8</v>
      </c>
      <c r="I3326" s="2" t="s">
        <v>47</v>
      </c>
    </row>
    <row r="3327" ht="15.75" customHeight="1">
      <c r="A3327" s="2" t="s">
        <v>7168</v>
      </c>
      <c r="B3327" s="2" t="s">
        <v>7169</v>
      </c>
      <c r="C3327" s="2" t="s">
        <v>4661</v>
      </c>
      <c r="D3327" s="2" t="s">
        <v>1066</v>
      </c>
      <c r="E3327" s="2" t="s">
        <v>1069</v>
      </c>
      <c r="F3327" s="2">
        <v>104.0</v>
      </c>
      <c r="G3327" s="2">
        <v>3.42</v>
      </c>
      <c r="H3327" s="2">
        <v>30.4</v>
      </c>
      <c r="I3327" s="2" t="s">
        <v>47</v>
      </c>
    </row>
    <row r="3328" ht="15.75" customHeight="1">
      <c r="A3328" s="2" t="s">
        <v>7170</v>
      </c>
      <c r="B3328" s="2" t="s">
        <v>7171</v>
      </c>
      <c r="C3328" s="2" t="s">
        <v>4661</v>
      </c>
      <c r="D3328" s="2" t="s">
        <v>1066</v>
      </c>
      <c r="E3328" s="2" t="s">
        <v>1069</v>
      </c>
      <c r="F3328" s="2">
        <v>96.0</v>
      </c>
      <c r="G3328" s="2">
        <v>3.99</v>
      </c>
      <c r="H3328" s="2">
        <v>24.1</v>
      </c>
      <c r="I3328" s="2" t="s">
        <v>47</v>
      </c>
    </row>
    <row r="3329" ht="15.75" customHeight="1">
      <c r="A3329" s="2" t="s">
        <v>7172</v>
      </c>
      <c r="B3329" s="2" t="s">
        <v>7173</v>
      </c>
      <c r="C3329" s="2" t="s">
        <v>4661</v>
      </c>
      <c r="D3329" s="2" t="s">
        <v>1066</v>
      </c>
      <c r="E3329" s="2" t="s">
        <v>1069</v>
      </c>
      <c r="F3329" s="2">
        <v>223.0</v>
      </c>
      <c r="G3329" s="2">
        <v>8.12</v>
      </c>
      <c r="H3329" s="2">
        <v>27.5</v>
      </c>
      <c r="I3329" s="2" t="s">
        <v>47</v>
      </c>
    </row>
    <row r="3330" ht="15.75" customHeight="1">
      <c r="A3330" s="2" t="s">
        <v>7174</v>
      </c>
      <c r="B3330" s="2" t="s">
        <v>7175</v>
      </c>
      <c r="C3330" s="2" t="s">
        <v>4661</v>
      </c>
      <c r="D3330" s="2" t="s">
        <v>853</v>
      </c>
      <c r="E3330" s="2" t="s">
        <v>854</v>
      </c>
      <c r="F3330" s="2">
        <v>138.0</v>
      </c>
      <c r="G3330" s="2">
        <v>3.84</v>
      </c>
      <c r="H3330" s="2">
        <v>35.9</v>
      </c>
      <c r="I3330" s="2" t="s">
        <v>47</v>
      </c>
    </row>
    <row r="3331" ht="15.75" customHeight="1">
      <c r="A3331" s="2" t="s">
        <v>7176</v>
      </c>
      <c r="B3331" s="2" t="s">
        <v>7177</v>
      </c>
      <c r="C3331" s="2" t="s">
        <v>4661</v>
      </c>
      <c r="D3331" s="2" t="s">
        <v>948</v>
      </c>
      <c r="E3331" s="2" t="s">
        <v>950</v>
      </c>
      <c r="F3331" s="2">
        <v>286.0</v>
      </c>
      <c r="G3331" s="2">
        <v>7.71</v>
      </c>
      <c r="H3331" s="2">
        <v>37.1</v>
      </c>
      <c r="I3331" s="2" t="s">
        <v>47</v>
      </c>
    </row>
    <row r="3332" ht="15.75" customHeight="1">
      <c r="A3332" s="2" t="s">
        <v>4950</v>
      </c>
      <c r="B3332" s="2" t="s">
        <v>4952</v>
      </c>
      <c r="C3332" s="2" t="s">
        <v>4661</v>
      </c>
      <c r="D3332" s="2" t="s">
        <v>1022</v>
      </c>
      <c r="E3332" s="2" t="s">
        <v>1025</v>
      </c>
      <c r="F3332" s="2">
        <v>2045.0</v>
      </c>
      <c r="G3332" s="2">
        <v>8.7</v>
      </c>
      <c r="H3332" s="2">
        <v>235.1</v>
      </c>
      <c r="I3332" s="2" t="s">
        <v>138</v>
      </c>
    </row>
    <row r="3333" ht="15.75" customHeight="1">
      <c r="A3333" s="2" t="s">
        <v>7178</v>
      </c>
      <c r="B3333" s="2" t="s">
        <v>7179</v>
      </c>
      <c r="C3333" s="2" t="s">
        <v>4661</v>
      </c>
      <c r="D3333" s="2" t="s">
        <v>1066</v>
      </c>
      <c r="E3333" s="2" t="s">
        <v>1069</v>
      </c>
      <c r="F3333" s="2">
        <v>69.0</v>
      </c>
      <c r="G3333" s="2">
        <v>5.29</v>
      </c>
      <c r="H3333" s="2">
        <v>13.0</v>
      </c>
      <c r="I3333" s="2" t="s">
        <v>47</v>
      </c>
    </row>
    <row r="3334" ht="15.75" customHeight="1">
      <c r="A3334" s="2" t="s">
        <v>7180</v>
      </c>
      <c r="B3334" s="2" t="s">
        <v>7181</v>
      </c>
      <c r="C3334" s="2" t="s">
        <v>4661</v>
      </c>
      <c r="D3334" s="2" t="s">
        <v>1032</v>
      </c>
      <c r="E3334" s="2" t="s">
        <v>1033</v>
      </c>
      <c r="F3334" s="2">
        <v>296.0</v>
      </c>
      <c r="G3334" s="2">
        <v>7.46</v>
      </c>
      <c r="H3334" s="2">
        <v>39.7</v>
      </c>
      <c r="I3334" s="2" t="s">
        <v>47</v>
      </c>
    </row>
    <row r="3335" ht="15.75" customHeight="1">
      <c r="A3335" s="2" t="s">
        <v>4954</v>
      </c>
      <c r="B3335" s="2" t="s">
        <v>4955</v>
      </c>
      <c r="C3335" s="2" t="s">
        <v>4661</v>
      </c>
      <c r="D3335" s="2" t="s">
        <v>936</v>
      </c>
      <c r="E3335" s="2" t="s">
        <v>937</v>
      </c>
      <c r="F3335" s="2">
        <v>695.0</v>
      </c>
      <c r="G3335" s="2">
        <v>4.18</v>
      </c>
      <c r="H3335" s="2">
        <v>166.3</v>
      </c>
      <c r="I3335" s="2" t="s">
        <v>27</v>
      </c>
    </row>
    <row r="3336" ht="15.75" customHeight="1">
      <c r="A3336" s="2" t="s">
        <v>7182</v>
      </c>
      <c r="B3336" s="2" t="s">
        <v>7183</v>
      </c>
      <c r="C3336" s="2" t="s">
        <v>4661</v>
      </c>
      <c r="D3336" s="2" t="s">
        <v>1066</v>
      </c>
      <c r="E3336" s="2" t="s">
        <v>1069</v>
      </c>
      <c r="F3336" s="2">
        <v>177.0</v>
      </c>
      <c r="G3336" s="2">
        <v>5.63</v>
      </c>
      <c r="H3336" s="2">
        <v>31.4</v>
      </c>
      <c r="I3336" s="2" t="s">
        <v>47</v>
      </c>
    </row>
    <row r="3337" ht="15.75" customHeight="1">
      <c r="A3337" s="2" t="s">
        <v>7184</v>
      </c>
      <c r="B3337" s="2" t="s">
        <v>7185</v>
      </c>
      <c r="C3337" s="2" t="s">
        <v>4661</v>
      </c>
      <c r="D3337" s="2" t="s">
        <v>980</v>
      </c>
      <c r="E3337" s="2" t="s">
        <v>981</v>
      </c>
      <c r="F3337" s="2">
        <v>457.0</v>
      </c>
      <c r="G3337" s="2">
        <v>11.38</v>
      </c>
      <c r="H3337" s="2">
        <v>40.2</v>
      </c>
      <c r="I3337" s="2" t="s">
        <v>47</v>
      </c>
    </row>
    <row r="3338" ht="15.75" customHeight="1">
      <c r="A3338" s="2" t="s">
        <v>4958</v>
      </c>
      <c r="B3338" s="2" t="s">
        <v>4959</v>
      </c>
      <c r="C3338" s="2" t="s">
        <v>4661</v>
      </c>
      <c r="D3338" s="2" t="s">
        <v>980</v>
      </c>
      <c r="E3338" s="2" t="s">
        <v>981</v>
      </c>
      <c r="F3338" s="2">
        <v>176.0</v>
      </c>
      <c r="G3338" s="2">
        <v>6.2</v>
      </c>
      <c r="H3338" s="2">
        <v>28.4</v>
      </c>
      <c r="I3338" s="2" t="s">
        <v>47</v>
      </c>
    </row>
    <row r="3339" ht="15.75" customHeight="1">
      <c r="A3339" s="2" t="s">
        <v>4962</v>
      </c>
      <c r="B3339" s="2" t="s">
        <v>4963</v>
      </c>
      <c r="C3339" s="2" t="s">
        <v>4661</v>
      </c>
      <c r="D3339" s="2" t="s">
        <v>1022</v>
      </c>
      <c r="E3339" s="2" t="s">
        <v>1025</v>
      </c>
      <c r="F3339" s="2">
        <v>4306.0</v>
      </c>
      <c r="G3339" s="2">
        <v>8.83</v>
      </c>
      <c r="H3339" s="2">
        <v>487.7</v>
      </c>
      <c r="I3339" s="2" t="s">
        <v>138</v>
      </c>
    </row>
    <row r="3340" ht="15.75" customHeight="1">
      <c r="A3340" s="2" t="s">
        <v>7186</v>
      </c>
      <c r="B3340" s="2" t="s">
        <v>7187</v>
      </c>
      <c r="C3340" s="2" t="s">
        <v>4661</v>
      </c>
      <c r="D3340" s="2" t="s">
        <v>1009</v>
      </c>
      <c r="E3340" s="2" t="s">
        <v>1010</v>
      </c>
      <c r="F3340" s="2">
        <v>244.0</v>
      </c>
      <c r="G3340" s="2">
        <v>7.1</v>
      </c>
      <c r="H3340" s="2">
        <v>34.4</v>
      </c>
      <c r="I3340" s="2" t="s">
        <v>47</v>
      </c>
    </row>
    <row r="3341" ht="15.75" customHeight="1">
      <c r="A3341" s="2" t="s">
        <v>7188</v>
      </c>
      <c r="B3341" s="2" t="s">
        <v>7189</v>
      </c>
      <c r="C3341" s="2" t="s">
        <v>4661</v>
      </c>
      <c r="D3341" s="2" t="s">
        <v>1051</v>
      </c>
      <c r="E3341" s="2" t="s">
        <v>1053</v>
      </c>
      <c r="F3341" s="2">
        <v>96.0</v>
      </c>
      <c r="G3341" s="2">
        <v>2.79</v>
      </c>
      <c r="H3341" s="2">
        <v>34.4</v>
      </c>
      <c r="I3341" s="2" t="s">
        <v>47</v>
      </c>
    </row>
    <row r="3342" ht="15.75" customHeight="1">
      <c r="A3342" s="2" t="s">
        <v>7190</v>
      </c>
      <c r="B3342" s="2" t="s">
        <v>7191</v>
      </c>
      <c r="C3342" s="2" t="s">
        <v>4661</v>
      </c>
      <c r="D3342" s="2" t="s">
        <v>796</v>
      </c>
      <c r="E3342" s="2" t="s">
        <v>797</v>
      </c>
      <c r="F3342" s="2">
        <v>121.0</v>
      </c>
      <c r="G3342" s="2">
        <v>5.2</v>
      </c>
      <c r="H3342" s="2">
        <v>23.3</v>
      </c>
      <c r="I3342" s="2" t="s">
        <v>47</v>
      </c>
    </row>
    <row r="3343" ht="15.75" customHeight="1">
      <c r="A3343" s="2" t="s">
        <v>7160</v>
      </c>
      <c r="B3343" s="2" t="s">
        <v>7161</v>
      </c>
      <c r="C3343" s="2" t="s">
        <v>4661</v>
      </c>
      <c r="D3343" s="2" t="s">
        <v>1009</v>
      </c>
      <c r="E3343" s="2" t="s">
        <v>1010</v>
      </c>
      <c r="F3343" s="2">
        <v>250.0</v>
      </c>
      <c r="G3343" s="2">
        <v>5.64</v>
      </c>
      <c r="H3343" s="2">
        <v>44.3</v>
      </c>
      <c r="I3343" s="2" t="s">
        <v>47</v>
      </c>
    </row>
    <row r="3344" ht="15.75" customHeight="1">
      <c r="A3344" s="2" t="s">
        <v>7162</v>
      </c>
      <c r="B3344" s="2" t="s">
        <v>7163</v>
      </c>
      <c r="C3344" s="2" t="s">
        <v>4661</v>
      </c>
      <c r="D3344" s="2" t="s">
        <v>1066</v>
      </c>
      <c r="E3344" s="2" t="s">
        <v>1069</v>
      </c>
      <c r="F3344" s="2">
        <v>166.0</v>
      </c>
      <c r="G3344" s="2">
        <v>12.76</v>
      </c>
      <c r="H3344" s="2">
        <v>13.0</v>
      </c>
      <c r="I3344" s="2" t="s">
        <v>47</v>
      </c>
    </row>
    <row r="3345" ht="15.75" customHeight="1">
      <c r="A3345" s="2" t="s">
        <v>4964</v>
      </c>
      <c r="B3345" s="2" t="s">
        <v>4965</v>
      </c>
      <c r="C3345" s="2" t="s">
        <v>4661</v>
      </c>
      <c r="D3345" s="2" t="s">
        <v>936</v>
      </c>
      <c r="E3345" s="2" t="s">
        <v>937</v>
      </c>
      <c r="F3345" s="2">
        <v>2397.0</v>
      </c>
      <c r="G3345" s="2">
        <v>9.88</v>
      </c>
      <c r="H3345" s="2">
        <v>242.6</v>
      </c>
      <c r="I3345" s="2" t="s">
        <v>138</v>
      </c>
    </row>
    <row r="3346" ht="15.75" customHeight="1">
      <c r="A3346" s="2" t="s">
        <v>7192</v>
      </c>
      <c r="B3346" s="2" t="s">
        <v>7193</v>
      </c>
      <c r="C3346" s="2" t="s">
        <v>4661</v>
      </c>
      <c r="D3346" s="2" t="s">
        <v>1051</v>
      </c>
      <c r="E3346" s="2" t="s">
        <v>1053</v>
      </c>
      <c r="F3346" s="2">
        <v>270.0</v>
      </c>
      <c r="G3346" s="2">
        <v>11.39</v>
      </c>
      <c r="H3346" s="2">
        <v>23.7</v>
      </c>
      <c r="I3346" s="2" t="s">
        <v>47</v>
      </c>
    </row>
    <row r="3347" ht="15.75" customHeight="1">
      <c r="A3347" s="2" t="s">
        <v>7194</v>
      </c>
      <c r="B3347" s="2" t="s">
        <v>7195</v>
      </c>
      <c r="C3347" s="2" t="s">
        <v>4661</v>
      </c>
      <c r="D3347" s="2" t="s">
        <v>1066</v>
      </c>
      <c r="E3347" s="2" t="s">
        <v>1069</v>
      </c>
      <c r="F3347" s="2">
        <v>327.0</v>
      </c>
      <c r="G3347" s="2">
        <v>7.37</v>
      </c>
      <c r="H3347" s="2">
        <v>44.4</v>
      </c>
      <c r="I3347" s="2" t="s">
        <v>47</v>
      </c>
    </row>
    <row r="3348" ht="15.75" customHeight="1">
      <c r="A3348" s="2" t="s">
        <v>4967</v>
      </c>
      <c r="B3348" s="2" t="s">
        <v>4969</v>
      </c>
      <c r="C3348" s="2" t="s">
        <v>4661</v>
      </c>
      <c r="D3348" s="2" t="s">
        <v>1016</v>
      </c>
      <c r="E3348" s="2" t="s">
        <v>1017</v>
      </c>
      <c r="F3348" s="2">
        <v>627.0</v>
      </c>
      <c r="G3348" s="2">
        <v>5.57</v>
      </c>
      <c r="H3348" s="2">
        <v>112.6</v>
      </c>
      <c r="I3348" s="2" t="s">
        <v>27</v>
      </c>
    </row>
    <row r="3349" ht="15.75" customHeight="1">
      <c r="A3349" s="2" t="s">
        <v>7196</v>
      </c>
      <c r="B3349" s="2" t="s">
        <v>7197</v>
      </c>
      <c r="C3349" s="2" t="s">
        <v>4661</v>
      </c>
      <c r="D3349" s="2" t="s">
        <v>880</v>
      </c>
      <c r="E3349" s="2" t="s">
        <v>881</v>
      </c>
      <c r="F3349" s="2">
        <v>75.0</v>
      </c>
      <c r="G3349" s="2">
        <v>5.94</v>
      </c>
      <c r="H3349" s="2">
        <v>12.6</v>
      </c>
      <c r="I3349" s="2" t="s">
        <v>47</v>
      </c>
    </row>
    <row r="3350" ht="15.75" customHeight="1">
      <c r="A3350" s="2" t="s">
        <v>7198</v>
      </c>
      <c r="B3350" s="2" t="s">
        <v>7199</v>
      </c>
      <c r="C3350" s="2" t="s">
        <v>4661</v>
      </c>
      <c r="D3350" s="2" t="s">
        <v>774</v>
      </c>
      <c r="E3350" s="2" t="s">
        <v>775</v>
      </c>
      <c r="F3350" s="2">
        <v>791.0</v>
      </c>
      <c r="G3350" s="2">
        <v>5.5</v>
      </c>
      <c r="H3350" s="2">
        <v>143.8</v>
      </c>
      <c r="I3350" s="2" t="s">
        <v>27</v>
      </c>
    </row>
    <row r="3351" ht="15.75" customHeight="1">
      <c r="A3351" s="2" t="s">
        <v>7200</v>
      </c>
      <c r="B3351" s="2" t="s">
        <v>7201</v>
      </c>
      <c r="C3351" s="2" t="s">
        <v>4661</v>
      </c>
      <c r="D3351" s="2" t="s">
        <v>1051</v>
      </c>
      <c r="E3351" s="2" t="s">
        <v>1053</v>
      </c>
      <c r="F3351" s="2">
        <v>234.0</v>
      </c>
      <c r="G3351" s="2">
        <v>6.25</v>
      </c>
      <c r="H3351" s="2">
        <v>37.4</v>
      </c>
      <c r="I3351" s="2" t="s">
        <v>47</v>
      </c>
    </row>
    <row r="3352" ht="15.75" customHeight="1">
      <c r="A3352" s="2" t="s">
        <v>7202</v>
      </c>
      <c r="B3352" s="2" t="s">
        <v>7203</v>
      </c>
      <c r="C3352" s="2" t="s">
        <v>4661</v>
      </c>
      <c r="D3352" s="2" t="s">
        <v>1009</v>
      </c>
      <c r="E3352" s="2" t="s">
        <v>1010</v>
      </c>
      <c r="F3352" s="2">
        <v>40.0</v>
      </c>
      <c r="G3352" s="2">
        <v>4.87</v>
      </c>
      <c r="H3352" s="2">
        <v>8.2</v>
      </c>
      <c r="I3352" s="2" t="s">
        <v>47</v>
      </c>
    </row>
    <row r="3353" ht="15.75" customHeight="1">
      <c r="A3353" s="2" t="s">
        <v>7204</v>
      </c>
      <c r="B3353" s="2" t="s">
        <v>7205</v>
      </c>
      <c r="C3353" s="2" t="s">
        <v>4661</v>
      </c>
      <c r="D3353" s="2" t="s">
        <v>948</v>
      </c>
      <c r="E3353" s="2" t="s">
        <v>950</v>
      </c>
      <c r="F3353" s="2">
        <v>99.0</v>
      </c>
      <c r="G3353" s="2">
        <v>5.45</v>
      </c>
      <c r="H3353" s="2">
        <v>18.2</v>
      </c>
      <c r="I3353" s="2" t="s">
        <v>47</v>
      </c>
    </row>
    <row r="3354" ht="15.75" customHeight="1">
      <c r="A3354" s="2" t="s">
        <v>4971</v>
      </c>
      <c r="B3354" s="2" t="s">
        <v>4973</v>
      </c>
      <c r="C3354" s="2" t="s">
        <v>4661</v>
      </c>
      <c r="D3354" s="2" t="s">
        <v>796</v>
      </c>
      <c r="E3354" s="2" t="s">
        <v>797</v>
      </c>
      <c r="F3354" s="2">
        <v>465.0</v>
      </c>
      <c r="G3354" s="2">
        <v>9.09</v>
      </c>
      <c r="H3354" s="2">
        <v>51.2</v>
      </c>
      <c r="I3354" s="2" t="s">
        <v>47</v>
      </c>
    </row>
    <row r="3355" ht="15.75" customHeight="1">
      <c r="A3355" s="2" t="s">
        <v>7206</v>
      </c>
      <c r="B3355" s="2" t="s">
        <v>7207</v>
      </c>
      <c r="C3355" s="2" t="s">
        <v>4661</v>
      </c>
      <c r="D3355" s="2" t="s">
        <v>980</v>
      </c>
      <c r="E3355" s="2" t="s">
        <v>981</v>
      </c>
      <c r="F3355" s="2">
        <v>178.0</v>
      </c>
      <c r="G3355" s="2">
        <v>8.39</v>
      </c>
      <c r="H3355" s="2">
        <v>21.2</v>
      </c>
      <c r="I3355" s="2" t="s">
        <v>47</v>
      </c>
    </row>
    <row r="3356" ht="15.75" customHeight="1">
      <c r="A3356" s="2" t="s">
        <v>7208</v>
      </c>
      <c r="B3356" s="2" t="s">
        <v>7209</v>
      </c>
      <c r="C3356" s="2" t="s">
        <v>4661</v>
      </c>
      <c r="D3356" s="2" t="s">
        <v>948</v>
      </c>
      <c r="E3356" s="2" t="s">
        <v>950</v>
      </c>
      <c r="F3356" s="2">
        <v>175.0</v>
      </c>
      <c r="G3356" s="2">
        <v>5.33</v>
      </c>
      <c r="H3356" s="2">
        <v>32.8</v>
      </c>
      <c r="I3356" s="2" t="s">
        <v>47</v>
      </c>
    </row>
    <row r="3357" ht="15.75" customHeight="1">
      <c r="A3357" s="2" t="s">
        <v>7210</v>
      </c>
      <c r="B3357" s="2" t="s">
        <v>7211</v>
      </c>
      <c r="C3357" s="2" t="s">
        <v>4661</v>
      </c>
      <c r="D3357" s="2" t="s">
        <v>774</v>
      </c>
      <c r="E3357" s="2" t="s">
        <v>775</v>
      </c>
      <c r="F3357" s="2">
        <v>321.0</v>
      </c>
      <c r="G3357" s="2">
        <v>6.4</v>
      </c>
      <c r="H3357" s="2">
        <v>50.2</v>
      </c>
      <c r="I3357" s="2" t="s">
        <v>47</v>
      </c>
    </row>
    <row r="3358" ht="15.75" customHeight="1">
      <c r="A3358" s="2" t="s">
        <v>7214</v>
      </c>
      <c r="B3358" s="2" t="s">
        <v>7215</v>
      </c>
      <c r="C3358" s="2" t="s">
        <v>4661</v>
      </c>
      <c r="D3358" s="2" t="s">
        <v>853</v>
      </c>
      <c r="E3358" s="2" t="s">
        <v>854</v>
      </c>
      <c r="F3358" s="2">
        <v>409.0</v>
      </c>
      <c r="G3358" s="2">
        <v>18.83</v>
      </c>
      <c r="H3358" s="2">
        <v>21.7</v>
      </c>
      <c r="I3358" s="2" t="s">
        <v>47</v>
      </c>
    </row>
    <row r="3359" ht="15.75" customHeight="1">
      <c r="A3359" s="2" t="s">
        <v>7216</v>
      </c>
      <c r="B3359" s="2" t="s">
        <v>7217</v>
      </c>
      <c r="C3359" s="2" t="s">
        <v>4661</v>
      </c>
      <c r="D3359" s="2" t="s">
        <v>948</v>
      </c>
      <c r="E3359" s="2" t="s">
        <v>950</v>
      </c>
      <c r="F3359" s="2">
        <v>91.0</v>
      </c>
      <c r="G3359" s="2">
        <v>3.41</v>
      </c>
      <c r="H3359" s="2">
        <v>26.7</v>
      </c>
      <c r="I3359" s="2" t="s">
        <v>47</v>
      </c>
    </row>
    <row r="3360" ht="15.75" customHeight="1">
      <c r="A3360" s="2" t="s">
        <v>7218</v>
      </c>
      <c r="B3360" s="2" t="s">
        <v>7219</v>
      </c>
      <c r="C3360" s="2" t="s">
        <v>4661</v>
      </c>
      <c r="D3360" s="2" t="s">
        <v>1009</v>
      </c>
      <c r="E3360" s="2" t="s">
        <v>1010</v>
      </c>
      <c r="F3360" s="2">
        <v>572.0</v>
      </c>
      <c r="G3360" s="2">
        <v>9.0</v>
      </c>
      <c r="H3360" s="2">
        <v>63.6</v>
      </c>
      <c r="I3360" s="2" t="s">
        <v>27</v>
      </c>
    </row>
    <row r="3361" ht="15.75" customHeight="1">
      <c r="A3361" s="2" t="s">
        <v>7220</v>
      </c>
      <c r="B3361" s="2" t="s">
        <v>7221</v>
      </c>
      <c r="C3361" s="2" t="s">
        <v>4661</v>
      </c>
      <c r="D3361" s="2" t="s">
        <v>948</v>
      </c>
      <c r="E3361" s="2" t="s">
        <v>950</v>
      </c>
      <c r="F3361" s="2">
        <v>303.0</v>
      </c>
      <c r="G3361" s="2">
        <v>7.06</v>
      </c>
      <c r="H3361" s="2">
        <v>42.9</v>
      </c>
      <c r="I3361" s="2" t="s">
        <v>47</v>
      </c>
    </row>
    <row r="3362" ht="15.75" customHeight="1">
      <c r="A3362" s="2" t="s">
        <v>7212</v>
      </c>
      <c r="B3362" s="2" t="s">
        <v>7213</v>
      </c>
      <c r="C3362" s="2" t="s">
        <v>4661</v>
      </c>
      <c r="D3362" s="2" t="s">
        <v>1022</v>
      </c>
      <c r="E3362" s="2" t="s">
        <v>1025</v>
      </c>
      <c r="F3362" s="2">
        <v>204.0</v>
      </c>
      <c r="G3362" s="2">
        <v>2.6</v>
      </c>
      <c r="H3362" s="2">
        <v>78.5</v>
      </c>
      <c r="I3362" s="2" t="s">
        <v>47</v>
      </c>
    </row>
    <row r="3363" ht="15.75" customHeight="1">
      <c r="A3363" s="2" t="s">
        <v>4976</v>
      </c>
      <c r="B3363" s="2" t="s">
        <v>4977</v>
      </c>
      <c r="C3363" s="2" t="s">
        <v>4661</v>
      </c>
      <c r="D3363" s="2" t="s">
        <v>948</v>
      </c>
      <c r="E3363" s="2" t="s">
        <v>950</v>
      </c>
      <c r="F3363" s="2">
        <v>275.0</v>
      </c>
      <c r="G3363" s="2">
        <v>8.31</v>
      </c>
      <c r="H3363" s="2">
        <v>33.1</v>
      </c>
      <c r="I3363" s="2" t="s">
        <v>47</v>
      </c>
    </row>
    <row r="3364" ht="15.75" customHeight="1">
      <c r="A3364" s="2" t="s">
        <v>7222</v>
      </c>
      <c r="B3364" s="2" t="s">
        <v>7223</v>
      </c>
      <c r="C3364" s="2" t="s">
        <v>4661</v>
      </c>
      <c r="D3364" s="2" t="s">
        <v>1051</v>
      </c>
      <c r="E3364" s="2" t="s">
        <v>1053</v>
      </c>
      <c r="F3364" s="2">
        <v>361.0</v>
      </c>
      <c r="G3364" s="2">
        <v>12.91</v>
      </c>
      <c r="H3364" s="2">
        <v>28.0</v>
      </c>
      <c r="I3364" s="2" t="s">
        <v>47</v>
      </c>
    </row>
    <row r="3365" ht="15.75" customHeight="1">
      <c r="A3365" s="2" t="s">
        <v>7224</v>
      </c>
      <c r="B3365" s="2" t="s">
        <v>7225</v>
      </c>
      <c r="C3365" s="2" t="s">
        <v>4661</v>
      </c>
      <c r="D3365" s="2" t="s">
        <v>880</v>
      </c>
      <c r="E3365" s="2" t="s">
        <v>881</v>
      </c>
      <c r="F3365" s="2">
        <v>101.0</v>
      </c>
      <c r="G3365" s="2">
        <v>4.89</v>
      </c>
      <c r="H3365" s="2">
        <v>20.7</v>
      </c>
      <c r="I3365" s="2" t="s">
        <v>47</v>
      </c>
    </row>
    <row r="3366" ht="15.75" customHeight="1">
      <c r="A3366" s="2" t="s">
        <v>7226</v>
      </c>
      <c r="B3366" s="2" t="s">
        <v>7227</v>
      </c>
      <c r="C3366" s="2" t="s">
        <v>4661</v>
      </c>
      <c r="D3366" s="2" t="s">
        <v>774</v>
      </c>
      <c r="E3366" s="2" t="s">
        <v>775</v>
      </c>
      <c r="F3366" s="2">
        <v>386.0</v>
      </c>
      <c r="G3366" s="2">
        <v>4.54</v>
      </c>
      <c r="H3366" s="2">
        <v>85.0</v>
      </c>
      <c r="I3366" s="2" t="s">
        <v>47</v>
      </c>
    </row>
    <row r="3367" ht="15.75" customHeight="1">
      <c r="A3367" s="2" t="s">
        <v>4980</v>
      </c>
      <c r="B3367" s="2" t="s">
        <v>4981</v>
      </c>
      <c r="C3367" s="2" t="s">
        <v>4661</v>
      </c>
      <c r="D3367" s="2" t="s">
        <v>1071</v>
      </c>
      <c r="E3367" s="2" t="s">
        <v>1075</v>
      </c>
      <c r="F3367" s="2">
        <v>386.0</v>
      </c>
      <c r="G3367" s="2">
        <v>6.4</v>
      </c>
      <c r="H3367" s="2">
        <v>60.3</v>
      </c>
      <c r="I3367" s="2" t="s">
        <v>47</v>
      </c>
    </row>
    <row r="3368" ht="15.75" customHeight="1">
      <c r="A3368" s="2" t="s">
        <v>7228</v>
      </c>
      <c r="B3368" s="2" t="s">
        <v>7229</v>
      </c>
      <c r="C3368" s="2" t="s">
        <v>4661</v>
      </c>
      <c r="D3368" s="2" t="s">
        <v>880</v>
      </c>
      <c r="E3368" s="2" t="s">
        <v>881</v>
      </c>
      <c r="F3368" s="2">
        <v>126.0</v>
      </c>
      <c r="G3368" s="2">
        <v>3.29</v>
      </c>
      <c r="H3368" s="2">
        <v>38.3</v>
      </c>
      <c r="I3368" s="2" t="s">
        <v>47</v>
      </c>
    </row>
    <row r="3369" ht="15.75" customHeight="1">
      <c r="A3369" s="2" t="s">
        <v>7230</v>
      </c>
      <c r="B3369" s="2" t="s">
        <v>7231</v>
      </c>
      <c r="C3369" s="2" t="s">
        <v>4661</v>
      </c>
      <c r="D3369" s="2" t="s">
        <v>1066</v>
      </c>
      <c r="E3369" s="2" t="s">
        <v>1069</v>
      </c>
      <c r="F3369" s="2">
        <v>113.0</v>
      </c>
      <c r="G3369" s="2">
        <v>5.94</v>
      </c>
      <c r="H3369" s="2">
        <v>19.0</v>
      </c>
      <c r="I3369" s="2" t="s">
        <v>47</v>
      </c>
    </row>
    <row r="3370" ht="15.75" customHeight="1">
      <c r="A3370" s="2" t="s">
        <v>7234</v>
      </c>
      <c r="B3370" s="2" t="s">
        <v>7235</v>
      </c>
      <c r="C3370" s="2" t="s">
        <v>4661</v>
      </c>
      <c r="D3370" s="2" t="s">
        <v>880</v>
      </c>
      <c r="E3370" s="2" t="s">
        <v>881</v>
      </c>
      <c r="F3370" s="2">
        <v>145.0</v>
      </c>
      <c r="G3370" s="2">
        <v>5.03</v>
      </c>
      <c r="H3370" s="2">
        <v>28.8</v>
      </c>
      <c r="I3370" s="2" t="s">
        <v>47</v>
      </c>
    </row>
    <row r="3371" ht="15.75" customHeight="1">
      <c r="A3371" s="2" t="s">
        <v>7232</v>
      </c>
      <c r="B3371" s="2" t="s">
        <v>7233</v>
      </c>
      <c r="C3371" s="2" t="s">
        <v>4661</v>
      </c>
      <c r="D3371" s="2" t="s">
        <v>853</v>
      </c>
      <c r="E3371" s="2" t="s">
        <v>854</v>
      </c>
      <c r="F3371" s="2">
        <v>161.0</v>
      </c>
      <c r="G3371" s="2">
        <v>3.85</v>
      </c>
      <c r="H3371" s="2">
        <v>41.8</v>
      </c>
      <c r="I3371" s="2" t="s">
        <v>47</v>
      </c>
    </row>
    <row r="3372" ht="15.75" customHeight="1">
      <c r="A3372" s="2" t="s">
        <v>4982</v>
      </c>
      <c r="B3372" s="2" t="s">
        <v>4983</v>
      </c>
      <c r="C3372" s="2" t="s">
        <v>4661</v>
      </c>
      <c r="D3372" s="2" t="s">
        <v>1009</v>
      </c>
      <c r="E3372" s="2" t="s">
        <v>1010</v>
      </c>
      <c r="F3372" s="2">
        <v>399.0</v>
      </c>
      <c r="G3372" s="2">
        <v>6.99</v>
      </c>
      <c r="H3372" s="2">
        <v>57.1</v>
      </c>
      <c r="I3372" s="2" t="s">
        <v>47</v>
      </c>
    </row>
    <row r="3373" ht="15.75" customHeight="1">
      <c r="A3373" s="2" t="s">
        <v>7236</v>
      </c>
      <c r="B3373" s="2" t="s">
        <v>7237</v>
      </c>
      <c r="C3373" s="2" t="s">
        <v>4661</v>
      </c>
      <c r="D3373" s="2" t="s">
        <v>853</v>
      </c>
      <c r="E3373" s="2" t="s">
        <v>854</v>
      </c>
      <c r="F3373" s="2">
        <v>404.0</v>
      </c>
      <c r="G3373" s="2">
        <v>5.1</v>
      </c>
      <c r="H3373" s="2">
        <v>79.2</v>
      </c>
      <c r="I3373" s="2" t="s">
        <v>47</v>
      </c>
    </row>
    <row r="3374" ht="15.75" customHeight="1">
      <c r="A3374" s="2" t="s">
        <v>4984</v>
      </c>
      <c r="B3374" s="2" t="s">
        <v>4985</v>
      </c>
      <c r="C3374" s="2" t="s">
        <v>4661</v>
      </c>
      <c r="D3374" s="2" t="s">
        <v>796</v>
      </c>
      <c r="E3374" s="2" t="s">
        <v>797</v>
      </c>
      <c r="F3374" s="2">
        <v>1351.0</v>
      </c>
      <c r="G3374" s="2">
        <v>20.59</v>
      </c>
      <c r="H3374" s="2">
        <v>65.6</v>
      </c>
      <c r="I3374" s="2" t="s">
        <v>27</v>
      </c>
    </row>
    <row r="3375" ht="15.75" customHeight="1">
      <c r="A3375" s="2" t="s">
        <v>7238</v>
      </c>
      <c r="B3375" s="2" t="s">
        <v>7239</v>
      </c>
      <c r="C3375" s="2" t="s">
        <v>4661</v>
      </c>
      <c r="D3375" s="2" t="s">
        <v>853</v>
      </c>
      <c r="E3375" s="2" t="s">
        <v>854</v>
      </c>
      <c r="F3375" s="2">
        <v>142.0</v>
      </c>
      <c r="G3375" s="2">
        <v>7.13</v>
      </c>
      <c r="H3375" s="2">
        <v>19.9</v>
      </c>
      <c r="I3375" s="2" t="s">
        <v>47</v>
      </c>
    </row>
    <row r="3376" ht="15.75" customHeight="1">
      <c r="A3376" s="2" t="s">
        <v>7240</v>
      </c>
      <c r="B3376" s="2" t="s">
        <v>7241</v>
      </c>
      <c r="C3376" s="2" t="s">
        <v>4661</v>
      </c>
      <c r="D3376" s="2" t="s">
        <v>1035</v>
      </c>
      <c r="E3376" s="2" t="s">
        <v>1037</v>
      </c>
      <c r="F3376" s="2">
        <v>322.0</v>
      </c>
      <c r="G3376" s="2">
        <v>6.18</v>
      </c>
      <c r="H3376" s="2">
        <v>52.1</v>
      </c>
      <c r="I3376" s="2" t="s">
        <v>47</v>
      </c>
    </row>
    <row r="3377" ht="15.75" customHeight="1">
      <c r="A3377" s="2" t="s">
        <v>7242</v>
      </c>
      <c r="B3377" s="2" t="s">
        <v>7243</v>
      </c>
      <c r="C3377" s="2" t="s">
        <v>4661</v>
      </c>
      <c r="D3377" s="2" t="s">
        <v>1071</v>
      </c>
      <c r="E3377" s="2" t="s">
        <v>1075</v>
      </c>
      <c r="F3377" s="2">
        <v>143.0</v>
      </c>
      <c r="G3377" s="2">
        <v>3.9</v>
      </c>
      <c r="H3377" s="2">
        <v>36.7</v>
      </c>
      <c r="I3377" s="2" t="s">
        <v>47</v>
      </c>
    </row>
    <row r="3378" ht="15.75" customHeight="1">
      <c r="A3378" s="2" t="s">
        <v>4986</v>
      </c>
      <c r="B3378" s="2" t="s">
        <v>4987</v>
      </c>
      <c r="C3378" s="2" t="s">
        <v>4661</v>
      </c>
      <c r="D3378" s="2" t="s">
        <v>869</v>
      </c>
      <c r="E3378" s="2" t="s">
        <v>870</v>
      </c>
      <c r="F3378" s="2">
        <v>4378.0</v>
      </c>
      <c r="G3378" s="2">
        <v>9.63</v>
      </c>
      <c r="H3378" s="2">
        <v>454.6</v>
      </c>
      <c r="I3378" s="2" t="s">
        <v>138</v>
      </c>
    </row>
    <row r="3379" ht="15.75" customHeight="1">
      <c r="A3379" s="2" t="s">
        <v>4988</v>
      </c>
      <c r="B3379" s="2" t="s">
        <v>4989</v>
      </c>
      <c r="C3379" s="2" t="s">
        <v>4661</v>
      </c>
      <c r="D3379" s="2" t="s">
        <v>1016</v>
      </c>
      <c r="E3379" s="2" t="s">
        <v>1017</v>
      </c>
      <c r="F3379" s="2">
        <v>624.0</v>
      </c>
      <c r="G3379" s="2">
        <v>5.92</v>
      </c>
      <c r="H3379" s="2">
        <v>105.4</v>
      </c>
      <c r="I3379" s="2" t="s">
        <v>27</v>
      </c>
    </row>
    <row r="3380" ht="15.75" customHeight="1">
      <c r="A3380" s="2" t="s">
        <v>7244</v>
      </c>
      <c r="B3380" s="2" t="s">
        <v>7245</v>
      </c>
      <c r="C3380" s="2" t="s">
        <v>4661</v>
      </c>
      <c r="D3380" s="2" t="s">
        <v>880</v>
      </c>
      <c r="E3380" s="2" t="s">
        <v>881</v>
      </c>
      <c r="F3380" s="2">
        <v>94.0</v>
      </c>
      <c r="G3380" s="2">
        <v>4.09</v>
      </c>
      <c r="H3380" s="2">
        <v>23.0</v>
      </c>
      <c r="I3380" s="2" t="s">
        <v>47</v>
      </c>
    </row>
    <row r="3381" ht="15.75" customHeight="1">
      <c r="A3381" s="2" t="s">
        <v>7246</v>
      </c>
      <c r="B3381" s="2" t="s">
        <v>7247</v>
      </c>
      <c r="C3381" s="2" t="s">
        <v>4661</v>
      </c>
      <c r="D3381" s="2" t="s">
        <v>853</v>
      </c>
      <c r="E3381" s="2" t="s">
        <v>854</v>
      </c>
      <c r="F3381" s="2">
        <v>115.0</v>
      </c>
      <c r="G3381" s="2">
        <v>6.35</v>
      </c>
      <c r="H3381" s="2">
        <v>18.1</v>
      </c>
      <c r="I3381" s="2" t="s">
        <v>47</v>
      </c>
    </row>
    <row r="3382" ht="15.75" customHeight="1">
      <c r="A3382" s="2" t="s">
        <v>4990</v>
      </c>
      <c r="B3382" s="2" t="s">
        <v>4991</v>
      </c>
      <c r="C3382" s="2" t="s">
        <v>4661</v>
      </c>
      <c r="D3382" s="2" t="s">
        <v>853</v>
      </c>
      <c r="E3382" s="2" t="s">
        <v>854</v>
      </c>
      <c r="F3382" s="2">
        <v>1027.0</v>
      </c>
      <c r="G3382" s="2">
        <v>15.12</v>
      </c>
      <c r="H3382" s="2">
        <v>67.9</v>
      </c>
      <c r="I3382" s="2" t="s">
        <v>27</v>
      </c>
    </row>
    <row r="3383" ht="15.75" customHeight="1">
      <c r="A3383" s="2" t="s">
        <v>4992</v>
      </c>
      <c r="B3383" s="2" t="s">
        <v>4993</v>
      </c>
      <c r="C3383" s="2" t="s">
        <v>4661</v>
      </c>
      <c r="D3383" s="2" t="s">
        <v>1035</v>
      </c>
      <c r="E3383" s="2" t="s">
        <v>1037</v>
      </c>
      <c r="F3383" s="2">
        <v>760.0</v>
      </c>
      <c r="G3383" s="2">
        <v>12.47</v>
      </c>
      <c r="H3383" s="2">
        <v>60.9</v>
      </c>
      <c r="I3383" s="2" t="s">
        <v>27</v>
      </c>
    </row>
    <row r="3384" ht="15.75" customHeight="1">
      <c r="A3384" s="2" t="s">
        <v>4996</v>
      </c>
      <c r="B3384" s="2" t="s">
        <v>4997</v>
      </c>
      <c r="C3384" s="2" t="s">
        <v>4661</v>
      </c>
      <c r="D3384" s="2" t="s">
        <v>1071</v>
      </c>
      <c r="E3384" s="2" t="s">
        <v>1075</v>
      </c>
      <c r="F3384" s="2">
        <v>1640.0</v>
      </c>
      <c r="G3384" s="2">
        <v>15.42</v>
      </c>
      <c r="H3384" s="2">
        <v>106.4</v>
      </c>
      <c r="I3384" s="2" t="s">
        <v>27</v>
      </c>
    </row>
    <row r="3385" ht="15.75" customHeight="1">
      <c r="A3385" s="2" t="s">
        <v>7248</v>
      </c>
      <c r="B3385" s="2" t="s">
        <v>7249</v>
      </c>
      <c r="C3385" s="2" t="s">
        <v>4661</v>
      </c>
      <c r="D3385" s="2" t="s">
        <v>880</v>
      </c>
      <c r="E3385" s="2" t="s">
        <v>881</v>
      </c>
      <c r="F3385" s="2">
        <v>84.0</v>
      </c>
      <c r="G3385" s="2">
        <v>5.23</v>
      </c>
      <c r="H3385" s="2">
        <v>16.1</v>
      </c>
      <c r="I3385" s="2" t="s">
        <v>47</v>
      </c>
    </row>
    <row r="3386" ht="15.75" customHeight="1">
      <c r="A3386" s="2" t="s">
        <v>7250</v>
      </c>
      <c r="B3386" s="2" t="s">
        <v>7251</v>
      </c>
      <c r="C3386" s="2" t="s">
        <v>4661</v>
      </c>
      <c r="D3386" s="2" t="s">
        <v>980</v>
      </c>
      <c r="E3386" s="2" t="s">
        <v>981</v>
      </c>
      <c r="F3386" s="2">
        <v>170.0</v>
      </c>
      <c r="G3386" s="2">
        <v>2.79</v>
      </c>
      <c r="H3386" s="2">
        <v>60.9</v>
      </c>
      <c r="I3386" s="2" t="s">
        <v>47</v>
      </c>
    </row>
    <row r="3387" ht="15.75" customHeight="1">
      <c r="A3387" s="2" t="s">
        <v>4998</v>
      </c>
      <c r="B3387" s="2" t="s">
        <v>4999</v>
      </c>
      <c r="C3387" s="2" t="s">
        <v>4661</v>
      </c>
      <c r="D3387" s="2" t="s">
        <v>948</v>
      </c>
      <c r="E3387" s="2" t="s">
        <v>950</v>
      </c>
      <c r="F3387" s="2">
        <v>302.0</v>
      </c>
      <c r="G3387" s="2">
        <v>3.67</v>
      </c>
      <c r="H3387" s="2">
        <v>82.3</v>
      </c>
      <c r="I3387" s="2" t="s">
        <v>47</v>
      </c>
    </row>
    <row r="3388" ht="15.75" customHeight="1">
      <c r="A3388" s="2" t="s">
        <v>5002</v>
      </c>
      <c r="B3388" s="2" t="s">
        <v>5004</v>
      </c>
      <c r="C3388" s="2" t="s">
        <v>4661</v>
      </c>
      <c r="D3388" s="2" t="s">
        <v>1051</v>
      </c>
      <c r="E3388" s="2" t="s">
        <v>1053</v>
      </c>
      <c r="F3388" s="2">
        <v>527.0</v>
      </c>
      <c r="G3388" s="2">
        <v>6.05</v>
      </c>
      <c r="H3388" s="2">
        <v>87.1</v>
      </c>
      <c r="I3388" s="2" t="s">
        <v>27</v>
      </c>
    </row>
    <row r="3389" ht="15.75" customHeight="1">
      <c r="A3389" s="2" t="s">
        <v>5006</v>
      </c>
      <c r="B3389" s="2" t="s">
        <v>5007</v>
      </c>
      <c r="C3389" s="2" t="s">
        <v>4661</v>
      </c>
      <c r="D3389" s="2" t="s">
        <v>1035</v>
      </c>
      <c r="E3389" s="2" t="s">
        <v>1037</v>
      </c>
      <c r="F3389" s="2">
        <v>378.0</v>
      </c>
      <c r="G3389" s="2">
        <v>4.48</v>
      </c>
      <c r="H3389" s="2">
        <v>84.4</v>
      </c>
      <c r="I3389" s="2" t="s">
        <v>47</v>
      </c>
    </row>
    <row r="3390" ht="15.75" customHeight="1">
      <c r="A3390" s="2" t="s">
        <v>7256</v>
      </c>
      <c r="B3390" s="2" t="s">
        <v>7257</v>
      </c>
      <c r="C3390" s="2" t="s">
        <v>4661</v>
      </c>
      <c r="D3390" s="2" t="s">
        <v>1016</v>
      </c>
      <c r="E3390" s="2" t="s">
        <v>1017</v>
      </c>
      <c r="F3390" s="2">
        <v>438.0</v>
      </c>
      <c r="G3390" s="2">
        <v>9.42</v>
      </c>
      <c r="H3390" s="2">
        <v>46.5</v>
      </c>
      <c r="I3390" s="2" t="s">
        <v>47</v>
      </c>
    </row>
    <row r="3391" ht="15.75" customHeight="1">
      <c r="A3391" s="2" t="s">
        <v>7258</v>
      </c>
      <c r="B3391" s="2" t="s">
        <v>7259</v>
      </c>
      <c r="C3391" s="2" t="s">
        <v>4661</v>
      </c>
      <c r="D3391" s="2" t="s">
        <v>1009</v>
      </c>
      <c r="E3391" s="2" t="s">
        <v>1010</v>
      </c>
      <c r="F3391" s="2">
        <v>347.0</v>
      </c>
      <c r="G3391" s="2">
        <v>10.25</v>
      </c>
      <c r="H3391" s="2">
        <v>33.9</v>
      </c>
      <c r="I3391" s="2" t="s">
        <v>47</v>
      </c>
    </row>
    <row r="3392" ht="15.75" customHeight="1">
      <c r="A3392" s="2" t="s">
        <v>7260</v>
      </c>
      <c r="B3392" s="2" t="s">
        <v>7261</v>
      </c>
      <c r="C3392" s="2" t="s">
        <v>4661</v>
      </c>
      <c r="D3392" s="2" t="s">
        <v>880</v>
      </c>
      <c r="E3392" s="2" t="s">
        <v>881</v>
      </c>
      <c r="F3392" s="2">
        <v>137.0</v>
      </c>
      <c r="G3392" s="2">
        <v>3.65</v>
      </c>
      <c r="H3392" s="2">
        <v>37.5</v>
      </c>
      <c r="I3392" s="2" t="s">
        <v>47</v>
      </c>
    </row>
    <row r="3393" ht="15.75" customHeight="1">
      <c r="A3393" s="2" t="s">
        <v>7264</v>
      </c>
      <c r="B3393" s="2" t="s">
        <v>7265</v>
      </c>
      <c r="C3393" s="2" t="s">
        <v>4661</v>
      </c>
      <c r="D3393" s="2" t="s">
        <v>880</v>
      </c>
      <c r="E3393" s="2" t="s">
        <v>881</v>
      </c>
      <c r="F3393" s="2">
        <v>178.0</v>
      </c>
      <c r="G3393" s="2">
        <v>4.52</v>
      </c>
      <c r="H3393" s="2">
        <v>39.4</v>
      </c>
      <c r="I3393" s="2" t="s">
        <v>47</v>
      </c>
    </row>
    <row r="3394" ht="15.75" customHeight="1">
      <c r="A3394" s="2" t="s">
        <v>7266</v>
      </c>
      <c r="B3394" s="2" t="s">
        <v>7267</v>
      </c>
      <c r="C3394" s="2" t="s">
        <v>4661</v>
      </c>
      <c r="D3394" s="2" t="s">
        <v>1071</v>
      </c>
      <c r="E3394" s="2" t="s">
        <v>1075</v>
      </c>
      <c r="F3394" s="2">
        <v>192.0</v>
      </c>
      <c r="G3394" s="2">
        <v>6.13</v>
      </c>
      <c r="H3394" s="2">
        <v>31.3</v>
      </c>
      <c r="I3394" s="2" t="s">
        <v>47</v>
      </c>
    </row>
    <row r="3395" ht="15.75" customHeight="1">
      <c r="A3395" s="2" t="s">
        <v>7268</v>
      </c>
      <c r="B3395" s="2" t="s">
        <v>6249</v>
      </c>
      <c r="C3395" s="2" t="s">
        <v>4661</v>
      </c>
      <c r="D3395" s="2" t="s">
        <v>948</v>
      </c>
      <c r="E3395" s="2" t="s">
        <v>950</v>
      </c>
      <c r="F3395" s="2">
        <v>38.0</v>
      </c>
      <c r="G3395" s="2">
        <v>3.78</v>
      </c>
      <c r="H3395" s="2">
        <v>10.1</v>
      </c>
      <c r="I3395" s="2" t="s">
        <v>47</v>
      </c>
    </row>
    <row r="3396" ht="15.75" customHeight="1">
      <c r="A3396" s="2" t="s">
        <v>7269</v>
      </c>
      <c r="B3396" s="2" t="s">
        <v>7270</v>
      </c>
      <c r="C3396" s="2" t="s">
        <v>4661</v>
      </c>
      <c r="D3396" s="2" t="s">
        <v>880</v>
      </c>
      <c r="E3396" s="2" t="s">
        <v>881</v>
      </c>
      <c r="F3396" s="2">
        <v>184.0</v>
      </c>
      <c r="G3396" s="2">
        <v>6.2</v>
      </c>
      <c r="H3396" s="2">
        <v>29.7</v>
      </c>
      <c r="I3396" s="2" t="s">
        <v>47</v>
      </c>
    </row>
    <row r="3397" ht="15.75" customHeight="1">
      <c r="A3397" s="2" t="s">
        <v>7271</v>
      </c>
      <c r="B3397" s="2" t="s">
        <v>7272</v>
      </c>
      <c r="C3397" s="2" t="s">
        <v>4661</v>
      </c>
      <c r="D3397" s="2" t="s">
        <v>880</v>
      </c>
      <c r="E3397" s="2" t="s">
        <v>881</v>
      </c>
      <c r="F3397" s="2">
        <v>45.0</v>
      </c>
      <c r="G3397" s="2">
        <v>3.63</v>
      </c>
      <c r="H3397" s="2">
        <v>12.4</v>
      </c>
      <c r="I3397" s="2" t="s">
        <v>47</v>
      </c>
    </row>
    <row r="3398" ht="15.75" customHeight="1">
      <c r="A3398" s="2" t="s">
        <v>5009</v>
      </c>
      <c r="B3398" s="2" t="s">
        <v>5011</v>
      </c>
      <c r="C3398" s="2" t="s">
        <v>4661</v>
      </c>
      <c r="D3398" s="2" t="s">
        <v>1066</v>
      </c>
      <c r="E3398" s="2" t="s">
        <v>1069</v>
      </c>
      <c r="F3398" s="2">
        <v>522.0</v>
      </c>
      <c r="G3398" s="2">
        <v>34.59</v>
      </c>
      <c r="H3398" s="2">
        <v>15.1</v>
      </c>
      <c r="I3398" s="2" t="s">
        <v>27</v>
      </c>
    </row>
    <row r="3399" ht="15.75" customHeight="1">
      <c r="A3399" s="2" t="s">
        <v>7273</v>
      </c>
      <c r="B3399" s="2" t="s">
        <v>7274</v>
      </c>
      <c r="C3399" s="2" t="s">
        <v>4661</v>
      </c>
      <c r="D3399" s="2" t="s">
        <v>1066</v>
      </c>
      <c r="E3399" s="2" t="s">
        <v>1069</v>
      </c>
      <c r="F3399" s="2">
        <v>108.0</v>
      </c>
      <c r="G3399" s="2">
        <v>5.01</v>
      </c>
      <c r="H3399" s="2">
        <v>21.6</v>
      </c>
      <c r="I3399" s="2" t="s">
        <v>47</v>
      </c>
    </row>
    <row r="3400" ht="15.75" customHeight="1">
      <c r="A3400" s="2" t="s">
        <v>5014</v>
      </c>
      <c r="B3400" s="2" t="s">
        <v>5015</v>
      </c>
      <c r="C3400" s="2" t="s">
        <v>4661</v>
      </c>
      <c r="D3400" s="2" t="s">
        <v>880</v>
      </c>
      <c r="E3400" s="2" t="s">
        <v>881</v>
      </c>
      <c r="F3400" s="2">
        <v>527.0</v>
      </c>
      <c r="G3400" s="2">
        <v>12.63</v>
      </c>
      <c r="H3400" s="2">
        <v>41.7</v>
      </c>
      <c r="I3400" s="2" t="s">
        <v>27</v>
      </c>
    </row>
    <row r="3401" ht="15.75" customHeight="1">
      <c r="A3401" s="2" t="s">
        <v>7275</v>
      </c>
      <c r="B3401" s="2" t="s">
        <v>7276</v>
      </c>
      <c r="C3401" s="2" t="s">
        <v>4661</v>
      </c>
      <c r="D3401" s="2" t="s">
        <v>1009</v>
      </c>
      <c r="E3401" s="2" t="s">
        <v>1010</v>
      </c>
      <c r="F3401" s="2">
        <v>165.0</v>
      </c>
      <c r="G3401" s="2">
        <v>7.22</v>
      </c>
      <c r="H3401" s="2">
        <v>22.9</v>
      </c>
      <c r="I3401" s="2" t="s">
        <v>47</v>
      </c>
    </row>
    <row r="3402" ht="15.75" customHeight="1">
      <c r="A3402" s="2" t="s">
        <v>7277</v>
      </c>
      <c r="B3402" s="2" t="s">
        <v>7278</v>
      </c>
      <c r="C3402" s="2" t="s">
        <v>4661</v>
      </c>
      <c r="D3402" s="2" t="s">
        <v>1009</v>
      </c>
      <c r="E3402" s="2" t="s">
        <v>1010</v>
      </c>
      <c r="F3402" s="2">
        <v>150.0</v>
      </c>
      <c r="G3402" s="2">
        <v>5.03</v>
      </c>
      <c r="H3402" s="2">
        <v>29.8</v>
      </c>
      <c r="I3402" s="2" t="s">
        <v>47</v>
      </c>
    </row>
    <row r="3403" ht="15.75" customHeight="1">
      <c r="A3403" s="2" t="s">
        <v>5016</v>
      </c>
      <c r="B3403" s="2" t="s">
        <v>5017</v>
      </c>
      <c r="C3403" s="2" t="s">
        <v>4661</v>
      </c>
      <c r="D3403" s="2" t="s">
        <v>869</v>
      </c>
      <c r="E3403" s="2" t="s">
        <v>870</v>
      </c>
      <c r="F3403" s="2">
        <v>1111.0</v>
      </c>
      <c r="G3403" s="2">
        <v>15.73</v>
      </c>
      <c r="H3403" s="2">
        <v>70.6</v>
      </c>
      <c r="I3403" s="2" t="s">
        <v>27</v>
      </c>
    </row>
    <row r="3404" ht="15.75" customHeight="1">
      <c r="A3404" s="2" t="s">
        <v>5018</v>
      </c>
      <c r="B3404" s="2" t="s">
        <v>5019</v>
      </c>
      <c r="C3404" s="2" t="s">
        <v>4661</v>
      </c>
      <c r="D3404" s="2" t="s">
        <v>1066</v>
      </c>
      <c r="E3404" s="2" t="s">
        <v>1069</v>
      </c>
      <c r="F3404" s="2">
        <v>1622.0</v>
      </c>
      <c r="G3404" s="2">
        <v>51.49</v>
      </c>
      <c r="H3404" s="2">
        <v>31.5</v>
      </c>
      <c r="I3404" s="2" t="s">
        <v>27</v>
      </c>
    </row>
    <row r="3405" ht="15.75" customHeight="1">
      <c r="A3405" s="2" t="s">
        <v>5022</v>
      </c>
      <c r="B3405" s="2" t="s">
        <v>5023</v>
      </c>
      <c r="C3405" s="2" t="s">
        <v>4661</v>
      </c>
      <c r="D3405" s="2" t="s">
        <v>1022</v>
      </c>
      <c r="E3405" s="2" t="s">
        <v>1025</v>
      </c>
      <c r="F3405" s="2">
        <v>679.0</v>
      </c>
      <c r="G3405" s="2">
        <v>11.51</v>
      </c>
      <c r="H3405" s="2">
        <v>59.0</v>
      </c>
      <c r="I3405" s="2" t="s">
        <v>27</v>
      </c>
    </row>
    <row r="3406" ht="15.75" customHeight="1">
      <c r="A3406" s="2" t="s">
        <v>7279</v>
      </c>
      <c r="B3406" s="2" t="s">
        <v>7280</v>
      </c>
      <c r="C3406" s="2" t="s">
        <v>4661</v>
      </c>
      <c r="D3406" s="2" t="s">
        <v>1009</v>
      </c>
      <c r="E3406" s="2" t="s">
        <v>1010</v>
      </c>
      <c r="F3406" s="2">
        <v>247.0</v>
      </c>
      <c r="G3406" s="2">
        <v>8.33</v>
      </c>
      <c r="H3406" s="2">
        <v>29.7</v>
      </c>
      <c r="I3406" s="2" t="s">
        <v>47</v>
      </c>
    </row>
    <row r="3407" ht="15.75" customHeight="1">
      <c r="A3407" s="2" t="s">
        <v>5026</v>
      </c>
      <c r="B3407" s="2" t="s">
        <v>5027</v>
      </c>
      <c r="C3407" s="2" t="s">
        <v>4661</v>
      </c>
      <c r="D3407" s="2" t="s">
        <v>796</v>
      </c>
      <c r="E3407" s="2" t="s">
        <v>797</v>
      </c>
      <c r="F3407" s="2">
        <v>749.0</v>
      </c>
      <c r="G3407" s="2">
        <v>10.8</v>
      </c>
      <c r="H3407" s="2">
        <v>69.4</v>
      </c>
      <c r="I3407" s="2" t="s">
        <v>27</v>
      </c>
    </row>
    <row r="3408" ht="15.75" customHeight="1">
      <c r="A3408" s="2" t="s">
        <v>5028</v>
      </c>
      <c r="B3408" s="2" t="s">
        <v>5029</v>
      </c>
      <c r="C3408" s="2" t="s">
        <v>4661</v>
      </c>
      <c r="D3408" s="2" t="s">
        <v>1071</v>
      </c>
      <c r="E3408" s="2" t="s">
        <v>1075</v>
      </c>
      <c r="F3408" s="2">
        <v>679.0</v>
      </c>
      <c r="G3408" s="2">
        <v>16.38</v>
      </c>
      <c r="H3408" s="2">
        <v>41.5</v>
      </c>
      <c r="I3408" s="2" t="s">
        <v>27</v>
      </c>
    </row>
    <row r="3409" ht="15.75" customHeight="1">
      <c r="A3409" s="2" t="s">
        <v>7252</v>
      </c>
      <c r="B3409" s="2" t="s">
        <v>7253</v>
      </c>
      <c r="C3409" s="2" t="s">
        <v>4661</v>
      </c>
      <c r="D3409" s="2" t="s">
        <v>774</v>
      </c>
      <c r="E3409" s="2" t="s">
        <v>775</v>
      </c>
      <c r="F3409" s="2">
        <v>576.0</v>
      </c>
      <c r="G3409" s="2">
        <v>4.87</v>
      </c>
      <c r="H3409" s="2">
        <v>118.3</v>
      </c>
      <c r="I3409" s="2" t="s">
        <v>27</v>
      </c>
    </row>
    <row r="3410" ht="15.75" customHeight="1">
      <c r="A3410" s="2" t="s">
        <v>7254</v>
      </c>
      <c r="B3410" s="2" t="s">
        <v>7255</v>
      </c>
      <c r="C3410" s="2" t="s">
        <v>4661</v>
      </c>
      <c r="D3410" s="2" t="s">
        <v>980</v>
      </c>
      <c r="E3410" s="2" t="s">
        <v>981</v>
      </c>
      <c r="F3410" s="2">
        <v>106.0</v>
      </c>
      <c r="G3410" s="2">
        <v>4.09</v>
      </c>
      <c r="H3410" s="2">
        <v>25.9</v>
      </c>
      <c r="I3410" s="2" t="s">
        <v>47</v>
      </c>
    </row>
    <row r="3411" ht="15.75" customHeight="1">
      <c r="A3411" s="2" t="s">
        <v>7262</v>
      </c>
      <c r="B3411" s="2" t="s">
        <v>7263</v>
      </c>
      <c r="C3411" s="2" t="s">
        <v>4661</v>
      </c>
      <c r="D3411" s="2" t="s">
        <v>1016</v>
      </c>
      <c r="E3411" s="2" t="s">
        <v>1017</v>
      </c>
      <c r="F3411" s="2">
        <v>194.0</v>
      </c>
      <c r="G3411" s="2">
        <v>3.25</v>
      </c>
      <c r="H3411" s="2">
        <v>59.7</v>
      </c>
      <c r="I3411" s="2" t="s">
        <v>47</v>
      </c>
    </row>
    <row r="3412" ht="15.75" customHeight="1">
      <c r="A3412" s="2" t="s">
        <v>5030</v>
      </c>
      <c r="B3412" s="2" t="s">
        <v>5031</v>
      </c>
      <c r="C3412" s="2" t="s">
        <v>4661</v>
      </c>
      <c r="D3412" s="2" t="s">
        <v>980</v>
      </c>
      <c r="E3412" s="2" t="s">
        <v>981</v>
      </c>
      <c r="F3412" s="2">
        <v>764.0</v>
      </c>
      <c r="G3412" s="2">
        <v>7.42</v>
      </c>
      <c r="H3412" s="2">
        <v>103.0</v>
      </c>
      <c r="I3412" s="2" t="s">
        <v>27</v>
      </c>
    </row>
    <row r="3413" ht="15.75" customHeight="1">
      <c r="A3413" s="2" t="s">
        <v>7281</v>
      </c>
      <c r="B3413" s="2" t="s">
        <v>7282</v>
      </c>
      <c r="C3413" s="2" t="s">
        <v>4661</v>
      </c>
      <c r="D3413" s="2" t="s">
        <v>853</v>
      </c>
      <c r="E3413" s="2" t="s">
        <v>854</v>
      </c>
      <c r="F3413" s="2">
        <v>65.0</v>
      </c>
      <c r="G3413" s="2">
        <v>4.05</v>
      </c>
      <c r="H3413" s="2">
        <v>16.0</v>
      </c>
      <c r="I3413" s="2" t="s">
        <v>47</v>
      </c>
    </row>
    <row r="3414" ht="15.75" customHeight="1">
      <c r="A3414" s="2" t="s">
        <v>7283</v>
      </c>
      <c r="B3414" s="2" t="s">
        <v>7284</v>
      </c>
      <c r="C3414" s="2" t="s">
        <v>4661</v>
      </c>
      <c r="D3414" s="2" t="s">
        <v>1066</v>
      </c>
      <c r="E3414" s="2" t="s">
        <v>1069</v>
      </c>
      <c r="F3414" s="2">
        <v>118.0</v>
      </c>
      <c r="G3414" s="2">
        <v>3.35</v>
      </c>
      <c r="H3414" s="2">
        <v>35.2</v>
      </c>
      <c r="I3414" s="2" t="s">
        <v>47</v>
      </c>
    </row>
    <row r="3415" ht="15.75" customHeight="1">
      <c r="A3415" s="2" t="s">
        <v>7285</v>
      </c>
      <c r="B3415" s="2" t="s">
        <v>7286</v>
      </c>
      <c r="C3415" s="2" t="s">
        <v>4661</v>
      </c>
      <c r="D3415" s="2" t="s">
        <v>980</v>
      </c>
      <c r="E3415" s="2" t="s">
        <v>981</v>
      </c>
      <c r="F3415" s="2">
        <v>111.0</v>
      </c>
      <c r="G3415" s="2">
        <v>5.39</v>
      </c>
      <c r="H3415" s="2">
        <v>20.6</v>
      </c>
      <c r="I3415" s="2" t="s">
        <v>47</v>
      </c>
    </row>
    <row r="3416" ht="15.75" customHeight="1">
      <c r="A3416" s="2" t="s">
        <v>7287</v>
      </c>
      <c r="B3416" s="2" t="s">
        <v>7288</v>
      </c>
      <c r="C3416" s="2" t="s">
        <v>4661</v>
      </c>
      <c r="D3416" s="2" t="s">
        <v>853</v>
      </c>
      <c r="E3416" s="2" t="s">
        <v>854</v>
      </c>
      <c r="F3416" s="2">
        <v>532.0</v>
      </c>
      <c r="G3416" s="2">
        <v>8.94</v>
      </c>
      <c r="H3416" s="2">
        <v>59.5</v>
      </c>
      <c r="I3416" s="2" t="s">
        <v>27</v>
      </c>
    </row>
    <row r="3417" ht="15.75" customHeight="1">
      <c r="A3417" s="2" t="s">
        <v>7046</v>
      </c>
      <c r="B3417" s="2" t="s">
        <v>7047</v>
      </c>
      <c r="C3417" s="2" t="s">
        <v>4661</v>
      </c>
      <c r="D3417" s="2" t="s">
        <v>948</v>
      </c>
      <c r="E3417" s="2" t="s">
        <v>950</v>
      </c>
      <c r="F3417" s="2">
        <v>43.0</v>
      </c>
      <c r="G3417" s="2">
        <v>5.13</v>
      </c>
      <c r="H3417" s="2">
        <v>8.4</v>
      </c>
      <c r="I3417" s="2" t="s">
        <v>47</v>
      </c>
    </row>
    <row r="3418" ht="15.75" customHeight="1">
      <c r="A3418" s="2" t="s">
        <v>5032</v>
      </c>
      <c r="B3418" s="2" t="s">
        <v>5033</v>
      </c>
      <c r="C3418" s="2" t="s">
        <v>4661</v>
      </c>
      <c r="D3418" s="2" t="s">
        <v>1035</v>
      </c>
      <c r="E3418" s="2" t="s">
        <v>1037</v>
      </c>
      <c r="F3418" s="2">
        <v>1128.0</v>
      </c>
      <c r="G3418" s="2">
        <v>7.84</v>
      </c>
      <c r="H3418" s="2">
        <v>143.9</v>
      </c>
      <c r="I3418" s="2" t="s">
        <v>27</v>
      </c>
    </row>
    <row r="3419" ht="15.75" customHeight="1">
      <c r="A3419" s="2" t="s">
        <v>5034</v>
      </c>
      <c r="B3419" s="2" t="s">
        <v>5035</v>
      </c>
      <c r="C3419" s="2" t="s">
        <v>4661</v>
      </c>
      <c r="D3419" s="2" t="s">
        <v>1035</v>
      </c>
      <c r="E3419" s="2" t="s">
        <v>1037</v>
      </c>
      <c r="F3419" s="2">
        <v>699.0</v>
      </c>
      <c r="G3419" s="2">
        <v>12.52</v>
      </c>
      <c r="H3419" s="2">
        <v>55.8</v>
      </c>
      <c r="I3419" s="2" t="s">
        <v>27</v>
      </c>
    </row>
    <row r="3420" ht="15.75" customHeight="1">
      <c r="A3420" s="2" t="s">
        <v>6959</v>
      </c>
      <c r="B3420" s="2" t="s">
        <v>6960</v>
      </c>
      <c r="C3420" s="2" t="s">
        <v>4661</v>
      </c>
      <c r="D3420" s="2" t="s">
        <v>1071</v>
      </c>
      <c r="E3420" s="2" t="s">
        <v>1075</v>
      </c>
      <c r="F3420" s="2">
        <v>60.0</v>
      </c>
      <c r="G3420" s="2">
        <v>1.9</v>
      </c>
      <c r="H3420" s="2">
        <v>31.6</v>
      </c>
      <c r="I3420" s="2" t="s">
        <v>47</v>
      </c>
    </row>
    <row r="3421" ht="15.75" customHeight="1">
      <c r="A3421" s="2" t="s">
        <v>5038</v>
      </c>
      <c r="B3421" s="2" t="s">
        <v>5039</v>
      </c>
      <c r="C3421" s="2" t="s">
        <v>4661</v>
      </c>
      <c r="D3421" s="2" t="s">
        <v>853</v>
      </c>
      <c r="E3421" s="2" t="s">
        <v>854</v>
      </c>
      <c r="F3421" s="2">
        <v>204.0</v>
      </c>
      <c r="G3421" s="2">
        <v>9.73</v>
      </c>
      <c r="H3421" s="2">
        <v>21.0</v>
      </c>
      <c r="I3421" s="2" t="s">
        <v>47</v>
      </c>
    </row>
    <row r="3422" ht="15.75" customHeight="1">
      <c r="A3422" s="2" t="s">
        <v>7455</v>
      </c>
      <c r="B3422" s="2" t="s">
        <v>7456</v>
      </c>
      <c r="C3422" s="2" t="s">
        <v>4661</v>
      </c>
      <c r="D3422" s="2" t="s">
        <v>853</v>
      </c>
      <c r="E3422" s="2" t="s">
        <v>854</v>
      </c>
      <c r="F3422" s="2">
        <v>263.0</v>
      </c>
      <c r="G3422" s="2">
        <v>4.39</v>
      </c>
      <c r="H3422" s="2">
        <v>59.9</v>
      </c>
      <c r="I3422" s="2" t="s">
        <v>47</v>
      </c>
    </row>
    <row r="3423" ht="15.75" customHeight="1">
      <c r="A3423" s="2" t="s">
        <v>5040</v>
      </c>
      <c r="B3423" s="2" t="s">
        <v>5041</v>
      </c>
      <c r="C3423" s="2" t="s">
        <v>4661</v>
      </c>
      <c r="D3423" s="2" t="s">
        <v>980</v>
      </c>
      <c r="E3423" s="2" t="s">
        <v>981</v>
      </c>
      <c r="F3423" s="2">
        <v>263.0</v>
      </c>
      <c r="G3423" s="2">
        <v>4.03</v>
      </c>
      <c r="H3423" s="2">
        <v>65.3</v>
      </c>
      <c r="I3423" s="2" t="s">
        <v>47</v>
      </c>
    </row>
    <row r="3424" ht="15.75" customHeight="1">
      <c r="A3424" s="2" t="s">
        <v>7675</v>
      </c>
      <c r="B3424" s="2" t="s">
        <v>7676</v>
      </c>
      <c r="C3424" s="2" t="s">
        <v>4661</v>
      </c>
      <c r="D3424" s="2" t="s">
        <v>1009</v>
      </c>
      <c r="E3424" s="2" t="s">
        <v>1010</v>
      </c>
      <c r="F3424" s="2">
        <v>241.0</v>
      </c>
      <c r="G3424" s="2">
        <v>4.84</v>
      </c>
      <c r="H3424" s="2">
        <v>49.8</v>
      </c>
      <c r="I3424" s="2" t="s">
        <v>47</v>
      </c>
    </row>
    <row r="3425" ht="15.75" customHeight="1">
      <c r="A3425" s="2" t="s">
        <v>7289</v>
      </c>
      <c r="B3425" s="2" t="s">
        <v>7290</v>
      </c>
      <c r="C3425" s="2" t="s">
        <v>4661</v>
      </c>
      <c r="D3425" s="2" t="s">
        <v>948</v>
      </c>
      <c r="E3425" s="2" t="s">
        <v>950</v>
      </c>
      <c r="F3425" s="2">
        <v>134.0</v>
      </c>
      <c r="G3425" s="2">
        <v>7.21</v>
      </c>
      <c r="H3425" s="2">
        <v>18.6</v>
      </c>
      <c r="I3425" s="2" t="s">
        <v>47</v>
      </c>
    </row>
    <row r="3426" ht="15.75" customHeight="1">
      <c r="A3426" s="2" t="s">
        <v>7291</v>
      </c>
      <c r="B3426" s="2" t="s">
        <v>7292</v>
      </c>
      <c r="C3426" s="2" t="s">
        <v>4661</v>
      </c>
      <c r="D3426" s="2" t="s">
        <v>1066</v>
      </c>
      <c r="E3426" s="2" t="s">
        <v>1069</v>
      </c>
      <c r="F3426" s="2">
        <v>87.0</v>
      </c>
      <c r="G3426" s="2">
        <v>2.53</v>
      </c>
      <c r="H3426" s="2">
        <v>34.4</v>
      </c>
      <c r="I3426" s="2" t="s">
        <v>47</v>
      </c>
    </row>
    <row r="3427" ht="15.75" customHeight="1">
      <c r="A3427" s="2" t="s">
        <v>5042</v>
      </c>
      <c r="B3427" s="2" t="s">
        <v>5044</v>
      </c>
      <c r="C3427" s="2" t="s">
        <v>4661</v>
      </c>
      <c r="D3427" s="2" t="s">
        <v>1066</v>
      </c>
      <c r="E3427" s="2" t="s">
        <v>1069</v>
      </c>
      <c r="F3427" s="2">
        <v>553.0</v>
      </c>
      <c r="G3427" s="2">
        <v>26.74</v>
      </c>
      <c r="H3427" s="2">
        <v>20.7</v>
      </c>
      <c r="I3427" s="2" t="s">
        <v>27</v>
      </c>
    </row>
    <row r="3428" ht="15.75" customHeight="1">
      <c r="A3428" s="2" t="s">
        <v>7293</v>
      </c>
      <c r="B3428" s="2" t="s">
        <v>7294</v>
      </c>
      <c r="C3428" s="2" t="s">
        <v>4661</v>
      </c>
      <c r="D3428" s="2" t="s">
        <v>1016</v>
      </c>
      <c r="E3428" s="2" t="s">
        <v>1017</v>
      </c>
      <c r="F3428" s="2">
        <v>442.0</v>
      </c>
      <c r="G3428" s="2">
        <v>4.1</v>
      </c>
      <c r="H3428" s="2">
        <v>107.8</v>
      </c>
      <c r="I3428" s="2" t="s">
        <v>47</v>
      </c>
    </row>
    <row r="3429" ht="15.75" customHeight="1">
      <c r="A3429" s="2" t="s">
        <v>7295</v>
      </c>
      <c r="B3429" s="2" t="s">
        <v>7296</v>
      </c>
      <c r="C3429" s="2" t="s">
        <v>4661</v>
      </c>
      <c r="D3429" s="2" t="s">
        <v>1066</v>
      </c>
      <c r="E3429" s="2" t="s">
        <v>1069</v>
      </c>
      <c r="F3429" s="2">
        <v>98.0</v>
      </c>
      <c r="G3429" s="2">
        <v>1.57</v>
      </c>
      <c r="H3429" s="2">
        <v>62.4</v>
      </c>
      <c r="I3429" s="2" t="s">
        <v>47</v>
      </c>
    </row>
    <row r="3430" ht="15.75" customHeight="1">
      <c r="A3430" s="2" t="s">
        <v>7297</v>
      </c>
      <c r="B3430" s="2" t="s">
        <v>7298</v>
      </c>
      <c r="C3430" s="2" t="s">
        <v>4661</v>
      </c>
      <c r="D3430" s="2" t="s">
        <v>1066</v>
      </c>
      <c r="E3430" s="2" t="s">
        <v>1069</v>
      </c>
      <c r="F3430" s="2">
        <v>51.0</v>
      </c>
      <c r="G3430" s="2">
        <v>2.53</v>
      </c>
      <c r="H3430" s="2">
        <v>20.2</v>
      </c>
      <c r="I3430" s="2" t="s">
        <v>47</v>
      </c>
    </row>
    <row r="3431" ht="15.75" customHeight="1">
      <c r="A3431" s="2" t="s">
        <v>7299</v>
      </c>
      <c r="B3431" s="2" t="s">
        <v>7300</v>
      </c>
      <c r="C3431" s="2" t="s">
        <v>4661</v>
      </c>
      <c r="D3431" s="2" t="s">
        <v>1016</v>
      </c>
      <c r="E3431" s="2" t="s">
        <v>1017</v>
      </c>
      <c r="F3431" s="2">
        <v>260.0</v>
      </c>
      <c r="G3431" s="2">
        <v>4.29</v>
      </c>
      <c r="H3431" s="2">
        <v>60.6</v>
      </c>
      <c r="I3431" s="2" t="s">
        <v>47</v>
      </c>
    </row>
    <row r="3432" ht="15.75" customHeight="1">
      <c r="A3432" s="2" t="s">
        <v>7301</v>
      </c>
      <c r="B3432" s="2" t="s">
        <v>7302</v>
      </c>
      <c r="C3432" s="2" t="s">
        <v>4661</v>
      </c>
      <c r="D3432" s="2" t="s">
        <v>1051</v>
      </c>
      <c r="E3432" s="2" t="s">
        <v>1053</v>
      </c>
      <c r="F3432" s="2">
        <v>328.0</v>
      </c>
      <c r="G3432" s="2">
        <v>6.18</v>
      </c>
      <c r="H3432" s="2">
        <v>53.1</v>
      </c>
      <c r="I3432" s="2" t="s">
        <v>47</v>
      </c>
    </row>
    <row r="3433" ht="15.75" customHeight="1">
      <c r="A3433" s="2" t="s">
        <v>5048</v>
      </c>
      <c r="B3433" s="2" t="s">
        <v>5049</v>
      </c>
      <c r="C3433" s="2" t="s">
        <v>4661</v>
      </c>
      <c r="D3433" s="2" t="s">
        <v>1016</v>
      </c>
      <c r="E3433" s="2" t="s">
        <v>1017</v>
      </c>
      <c r="F3433" s="2">
        <v>725.0</v>
      </c>
      <c r="G3433" s="2">
        <v>9.43</v>
      </c>
      <c r="H3433" s="2">
        <v>76.9</v>
      </c>
      <c r="I3433" s="2" t="s">
        <v>27</v>
      </c>
    </row>
    <row r="3434" ht="15.75" customHeight="1">
      <c r="A3434" s="2" t="s">
        <v>7305</v>
      </c>
      <c r="B3434" s="2" t="s">
        <v>7306</v>
      </c>
      <c r="C3434" s="2" t="s">
        <v>4661</v>
      </c>
      <c r="D3434" s="2" t="s">
        <v>1035</v>
      </c>
      <c r="E3434" s="2" t="s">
        <v>1037</v>
      </c>
      <c r="F3434" s="2">
        <v>133.0</v>
      </c>
      <c r="G3434" s="2">
        <v>5.46</v>
      </c>
      <c r="H3434" s="2">
        <v>24.4</v>
      </c>
      <c r="I3434" s="2" t="s">
        <v>47</v>
      </c>
    </row>
    <row r="3435" ht="15.75" customHeight="1">
      <c r="A3435" s="2" t="s">
        <v>5050</v>
      </c>
      <c r="B3435" s="2" t="s">
        <v>5051</v>
      </c>
      <c r="C3435" s="2" t="s">
        <v>4661</v>
      </c>
      <c r="D3435" s="2" t="s">
        <v>796</v>
      </c>
      <c r="E3435" s="2" t="s">
        <v>797</v>
      </c>
      <c r="F3435" s="2">
        <v>859.0</v>
      </c>
      <c r="G3435" s="2">
        <v>15.25</v>
      </c>
      <c r="H3435" s="2">
        <v>56.3</v>
      </c>
      <c r="I3435" s="2" t="s">
        <v>27</v>
      </c>
    </row>
    <row r="3436" ht="15.75" customHeight="1">
      <c r="A3436" s="2" t="s">
        <v>7303</v>
      </c>
      <c r="B3436" s="2" t="s">
        <v>7304</v>
      </c>
      <c r="C3436" s="2" t="s">
        <v>4661</v>
      </c>
      <c r="D3436" s="2" t="s">
        <v>869</v>
      </c>
      <c r="E3436" s="2" t="s">
        <v>870</v>
      </c>
      <c r="F3436" s="2">
        <v>192.0</v>
      </c>
      <c r="G3436" s="2">
        <v>4.86</v>
      </c>
      <c r="H3436" s="2">
        <v>39.5</v>
      </c>
      <c r="I3436" s="2" t="s">
        <v>47</v>
      </c>
    </row>
    <row r="3437" ht="15.75" customHeight="1">
      <c r="A3437" s="2" t="s">
        <v>7307</v>
      </c>
      <c r="B3437" s="2" t="s">
        <v>7308</v>
      </c>
      <c r="C3437" s="2" t="s">
        <v>4661</v>
      </c>
      <c r="D3437" s="2" t="s">
        <v>948</v>
      </c>
      <c r="E3437" s="2" t="s">
        <v>950</v>
      </c>
      <c r="F3437" s="2">
        <v>183.0</v>
      </c>
      <c r="G3437" s="2">
        <v>6.36</v>
      </c>
      <c r="H3437" s="2">
        <v>28.8</v>
      </c>
      <c r="I3437" s="2" t="s">
        <v>47</v>
      </c>
    </row>
    <row r="3438" ht="15.75" customHeight="1">
      <c r="A3438" s="2" t="s">
        <v>7309</v>
      </c>
      <c r="B3438" s="2" t="s">
        <v>7310</v>
      </c>
      <c r="C3438" s="2" t="s">
        <v>4661</v>
      </c>
      <c r="D3438" s="2" t="s">
        <v>980</v>
      </c>
      <c r="E3438" s="2" t="s">
        <v>981</v>
      </c>
      <c r="F3438" s="2">
        <v>170.0</v>
      </c>
      <c r="G3438" s="2">
        <v>2.17</v>
      </c>
      <c r="H3438" s="2">
        <v>78.3</v>
      </c>
      <c r="I3438" s="2" t="s">
        <v>47</v>
      </c>
    </row>
    <row r="3439" ht="15.75" customHeight="1">
      <c r="A3439" s="2" t="s">
        <v>7311</v>
      </c>
      <c r="B3439" s="2" t="s">
        <v>7312</v>
      </c>
      <c r="C3439" s="2" t="s">
        <v>4661</v>
      </c>
      <c r="D3439" s="2" t="s">
        <v>853</v>
      </c>
      <c r="E3439" s="2" t="s">
        <v>854</v>
      </c>
      <c r="F3439" s="2">
        <v>154.0</v>
      </c>
      <c r="G3439" s="2">
        <v>9.35</v>
      </c>
      <c r="H3439" s="2">
        <v>16.5</v>
      </c>
      <c r="I3439" s="2" t="s">
        <v>47</v>
      </c>
    </row>
    <row r="3440" ht="15.75" customHeight="1">
      <c r="A3440" s="2" t="s">
        <v>5054</v>
      </c>
      <c r="B3440" s="2" t="s">
        <v>5055</v>
      </c>
      <c r="C3440" s="2" t="s">
        <v>4661</v>
      </c>
      <c r="D3440" s="2" t="s">
        <v>1051</v>
      </c>
      <c r="E3440" s="2" t="s">
        <v>1053</v>
      </c>
      <c r="F3440" s="2">
        <v>329.0</v>
      </c>
      <c r="G3440" s="2">
        <v>11.76</v>
      </c>
      <c r="H3440" s="2">
        <v>28.0</v>
      </c>
      <c r="I3440" s="2" t="s">
        <v>47</v>
      </c>
    </row>
    <row r="3441" ht="15.75" customHeight="1">
      <c r="A3441" s="2" t="s">
        <v>6943</v>
      </c>
      <c r="B3441" s="2" t="s">
        <v>6944</v>
      </c>
      <c r="C3441" s="2" t="s">
        <v>4661</v>
      </c>
      <c r="D3441" s="2" t="s">
        <v>948</v>
      </c>
      <c r="E3441" s="2" t="s">
        <v>950</v>
      </c>
      <c r="F3441" s="2">
        <v>75.0</v>
      </c>
      <c r="G3441" s="2">
        <v>2.37</v>
      </c>
      <c r="H3441" s="2">
        <v>31.6</v>
      </c>
      <c r="I3441" s="2" t="s">
        <v>47</v>
      </c>
    </row>
    <row r="3442" ht="15.75" customHeight="1">
      <c r="A3442" s="2" t="s">
        <v>5058</v>
      </c>
      <c r="B3442" s="2" t="s">
        <v>5059</v>
      </c>
      <c r="C3442" s="2" t="s">
        <v>4661</v>
      </c>
      <c r="D3442" s="2" t="s">
        <v>1051</v>
      </c>
      <c r="E3442" s="2" t="s">
        <v>1053</v>
      </c>
      <c r="F3442" s="2">
        <v>1958.0</v>
      </c>
      <c r="G3442" s="2">
        <v>16.61</v>
      </c>
      <c r="H3442" s="2">
        <v>117.9</v>
      </c>
      <c r="I3442" s="2" t="s">
        <v>27</v>
      </c>
    </row>
    <row r="3443" ht="15.75" customHeight="1">
      <c r="A3443" s="2" t="s">
        <v>5062</v>
      </c>
      <c r="B3443" s="2" t="s">
        <v>3222</v>
      </c>
      <c r="C3443" s="2" t="s">
        <v>4661</v>
      </c>
      <c r="D3443" s="2" t="s">
        <v>1016</v>
      </c>
      <c r="E3443" s="2" t="s">
        <v>1017</v>
      </c>
      <c r="F3443" s="2">
        <v>492.0</v>
      </c>
      <c r="G3443" s="2">
        <v>9.13</v>
      </c>
      <c r="H3443" s="2">
        <v>53.9</v>
      </c>
      <c r="I3443" s="2" t="s">
        <v>47</v>
      </c>
    </row>
    <row r="3444" ht="15.75" customHeight="1">
      <c r="A3444" s="2" t="s">
        <v>7380</v>
      </c>
      <c r="B3444" s="2" t="s">
        <v>7381</v>
      </c>
      <c r="C3444" s="2" t="s">
        <v>4661</v>
      </c>
      <c r="D3444" s="2" t="s">
        <v>1066</v>
      </c>
      <c r="E3444" s="2" t="s">
        <v>1069</v>
      </c>
      <c r="F3444" s="2">
        <v>107.0</v>
      </c>
      <c r="G3444" s="2">
        <v>3.83</v>
      </c>
      <c r="H3444" s="2">
        <v>27.9</v>
      </c>
      <c r="I3444" s="2" t="s">
        <v>47</v>
      </c>
    </row>
    <row r="3445" ht="15.75" customHeight="1">
      <c r="A3445" s="2" t="s">
        <v>7384</v>
      </c>
      <c r="B3445" s="2" t="s">
        <v>7385</v>
      </c>
      <c r="C3445" s="2" t="s">
        <v>4661</v>
      </c>
      <c r="D3445" s="2" t="s">
        <v>1009</v>
      </c>
      <c r="E3445" s="2" t="s">
        <v>1010</v>
      </c>
      <c r="F3445" s="2">
        <v>154.0</v>
      </c>
      <c r="G3445" s="2">
        <v>6.99</v>
      </c>
      <c r="H3445" s="2">
        <v>22.0</v>
      </c>
      <c r="I3445" s="2" t="s">
        <v>47</v>
      </c>
    </row>
    <row r="3446" ht="15.75" customHeight="1">
      <c r="A3446" s="2" t="s">
        <v>7394</v>
      </c>
      <c r="B3446" s="2" t="s">
        <v>7395</v>
      </c>
      <c r="C3446" s="2" t="s">
        <v>4661</v>
      </c>
      <c r="D3446" s="2" t="s">
        <v>1035</v>
      </c>
      <c r="E3446" s="2" t="s">
        <v>1037</v>
      </c>
      <c r="F3446" s="2">
        <v>144.0</v>
      </c>
      <c r="G3446" s="2">
        <v>8.72</v>
      </c>
      <c r="H3446" s="2">
        <v>16.5</v>
      </c>
      <c r="I3446" s="2" t="s">
        <v>47</v>
      </c>
    </row>
    <row r="3447" ht="15.75" customHeight="1">
      <c r="A3447" s="2" t="s">
        <v>5063</v>
      </c>
      <c r="B3447" s="2" t="s">
        <v>5064</v>
      </c>
      <c r="C3447" s="2" t="s">
        <v>4661</v>
      </c>
      <c r="D3447" s="2" t="s">
        <v>853</v>
      </c>
      <c r="E3447" s="2" t="s">
        <v>854</v>
      </c>
      <c r="F3447" s="2">
        <v>753.0</v>
      </c>
      <c r="G3447" s="2">
        <v>10.25</v>
      </c>
      <c r="H3447" s="2">
        <v>73.5</v>
      </c>
      <c r="I3447" s="2" t="s">
        <v>27</v>
      </c>
    </row>
    <row r="3448" ht="15.75" customHeight="1">
      <c r="A3448" s="2" t="s">
        <v>5065</v>
      </c>
      <c r="B3448" s="2" t="s">
        <v>5066</v>
      </c>
      <c r="C3448" s="2" t="s">
        <v>4661</v>
      </c>
      <c r="D3448" s="2" t="s">
        <v>1066</v>
      </c>
      <c r="E3448" s="2" t="s">
        <v>1069</v>
      </c>
      <c r="F3448" s="2">
        <v>233.0</v>
      </c>
      <c r="G3448" s="2">
        <v>1.43</v>
      </c>
      <c r="H3448" s="2">
        <v>162.9</v>
      </c>
      <c r="I3448" s="2" t="s">
        <v>47</v>
      </c>
    </row>
    <row r="3449" ht="15.75" customHeight="1">
      <c r="A3449" s="2" t="s">
        <v>5069</v>
      </c>
      <c r="B3449" s="2" t="s">
        <v>5070</v>
      </c>
      <c r="C3449" s="2" t="s">
        <v>4661</v>
      </c>
      <c r="D3449" s="2" t="s">
        <v>853</v>
      </c>
      <c r="E3449" s="2" t="s">
        <v>854</v>
      </c>
      <c r="F3449" s="2">
        <v>764.0</v>
      </c>
      <c r="G3449" s="2">
        <v>11.58</v>
      </c>
      <c r="H3449" s="2">
        <v>66.0</v>
      </c>
      <c r="I3449" s="2" t="s">
        <v>27</v>
      </c>
    </row>
    <row r="3450" ht="15.75" customHeight="1">
      <c r="A3450" s="2" t="s">
        <v>7635</v>
      </c>
      <c r="B3450" s="2" t="s">
        <v>7636</v>
      </c>
      <c r="C3450" s="2" t="s">
        <v>4661</v>
      </c>
      <c r="D3450" s="2" t="s">
        <v>1051</v>
      </c>
      <c r="E3450" s="2" t="s">
        <v>1053</v>
      </c>
      <c r="F3450" s="2">
        <v>332.0</v>
      </c>
      <c r="G3450" s="2">
        <v>4.54</v>
      </c>
      <c r="H3450" s="2">
        <v>73.1</v>
      </c>
      <c r="I3450" s="2" t="s">
        <v>47</v>
      </c>
    </row>
    <row r="3451" ht="15.75" customHeight="1">
      <c r="A3451" s="2" t="s">
        <v>7641</v>
      </c>
      <c r="B3451" s="2" t="s">
        <v>7642</v>
      </c>
      <c r="C3451" s="2" t="s">
        <v>4661</v>
      </c>
      <c r="D3451" s="2" t="s">
        <v>1066</v>
      </c>
      <c r="E3451" s="2" t="s">
        <v>1069</v>
      </c>
      <c r="F3451" s="2">
        <v>234.0</v>
      </c>
      <c r="G3451" s="2">
        <v>5.62</v>
      </c>
      <c r="H3451" s="2">
        <v>41.6</v>
      </c>
      <c r="I3451" s="2" t="s">
        <v>47</v>
      </c>
    </row>
    <row r="3452" ht="15.75" customHeight="1">
      <c r="A3452" s="2" t="s">
        <v>7315</v>
      </c>
      <c r="B3452" s="2" t="s">
        <v>7316</v>
      </c>
      <c r="C3452" s="2" t="s">
        <v>4661</v>
      </c>
      <c r="D3452" s="2" t="s">
        <v>880</v>
      </c>
      <c r="E3452" s="2" t="s">
        <v>881</v>
      </c>
      <c r="F3452" s="2">
        <v>166.0</v>
      </c>
      <c r="G3452" s="2">
        <v>5.99</v>
      </c>
      <c r="H3452" s="2">
        <v>27.7</v>
      </c>
      <c r="I3452" s="2" t="s">
        <v>47</v>
      </c>
    </row>
    <row r="3453" ht="15.75" customHeight="1">
      <c r="A3453" s="2" t="s">
        <v>5073</v>
      </c>
      <c r="B3453" s="2" t="s">
        <v>5074</v>
      </c>
      <c r="C3453" s="2" t="s">
        <v>4661</v>
      </c>
      <c r="D3453" s="2" t="s">
        <v>948</v>
      </c>
      <c r="E3453" s="2" t="s">
        <v>950</v>
      </c>
      <c r="F3453" s="2">
        <v>292.0</v>
      </c>
      <c r="G3453" s="2">
        <v>6.47</v>
      </c>
      <c r="H3453" s="2">
        <v>45.1</v>
      </c>
      <c r="I3453" s="2" t="s">
        <v>47</v>
      </c>
    </row>
    <row r="3454" ht="15.75" customHeight="1">
      <c r="A3454" s="2" t="s">
        <v>5075</v>
      </c>
      <c r="B3454" s="2" t="s">
        <v>5076</v>
      </c>
      <c r="C3454" s="2" t="s">
        <v>4661</v>
      </c>
      <c r="D3454" s="2" t="s">
        <v>869</v>
      </c>
      <c r="E3454" s="2" t="s">
        <v>870</v>
      </c>
      <c r="F3454" s="2">
        <v>395.0</v>
      </c>
      <c r="G3454" s="2">
        <v>6.95</v>
      </c>
      <c r="H3454" s="2">
        <v>56.8</v>
      </c>
      <c r="I3454" s="2" t="s">
        <v>47</v>
      </c>
    </row>
    <row r="3455" ht="15.75" customHeight="1">
      <c r="A3455" s="2" t="s">
        <v>5077</v>
      </c>
      <c r="B3455" s="2" t="s">
        <v>5078</v>
      </c>
      <c r="C3455" s="2" t="s">
        <v>4661</v>
      </c>
      <c r="D3455" s="2" t="s">
        <v>796</v>
      </c>
      <c r="E3455" s="2" t="s">
        <v>797</v>
      </c>
      <c r="F3455" s="2">
        <v>327.0</v>
      </c>
      <c r="G3455" s="2">
        <v>5.51</v>
      </c>
      <c r="H3455" s="2">
        <v>59.3</v>
      </c>
      <c r="I3455" s="2" t="s">
        <v>47</v>
      </c>
    </row>
    <row r="3456" ht="15.75" customHeight="1">
      <c r="A3456" s="2" t="s">
        <v>7317</v>
      </c>
      <c r="B3456" s="2" t="s">
        <v>7318</v>
      </c>
      <c r="C3456" s="2" t="s">
        <v>4661</v>
      </c>
      <c r="D3456" s="2" t="s">
        <v>1051</v>
      </c>
      <c r="E3456" s="2" t="s">
        <v>1053</v>
      </c>
      <c r="F3456" s="2">
        <v>223.0</v>
      </c>
      <c r="G3456" s="2">
        <v>5.14</v>
      </c>
      <c r="H3456" s="2">
        <v>43.4</v>
      </c>
      <c r="I3456" s="2" t="s">
        <v>47</v>
      </c>
    </row>
    <row r="3457" ht="15.75" customHeight="1">
      <c r="A3457" s="2" t="s">
        <v>7319</v>
      </c>
      <c r="B3457" s="2" t="s">
        <v>7320</v>
      </c>
      <c r="C3457" s="2" t="s">
        <v>4661</v>
      </c>
      <c r="D3457" s="2" t="s">
        <v>948</v>
      </c>
      <c r="E3457" s="2" t="s">
        <v>950</v>
      </c>
      <c r="F3457" s="2">
        <v>142.0</v>
      </c>
      <c r="G3457" s="2">
        <v>6.37</v>
      </c>
      <c r="H3457" s="2">
        <v>22.3</v>
      </c>
      <c r="I3457" s="2" t="s">
        <v>47</v>
      </c>
    </row>
    <row r="3458" ht="15.75" customHeight="1">
      <c r="A3458" s="2" t="s">
        <v>7321</v>
      </c>
      <c r="B3458" s="2" t="s">
        <v>7322</v>
      </c>
      <c r="C3458" s="2" t="s">
        <v>4661</v>
      </c>
      <c r="D3458" s="2" t="s">
        <v>1066</v>
      </c>
      <c r="E3458" s="2" t="s">
        <v>1069</v>
      </c>
      <c r="F3458" s="2">
        <v>346.0</v>
      </c>
      <c r="G3458" s="2">
        <v>6.56</v>
      </c>
      <c r="H3458" s="2">
        <v>52.7</v>
      </c>
      <c r="I3458" s="2" t="s">
        <v>47</v>
      </c>
    </row>
    <row r="3459" ht="15.75" customHeight="1">
      <c r="A3459" s="2" t="s">
        <v>7323</v>
      </c>
      <c r="B3459" s="2" t="s">
        <v>7324</v>
      </c>
      <c r="C3459" s="2" t="s">
        <v>4661</v>
      </c>
      <c r="D3459" s="2" t="s">
        <v>1066</v>
      </c>
      <c r="E3459" s="2" t="s">
        <v>1069</v>
      </c>
      <c r="F3459" s="2">
        <v>108.0</v>
      </c>
      <c r="G3459" s="2">
        <v>3.31</v>
      </c>
      <c r="H3459" s="2">
        <v>32.6</v>
      </c>
      <c r="I3459" s="2" t="s">
        <v>47</v>
      </c>
    </row>
    <row r="3460" ht="15.75" customHeight="1">
      <c r="A3460" s="2" t="s">
        <v>5079</v>
      </c>
      <c r="B3460" s="2" t="s">
        <v>5080</v>
      </c>
      <c r="C3460" s="2" t="s">
        <v>4661</v>
      </c>
      <c r="D3460" s="2" t="s">
        <v>1071</v>
      </c>
      <c r="E3460" s="2" t="s">
        <v>1075</v>
      </c>
      <c r="F3460" s="2">
        <v>463.0</v>
      </c>
      <c r="G3460" s="2">
        <v>12.47</v>
      </c>
      <c r="H3460" s="2">
        <v>37.1</v>
      </c>
      <c r="I3460" s="2" t="s">
        <v>47</v>
      </c>
    </row>
    <row r="3461" ht="15.75" customHeight="1">
      <c r="A3461" s="2" t="s">
        <v>7325</v>
      </c>
      <c r="B3461" s="2" t="s">
        <v>7326</v>
      </c>
      <c r="C3461" s="2" t="s">
        <v>4661</v>
      </c>
      <c r="D3461" s="2" t="s">
        <v>796</v>
      </c>
      <c r="E3461" s="2" t="s">
        <v>797</v>
      </c>
      <c r="F3461" s="2">
        <v>142.0</v>
      </c>
      <c r="G3461" s="2">
        <v>8.62</v>
      </c>
      <c r="H3461" s="2">
        <v>16.5</v>
      </c>
      <c r="I3461" s="2" t="s">
        <v>47</v>
      </c>
    </row>
    <row r="3462" ht="15.75" customHeight="1">
      <c r="A3462" s="2" t="s">
        <v>5081</v>
      </c>
      <c r="B3462" s="2" t="s">
        <v>5082</v>
      </c>
      <c r="C3462" s="2" t="s">
        <v>4661</v>
      </c>
      <c r="D3462" s="2" t="s">
        <v>1066</v>
      </c>
      <c r="E3462" s="2" t="s">
        <v>1069</v>
      </c>
      <c r="F3462" s="2">
        <v>374.0</v>
      </c>
      <c r="G3462" s="2">
        <v>3.92</v>
      </c>
      <c r="H3462" s="2">
        <v>95.4</v>
      </c>
      <c r="I3462" s="2" t="s">
        <v>47</v>
      </c>
    </row>
    <row r="3463" ht="15.75" customHeight="1">
      <c r="A3463" s="2" t="s">
        <v>5085</v>
      </c>
      <c r="B3463" s="2" t="s">
        <v>5086</v>
      </c>
      <c r="C3463" s="2" t="s">
        <v>4661</v>
      </c>
      <c r="D3463" s="2" t="s">
        <v>880</v>
      </c>
      <c r="E3463" s="2" t="s">
        <v>881</v>
      </c>
      <c r="F3463" s="2">
        <v>217.0</v>
      </c>
      <c r="G3463" s="2">
        <v>7.32</v>
      </c>
      <c r="H3463" s="2">
        <v>29.6</v>
      </c>
      <c r="I3463" s="2" t="s">
        <v>47</v>
      </c>
    </row>
    <row r="3464" ht="15.75" customHeight="1">
      <c r="A3464" s="2" t="s">
        <v>5087</v>
      </c>
      <c r="B3464" s="2" t="s">
        <v>5088</v>
      </c>
      <c r="C3464" s="2" t="s">
        <v>4661</v>
      </c>
      <c r="D3464" s="2" t="s">
        <v>1051</v>
      </c>
      <c r="E3464" s="2" t="s">
        <v>1053</v>
      </c>
      <c r="F3464" s="2">
        <v>590.0</v>
      </c>
      <c r="G3464" s="2">
        <v>9.26</v>
      </c>
      <c r="H3464" s="2">
        <v>63.7</v>
      </c>
      <c r="I3464" s="2" t="s">
        <v>27</v>
      </c>
    </row>
    <row r="3465" ht="15.75" customHeight="1">
      <c r="A3465" s="2" t="s">
        <v>7329</v>
      </c>
      <c r="B3465" s="2" t="s">
        <v>7330</v>
      </c>
      <c r="C3465" s="2" t="s">
        <v>4661</v>
      </c>
      <c r="D3465" s="2" t="s">
        <v>880</v>
      </c>
      <c r="E3465" s="2" t="s">
        <v>881</v>
      </c>
      <c r="F3465" s="2">
        <v>77.0</v>
      </c>
      <c r="G3465" s="2">
        <v>4.1</v>
      </c>
      <c r="H3465" s="2">
        <v>18.8</v>
      </c>
      <c r="I3465" s="2" t="s">
        <v>47</v>
      </c>
    </row>
    <row r="3466" ht="15.75" customHeight="1">
      <c r="A3466" s="2" t="s">
        <v>5089</v>
      </c>
      <c r="B3466" s="2" t="s">
        <v>5090</v>
      </c>
      <c r="C3466" s="2" t="s">
        <v>4661</v>
      </c>
      <c r="D3466" s="2" t="s">
        <v>796</v>
      </c>
      <c r="E3466" s="2" t="s">
        <v>797</v>
      </c>
      <c r="F3466" s="2">
        <v>1500.0</v>
      </c>
      <c r="G3466" s="2">
        <v>8.04</v>
      </c>
      <c r="H3466" s="2">
        <v>186.6</v>
      </c>
      <c r="I3466" s="2" t="s">
        <v>27</v>
      </c>
    </row>
    <row r="3467" ht="15.75" customHeight="1">
      <c r="A3467" s="2" t="s">
        <v>5091</v>
      </c>
      <c r="B3467" s="2" t="s">
        <v>5092</v>
      </c>
      <c r="C3467" s="2" t="s">
        <v>4661</v>
      </c>
      <c r="D3467" s="2" t="s">
        <v>774</v>
      </c>
      <c r="E3467" s="2" t="s">
        <v>775</v>
      </c>
      <c r="F3467" s="2">
        <v>5680.0</v>
      </c>
      <c r="G3467" s="2">
        <v>3.44</v>
      </c>
      <c r="H3467" s="2">
        <v>1651.2</v>
      </c>
      <c r="I3467" s="2" t="s">
        <v>138</v>
      </c>
    </row>
    <row r="3468" ht="15.75" customHeight="1">
      <c r="A3468" s="2" t="s">
        <v>7331</v>
      </c>
      <c r="B3468" s="2" t="s">
        <v>7332</v>
      </c>
      <c r="C3468" s="2" t="s">
        <v>4661</v>
      </c>
      <c r="D3468" s="2" t="s">
        <v>880</v>
      </c>
      <c r="E3468" s="2" t="s">
        <v>881</v>
      </c>
      <c r="F3468" s="2">
        <v>292.0</v>
      </c>
      <c r="G3468" s="2">
        <v>8.53</v>
      </c>
      <c r="H3468" s="2">
        <v>34.2</v>
      </c>
      <c r="I3468" s="2" t="s">
        <v>47</v>
      </c>
    </row>
    <row r="3469" ht="15.75" customHeight="1">
      <c r="A3469" s="2" t="s">
        <v>7333</v>
      </c>
      <c r="B3469" s="2" t="s">
        <v>7334</v>
      </c>
      <c r="C3469" s="2" t="s">
        <v>4661</v>
      </c>
      <c r="D3469" s="2" t="s">
        <v>1009</v>
      </c>
      <c r="E3469" s="2" t="s">
        <v>1010</v>
      </c>
      <c r="F3469" s="2">
        <v>67.0</v>
      </c>
      <c r="G3469" s="2">
        <v>2.07</v>
      </c>
      <c r="H3469" s="2">
        <v>32.4</v>
      </c>
      <c r="I3469" s="2" t="s">
        <v>47</v>
      </c>
    </row>
    <row r="3470" ht="15.75" customHeight="1">
      <c r="A3470" s="2" t="s">
        <v>7335</v>
      </c>
      <c r="B3470" s="2" t="s">
        <v>7336</v>
      </c>
      <c r="C3470" s="2" t="s">
        <v>4661</v>
      </c>
      <c r="D3470" s="2" t="s">
        <v>980</v>
      </c>
      <c r="E3470" s="2" t="s">
        <v>981</v>
      </c>
      <c r="F3470" s="2">
        <v>289.0</v>
      </c>
      <c r="G3470" s="2">
        <v>7.77</v>
      </c>
      <c r="H3470" s="2">
        <v>37.2</v>
      </c>
      <c r="I3470" s="2" t="s">
        <v>47</v>
      </c>
    </row>
    <row r="3471" ht="15.75" customHeight="1">
      <c r="A3471" s="2" t="s">
        <v>7337</v>
      </c>
      <c r="B3471" s="2" t="s">
        <v>7338</v>
      </c>
      <c r="C3471" s="2" t="s">
        <v>4661</v>
      </c>
      <c r="D3471" s="2" t="s">
        <v>853</v>
      </c>
      <c r="E3471" s="2" t="s">
        <v>854</v>
      </c>
      <c r="F3471" s="2">
        <v>197.0</v>
      </c>
      <c r="G3471" s="2">
        <v>5.77</v>
      </c>
      <c r="H3471" s="2">
        <v>34.1</v>
      </c>
      <c r="I3471" s="2" t="s">
        <v>47</v>
      </c>
    </row>
    <row r="3472" ht="15.75" customHeight="1">
      <c r="A3472" s="2" t="s">
        <v>7339</v>
      </c>
      <c r="B3472" s="2" t="s">
        <v>7340</v>
      </c>
      <c r="C3472" s="2" t="s">
        <v>4661</v>
      </c>
      <c r="D3472" s="2" t="s">
        <v>1009</v>
      </c>
      <c r="E3472" s="2" t="s">
        <v>1010</v>
      </c>
      <c r="F3472" s="2">
        <v>521.0</v>
      </c>
      <c r="G3472" s="2">
        <v>27.94</v>
      </c>
      <c r="H3472" s="2">
        <v>18.6</v>
      </c>
      <c r="I3472" s="2" t="s">
        <v>27</v>
      </c>
    </row>
    <row r="3473" ht="15.75" customHeight="1">
      <c r="A3473" s="2" t="s">
        <v>7313</v>
      </c>
      <c r="B3473" s="2" t="s">
        <v>7314</v>
      </c>
      <c r="C3473" s="2" t="s">
        <v>4661</v>
      </c>
      <c r="D3473" s="2" t="s">
        <v>980</v>
      </c>
      <c r="E3473" s="2" t="s">
        <v>981</v>
      </c>
      <c r="F3473" s="2">
        <v>156.0</v>
      </c>
      <c r="G3473" s="2">
        <v>2.23</v>
      </c>
      <c r="H3473" s="2">
        <v>70.0</v>
      </c>
      <c r="I3473" s="2" t="s">
        <v>47</v>
      </c>
    </row>
    <row r="3474" ht="15.75" customHeight="1">
      <c r="A3474" s="2" t="s">
        <v>7341</v>
      </c>
      <c r="B3474" s="2" t="s">
        <v>7342</v>
      </c>
      <c r="C3474" s="2" t="s">
        <v>4661</v>
      </c>
      <c r="D3474" s="2" t="s">
        <v>1051</v>
      </c>
      <c r="E3474" s="2" t="s">
        <v>1053</v>
      </c>
      <c r="F3474" s="2">
        <v>151.0</v>
      </c>
      <c r="G3474" s="2">
        <v>6.67</v>
      </c>
      <c r="H3474" s="2">
        <v>22.6</v>
      </c>
      <c r="I3474" s="2" t="s">
        <v>47</v>
      </c>
    </row>
    <row r="3475" ht="15.75" customHeight="1">
      <c r="A3475" s="2" t="s">
        <v>5093</v>
      </c>
      <c r="B3475" s="2" t="s">
        <v>5094</v>
      </c>
      <c r="C3475" s="2" t="s">
        <v>4661</v>
      </c>
      <c r="D3475" s="2" t="s">
        <v>1051</v>
      </c>
      <c r="E3475" s="2" t="s">
        <v>1053</v>
      </c>
      <c r="F3475" s="2">
        <v>117.0</v>
      </c>
      <c r="G3475" s="2">
        <v>3.31</v>
      </c>
      <c r="H3475" s="2">
        <v>35.3</v>
      </c>
      <c r="I3475" s="2" t="s">
        <v>47</v>
      </c>
    </row>
    <row r="3476" ht="15.75" customHeight="1">
      <c r="A3476" s="2" t="s">
        <v>5095</v>
      </c>
      <c r="B3476" s="2" t="s">
        <v>5096</v>
      </c>
      <c r="C3476" s="2" t="s">
        <v>4661</v>
      </c>
      <c r="D3476" s="2" t="s">
        <v>980</v>
      </c>
      <c r="E3476" s="2" t="s">
        <v>981</v>
      </c>
      <c r="F3476" s="2">
        <v>628.0</v>
      </c>
      <c r="G3476" s="2">
        <v>11.25</v>
      </c>
      <c r="H3476" s="2">
        <v>55.8</v>
      </c>
      <c r="I3476" s="2" t="s">
        <v>27</v>
      </c>
    </row>
    <row r="3477" ht="15.75" customHeight="1">
      <c r="A3477" s="2" t="s">
        <v>7343</v>
      </c>
      <c r="B3477" s="2" t="s">
        <v>7344</v>
      </c>
      <c r="C3477" s="2" t="s">
        <v>4661</v>
      </c>
      <c r="D3477" s="2" t="s">
        <v>853</v>
      </c>
      <c r="E3477" s="2" t="s">
        <v>854</v>
      </c>
      <c r="F3477" s="2">
        <v>290.0</v>
      </c>
      <c r="G3477" s="2">
        <v>14.38</v>
      </c>
      <c r="H3477" s="2">
        <v>20.2</v>
      </c>
      <c r="I3477" s="2" t="s">
        <v>47</v>
      </c>
    </row>
    <row r="3478" ht="15.75" customHeight="1">
      <c r="A3478" s="2" t="s">
        <v>7345</v>
      </c>
      <c r="B3478" s="2" t="s">
        <v>7346</v>
      </c>
      <c r="C3478" s="2" t="s">
        <v>4661</v>
      </c>
      <c r="D3478" s="2" t="s">
        <v>1032</v>
      </c>
      <c r="E3478" s="2" t="s">
        <v>1033</v>
      </c>
      <c r="F3478" s="2">
        <v>472.0</v>
      </c>
      <c r="G3478" s="2">
        <v>12.72</v>
      </c>
      <c r="H3478" s="2">
        <v>37.1</v>
      </c>
      <c r="I3478" s="2" t="s">
        <v>47</v>
      </c>
    </row>
    <row r="3479" ht="15.75" customHeight="1">
      <c r="A3479" s="2" t="s">
        <v>7347</v>
      </c>
      <c r="B3479" s="2" t="s">
        <v>7348</v>
      </c>
      <c r="C3479" s="2" t="s">
        <v>4661</v>
      </c>
      <c r="D3479" s="2" t="s">
        <v>1051</v>
      </c>
      <c r="E3479" s="2" t="s">
        <v>1053</v>
      </c>
      <c r="F3479" s="2">
        <v>280.0</v>
      </c>
      <c r="G3479" s="2">
        <v>10.95</v>
      </c>
      <c r="H3479" s="2">
        <v>25.6</v>
      </c>
      <c r="I3479" s="2" t="s">
        <v>47</v>
      </c>
    </row>
    <row r="3480" ht="15.75" customHeight="1">
      <c r="A3480" s="2" t="s">
        <v>7349</v>
      </c>
      <c r="B3480" s="2" t="s">
        <v>7350</v>
      </c>
      <c r="C3480" s="2" t="s">
        <v>4661</v>
      </c>
      <c r="D3480" s="2" t="s">
        <v>1051</v>
      </c>
      <c r="E3480" s="2" t="s">
        <v>1053</v>
      </c>
      <c r="F3480" s="2">
        <v>97.0</v>
      </c>
      <c r="G3480" s="2">
        <v>5.0</v>
      </c>
      <c r="H3480" s="2">
        <v>19.4</v>
      </c>
      <c r="I3480" s="2" t="s">
        <v>47</v>
      </c>
    </row>
    <row r="3481" ht="15.75" customHeight="1">
      <c r="A3481" s="2" t="s">
        <v>7351</v>
      </c>
      <c r="B3481" s="2" t="s">
        <v>7352</v>
      </c>
      <c r="C3481" s="2" t="s">
        <v>4661</v>
      </c>
      <c r="D3481" s="2" t="s">
        <v>1009</v>
      </c>
      <c r="E3481" s="2" t="s">
        <v>1010</v>
      </c>
      <c r="F3481" s="2">
        <v>182.0</v>
      </c>
      <c r="G3481" s="2">
        <v>5.81</v>
      </c>
      <c r="H3481" s="2">
        <v>31.3</v>
      </c>
      <c r="I3481" s="2" t="s">
        <v>47</v>
      </c>
    </row>
    <row r="3482" ht="15.75" customHeight="1">
      <c r="A3482" s="2" t="s">
        <v>7353</v>
      </c>
      <c r="B3482" s="2" t="s">
        <v>7354</v>
      </c>
      <c r="C3482" s="2" t="s">
        <v>4661</v>
      </c>
      <c r="D3482" s="2" t="s">
        <v>948</v>
      </c>
      <c r="E3482" s="2" t="s">
        <v>950</v>
      </c>
      <c r="F3482" s="2">
        <v>70.0</v>
      </c>
      <c r="G3482" s="2">
        <v>4.26</v>
      </c>
      <c r="H3482" s="2">
        <v>16.4</v>
      </c>
      <c r="I3482" s="2" t="s">
        <v>47</v>
      </c>
    </row>
    <row r="3483" ht="15.75" customHeight="1">
      <c r="A3483" s="2" t="s">
        <v>5097</v>
      </c>
      <c r="B3483" s="2" t="s">
        <v>5098</v>
      </c>
      <c r="C3483" s="2" t="s">
        <v>4661</v>
      </c>
      <c r="D3483" s="2" t="s">
        <v>1016</v>
      </c>
      <c r="E3483" s="2" t="s">
        <v>1017</v>
      </c>
      <c r="F3483" s="2">
        <v>1302.0</v>
      </c>
      <c r="G3483" s="2">
        <v>12.54</v>
      </c>
      <c r="H3483" s="2">
        <v>103.8</v>
      </c>
      <c r="I3483" s="2" t="s">
        <v>27</v>
      </c>
    </row>
    <row r="3484" ht="15.75" customHeight="1">
      <c r="A3484" s="2" t="s">
        <v>7357</v>
      </c>
      <c r="B3484" s="2" t="s">
        <v>7358</v>
      </c>
      <c r="C3484" s="2" t="s">
        <v>4661</v>
      </c>
      <c r="D3484" s="2" t="s">
        <v>948</v>
      </c>
      <c r="E3484" s="2" t="s">
        <v>950</v>
      </c>
      <c r="F3484" s="2">
        <v>51.0</v>
      </c>
      <c r="G3484" s="2">
        <v>2.07</v>
      </c>
      <c r="H3484" s="2">
        <v>24.6</v>
      </c>
      <c r="I3484" s="2" t="s">
        <v>47</v>
      </c>
    </row>
    <row r="3485" ht="15.75" customHeight="1">
      <c r="A3485" s="2" t="s">
        <v>7359</v>
      </c>
      <c r="B3485" s="2" t="s">
        <v>7360</v>
      </c>
      <c r="C3485" s="2" t="s">
        <v>4661</v>
      </c>
      <c r="D3485" s="2" t="s">
        <v>1071</v>
      </c>
      <c r="E3485" s="2" t="s">
        <v>1075</v>
      </c>
      <c r="F3485" s="2">
        <v>575.0</v>
      </c>
      <c r="G3485" s="2">
        <v>8.62</v>
      </c>
      <c r="H3485" s="2">
        <v>66.7</v>
      </c>
      <c r="I3485" s="2" t="s">
        <v>27</v>
      </c>
    </row>
    <row r="3486" ht="15.75" customHeight="1">
      <c r="A3486" s="2" t="s">
        <v>7361</v>
      </c>
      <c r="B3486" s="2" t="s">
        <v>7362</v>
      </c>
      <c r="C3486" s="2" t="s">
        <v>4661</v>
      </c>
      <c r="D3486" s="2" t="s">
        <v>948</v>
      </c>
      <c r="E3486" s="2" t="s">
        <v>950</v>
      </c>
      <c r="F3486" s="2">
        <v>120.0</v>
      </c>
      <c r="G3486" s="2">
        <v>2.48</v>
      </c>
      <c r="H3486" s="2">
        <v>48.4</v>
      </c>
      <c r="I3486" s="2" t="s">
        <v>47</v>
      </c>
    </row>
    <row r="3487" ht="15.75" customHeight="1">
      <c r="A3487" s="2" t="s">
        <v>5099</v>
      </c>
      <c r="B3487" s="2" t="s">
        <v>5100</v>
      </c>
      <c r="C3487" s="2" t="s">
        <v>4661</v>
      </c>
      <c r="D3487" s="2" t="s">
        <v>796</v>
      </c>
      <c r="E3487" s="2" t="s">
        <v>797</v>
      </c>
      <c r="F3487" s="2">
        <v>840.0</v>
      </c>
      <c r="G3487" s="2">
        <v>9.14</v>
      </c>
      <c r="H3487" s="2">
        <v>91.9</v>
      </c>
      <c r="I3487" s="2" t="s">
        <v>27</v>
      </c>
    </row>
    <row r="3488" ht="15.75" customHeight="1">
      <c r="A3488" s="2" t="s">
        <v>7363</v>
      </c>
      <c r="B3488" s="2" t="s">
        <v>7364</v>
      </c>
      <c r="C3488" s="2" t="s">
        <v>4661</v>
      </c>
      <c r="D3488" s="2" t="s">
        <v>980</v>
      </c>
      <c r="E3488" s="2" t="s">
        <v>981</v>
      </c>
      <c r="F3488" s="2">
        <v>184.0</v>
      </c>
      <c r="G3488" s="2">
        <v>7.56</v>
      </c>
      <c r="H3488" s="2">
        <v>24.3</v>
      </c>
      <c r="I3488" s="2" t="s">
        <v>47</v>
      </c>
    </row>
    <row r="3489" ht="15.75" customHeight="1">
      <c r="A3489" s="2" t="s">
        <v>7365</v>
      </c>
      <c r="B3489" s="2" t="s">
        <v>7366</v>
      </c>
      <c r="C3489" s="2" t="s">
        <v>4661</v>
      </c>
      <c r="D3489" s="2" t="s">
        <v>980</v>
      </c>
      <c r="E3489" s="2" t="s">
        <v>981</v>
      </c>
      <c r="F3489" s="2">
        <v>128.0</v>
      </c>
      <c r="G3489" s="2">
        <v>4.07</v>
      </c>
      <c r="H3489" s="2">
        <v>31.4</v>
      </c>
      <c r="I3489" s="2" t="s">
        <v>47</v>
      </c>
    </row>
    <row r="3490" ht="15.75" customHeight="1">
      <c r="A3490" s="2" t="s">
        <v>7367</v>
      </c>
      <c r="B3490" s="2" t="s">
        <v>7368</v>
      </c>
      <c r="C3490" s="2" t="s">
        <v>4661</v>
      </c>
      <c r="D3490" s="2" t="s">
        <v>1066</v>
      </c>
      <c r="E3490" s="2" t="s">
        <v>1069</v>
      </c>
      <c r="F3490" s="2">
        <v>149.0</v>
      </c>
      <c r="G3490" s="2">
        <v>3.93</v>
      </c>
      <c r="H3490" s="2">
        <v>37.9</v>
      </c>
      <c r="I3490" s="2" t="s">
        <v>47</v>
      </c>
    </row>
    <row r="3491" ht="15.75" customHeight="1">
      <c r="A3491" s="2" t="s">
        <v>7369</v>
      </c>
      <c r="B3491" s="2" t="s">
        <v>7370</v>
      </c>
      <c r="C3491" s="2" t="s">
        <v>4661</v>
      </c>
      <c r="D3491" s="2" t="s">
        <v>880</v>
      </c>
      <c r="E3491" s="2" t="s">
        <v>881</v>
      </c>
      <c r="F3491" s="2">
        <v>190.0</v>
      </c>
      <c r="G3491" s="2">
        <v>5.31</v>
      </c>
      <c r="H3491" s="2">
        <v>35.8</v>
      </c>
      <c r="I3491" s="2" t="s">
        <v>47</v>
      </c>
    </row>
    <row r="3492" ht="15.75" customHeight="1">
      <c r="A3492" s="2" t="s">
        <v>7371</v>
      </c>
      <c r="B3492" s="2" t="s">
        <v>7372</v>
      </c>
      <c r="C3492" s="2" t="s">
        <v>4661</v>
      </c>
      <c r="D3492" s="2" t="s">
        <v>948</v>
      </c>
      <c r="E3492" s="2" t="s">
        <v>950</v>
      </c>
      <c r="F3492" s="2">
        <v>189.0</v>
      </c>
      <c r="G3492" s="2">
        <v>5.79</v>
      </c>
      <c r="H3492" s="2">
        <v>32.6</v>
      </c>
      <c r="I3492" s="2" t="s">
        <v>47</v>
      </c>
    </row>
    <row r="3493" ht="15.75" customHeight="1">
      <c r="A3493" s="2" t="s">
        <v>7373</v>
      </c>
      <c r="B3493" s="2" t="s">
        <v>7374</v>
      </c>
      <c r="C3493" s="2" t="s">
        <v>4661</v>
      </c>
      <c r="D3493" s="2" t="s">
        <v>1032</v>
      </c>
      <c r="E3493" s="2" t="s">
        <v>1033</v>
      </c>
      <c r="F3493" s="2">
        <v>410.0</v>
      </c>
      <c r="G3493" s="2">
        <v>7.48</v>
      </c>
      <c r="H3493" s="2">
        <v>54.8</v>
      </c>
      <c r="I3493" s="2" t="s">
        <v>47</v>
      </c>
    </row>
    <row r="3494" ht="15.75" customHeight="1">
      <c r="A3494" s="2" t="s">
        <v>7375</v>
      </c>
      <c r="B3494" s="2" t="s">
        <v>7376</v>
      </c>
      <c r="C3494" s="2" t="s">
        <v>4661</v>
      </c>
      <c r="D3494" s="2" t="s">
        <v>869</v>
      </c>
      <c r="E3494" s="2" t="s">
        <v>870</v>
      </c>
      <c r="F3494" s="2">
        <v>505.0</v>
      </c>
      <c r="G3494" s="2">
        <v>7.04</v>
      </c>
      <c r="H3494" s="2">
        <v>71.7</v>
      </c>
      <c r="I3494" s="2" t="s">
        <v>27</v>
      </c>
    </row>
    <row r="3495" ht="15.75" customHeight="1">
      <c r="A3495" s="2" t="s">
        <v>7377</v>
      </c>
      <c r="B3495" s="2" t="s">
        <v>5544</v>
      </c>
      <c r="C3495" s="2" t="s">
        <v>4661</v>
      </c>
      <c r="D3495" s="2" t="s">
        <v>1071</v>
      </c>
      <c r="E3495" s="2" t="s">
        <v>1075</v>
      </c>
      <c r="F3495" s="2">
        <v>205.0</v>
      </c>
      <c r="G3495" s="2">
        <v>3.71</v>
      </c>
      <c r="H3495" s="2">
        <v>55.3</v>
      </c>
      <c r="I3495" s="2" t="s">
        <v>47</v>
      </c>
    </row>
    <row r="3496" ht="15.75" customHeight="1">
      <c r="A3496" s="2" t="s">
        <v>7378</v>
      </c>
      <c r="B3496" s="2" t="s">
        <v>7379</v>
      </c>
      <c r="C3496" s="2" t="s">
        <v>4661</v>
      </c>
      <c r="D3496" s="2" t="s">
        <v>880</v>
      </c>
      <c r="E3496" s="2" t="s">
        <v>881</v>
      </c>
      <c r="F3496" s="2">
        <v>216.0</v>
      </c>
      <c r="G3496" s="2">
        <v>10.93</v>
      </c>
      <c r="H3496" s="2">
        <v>19.8</v>
      </c>
      <c r="I3496" s="2" t="s">
        <v>47</v>
      </c>
    </row>
    <row r="3497" ht="15.75" customHeight="1">
      <c r="A3497" s="2" t="s">
        <v>7382</v>
      </c>
      <c r="B3497" s="2" t="s">
        <v>7383</v>
      </c>
      <c r="C3497" s="2" t="s">
        <v>4661</v>
      </c>
      <c r="D3497" s="2" t="s">
        <v>1066</v>
      </c>
      <c r="E3497" s="2" t="s">
        <v>1069</v>
      </c>
      <c r="F3497" s="2">
        <v>183.0</v>
      </c>
      <c r="G3497" s="2">
        <v>3.99</v>
      </c>
      <c r="H3497" s="2">
        <v>45.9</v>
      </c>
      <c r="I3497" s="2" t="s">
        <v>47</v>
      </c>
    </row>
    <row r="3498" ht="15.75" customHeight="1">
      <c r="A3498" s="2" t="s">
        <v>5101</v>
      </c>
      <c r="B3498" s="2" t="s">
        <v>5102</v>
      </c>
      <c r="C3498" s="2" t="s">
        <v>4661</v>
      </c>
      <c r="D3498" s="2" t="s">
        <v>936</v>
      </c>
      <c r="E3498" s="2" t="s">
        <v>937</v>
      </c>
      <c r="F3498" s="2">
        <v>2540.0</v>
      </c>
      <c r="G3498" s="2">
        <v>5.43</v>
      </c>
      <c r="H3498" s="2">
        <v>467.8</v>
      </c>
      <c r="I3498" s="2" t="s">
        <v>138</v>
      </c>
    </row>
    <row r="3499" ht="15.75" customHeight="1">
      <c r="A3499" s="2" t="s">
        <v>7396</v>
      </c>
      <c r="B3499" s="2" t="s">
        <v>7397</v>
      </c>
      <c r="C3499" s="2" t="s">
        <v>4661</v>
      </c>
      <c r="D3499" s="2" t="s">
        <v>880</v>
      </c>
      <c r="E3499" s="2" t="s">
        <v>881</v>
      </c>
      <c r="F3499" s="2">
        <v>290.0</v>
      </c>
      <c r="G3499" s="2">
        <v>7.36</v>
      </c>
      <c r="H3499" s="2">
        <v>39.4</v>
      </c>
      <c r="I3499" s="2" t="s">
        <v>47</v>
      </c>
    </row>
    <row r="3500" ht="15.75" customHeight="1">
      <c r="A3500" s="2" t="s">
        <v>7398</v>
      </c>
      <c r="B3500" s="2" t="s">
        <v>7399</v>
      </c>
      <c r="C3500" s="2" t="s">
        <v>4661</v>
      </c>
      <c r="D3500" s="2" t="s">
        <v>1051</v>
      </c>
      <c r="E3500" s="2" t="s">
        <v>1053</v>
      </c>
      <c r="F3500" s="2">
        <v>88.0</v>
      </c>
      <c r="G3500" s="2">
        <v>3.56</v>
      </c>
      <c r="H3500" s="2">
        <v>24.7</v>
      </c>
      <c r="I3500" s="2" t="s">
        <v>47</v>
      </c>
    </row>
    <row r="3501" ht="15.75" customHeight="1">
      <c r="A3501" s="2" t="s">
        <v>7402</v>
      </c>
      <c r="B3501" s="2" t="s">
        <v>7403</v>
      </c>
      <c r="C3501" s="2" t="s">
        <v>4661</v>
      </c>
      <c r="D3501" s="2" t="s">
        <v>980</v>
      </c>
      <c r="E3501" s="2" t="s">
        <v>981</v>
      </c>
      <c r="F3501" s="2">
        <v>237.0</v>
      </c>
      <c r="G3501" s="2">
        <v>8.74</v>
      </c>
      <c r="H3501" s="2">
        <v>27.1</v>
      </c>
      <c r="I3501" s="2" t="s">
        <v>47</v>
      </c>
    </row>
    <row r="3502" ht="15.75" customHeight="1">
      <c r="A3502" s="2" t="s">
        <v>7404</v>
      </c>
      <c r="B3502" s="2" t="s">
        <v>7405</v>
      </c>
      <c r="C3502" s="2" t="s">
        <v>4661</v>
      </c>
      <c r="D3502" s="2" t="s">
        <v>948</v>
      </c>
      <c r="E3502" s="2" t="s">
        <v>950</v>
      </c>
      <c r="F3502" s="2">
        <v>217.0</v>
      </c>
      <c r="G3502" s="2">
        <v>6.05</v>
      </c>
      <c r="H3502" s="2">
        <v>35.9</v>
      </c>
      <c r="I3502" s="2" t="s">
        <v>47</v>
      </c>
    </row>
    <row r="3503" ht="15.75" customHeight="1">
      <c r="A3503" s="2" t="s">
        <v>5105</v>
      </c>
      <c r="B3503" s="2" t="s">
        <v>5106</v>
      </c>
      <c r="C3503" s="2" t="s">
        <v>4661</v>
      </c>
      <c r="D3503" s="2" t="s">
        <v>869</v>
      </c>
      <c r="E3503" s="2" t="s">
        <v>870</v>
      </c>
      <c r="F3503" s="2">
        <v>569.0</v>
      </c>
      <c r="G3503" s="2">
        <v>6.82</v>
      </c>
      <c r="H3503" s="2">
        <v>83.4</v>
      </c>
      <c r="I3503" s="2" t="s">
        <v>27</v>
      </c>
    </row>
    <row r="3504" ht="15.75" customHeight="1">
      <c r="A3504" s="2" t="s">
        <v>7400</v>
      </c>
      <c r="B3504" s="2" t="s">
        <v>7401</v>
      </c>
      <c r="C3504" s="2" t="s">
        <v>4661</v>
      </c>
      <c r="D3504" s="2" t="s">
        <v>880</v>
      </c>
      <c r="E3504" s="2" t="s">
        <v>881</v>
      </c>
      <c r="F3504" s="2">
        <v>105.0</v>
      </c>
      <c r="G3504" s="2">
        <v>6.5</v>
      </c>
      <c r="H3504" s="2">
        <v>16.2</v>
      </c>
      <c r="I3504" s="2" t="s">
        <v>47</v>
      </c>
    </row>
    <row r="3505" ht="15.75" customHeight="1">
      <c r="A3505" s="2" t="s">
        <v>5107</v>
      </c>
      <c r="B3505" s="2" t="s">
        <v>5108</v>
      </c>
      <c r="C3505" s="2" t="s">
        <v>4661</v>
      </c>
      <c r="D3505" s="2" t="s">
        <v>1022</v>
      </c>
      <c r="E3505" s="2" t="s">
        <v>1025</v>
      </c>
      <c r="F3505" s="2">
        <v>604.0</v>
      </c>
      <c r="G3505" s="2">
        <v>8.79</v>
      </c>
      <c r="H3505" s="2">
        <v>68.7</v>
      </c>
      <c r="I3505" s="2" t="s">
        <v>27</v>
      </c>
    </row>
    <row r="3506" ht="15.75" customHeight="1">
      <c r="A3506" s="2" t="s">
        <v>7412</v>
      </c>
      <c r="B3506" s="2" t="s">
        <v>7413</v>
      </c>
      <c r="C3506" s="2" t="s">
        <v>4661</v>
      </c>
      <c r="D3506" s="2" t="s">
        <v>980</v>
      </c>
      <c r="E3506" s="2" t="s">
        <v>981</v>
      </c>
      <c r="F3506" s="2">
        <v>202.0</v>
      </c>
      <c r="G3506" s="2">
        <v>5.86</v>
      </c>
      <c r="H3506" s="2">
        <v>34.5</v>
      </c>
      <c r="I3506" s="2" t="s">
        <v>47</v>
      </c>
    </row>
    <row r="3507" ht="15.75" customHeight="1">
      <c r="A3507" s="2" t="s">
        <v>7414</v>
      </c>
      <c r="B3507" s="2" t="s">
        <v>7415</v>
      </c>
      <c r="C3507" s="2" t="s">
        <v>4661</v>
      </c>
      <c r="D3507" s="2" t="s">
        <v>1051</v>
      </c>
      <c r="E3507" s="2" t="s">
        <v>1053</v>
      </c>
      <c r="F3507" s="2">
        <v>337.0</v>
      </c>
      <c r="G3507" s="2">
        <v>8.63</v>
      </c>
      <c r="H3507" s="2">
        <v>39.0</v>
      </c>
      <c r="I3507" s="2" t="s">
        <v>47</v>
      </c>
    </row>
    <row r="3508" ht="15.75" customHeight="1">
      <c r="A3508" s="2" t="s">
        <v>7416</v>
      </c>
      <c r="B3508" s="2" t="s">
        <v>7417</v>
      </c>
      <c r="C3508" s="2" t="s">
        <v>4661</v>
      </c>
      <c r="D3508" s="2" t="s">
        <v>980</v>
      </c>
      <c r="E3508" s="2" t="s">
        <v>981</v>
      </c>
      <c r="F3508" s="2">
        <v>620.0</v>
      </c>
      <c r="G3508" s="2">
        <v>14.02</v>
      </c>
      <c r="H3508" s="2">
        <v>44.2</v>
      </c>
      <c r="I3508" s="2" t="s">
        <v>27</v>
      </c>
    </row>
    <row r="3509" ht="15.75" customHeight="1">
      <c r="A3509" s="2" t="s">
        <v>7418</v>
      </c>
      <c r="B3509" s="2" t="s">
        <v>7419</v>
      </c>
      <c r="C3509" s="2" t="s">
        <v>4661</v>
      </c>
      <c r="D3509" s="2" t="s">
        <v>1009</v>
      </c>
      <c r="E3509" s="2" t="s">
        <v>1010</v>
      </c>
      <c r="F3509" s="2">
        <v>121.0</v>
      </c>
      <c r="G3509" s="2">
        <v>2.32</v>
      </c>
      <c r="H3509" s="2">
        <v>52.2</v>
      </c>
      <c r="I3509" s="2" t="s">
        <v>47</v>
      </c>
    </row>
    <row r="3510" ht="15.75" customHeight="1">
      <c r="A3510" s="2" t="s">
        <v>5109</v>
      </c>
      <c r="B3510" s="2" t="s">
        <v>5110</v>
      </c>
      <c r="C3510" s="2" t="s">
        <v>4661</v>
      </c>
      <c r="D3510" s="2" t="s">
        <v>880</v>
      </c>
      <c r="E3510" s="2" t="s">
        <v>881</v>
      </c>
      <c r="F3510" s="2">
        <v>1109.0</v>
      </c>
      <c r="G3510" s="2">
        <v>20.7</v>
      </c>
      <c r="H3510" s="2">
        <v>53.6</v>
      </c>
      <c r="I3510" s="2" t="s">
        <v>27</v>
      </c>
    </row>
    <row r="3511" ht="15.75" customHeight="1">
      <c r="A3511" s="2" t="s">
        <v>5111</v>
      </c>
      <c r="B3511" s="2" t="s">
        <v>5112</v>
      </c>
      <c r="C3511" s="2" t="s">
        <v>4661</v>
      </c>
      <c r="D3511" s="2" t="s">
        <v>1066</v>
      </c>
      <c r="E3511" s="2" t="s">
        <v>1069</v>
      </c>
      <c r="F3511" s="2">
        <v>921.0</v>
      </c>
      <c r="G3511" s="2">
        <v>22.87</v>
      </c>
      <c r="H3511" s="2">
        <v>40.3</v>
      </c>
      <c r="I3511" s="2" t="s">
        <v>27</v>
      </c>
    </row>
    <row r="3512" ht="15.75" customHeight="1">
      <c r="A3512" s="2" t="s">
        <v>5115</v>
      </c>
      <c r="B3512" s="2" t="s">
        <v>5116</v>
      </c>
      <c r="C3512" s="2" t="s">
        <v>4661</v>
      </c>
      <c r="D3512" s="2" t="s">
        <v>1009</v>
      </c>
      <c r="E3512" s="2" t="s">
        <v>1010</v>
      </c>
      <c r="F3512" s="2">
        <v>349.0</v>
      </c>
      <c r="G3512" s="2">
        <v>7.32</v>
      </c>
      <c r="H3512" s="2">
        <v>47.7</v>
      </c>
      <c r="I3512" s="2" t="s">
        <v>47</v>
      </c>
    </row>
    <row r="3513" ht="15.75" customHeight="1">
      <c r="A3513" s="2" t="s">
        <v>5117</v>
      </c>
      <c r="B3513" s="2" t="s">
        <v>5118</v>
      </c>
      <c r="C3513" s="2" t="s">
        <v>4661</v>
      </c>
      <c r="D3513" s="2" t="s">
        <v>869</v>
      </c>
      <c r="E3513" s="2" t="s">
        <v>870</v>
      </c>
      <c r="F3513" s="2">
        <v>593.0</v>
      </c>
      <c r="G3513" s="2">
        <v>15.46</v>
      </c>
      <c r="H3513" s="2">
        <v>38.4</v>
      </c>
      <c r="I3513" s="2" t="s">
        <v>27</v>
      </c>
    </row>
    <row r="3514" ht="15.75" customHeight="1">
      <c r="A3514" s="2" t="s">
        <v>5119</v>
      </c>
      <c r="B3514" s="2" t="s">
        <v>5120</v>
      </c>
      <c r="C3514" s="2" t="s">
        <v>4661</v>
      </c>
      <c r="D3514" s="2" t="s">
        <v>796</v>
      </c>
      <c r="E3514" s="2" t="s">
        <v>797</v>
      </c>
      <c r="F3514" s="2">
        <v>585.0</v>
      </c>
      <c r="G3514" s="2">
        <v>9.56</v>
      </c>
      <c r="H3514" s="2">
        <v>61.2</v>
      </c>
      <c r="I3514" s="2" t="s">
        <v>27</v>
      </c>
    </row>
    <row r="3515" ht="15.75" customHeight="1">
      <c r="A3515" s="2" t="s">
        <v>5121</v>
      </c>
      <c r="B3515" s="2" t="s">
        <v>5122</v>
      </c>
      <c r="C3515" s="2" t="s">
        <v>4661</v>
      </c>
      <c r="D3515" s="2" t="s">
        <v>1066</v>
      </c>
      <c r="E3515" s="2" t="s">
        <v>1069</v>
      </c>
      <c r="F3515" s="2">
        <v>216.0</v>
      </c>
      <c r="G3515" s="2">
        <v>9.0</v>
      </c>
      <c r="H3515" s="2">
        <v>24.0</v>
      </c>
      <c r="I3515" s="2" t="s">
        <v>47</v>
      </c>
    </row>
    <row r="3516" ht="15.75" customHeight="1">
      <c r="A3516" s="2" t="s">
        <v>7420</v>
      </c>
      <c r="B3516" s="2" t="s">
        <v>7421</v>
      </c>
      <c r="C3516" s="2" t="s">
        <v>4661</v>
      </c>
      <c r="D3516" s="2" t="s">
        <v>1066</v>
      </c>
      <c r="E3516" s="2" t="s">
        <v>1069</v>
      </c>
      <c r="F3516" s="2">
        <v>146.0</v>
      </c>
      <c r="G3516" s="2">
        <v>6.99</v>
      </c>
      <c r="H3516" s="2">
        <v>20.9</v>
      </c>
      <c r="I3516" s="2" t="s">
        <v>47</v>
      </c>
    </row>
    <row r="3517" ht="15.75" customHeight="1">
      <c r="A3517" s="2" t="s">
        <v>7422</v>
      </c>
      <c r="B3517" s="2" t="s">
        <v>7423</v>
      </c>
      <c r="C3517" s="2" t="s">
        <v>4661</v>
      </c>
      <c r="D3517" s="2" t="s">
        <v>980</v>
      </c>
      <c r="E3517" s="2" t="s">
        <v>981</v>
      </c>
      <c r="F3517" s="2">
        <v>217.0</v>
      </c>
      <c r="G3517" s="2">
        <v>7.69</v>
      </c>
      <c r="H3517" s="2">
        <v>28.2</v>
      </c>
      <c r="I3517" s="2" t="s">
        <v>47</v>
      </c>
    </row>
    <row r="3518" ht="15.75" customHeight="1">
      <c r="A3518" s="2" t="s">
        <v>5123</v>
      </c>
      <c r="B3518" s="2" t="s">
        <v>5124</v>
      </c>
      <c r="C3518" s="2" t="s">
        <v>4661</v>
      </c>
      <c r="D3518" s="2" t="s">
        <v>948</v>
      </c>
      <c r="E3518" s="2" t="s">
        <v>950</v>
      </c>
      <c r="F3518" s="2">
        <v>5935.0</v>
      </c>
      <c r="G3518" s="2">
        <v>12.62</v>
      </c>
      <c r="H3518" s="2">
        <v>470.3</v>
      </c>
      <c r="I3518" s="2" t="s">
        <v>138</v>
      </c>
    </row>
    <row r="3519" ht="15.75" customHeight="1">
      <c r="A3519" s="2" t="s">
        <v>7426</v>
      </c>
      <c r="B3519" s="2" t="s">
        <v>7427</v>
      </c>
      <c r="C3519" s="2" t="s">
        <v>4661</v>
      </c>
      <c r="D3519" s="2" t="s">
        <v>1009</v>
      </c>
      <c r="E3519" s="2" t="s">
        <v>1010</v>
      </c>
      <c r="F3519" s="2">
        <v>102.0</v>
      </c>
      <c r="G3519" s="2">
        <v>5.01</v>
      </c>
      <c r="H3519" s="2">
        <v>20.4</v>
      </c>
      <c r="I3519" s="2" t="s">
        <v>47</v>
      </c>
    </row>
    <row r="3520" ht="15.75" customHeight="1">
      <c r="A3520" s="2" t="s">
        <v>7424</v>
      </c>
      <c r="B3520" s="2" t="s">
        <v>7425</v>
      </c>
      <c r="C3520" s="2" t="s">
        <v>4661</v>
      </c>
      <c r="D3520" s="2" t="s">
        <v>1009</v>
      </c>
      <c r="E3520" s="2" t="s">
        <v>1010</v>
      </c>
      <c r="F3520" s="2">
        <v>175.0</v>
      </c>
      <c r="G3520" s="2">
        <v>4.89</v>
      </c>
      <c r="H3520" s="2">
        <v>35.8</v>
      </c>
      <c r="I3520" s="2" t="s">
        <v>47</v>
      </c>
    </row>
    <row r="3521" ht="15.75" customHeight="1">
      <c r="A3521" s="2" t="s">
        <v>7428</v>
      </c>
      <c r="B3521" s="2" t="s">
        <v>7429</v>
      </c>
      <c r="C3521" s="2" t="s">
        <v>4661</v>
      </c>
      <c r="D3521" s="2" t="s">
        <v>1009</v>
      </c>
      <c r="E3521" s="2" t="s">
        <v>1010</v>
      </c>
      <c r="F3521" s="2">
        <v>93.0</v>
      </c>
      <c r="G3521" s="2">
        <v>1.49</v>
      </c>
      <c r="H3521" s="2">
        <v>62.4</v>
      </c>
      <c r="I3521" s="2" t="s">
        <v>47</v>
      </c>
    </row>
    <row r="3522" ht="15.75" customHeight="1">
      <c r="A3522" s="2" t="s">
        <v>5126</v>
      </c>
      <c r="B3522" s="2" t="s">
        <v>5127</v>
      </c>
      <c r="C3522" s="2" t="s">
        <v>4661</v>
      </c>
      <c r="D3522" s="2" t="s">
        <v>869</v>
      </c>
      <c r="E3522" s="2" t="s">
        <v>870</v>
      </c>
      <c r="F3522" s="2">
        <v>362.0</v>
      </c>
      <c r="G3522" s="2">
        <v>5.88</v>
      </c>
      <c r="H3522" s="2">
        <v>61.6</v>
      </c>
      <c r="I3522" s="2" t="s">
        <v>47</v>
      </c>
    </row>
    <row r="3523" ht="15.75" customHeight="1">
      <c r="A3523" s="2" t="s">
        <v>7430</v>
      </c>
      <c r="B3523" s="2" t="s">
        <v>1961</v>
      </c>
      <c r="C3523" s="2" t="s">
        <v>4661</v>
      </c>
      <c r="D3523" s="2" t="s">
        <v>1016</v>
      </c>
      <c r="E3523" s="2" t="s">
        <v>1017</v>
      </c>
      <c r="F3523" s="2">
        <v>327.0</v>
      </c>
      <c r="G3523" s="2">
        <v>7.6</v>
      </c>
      <c r="H3523" s="2">
        <v>43.0</v>
      </c>
      <c r="I3523" s="2" t="s">
        <v>47</v>
      </c>
    </row>
    <row r="3524" ht="15.75" customHeight="1">
      <c r="A3524" s="2" t="s">
        <v>5129</v>
      </c>
      <c r="B3524" s="2" t="s">
        <v>5130</v>
      </c>
      <c r="C3524" s="2" t="s">
        <v>4661</v>
      </c>
      <c r="D3524" s="2" t="s">
        <v>853</v>
      </c>
      <c r="E3524" s="2" t="s">
        <v>854</v>
      </c>
      <c r="F3524" s="2">
        <v>3936.0</v>
      </c>
      <c r="G3524" s="2">
        <v>23.66</v>
      </c>
      <c r="H3524" s="2">
        <v>166.4</v>
      </c>
      <c r="I3524" s="2" t="s">
        <v>138</v>
      </c>
    </row>
    <row r="3525" ht="15.75" customHeight="1">
      <c r="A3525" s="2" t="s">
        <v>7431</v>
      </c>
      <c r="B3525" s="2" t="s">
        <v>7432</v>
      </c>
      <c r="C3525" s="2" t="s">
        <v>4661</v>
      </c>
      <c r="D3525" s="2" t="s">
        <v>853</v>
      </c>
      <c r="E3525" s="2" t="s">
        <v>854</v>
      </c>
      <c r="F3525" s="2">
        <v>469.0</v>
      </c>
      <c r="G3525" s="2">
        <v>6.48</v>
      </c>
      <c r="H3525" s="2">
        <v>72.4</v>
      </c>
      <c r="I3525" s="2" t="s">
        <v>47</v>
      </c>
    </row>
    <row r="3526" ht="15.75" customHeight="1">
      <c r="A3526" s="2" t="s">
        <v>5133</v>
      </c>
      <c r="B3526" s="2" t="s">
        <v>5134</v>
      </c>
      <c r="C3526" s="2" t="s">
        <v>4661</v>
      </c>
      <c r="D3526" s="2" t="s">
        <v>980</v>
      </c>
      <c r="E3526" s="2" t="s">
        <v>981</v>
      </c>
      <c r="F3526" s="2">
        <v>382.0</v>
      </c>
      <c r="G3526" s="2">
        <v>11.88</v>
      </c>
      <c r="H3526" s="2">
        <v>32.2</v>
      </c>
      <c r="I3526" s="2" t="s">
        <v>47</v>
      </c>
    </row>
    <row r="3527" ht="15.75" customHeight="1">
      <c r="A3527" s="2" t="s">
        <v>5135</v>
      </c>
      <c r="B3527" s="2" t="s">
        <v>5136</v>
      </c>
      <c r="C3527" s="2" t="s">
        <v>4661</v>
      </c>
      <c r="D3527" s="2" t="s">
        <v>1066</v>
      </c>
      <c r="E3527" s="2" t="s">
        <v>1069</v>
      </c>
      <c r="F3527" s="2">
        <v>372.0</v>
      </c>
      <c r="G3527" s="2">
        <v>12.8</v>
      </c>
      <c r="H3527" s="2">
        <v>29.1</v>
      </c>
      <c r="I3527" s="2" t="s">
        <v>47</v>
      </c>
    </row>
    <row r="3528" ht="15.75" customHeight="1">
      <c r="A3528" s="2" t="s">
        <v>7433</v>
      </c>
      <c r="B3528" s="2" t="s">
        <v>7434</v>
      </c>
      <c r="C3528" s="2" t="s">
        <v>4661</v>
      </c>
      <c r="D3528" s="2" t="s">
        <v>1051</v>
      </c>
      <c r="E3528" s="2" t="s">
        <v>1053</v>
      </c>
      <c r="F3528" s="2">
        <v>96.0</v>
      </c>
      <c r="G3528" s="2">
        <v>3.56</v>
      </c>
      <c r="H3528" s="2">
        <v>27.0</v>
      </c>
      <c r="I3528" s="2" t="s">
        <v>47</v>
      </c>
    </row>
    <row r="3529" ht="15.75" customHeight="1">
      <c r="A3529" s="2" t="s">
        <v>7435</v>
      </c>
      <c r="B3529" s="2" t="s">
        <v>7436</v>
      </c>
      <c r="C3529" s="2" t="s">
        <v>4661</v>
      </c>
      <c r="D3529" s="2" t="s">
        <v>1066</v>
      </c>
      <c r="E3529" s="2" t="s">
        <v>1069</v>
      </c>
      <c r="F3529" s="2">
        <v>75.0</v>
      </c>
      <c r="G3529" s="2">
        <v>2.77</v>
      </c>
      <c r="H3529" s="2">
        <v>27.1</v>
      </c>
      <c r="I3529" s="2" t="s">
        <v>47</v>
      </c>
    </row>
    <row r="3530" ht="15.75" customHeight="1">
      <c r="A3530" s="2" t="s">
        <v>7437</v>
      </c>
      <c r="B3530" s="2" t="s">
        <v>7438</v>
      </c>
      <c r="C3530" s="2" t="s">
        <v>4661</v>
      </c>
      <c r="D3530" s="2" t="s">
        <v>869</v>
      </c>
      <c r="E3530" s="2" t="s">
        <v>870</v>
      </c>
      <c r="F3530" s="2">
        <v>314.0</v>
      </c>
      <c r="G3530" s="2">
        <v>4.17</v>
      </c>
      <c r="H3530" s="2">
        <v>75.3</v>
      </c>
      <c r="I3530" s="2" t="s">
        <v>47</v>
      </c>
    </row>
    <row r="3531" ht="15.75" customHeight="1">
      <c r="A3531" s="2" t="s">
        <v>7439</v>
      </c>
      <c r="B3531" s="2" t="s">
        <v>7440</v>
      </c>
      <c r="C3531" s="2" t="s">
        <v>4661</v>
      </c>
      <c r="D3531" s="2" t="s">
        <v>1066</v>
      </c>
      <c r="E3531" s="2" t="s">
        <v>1069</v>
      </c>
      <c r="F3531" s="2">
        <v>165.0</v>
      </c>
      <c r="G3531" s="2">
        <v>10.47</v>
      </c>
      <c r="H3531" s="2">
        <v>15.8</v>
      </c>
      <c r="I3531" s="2" t="s">
        <v>47</v>
      </c>
    </row>
    <row r="3532" ht="15.75" customHeight="1">
      <c r="A3532" s="2" t="s">
        <v>5137</v>
      </c>
      <c r="B3532" s="2" t="s">
        <v>3337</v>
      </c>
      <c r="C3532" s="2" t="s">
        <v>4661</v>
      </c>
      <c r="D3532" s="2" t="s">
        <v>1022</v>
      </c>
      <c r="E3532" s="2" t="s">
        <v>1025</v>
      </c>
      <c r="F3532" s="2">
        <v>693.0</v>
      </c>
      <c r="G3532" s="2">
        <v>14.11</v>
      </c>
      <c r="H3532" s="2">
        <v>49.1</v>
      </c>
      <c r="I3532" s="2" t="s">
        <v>27</v>
      </c>
    </row>
    <row r="3533" ht="15.75" customHeight="1">
      <c r="A3533" s="2" t="s">
        <v>5138</v>
      </c>
      <c r="B3533" s="2" t="s">
        <v>5139</v>
      </c>
      <c r="C3533" s="2" t="s">
        <v>4661</v>
      </c>
      <c r="D3533" s="2" t="s">
        <v>869</v>
      </c>
      <c r="E3533" s="2" t="s">
        <v>870</v>
      </c>
      <c r="F3533" s="2">
        <v>789.0</v>
      </c>
      <c r="G3533" s="2">
        <v>6.59</v>
      </c>
      <c r="H3533" s="2">
        <v>119.7</v>
      </c>
      <c r="I3533" s="2" t="s">
        <v>27</v>
      </c>
    </row>
    <row r="3534" ht="15.75" customHeight="1">
      <c r="A3534" s="2" t="s">
        <v>5140</v>
      </c>
      <c r="B3534" s="2" t="s">
        <v>5141</v>
      </c>
      <c r="C3534" s="2" t="s">
        <v>4661</v>
      </c>
      <c r="D3534" s="2" t="s">
        <v>980</v>
      </c>
      <c r="E3534" s="2" t="s">
        <v>981</v>
      </c>
      <c r="F3534" s="2">
        <v>1285.0</v>
      </c>
      <c r="G3534" s="2">
        <v>10.77</v>
      </c>
      <c r="H3534" s="2">
        <v>119.3</v>
      </c>
      <c r="I3534" s="2" t="s">
        <v>27</v>
      </c>
    </row>
    <row r="3535" ht="15.75" customHeight="1">
      <c r="A3535" s="2" t="s">
        <v>5142</v>
      </c>
      <c r="B3535" s="2" t="s">
        <v>5143</v>
      </c>
      <c r="C3535" s="2" t="s">
        <v>4661</v>
      </c>
      <c r="D3535" s="2" t="s">
        <v>1071</v>
      </c>
      <c r="E3535" s="2" t="s">
        <v>1075</v>
      </c>
      <c r="F3535" s="2">
        <v>546.0</v>
      </c>
      <c r="G3535" s="2">
        <v>7.06</v>
      </c>
      <c r="H3535" s="2">
        <v>77.3</v>
      </c>
      <c r="I3535" s="2" t="s">
        <v>27</v>
      </c>
    </row>
    <row r="3536" ht="15.75" customHeight="1">
      <c r="A3536" s="2" t="s">
        <v>7386</v>
      </c>
      <c r="B3536" s="2" t="s">
        <v>7387</v>
      </c>
      <c r="C3536" s="2" t="s">
        <v>4661</v>
      </c>
      <c r="D3536" s="2" t="s">
        <v>1022</v>
      </c>
      <c r="E3536" s="2" t="s">
        <v>1025</v>
      </c>
      <c r="F3536" s="2">
        <v>298.0</v>
      </c>
      <c r="G3536" s="2">
        <v>4.03</v>
      </c>
      <c r="H3536" s="2">
        <v>73.9</v>
      </c>
      <c r="I3536" s="2" t="s">
        <v>47</v>
      </c>
    </row>
    <row r="3537" ht="15.75" customHeight="1">
      <c r="A3537" s="2" t="s">
        <v>7392</v>
      </c>
      <c r="B3537" s="2" t="s">
        <v>7393</v>
      </c>
      <c r="C3537" s="2" t="s">
        <v>4661</v>
      </c>
      <c r="D3537" s="2" t="s">
        <v>1066</v>
      </c>
      <c r="E3537" s="2" t="s">
        <v>1069</v>
      </c>
      <c r="F3537" s="2">
        <v>106.0</v>
      </c>
      <c r="G3537" s="2">
        <v>3.32</v>
      </c>
      <c r="H3537" s="2">
        <v>31.9</v>
      </c>
      <c r="I3537" s="2" t="s">
        <v>47</v>
      </c>
    </row>
    <row r="3538" ht="15.75" customHeight="1">
      <c r="A3538" s="2" t="s">
        <v>5144</v>
      </c>
      <c r="B3538" s="2" t="s">
        <v>5145</v>
      </c>
      <c r="C3538" s="2" t="s">
        <v>4661</v>
      </c>
      <c r="D3538" s="2" t="s">
        <v>1016</v>
      </c>
      <c r="E3538" s="2" t="s">
        <v>1017</v>
      </c>
      <c r="F3538" s="2">
        <v>587.0</v>
      </c>
      <c r="G3538" s="2">
        <v>6.95</v>
      </c>
      <c r="H3538" s="2">
        <v>84.5</v>
      </c>
      <c r="I3538" s="2" t="s">
        <v>27</v>
      </c>
    </row>
    <row r="3539" ht="15.75" customHeight="1">
      <c r="A3539" s="2" t="s">
        <v>7388</v>
      </c>
      <c r="B3539" s="2" t="s">
        <v>7389</v>
      </c>
      <c r="C3539" s="2" t="s">
        <v>4661</v>
      </c>
      <c r="D3539" s="2" t="s">
        <v>1066</v>
      </c>
      <c r="E3539" s="2" t="s">
        <v>1069</v>
      </c>
      <c r="F3539" s="2">
        <v>9.0</v>
      </c>
      <c r="G3539" s="2">
        <v>3.05</v>
      </c>
      <c r="H3539" s="2">
        <v>3.0</v>
      </c>
      <c r="I3539" s="2" t="s">
        <v>47</v>
      </c>
    </row>
    <row r="3540" ht="15.75" customHeight="1">
      <c r="A3540" s="2" t="s">
        <v>7390</v>
      </c>
      <c r="B3540" s="2" t="s">
        <v>7391</v>
      </c>
      <c r="C3540" s="2" t="s">
        <v>4661</v>
      </c>
      <c r="D3540" s="2" t="s">
        <v>796</v>
      </c>
      <c r="E3540" s="2" t="s">
        <v>797</v>
      </c>
      <c r="F3540" s="2">
        <v>183.0</v>
      </c>
      <c r="G3540" s="2">
        <v>3.75</v>
      </c>
      <c r="H3540" s="2">
        <v>48.8</v>
      </c>
      <c r="I3540" s="2" t="s">
        <v>47</v>
      </c>
    </row>
    <row r="3541" ht="15.75" customHeight="1">
      <c r="A3541" s="2" t="s">
        <v>7406</v>
      </c>
      <c r="B3541" s="2" t="s">
        <v>7407</v>
      </c>
      <c r="C3541" s="2" t="s">
        <v>4661</v>
      </c>
      <c r="D3541" s="2" t="s">
        <v>1066</v>
      </c>
      <c r="E3541" s="2" t="s">
        <v>1069</v>
      </c>
      <c r="F3541" s="2">
        <v>122.0</v>
      </c>
      <c r="G3541" s="2">
        <v>6.72</v>
      </c>
      <c r="H3541" s="2">
        <v>18.2</v>
      </c>
      <c r="I3541" s="2" t="s">
        <v>47</v>
      </c>
    </row>
    <row r="3542" ht="15.75" customHeight="1">
      <c r="A3542" s="2" t="s">
        <v>7408</v>
      </c>
      <c r="B3542" s="2" t="s">
        <v>7409</v>
      </c>
      <c r="C3542" s="2" t="s">
        <v>4661</v>
      </c>
      <c r="D3542" s="2" t="s">
        <v>1009</v>
      </c>
      <c r="E3542" s="2" t="s">
        <v>1010</v>
      </c>
      <c r="F3542" s="2">
        <v>184.0</v>
      </c>
      <c r="G3542" s="2">
        <v>6.47</v>
      </c>
      <c r="H3542" s="2">
        <v>28.4</v>
      </c>
      <c r="I3542" s="2" t="s">
        <v>47</v>
      </c>
    </row>
    <row r="3543" ht="15.75" customHeight="1">
      <c r="A3543" s="2" t="s">
        <v>7410</v>
      </c>
      <c r="B3543" s="2" t="s">
        <v>7411</v>
      </c>
      <c r="C3543" s="2" t="s">
        <v>4661</v>
      </c>
      <c r="D3543" s="2" t="s">
        <v>853</v>
      </c>
      <c r="E3543" s="2" t="s">
        <v>854</v>
      </c>
      <c r="F3543" s="2">
        <v>521.0</v>
      </c>
      <c r="G3543" s="2">
        <v>10.8</v>
      </c>
      <c r="H3543" s="2">
        <v>48.2</v>
      </c>
      <c r="I3543" s="2" t="s">
        <v>27</v>
      </c>
    </row>
    <row r="3544" ht="15.75" customHeight="1">
      <c r="A3544" s="2" t="s">
        <v>7441</v>
      </c>
      <c r="B3544" s="2" t="s">
        <v>7442</v>
      </c>
      <c r="C3544" s="2" t="s">
        <v>4661</v>
      </c>
      <c r="D3544" s="2" t="s">
        <v>1051</v>
      </c>
      <c r="E3544" s="2" t="s">
        <v>1053</v>
      </c>
      <c r="F3544" s="2">
        <v>261.0</v>
      </c>
      <c r="G3544" s="2">
        <v>19.52</v>
      </c>
      <c r="H3544" s="2">
        <v>13.4</v>
      </c>
      <c r="I3544" s="2" t="s">
        <v>47</v>
      </c>
    </row>
    <row r="3545" ht="15.75" customHeight="1">
      <c r="A3545" s="2" t="s">
        <v>5147</v>
      </c>
      <c r="B3545" s="2" t="s">
        <v>5149</v>
      </c>
      <c r="C3545" s="2" t="s">
        <v>4661</v>
      </c>
      <c r="D3545" s="2" t="s">
        <v>1066</v>
      </c>
      <c r="E3545" s="2" t="s">
        <v>1069</v>
      </c>
      <c r="F3545" s="2">
        <v>1013.0</v>
      </c>
      <c r="G3545" s="2">
        <v>22.0</v>
      </c>
      <c r="H3545" s="2">
        <v>46.0</v>
      </c>
      <c r="I3545" s="2" t="s">
        <v>27</v>
      </c>
    </row>
    <row r="3546" ht="15.75" customHeight="1">
      <c r="A3546" s="2" t="s">
        <v>7443</v>
      </c>
      <c r="B3546" s="2" t="s">
        <v>7444</v>
      </c>
      <c r="C3546" s="2" t="s">
        <v>4661</v>
      </c>
      <c r="D3546" s="2" t="s">
        <v>1066</v>
      </c>
      <c r="E3546" s="2" t="s">
        <v>1069</v>
      </c>
      <c r="F3546" s="2">
        <v>277.0</v>
      </c>
      <c r="G3546" s="2">
        <v>5.27</v>
      </c>
      <c r="H3546" s="2">
        <v>52.6</v>
      </c>
      <c r="I3546" s="2" t="s">
        <v>47</v>
      </c>
    </row>
    <row r="3547" ht="15.75" customHeight="1">
      <c r="A3547" s="2" t="s">
        <v>5150</v>
      </c>
      <c r="B3547" s="2" t="s">
        <v>5151</v>
      </c>
      <c r="C3547" s="2" t="s">
        <v>4661</v>
      </c>
      <c r="D3547" s="2" t="s">
        <v>1009</v>
      </c>
      <c r="E3547" s="2" t="s">
        <v>1010</v>
      </c>
      <c r="F3547" s="2">
        <v>1047.0</v>
      </c>
      <c r="G3547" s="2">
        <v>16.53</v>
      </c>
      <c r="H3547" s="2">
        <v>63.3</v>
      </c>
      <c r="I3547" s="2" t="s">
        <v>27</v>
      </c>
    </row>
    <row r="3548" ht="15.75" customHeight="1">
      <c r="A3548" s="2" t="s">
        <v>5152</v>
      </c>
      <c r="B3548" s="2" t="s">
        <v>5153</v>
      </c>
      <c r="C3548" s="2" t="s">
        <v>4661</v>
      </c>
      <c r="D3548" s="2" t="s">
        <v>869</v>
      </c>
      <c r="E3548" s="2" t="s">
        <v>870</v>
      </c>
      <c r="F3548" s="2">
        <v>2284.0</v>
      </c>
      <c r="G3548" s="2">
        <v>7.8</v>
      </c>
      <c r="H3548" s="2">
        <v>292.8</v>
      </c>
      <c r="I3548" s="2" t="s">
        <v>138</v>
      </c>
    </row>
    <row r="3549" ht="15.75" customHeight="1">
      <c r="A3549" s="2" t="s">
        <v>7445</v>
      </c>
      <c r="B3549" s="2" t="s">
        <v>7446</v>
      </c>
      <c r="C3549" s="2" t="s">
        <v>4661</v>
      </c>
      <c r="D3549" s="2" t="s">
        <v>1066</v>
      </c>
      <c r="E3549" s="2" t="s">
        <v>1069</v>
      </c>
      <c r="F3549" s="2">
        <v>174.0</v>
      </c>
      <c r="G3549" s="2">
        <v>4.79</v>
      </c>
      <c r="H3549" s="2">
        <v>36.3</v>
      </c>
      <c r="I3549" s="2" t="s">
        <v>47</v>
      </c>
    </row>
    <row r="3550" ht="15.75" customHeight="1">
      <c r="A3550" s="2" t="s">
        <v>7447</v>
      </c>
      <c r="B3550" s="2" t="s">
        <v>7448</v>
      </c>
      <c r="C3550" s="2" t="s">
        <v>4661</v>
      </c>
      <c r="D3550" s="2" t="s">
        <v>1066</v>
      </c>
      <c r="E3550" s="2" t="s">
        <v>1069</v>
      </c>
      <c r="F3550" s="2">
        <v>89.0</v>
      </c>
      <c r="G3550" s="2">
        <v>2.04</v>
      </c>
      <c r="H3550" s="2">
        <v>43.6</v>
      </c>
      <c r="I3550" s="2" t="s">
        <v>47</v>
      </c>
    </row>
    <row r="3551" ht="15.75" customHeight="1">
      <c r="A3551" s="2" t="s">
        <v>7449</v>
      </c>
      <c r="B3551" s="2" t="s">
        <v>7450</v>
      </c>
      <c r="C3551" s="2" t="s">
        <v>4661</v>
      </c>
      <c r="D3551" s="2" t="s">
        <v>796</v>
      </c>
      <c r="E3551" s="2" t="s">
        <v>797</v>
      </c>
      <c r="F3551" s="2">
        <v>368.0</v>
      </c>
      <c r="G3551" s="2">
        <v>4.46</v>
      </c>
      <c r="H3551" s="2">
        <v>82.5</v>
      </c>
      <c r="I3551" s="2" t="s">
        <v>47</v>
      </c>
    </row>
    <row r="3552" ht="15.75" customHeight="1">
      <c r="A3552" s="2" t="s">
        <v>5156</v>
      </c>
      <c r="B3552" s="2" t="s">
        <v>5157</v>
      </c>
      <c r="C3552" s="2" t="s">
        <v>4661</v>
      </c>
      <c r="D3552" s="2" t="s">
        <v>1051</v>
      </c>
      <c r="E3552" s="2" t="s">
        <v>1053</v>
      </c>
      <c r="F3552" s="2">
        <v>334.0</v>
      </c>
      <c r="G3552" s="2">
        <v>7.69</v>
      </c>
      <c r="H3552" s="2">
        <v>43.4</v>
      </c>
      <c r="I3552" s="2" t="s">
        <v>47</v>
      </c>
    </row>
    <row r="3553" ht="15.75" customHeight="1">
      <c r="A3553" s="2" t="s">
        <v>7451</v>
      </c>
      <c r="B3553" s="2" t="s">
        <v>7452</v>
      </c>
      <c r="C3553" s="2" t="s">
        <v>4661</v>
      </c>
      <c r="D3553" s="2" t="s">
        <v>1051</v>
      </c>
      <c r="E3553" s="2" t="s">
        <v>1053</v>
      </c>
      <c r="F3553" s="2">
        <v>106.0</v>
      </c>
      <c r="G3553" s="2">
        <v>4.89</v>
      </c>
      <c r="H3553" s="2">
        <v>21.7</v>
      </c>
      <c r="I3553" s="2" t="s">
        <v>47</v>
      </c>
    </row>
    <row r="3554" ht="15.75" customHeight="1">
      <c r="A3554" s="2" t="s">
        <v>5160</v>
      </c>
      <c r="B3554" s="2" t="s">
        <v>5161</v>
      </c>
      <c r="C3554" s="2" t="s">
        <v>4661</v>
      </c>
      <c r="D3554" s="2" t="s">
        <v>1066</v>
      </c>
      <c r="E3554" s="2" t="s">
        <v>1069</v>
      </c>
      <c r="F3554" s="2">
        <v>509.0</v>
      </c>
      <c r="G3554" s="2">
        <v>8.65</v>
      </c>
      <c r="H3554" s="2">
        <v>58.8</v>
      </c>
      <c r="I3554" s="2" t="s">
        <v>27</v>
      </c>
    </row>
    <row r="3555" ht="15.75" customHeight="1">
      <c r="A3555" s="2" t="s">
        <v>7453</v>
      </c>
      <c r="B3555" s="2" t="s">
        <v>7454</v>
      </c>
      <c r="C3555" s="2" t="s">
        <v>4661</v>
      </c>
      <c r="D3555" s="2" t="s">
        <v>1066</v>
      </c>
      <c r="E3555" s="2" t="s">
        <v>1069</v>
      </c>
      <c r="F3555" s="2">
        <v>144.0</v>
      </c>
      <c r="G3555" s="2">
        <v>2.95</v>
      </c>
      <c r="H3555" s="2">
        <v>48.8</v>
      </c>
      <c r="I3555" s="2" t="s">
        <v>47</v>
      </c>
    </row>
    <row r="3556" ht="15.75" customHeight="1">
      <c r="A3556" s="2" t="s">
        <v>5163</v>
      </c>
      <c r="B3556" s="2" t="s">
        <v>2069</v>
      </c>
      <c r="C3556" s="2" t="s">
        <v>4661</v>
      </c>
      <c r="D3556" s="2" t="s">
        <v>1009</v>
      </c>
      <c r="E3556" s="2" t="s">
        <v>1010</v>
      </c>
      <c r="F3556" s="2">
        <v>212.0</v>
      </c>
      <c r="G3556" s="2">
        <v>3.16</v>
      </c>
      <c r="H3556" s="2">
        <v>67.1</v>
      </c>
      <c r="I3556" s="2" t="s">
        <v>47</v>
      </c>
    </row>
    <row r="3557" ht="15.75" customHeight="1">
      <c r="A3557" s="2" t="s">
        <v>7457</v>
      </c>
      <c r="B3557" s="2" t="s">
        <v>7458</v>
      </c>
      <c r="C3557" s="2" t="s">
        <v>4661</v>
      </c>
      <c r="D3557" s="2" t="s">
        <v>1022</v>
      </c>
      <c r="E3557" s="2" t="s">
        <v>1025</v>
      </c>
      <c r="F3557" s="2">
        <v>828.0</v>
      </c>
      <c r="G3557" s="2">
        <v>12.53</v>
      </c>
      <c r="H3557" s="2">
        <v>66.1</v>
      </c>
      <c r="I3557" s="2" t="s">
        <v>27</v>
      </c>
    </row>
    <row r="3558" ht="15.75" customHeight="1">
      <c r="A3558" s="2" t="s">
        <v>5165</v>
      </c>
      <c r="B3558" s="2" t="s">
        <v>5166</v>
      </c>
      <c r="C3558" s="2" t="s">
        <v>4661</v>
      </c>
      <c r="D3558" s="2" t="s">
        <v>1051</v>
      </c>
      <c r="E3558" s="2" t="s">
        <v>1053</v>
      </c>
      <c r="F3558" s="2">
        <v>1196.0</v>
      </c>
      <c r="G3558" s="2">
        <v>15.79</v>
      </c>
      <c r="H3558" s="2">
        <v>75.7</v>
      </c>
      <c r="I3558" s="2" t="s">
        <v>27</v>
      </c>
    </row>
    <row r="3559" ht="15.75" customHeight="1">
      <c r="A3559" s="2" t="s">
        <v>7459</v>
      </c>
      <c r="B3559" s="2" t="s">
        <v>7460</v>
      </c>
      <c r="C3559" s="2" t="s">
        <v>4661</v>
      </c>
      <c r="D3559" s="2" t="s">
        <v>1051</v>
      </c>
      <c r="E3559" s="2" t="s">
        <v>1053</v>
      </c>
      <c r="F3559" s="2">
        <v>242.0</v>
      </c>
      <c r="G3559" s="2">
        <v>10.53</v>
      </c>
      <c r="H3559" s="2">
        <v>23.0</v>
      </c>
      <c r="I3559" s="2" t="s">
        <v>47</v>
      </c>
    </row>
    <row r="3560" ht="15.75" customHeight="1">
      <c r="A3560" s="2" t="s">
        <v>5167</v>
      </c>
      <c r="B3560" s="2" t="s">
        <v>5168</v>
      </c>
      <c r="C3560" s="2" t="s">
        <v>4661</v>
      </c>
      <c r="D3560" s="2" t="s">
        <v>1051</v>
      </c>
      <c r="E3560" s="2" t="s">
        <v>1053</v>
      </c>
      <c r="F3560" s="2">
        <v>636.0</v>
      </c>
      <c r="G3560" s="2">
        <v>19.62</v>
      </c>
      <c r="H3560" s="2">
        <v>32.4</v>
      </c>
      <c r="I3560" s="2" t="s">
        <v>27</v>
      </c>
    </row>
    <row r="3561" ht="15.75" customHeight="1">
      <c r="A3561" s="2" t="s">
        <v>5170</v>
      </c>
      <c r="B3561" s="2" t="s">
        <v>5172</v>
      </c>
      <c r="C3561" s="2" t="s">
        <v>4661</v>
      </c>
      <c r="D3561" s="2" t="s">
        <v>880</v>
      </c>
      <c r="E3561" s="2" t="s">
        <v>881</v>
      </c>
      <c r="F3561" s="2">
        <v>373.0</v>
      </c>
      <c r="G3561" s="2">
        <v>6.73</v>
      </c>
      <c r="H3561" s="2">
        <v>55.4</v>
      </c>
      <c r="I3561" s="2" t="s">
        <v>47</v>
      </c>
    </row>
    <row r="3562" ht="15.75" customHeight="1">
      <c r="A3562" s="2" t="s">
        <v>7461</v>
      </c>
      <c r="B3562" s="2" t="s">
        <v>7462</v>
      </c>
      <c r="C3562" s="2" t="s">
        <v>4661</v>
      </c>
      <c r="D3562" s="2" t="s">
        <v>1009</v>
      </c>
      <c r="E3562" s="2" t="s">
        <v>1010</v>
      </c>
      <c r="F3562" s="2">
        <v>121.0</v>
      </c>
      <c r="G3562" s="2">
        <v>7.09</v>
      </c>
      <c r="H3562" s="2">
        <v>17.1</v>
      </c>
      <c r="I3562" s="2" t="s">
        <v>47</v>
      </c>
    </row>
    <row r="3563" ht="15.75" customHeight="1">
      <c r="A3563" s="2" t="s">
        <v>7463</v>
      </c>
      <c r="B3563" s="2" t="s">
        <v>7464</v>
      </c>
      <c r="C3563" s="2" t="s">
        <v>4661</v>
      </c>
      <c r="D3563" s="2" t="s">
        <v>1022</v>
      </c>
      <c r="E3563" s="2" t="s">
        <v>1025</v>
      </c>
      <c r="F3563" s="2">
        <v>322.0</v>
      </c>
      <c r="G3563" s="2">
        <v>3.99</v>
      </c>
      <c r="H3563" s="2">
        <v>80.7</v>
      </c>
      <c r="I3563" s="2" t="s">
        <v>47</v>
      </c>
    </row>
    <row r="3564" ht="15.75" customHeight="1">
      <c r="A3564" s="2" t="s">
        <v>7465</v>
      </c>
      <c r="B3564" s="2" t="s">
        <v>7466</v>
      </c>
      <c r="C3564" s="2" t="s">
        <v>4661</v>
      </c>
      <c r="D3564" s="2" t="s">
        <v>1066</v>
      </c>
      <c r="E3564" s="2" t="s">
        <v>1069</v>
      </c>
      <c r="F3564" s="2">
        <v>83.0</v>
      </c>
      <c r="G3564" s="2">
        <v>4.5</v>
      </c>
      <c r="H3564" s="2">
        <v>18.4</v>
      </c>
      <c r="I3564" s="2" t="s">
        <v>47</v>
      </c>
    </row>
    <row r="3565" ht="15.75" customHeight="1">
      <c r="A3565" s="2" t="s">
        <v>7467</v>
      </c>
      <c r="B3565" s="2" t="s">
        <v>5624</v>
      </c>
      <c r="C3565" s="2" t="s">
        <v>4661</v>
      </c>
      <c r="D3565" s="2" t="s">
        <v>869</v>
      </c>
      <c r="E3565" s="2" t="s">
        <v>870</v>
      </c>
      <c r="F3565" s="2">
        <v>196.0</v>
      </c>
      <c r="G3565" s="2">
        <v>7.15</v>
      </c>
      <c r="H3565" s="2">
        <v>27.4</v>
      </c>
      <c r="I3565" s="2" t="s">
        <v>47</v>
      </c>
    </row>
    <row r="3566" ht="15.75" customHeight="1">
      <c r="A3566" s="2" t="s">
        <v>5173</v>
      </c>
      <c r="B3566" s="2" t="s">
        <v>5174</v>
      </c>
      <c r="C3566" s="2" t="s">
        <v>4661</v>
      </c>
      <c r="D3566" s="2" t="s">
        <v>1066</v>
      </c>
      <c r="E3566" s="2" t="s">
        <v>1069</v>
      </c>
      <c r="F3566" s="2">
        <v>1127.0</v>
      </c>
      <c r="G3566" s="2">
        <v>8.09</v>
      </c>
      <c r="H3566" s="2">
        <v>139.3</v>
      </c>
      <c r="I3566" s="2" t="s">
        <v>27</v>
      </c>
    </row>
    <row r="3567" ht="15.75" customHeight="1">
      <c r="A3567" s="2" t="s">
        <v>7468</v>
      </c>
      <c r="B3567" s="2" t="s">
        <v>7469</v>
      </c>
      <c r="C3567" s="2" t="s">
        <v>4661</v>
      </c>
      <c r="D3567" s="2" t="s">
        <v>1066</v>
      </c>
      <c r="E3567" s="2" t="s">
        <v>1069</v>
      </c>
      <c r="F3567" s="2">
        <v>206.0</v>
      </c>
      <c r="G3567" s="2">
        <v>5.56</v>
      </c>
      <c r="H3567" s="2">
        <v>37.1</v>
      </c>
      <c r="I3567" s="2" t="s">
        <v>47</v>
      </c>
    </row>
    <row r="3568" ht="15.75" customHeight="1">
      <c r="A3568" s="2" t="s">
        <v>7470</v>
      </c>
      <c r="B3568" s="2" t="s">
        <v>7471</v>
      </c>
      <c r="C3568" s="2" t="s">
        <v>4661</v>
      </c>
      <c r="D3568" s="2" t="s">
        <v>1051</v>
      </c>
      <c r="E3568" s="2" t="s">
        <v>1053</v>
      </c>
      <c r="F3568" s="2">
        <v>434.0</v>
      </c>
      <c r="G3568" s="2">
        <v>12.44</v>
      </c>
      <c r="H3568" s="2">
        <v>34.9</v>
      </c>
      <c r="I3568" s="2" t="s">
        <v>47</v>
      </c>
    </row>
    <row r="3569" ht="15.75" customHeight="1">
      <c r="A3569" s="2" t="s">
        <v>5175</v>
      </c>
      <c r="B3569" s="2" t="s">
        <v>5176</v>
      </c>
      <c r="C3569" s="2" t="s">
        <v>4661</v>
      </c>
      <c r="D3569" s="2" t="s">
        <v>1066</v>
      </c>
      <c r="E3569" s="2" t="s">
        <v>1069</v>
      </c>
      <c r="F3569" s="2">
        <v>998.0</v>
      </c>
      <c r="G3569" s="2">
        <v>11.04</v>
      </c>
      <c r="H3569" s="2">
        <v>90.4</v>
      </c>
      <c r="I3569" s="2" t="s">
        <v>27</v>
      </c>
    </row>
    <row r="3570" ht="15.75" customHeight="1">
      <c r="A3570" s="2" t="s">
        <v>7472</v>
      </c>
      <c r="B3570" s="2" t="s">
        <v>7473</v>
      </c>
      <c r="C3570" s="2" t="s">
        <v>4661</v>
      </c>
      <c r="D3570" s="2" t="s">
        <v>936</v>
      </c>
      <c r="E3570" s="2" t="s">
        <v>937</v>
      </c>
      <c r="F3570" s="2">
        <v>608.0</v>
      </c>
      <c r="G3570" s="2">
        <v>5.88</v>
      </c>
      <c r="H3570" s="2">
        <v>103.4</v>
      </c>
      <c r="I3570" s="2" t="s">
        <v>27</v>
      </c>
    </row>
    <row r="3571" ht="15.75" customHeight="1">
      <c r="A3571" s="2" t="s">
        <v>7474</v>
      </c>
      <c r="B3571" s="2" t="s">
        <v>7475</v>
      </c>
      <c r="C3571" s="2" t="s">
        <v>4661</v>
      </c>
      <c r="D3571" s="2" t="s">
        <v>1009</v>
      </c>
      <c r="E3571" s="2" t="s">
        <v>1010</v>
      </c>
      <c r="F3571" s="2">
        <v>313.0</v>
      </c>
      <c r="G3571" s="2">
        <v>9.57</v>
      </c>
      <c r="H3571" s="2">
        <v>32.7</v>
      </c>
      <c r="I3571" s="2" t="s">
        <v>47</v>
      </c>
    </row>
    <row r="3572" ht="15.75" customHeight="1">
      <c r="A3572" s="2" t="s">
        <v>7476</v>
      </c>
      <c r="B3572" s="2" t="s">
        <v>7477</v>
      </c>
      <c r="C3572" s="2" t="s">
        <v>4661</v>
      </c>
      <c r="D3572" s="2" t="s">
        <v>980</v>
      </c>
      <c r="E3572" s="2" t="s">
        <v>981</v>
      </c>
      <c r="F3572" s="2">
        <v>431.0</v>
      </c>
      <c r="G3572" s="2">
        <v>9.6</v>
      </c>
      <c r="H3572" s="2">
        <v>44.9</v>
      </c>
      <c r="I3572" s="2" t="s">
        <v>47</v>
      </c>
    </row>
    <row r="3573" ht="15.75" customHeight="1">
      <c r="A3573" s="2" t="s">
        <v>7478</v>
      </c>
      <c r="B3573" s="2" t="s">
        <v>7479</v>
      </c>
      <c r="C3573" s="2" t="s">
        <v>4661</v>
      </c>
      <c r="D3573" s="2" t="s">
        <v>869</v>
      </c>
      <c r="E3573" s="2" t="s">
        <v>870</v>
      </c>
      <c r="F3573" s="2">
        <v>198.0</v>
      </c>
      <c r="G3573" s="2">
        <v>3.71</v>
      </c>
      <c r="H3573" s="2">
        <v>53.4</v>
      </c>
      <c r="I3573" s="2" t="s">
        <v>47</v>
      </c>
    </row>
    <row r="3574" ht="15.75" customHeight="1">
      <c r="A3574" s="2" t="s">
        <v>7480</v>
      </c>
      <c r="B3574" s="2" t="s">
        <v>7481</v>
      </c>
      <c r="C3574" s="2" t="s">
        <v>4661</v>
      </c>
      <c r="D3574" s="2" t="s">
        <v>1071</v>
      </c>
      <c r="E3574" s="2" t="s">
        <v>1075</v>
      </c>
      <c r="F3574" s="2">
        <v>244.0</v>
      </c>
      <c r="G3574" s="2">
        <v>9.57</v>
      </c>
      <c r="H3574" s="2">
        <v>25.5</v>
      </c>
      <c r="I3574" s="2" t="s">
        <v>47</v>
      </c>
    </row>
    <row r="3575" ht="15.75" customHeight="1">
      <c r="A3575" s="2" t="s">
        <v>5178</v>
      </c>
      <c r="B3575" s="2" t="s">
        <v>5180</v>
      </c>
      <c r="C3575" s="2" t="s">
        <v>4661</v>
      </c>
      <c r="D3575" s="2" t="s">
        <v>796</v>
      </c>
      <c r="E3575" s="2" t="s">
        <v>797</v>
      </c>
      <c r="F3575" s="2">
        <v>1025.0</v>
      </c>
      <c r="G3575" s="2">
        <v>16.09</v>
      </c>
      <c r="H3575" s="2">
        <v>63.7</v>
      </c>
      <c r="I3575" s="2" t="s">
        <v>27</v>
      </c>
    </row>
    <row r="3576" ht="15.75" customHeight="1">
      <c r="A3576" s="2" t="s">
        <v>5181</v>
      </c>
      <c r="B3576" s="2" t="s">
        <v>5182</v>
      </c>
      <c r="C3576" s="2" t="s">
        <v>4661</v>
      </c>
      <c r="D3576" s="2" t="s">
        <v>1035</v>
      </c>
      <c r="E3576" s="2" t="s">
        <v>1037</v>
      </c>
      <c r="F3576" s="2">
        <v>686.0</v>
      </c>
      <c r="G3576" s="2">
        <v>8.85</v>
      </c>
      <c r="H3576" s="2">
        <v>77.5</v>
      </c>
      <c r="I3576" s="2" t="s">
        <v>27</v>
      </c>
    </row>
    <row r="3577" ht="15.75" customHeight="1">
      <c r="A3577" s="2" t="s">
        <v>5183</v>
      </c>
      <c r="B3577" s="2" t="s">
        <v>5184</v>
      </c>
      <c r="C3577" s="2" t="s">
        <v>4661</v>
      </c>
      <c r="D3577" s="2" t="s">
        <v>1035</v>
      </c>
      <c r="E3577" s="2" t="s">
        <v>1037</v>
      </c>
      <c r="F3577" s="2">
        <v>1273.0</v>
      </c>
      <c r="G3577" s="2">
        <v>10.29</v>
      </c>
      <c r="H3577" s="2">
        <v>123.7</v>
      </c>
      <c r="I3577" s="2" t="s">
        <v>27</v>
      </c>
    </row>
    <row r="3578" ht="15.75" customHeight="1">
      <c r="A3578" s="2" t="s">
        <v>7482</v>
      </c>
      <c r="B3578" s="2" t="s">
        <v>7483</v>
      </c>
      <c r="C3578" s="2" t="s">
        <v>4661</v>
      </c>
      <c r="D3578" s="2" t="s">
        <v>948</v>
      </c>
      <c r="E3578" s="2" t="s">
        <v>950</v>
      </c>
      <c r="F3578" s="2">
        <v>391.0</v>
      </c>
      <c r="G3578" s="2">
        <v>12.28</v>
      </c>
      <c r="H3578" s="2">
        <v>31.8</v>
      </c>
      <c r="I3578" s="2" t="s">
        <v>47</v>
      </c>
    </row>
    <row r="3579" ht="15.75" customHeight="1">
      <c r="A3579" s="2" t="s">
        <v>7484</v>
      </c>
      <c r="B3579" s="2" t="s">
        <v>7485</v>
      </c>
      <c r="C3579" s="2" t="s">
        <v>4661</v>
      </c>
      <c r="D3579" s="2" t="s">
        <v>1009</v>
      </c>
      <c r="E3579" s="2" t="s">
        <v>1010</v>
      </c>
      <c r="F3579" s="2">
        <v>280.0</v>
      </c>
      <c r="G3579" s="2">
        <v>2.5</v>
      </c>
      <c r="H3579" s="2">
        <v>112.0</v>
      </c>
      <c r="I3579" s="2" t="s">
        <v>47</v>
      </c>
    </row>
    <row r="3580" ht="15.75" customHeight="1">
      <c r="A3580" s="2" t="s">
        <v>7486</v>
      </c>
      <c r="B3580" s="2" t="s">
        <v>7487</v>
      </c>
      <c r="C3580" s="2" t="s">
        <v>4661</v>
      </c>
      <c r="D3580" s="2" t="s">
        <v>774</v>
      </c>
      <c r="E3580" s="2" t="s">
        <v>775</v>
      </c>
      <c r="F3580" s="2">
        <v>284.0</v>
      </c>
      <c r="G3580" s="2">
        <v>6.69</v>
      </c>
      <c r="H3580" s="2">
        <v>42.5</v>
      </c>
      <c r="I3580" s="2" t="s">
        <v>47</v>
      </c>
    </row>
    <row r="3581" ht="15.75" customHeight="1">
      <c r="A3581" s="2" t="s">
        <v>5186</v>
      </c>
      <c r="B3581" s="2" t="s">
        <v>5187</v>
      </c>
      <c r="C3581" s="2" t="s">
        <v>4661</v>
      </c>
      <c r="D3581" s="2" t="s">
        <v>1066</v>
      </c>
      <c r="E3581" s="2" t="s">
        <v>1069</v>
      </c>
      <c r="F3581" s="2">
        <v>897.0</v>
      </c>
      <c r="G3581" s="2">
        <v>10.17</v>
      </c>
      <c r="H3581" s="2">
        <v>88.2</v>
      </c>
      <c r="I3581" s="2" t="s">
        <v>27</v>
      </c>
    </row>
    <row r="3582" ht="15.75" customHeight="1">
      <c r="A3582" s="2" t="s">
        <v>5189</v>
      </c>
      <c r="B3582" s="2" t="s">
        <v>5190</v>
      </c>
      <c r="C3582" s="2" t="s">
        <v>4661</v>
      </c>
      <c r="D3582" s="2" t="s">
        <v>1066</v>
      </c>
      <c r="E3582" s="2" t="s">
        <v>1069</v>
      </c>
      <c r="F3582" s="2">
        <v>2282.0</v>
      </c>
      <c r="G3582" s="2">
        <v>11.67</v>
      </c>
      <c r="H3582" s="2">
        <v>195.5</v>
      </c>
      <c r="I3582" s="2" t="s">
        <v>138</v>
      </c>
    </row>
    <row r="3583" ht="15.75" customHeight="1">
      <c r="A3583" s="2" t="s">
        <v>7490</v>
      </c>
      <c r="B3583" s="2" t="s">
        <v>7491</v>
      </c>
      <c r="C3583" s="2" t="s">
        <v>4661</v>
      </c>
      <c r="D3583" s="2" t="s">
        <v>1051</v>
      </c>
      <c r="E3583" s="2" t="s">
        <v>1053</v>
      </c>
      <c r="F3583" s="2">
        <v>127.0</v>
      </c>
      <c r="G3583" s="2">
        <v>7.13</v>
      </c>
      <c r="H3583" s="2">
        <v>17.8</v>
      </c>
      <c r="I3583" s="2" t="s">
        <v>47</v>
      </c>
    </row>
    <row r="3584" ht="15.75" customHeight="1">
      <c r="A3584" s="2" t="s">
        <v>7494</v>
      </c>
      <c r="B3584" s="2" t="s">
        <v>7495</v>
      </c>
      <c r="C3584" s="2" t="s">
        <v>4661</v>
      </c>
      <c r="D3584" s="2" t="s">
        <v>1016</v>
      </c>
      <c r="E3584" s="2" t="s">
        <v>1017</v>
      </c>
      <c r="F3584" s="2">
        <v>826.0</v>
      </c>
      <c r="G3584" s="2">
        <v>8.62</v>
      </c>
      <c r="H3584" s="2">
        <v>95.8</v>
      </c>
      <c r="I3584" s="2" t="s">
        <v>27</v>
      </c>
    </row>
    <row r="3585" ht="15.75" customHeight="1">
      <c r="A3585" s="2" t="s">
        <v>5191</v>
      </c>
      <c r="B3585" s="2" t="s">
        <v>5192</v>
      </c>
      <c r="C3585" s="2" t="s">
        <v>4661</v>
      </c>
      <c r="D3585" s="2" t="s">
        <v>1051</v>
      </c>
      <c r="E3585" s="2" t="s">
        <v>1053</v>
      </c>
      <c r="F3585" s="2">
        <v>1438.0</v>
      </c>
      <c r="G3585" s="2">
        <v>10.0</v>
      </c>
      <c r="H3585" s="2">
        <v>143.8</v>
      </c>
      <c r="I3585" s="2" t="s">
        <v>27</v>
      </c>
    </row>
    <row r="3586" ht="15.75" customHeight="1">
      <c r="A3586" s="2" t="s">
        <v>5193</v>
      </c>
      <c r="B3586" s="2" t="s">
        <v>5194</v>
      </c>
      <c r="C3586" s="2" t="s">
        <v>4661</v>
      </c>
      <c r="D3586" s="2" t="s">
        <v>774</v>
      </c>
      <c r="E3586" s="2" t="s">
        <v>775</v>
      </c>
      <c r="F3586" s="2">
        <v>2425.0</v>
      </c>
      <c r="G3586" s="2">
        <v>7.78</v>
      </c>
      <c r="H3586" s="2">
        <v>311.7</v>
      </c>
      <c r="I3586" s="2" t="s">
        <v>138</v>
      </c>
    </row>
    <row r="3587" ht="15.75" customHeight="1">
      <c r="A3587" s="2" t="s">
        <v>7492</v>
      </c>
      <c r="B3587" s="2" t="s">
        <v>7493</v>
      </c>
      <c r="C3587" s="2" t="s">
        <v>4661</v>
      </c>
      <c r="D3587" s="2" t="s">
        <v>1051</v>
      </c>
      <c r="E3587" s="2" t="s">
        <v>1053</v>
      </c>
      <c r="F3587" s="2">
        <v>563.0</v>
      </c>
      <c r="G3587" s="2">
        <v>17.95</v>
      </c>
      <c r="H3587" s="2">
        <v>31.4</v>
      </c>
      <c r="I3587" s="2" t="s">
        <v>27</v>
      </c>
    </row>
    <row r="3588" ht="15.75" customHeight="1">
      <c r="A3588" s="2" t="s">
        <v>7496</v>
      </c>
      <c r="B3588" s="2" t="s">
        <v>7497</v>
      </c>
      <c r="C3588" s="2" t="s">
        <v>4661</v>
      </c>
      <c r="D3588" s="2" t="s">
        <v>1051</v>
      </c>
      <c r="E3588" s="2" t="s">
        <v>1053</v>
      </c>
      <c r="F3588" s="2">
        <v>268.0</v>
      </c>
      <c r="G3588" s="2">
        <v>11.32</v>
      </c>
      <c r="H3588" s="2">
        <v>23.7</v>
      </c>
      <c r="I3588" s="2" t="s">
        <v>47</v>
      </c>
    </row>
    <row r="3589" ht="15.75" customHeight="1">
      <c r="A3589" s="2" t="s">
        <v>7498</v>
      </c>
      <c r="B3589" s="2" t="s">
        <v>7499</v>
      </c>
      <c r="C3589" s="2" t="s">
        <v>4661</v>
      </c>
      <c r="D3589" s="2" t="s">
        <v>869</v>
      </c>
      <c r="E3589" s="2" t="s">
        <v>870</v>
      </c>
      <c r="F3589" s="2">
        <v>111.0</v>
      </c>
      <c r="G3589" s="2">
        <v>3.29</v>
      </c>
      <c r="H3589" s="2">
        <v>33.7</v>
      </c>
      <c r="I3589" s="2" t="s">
        <v>47</v>
      </c>
    </row>
    <row r="3590" ht="15.75" customHeight="1">
      <c r="A3590" s="2" t="s">
        <v>5195</v>
      </c>
      <c r="B3590" s="2" t="s">
        <v>5196</v>
      </c>
      <c r="C3590" s="2" t="s">
        <v>4661</v>
      </c>
      <c r="D3590" s="2" t="s">
        <v>774</v>
      </c>
      <c r="E3590" s="2" t="s">
        <v>775</v>
      </c>
      <c r="F3590" s="2">
        <v>1335.0</v>
      </c>
      <c r="G3590" s="2">
        <v>12.54</v>
      </c>
      <c r="H3590" s="2">
        <v>106.5</v>
      </c>
      <c r="I3590" s="2" t="s">
        <v>27</v>
      </c>
    </row>
    <row r="3591" ht="15.75" customHeight="1">
      <c r="A3591" s="2" t="s">
        <v>7500</v>
      </c>
      <c r="B3591" s="2" t="s">
        <v>7501</v>
      </c>
      <c r="C3591" s="2" t="s">
        <v>4661</v>
      </c>
      <c r="D3591" s="2" t="s">
        <v>980</v>
      </c>
      <c r="E3591" s="2" t="s">
        <v>981</v>
      </c>
      <c r="F3591" s="2">
        <v>263.0</v>
      </c>
      <c r="G3591" s="2">
        <v>3.25</v>
      </c>
      <c r="H3591" s="2">
        <v>80.9</v>
      </c>
      <c r="I3591" s="2" t="s">
        <v>47</v>
      </c>
    </row>
    <row r="3592" ht="15.75" customHeight="1">
      <c r="A3592" s="2" t="s">
        <v>7502</v>
      </c>
      <c r="B3592" s="2" t="s">
        <v>7503</v>
      </c>
      <c r="C3592" s="2" t="s">
        <v>4661</v>
      </c>
      <c r="D3592" s="2" t="s">
        <v>1009</v>
      </c>
      <c r="E3592" s="2" t="s">
        <v>1010</v>
      </c>
      <c r="F3592" s="2">
        <v>304.0</v>
      </c>
      <c r="G3592" s="2">
        <v>8.8</v>
      </c>
      <c r="H3592" s="2">
        <v>34.5</v>
      </c>
      <c r="I3592" s="2" t="s">
        <v>47</v>
      </c>
    </row>
    <row r="3593" ht="15.75" customHeight="1">
      <c r="A3593" s="2" t="s">
        <v>7504</v>
      </c>
      <c r="B3593" s="2" t="s">
        <v>7505</v>
      </c>
      <c r="C3593" s="2" t="s">
        <v>4661</v>
      </c>
      <c r="D3593" s="2" t="s">
        <v>1066</v>
      </c>
      <c r="E3593" s="2" t="s">
        <v>1069</v>
      </c>
      <c r="F3593" s="2">
        <v>572.0</v>
      </c>
      <c r="G3593" s="2">
        <v>5.23</v>
      </c>
      <c r="H3593" s="2">
        <v>109.4</v>
      </c>
      <c r="I3593" s="2" t="s">
        <v>27</v>
      </c>
    </row>
    <row r="3594" ht="15.75" customHeight="1">
      <c r="A3594" s="2" t="s">
        <v>5197</v>
      </c>
      <c r="B3594" s="2" t="s">
        <v>5198</v>
      </c>
      <c r="C3594" s="2" t="s">
        <v>4661</v>
      </c>
      <c r="D3594" s="2" t="s">
        <v>1071</v>
      </c>
      <c r="E3594" s="2" t="s">
        <v>1075</v>
      </c>
      <c r="F3594" s="2">
        <v>761.0</v>
      </c>
      <c r="G3594" s="2">
        <v>9.87</v>
      </c>
      <c r="H3594" s="2">
        <v>77.1</v>
      </c>
      <c r="I3594" s="2" t="s">
        <v>27</v>
      </c>
    </row>
    <row r="3595" ht="15.75" customHeight="1">
      <c r="A3595" s="2" t="s">
        <v>5199</v>
      </c>
      <c r="B3595" s="2" t="s">
        <v>5200</v>
      </c>
      <c r="C3595" s="2" t="s">
        <v>4661</v>
      </c>
      <c r="D3595" s="2" t="s">
        <v>980</v>
      </c>
      <c r="E3595" s="2" t="s">
        <v>981</v>
      </c>
      <c r="F3595" s="2">
        <v>572.0</v>
      </c>
      <c r="G3595" s="2">
        <v>14.38</v>
      </c>
      <c r="H3595" s="2">
        <v>39.8</v>
      </c>
      <c r="I3595" s="2" t="s">
        <v>27</v>
      </c>
    </row>
    <row r="3596" ht="15.75" customHeight="1">
      <c r="A3596" s="2" t="s">
        <v>7506</v>
      </c>
      <c r="B3596" s="2" t="s">
        <v>7507</v>
      </c>
      <c r="C3596" s="2" t="s">
        <v>4661</v>
      </c>
      <c r="D3596" s="2" t="s">
        <v>1071</v>
      </c>
      <c r="E3596" s="2" t="s">
        <v>1075</v>
      </c>
      <c r="F3596" s="2">
        <v>79.0</v>
      </c>
      <c r="G3596" s="2">
        <v>3.06</v>
      </c>
      <c r="H3596" s="2">
        <v>25.8</v>
      </c>
      <c r="I3596" s="2" t="s">
        <v>47</v>
      </c>
    </row>
    <row r="3597" ht="15.75" customHeight="1">
      <c r="A3597" s="2" t="s">
        <v>7508</v>
      </c>
      <c r="B3597" s="2" t="s">
        <v>7509</v>
      </c>
      <c r="C3597" s="2" t="s">
        <v>4661</v>
      </c>
      <c r="D3597" s="2" t="s">
        <v>1071</v>
      </c>
      <c r="E3597" s="2" t="s">
        <v>1075</v>
      </c>
      <c r="F3597" s="2">
        <v>278.0</v>
      </c>
      <c r="G3597" s="2">
        <v>3.77</v>
      </c>
      <c r="H3597" s="2">
        <v>73.7</v>
      </c>
      <c r="I3597" s="2" t="s">
        <v>47</v>
      </c>
    </row>
    <row r="3598" ht="15.75" customHeight="1">
      <c r="A3598" s="2" t="s">
        <v>7510</v>
      </c>
      <c r="B3598" s="2" t="s">
        <v>7511</v>
      </c>
      <c r="C3598" s="2" t="s">
        <v>4661</v>
      </c>
      <c r="D3598" s="2" t="s">
        <v>980</v>
      </c>
      <c r="E3598" s="2" t="s">
        <v>981</v>
      </c>
      <c r="F3598" s="2">
        <v>125.0</v>
      </c>
      <c r="G3598" s="2">
        <v>5.06</v>
      </c>
      <c r="H3598" s="2">
        <v>24.7</v>
      </c>
      <c r="I3598" s="2" t="s">
        <v>47</v>
      </c>
    </row>
    <row r="3599" ht="15.75" customHeight="1">
      <c r="A3599" s="2" t="s">
        <v>5201</v>
      </c>
      <c r="B3599" s="2" t="s">
        <v>5202</v>
      </c>
      <c r="C3599" s="2" t="s">
        <v>4661</v>
      </c>
      <c r="D3599" s="2" t="s">
        <v>880</v>
      </c>
      <c r="E3599" s="2" t="s">
        <v>881</v>
      </c>
      <c r="F3599" s="2">
        <v>7090.0</v>
      </c>
      <c r="G3599" s="2">
        <v>14.21</v>
      </c>
      <c r="H3599" s="2">
        <v>498.9</v>
      </c>
      <c r="I3599" s="2" t="s">
        <v>138</v>
      </c>
    </row>
    <row r="3600" ht="15.75" customHeight="1">
      <c r="A3600" s="2" t="s">
        <v>7488</v>
      </c>
      <c r="B3600" s="2" t="s">
        <v>7489</v>
      </c>
      <c r="C3600" s="2" t="s">
        <v>4661</v>
      </c>
      <c r="D3600" s="2" t="s">
        <v>880</v>
      </c>
      <c r="E3600" s="2" t="s">
        <v>881</v>
      </c>
      <c r="F3600" s="2">
        <v>107.0</v>
      </c>
      <c r="G3600" s="2">
        <v>6.22</v>
      </c>
      <c r="H3600" s="2">
        <v>17.2</v>
      </c>
      <c r="I3600" s="2" t="s">
        <v>47</v>
      </c>
    </row>
    <row r="3601" ht="15.75" customHeight="1">
      <c r="A3601" s="2" t="s">
        <v>5205</v>
      </c>
      <c r="B3601" s="2" t="s">
        <v>5206</v>
      </c>
      <c r="C3601" s="2" t="s">
        <v>4661</v>
      </c>
      <c r="D3601" s="2" t="s">
        <v>1051</v>
      </c>
      <c r="E3601" s="2" t="s">
        <v>1053</v>
      </c>
      <c r="F3601" s="2">
        <v>1280.0</v>
      </c>
      <c r="G3601" s="2">
        <v>37.53</v>
      </c>
      <c r="H3601" s="2">
        <v>34.1</v>
      </c>
      <c r="I3601" s="2" t="s">
        <v>27</v>
      </c>
    </row>
    <row r="3602" ht="15.75" customHeight="1">
      <c r="A3602" s="2" t="s">
        <v>7512</v>
      </c>
      <c r="B3602" s="2" t="s">
        <v>7513</v>
      </c>
      <c r="C3602" s="2" t="s">
        <v>4661</v>
      </c>
      <c r="D3602" s="2" t="s">
        <v>774</v>
      </c>
      <c r="E3602" s="2" t="s">
        <v>775</v>
      </c>
      <c r="F3602" s="2">
        <v>626.0</v>
      </c>
      <c r="G3602" s="2">
        <v>10.11</v>
      </c>
      <c r="H3602" s="2">
        <v>61.9</v>
      </c>
      <c r="I3602" s="2" t="s">
        <v>27</v>
      </c>
    </row>
    <row r="3603" ht="15.75" customHeight="1">
      <c r="A3603" s="2" t="s">
        <v>5207</v>
      </c>
      <c r="B3603" s="2" t="s">
        <v>5208</v>
      </c>
      <c r="C3603" s="2" t="s">
        <v>4661</v>
      </c>
      <c r="D3603" s="2" t="s">
        <v>1022</v>
      </c>
      <c r="E3603" s="2" t="s">
        <v>1025</v>
      </c>
      <c r="F3603" s="2">
        <v>514.0</v>
      </c>
      <c r="G3603" s="2">
        <v>7.04</v>
      </c>
      <c r="H3603" s="2">
        <v>73.0</v>
      </c>
      <c r="I3603" s="2" t="s">
        <v>27</v>
      </c>
    </row>
    <row r="3604" ht="15.75" customHeight="1">
      <c r="A3604" s="2" t="s">
        <v>5210</v>
      </c>
      <c r="B3604" s="2" t="s">
        <v>5212</v>
      </c>
      <c r="C3604" s="2" t="s">
        <v>4661</v>
      </c>
      <c r="D3604" s="2" t="s">
        <v>1066</v>
      </c>
      <c r="E3604" s="2" t="s">
        <v>1069</v>
      </c>
      <c r="F3604" s="2">
        <v>427.0</v>
      </c>
      <c r="G3604" s="2">
        <v>16.22</v>
      </c>
      <c r="H3604" s="2">
        <v>26.3</v>
      </c>
      <c r="I3604" s="2" t="s">
        <v>47</v>
      </c>
    </row>
    <row r="3605" ht="15.75" customHeight="1">
      <c r="A3605" s="2" t="s">
        <v>5213</v>
      </c>
      <c r="B3605" s="2" t="s">
        <v>5214</v>
      </c>
      <c r="C3605" s="2" t="s">
        <v>4661</v>
      </c>
      <c r="D3605" s="2" t="s">
        <v>1066</v>
      </c>
      <c r="E3605" s="2" t="s">
        <v>1069</v>
      </c>
      <c r="F3605" s="2">
        <v>1102.0</v>
      </c>
      <c r="G3605" s="2">
        <v>8.85</v>
      </c>
      <c r="H3605" s="2">
        <v>124.5</v>
      </c>
      <c r="I3605" s="2" t="s">
        <v>27</v>
      </c>
    </row>
    <row r="3606" ht="15.75" customHeight="1">
      <c r="A3606" s="2" t="s">
        <v>7514</v>
      </c>
      <c r="B3606" s="2" t="s">
        <v>7515</v>
      </c>
      <c r="C3606" s="2" t="s">
        <v>4661</v>
      </c>
      <c r="D3606" s="2" t="s">
        <v>853</v>
      </c>
      <c r="E3606" s="2" t="s">
        <v>854</v>
      </c>
      <c r="F3606" s="2">
        <v>311.0</v>
      </c>
      <c r="G3606" s="2">
        <v>6.83</v>
      </c>
      <c r="H3606" s="2">
        <v>45.5</v>
      </c>
      <c r="I3606" s="2" t="s">
        <v>47</v>
      </c>
    </row>
    <row r="3607" ht="15.75" customHeight="1">
      <c r="A3607" s="2" t="s">
        <v>7516</v>
      </c>
      <c r="B3607" s="2" t="s">
        <v>7517</v>
      </c>
      <c r="C3607" s="2" t="s">
        <v>4661</v>
      </c>
      <c r="D3607" s="2" t="s">
        <v>869</v>
      </c>
      <c r="E3607" s="2" t="s">
        <v>870</v>
      </c>
      <c r="F3607" s="2">
        <v>139.0</v>
      </c>
      <c r="G3607" s="2">
        <v>6.88</v>
      </c>
      <c r="H3607" s="2">
        <v>20.2</v>
      </c>
      <c r="I3607" s="2" t="s">
        <v>47</v>
      </c>
    </row>
    <row r="3608" ht="15.75" customHeight="1">
      <c r="A3608" s="2" t="s">
        <v>5215</v>
      </c>
      <c r="B3608" s="2" t="s">
        <v>5216</v>
      </c>
      <c r="C3608" s="2" t="s">
        <v>4661</v>
      </c>
      <c r="D3608" s="2" t="s">
        <v>980</v>
      </c>
      <c r="E3608" s="2" t="s">
        <v>981</v>
      </c>
      <c r="F3608" s="2">
        <v>269.0</v>
      </c>
      <c r="G3608" s="2">
        <v>6.89</v>
      </c>
      <c r="H3608" s="2">
        <v>39.0</v>
      </c>
      <c r="I3608" s="2" t="s">
        <v>47</v>
      </c>
    </row>
    <row r="3609" ht="15.75" customHeight="1">
      <c r="A3609" s="2" t="s">
        <v>5217</v>
      </c>
      <c r="B3609" s="2" t="s">
        <v>5220</v>
      </c>
      <c r="C3609" s="2" t="s">
        <v>4661</v>
      </c>
      <c r="D3609" s="2" t="s">
        <v>1009</v>
      </c>
      <c r="E3609" s="2" t="s">
        <v>1010</v>
      </c>
      <c r="F3609" s="2">
        <v>1123.0</v>
      </c>
      <c r="G3609" s="2">
        <v>7.15</v>
      </c>
      <c r="H3609" s="2">
        <v>157.1</v>
      </c>
      <c r="I3609" s="2" t="s">
        <v>27</v>
      </c>
    </row>
    <row r="3610" ht="15.75" customHeight="1">
      <c r="A3610" s="2" t="s">
        <v>7518</v>
      </c>
      <c r="B3610" s="2" t="s">
        <v>7519</v>
      </c>
      <c r="C3610" s="2" t="s">
        <v>4661</v>
      </c>
      <c r="D3610" s="2" t="s">
        <v>1032</v>
      </c>
      <c r="E3610" s="2" t="s">
        <v>1033</v>
      </c>
      <c r="F3610" s="2">
        <v>262.0</v>
      </c>
      <c r="G3610" s="2">
        <v>4.61</v>
      </c>
      <c r="H3610" s="2">
        <v>56.8</v>
      </c>
      <c r="I3610" s="2" t="s">
        <v>47</v>
      </c>
    </row>
    <row r="3611" ht="15.75" customHeight="1">
      <c r="A3611" s="2" t="s">
        <v>7520</v>
      </c>
      <c r="B3611" s="2" t="s">
        <v>7521</v>
      </c>
      <c r="C3611" s="2" t="s">
        <v>4661</v>
      </c>
      <c r="D3611" s="2" t="s">
        <v>1066</v>
      </c>
      <c r="E3611" s="2" t="s">
        <v>1069</v>
      </c>
      <c r="F3611" s="2">
        <v>379.0</v>
      </c>
      <c r="G3611" s="2">
        <v>9.92</v>
      </c>
      <c r="H3611" s="2">
        <v>38.2</v>
      </c>
      <c r="I3611" s="2" t="s">
        <v>47</v>
      </c>
    </row>
    <row r="3612" ht="15.75" customHeight="1">
      <c r="A3612" s="2" t="s">
        <v>7522</v>
      </c>
      <c r="B3612" s="2" t="s">
        <v>7523</v>
      </c>
      <c r="C3612" s="2" t="s">
        <v>4661</v>
      </c>
      <c r="D3612" s="2" t="s">
        <v>880</v>
      </c>
      <c r="E3612" s="2" t="s">
        <v>881</v>
      </c>
      <c r="F3612" s="2">
        <v>188.0</v>
      </c>
      <c r="G3612" s="2">
        <v>2.91</v>
      </c>
      <c r="H3612" s="2">
        <v>64.6</v>
      </c>
      <c r="I3612" s="2" t="s">
        <v>47</v>
      </c>
    </row>
    <row r="3613" ht="15.75" customHeight="1">
      <c r="A3613" s="2" t="s">
        <v>7524</v>
      </c>
      <c r="B3613" s="2" t="s">
        <v>7525</v>
      </c>
      <c r="C3613" s="2" t="s">
        <v>4661</v>
      </c>
      <c r="D3613" s="2" t="s">
        <v>1051</v>
      </c>
      <c r="E3613" s="2" t="s">
        <v>1053</v>
      </c>
      <c r="F3613" s="2">
        <v>139.0</v>
      </c>
      <c r="G3613" s="2">
        <v>9.61</v>
      </c>
      <c r="H3613" s="2">
        <v>14.5</v>
      </c>
      <c r="I3613" s="2" t="s">
        <v>47</v>
      </c>
    </row>
    <row r="3614" ht="15.75" customHeight="1">
      <c r="A3614" s="2" t="s">
        <v>7526</v>
      </c>
      <c r="B3614" s="2" t="s">
        <v>7527</v>
      </c>
      <c r="C3614" s="2" t="s">
        <v>4661</v>
      </c>
      <c r="D3614" s="2" t="s">
        <v>1009</v>
      </c>
      <c r="E3614" s="2" t="s">
        <v>1010</v>
      </c>
      <c r="F3614" s="2">
        <v>28.0</v>
      </c>
      <c r="G3614" s="2">
        <v>2.93</v>
      </c>
      <c r="H3614" s="2">
        <v>9.6</v>
      </c>
      <c r="I3614" s="2" t="s">
        <v>47</v>
      </c>
    </row>
    <row r="3615" ht="15.75" customHeight="1">
      <c r="A3615" s="2" t="s">
        <v>7528</v>
      </c>
      <c r="B3615" s="2" t="s">
        <v>7529</v>
      </c>
      <c r="C3615" s="2" t="s">
        <v>4661</v>
      </c>
      <c r="D3615" s="2" t="s">
        <v>948</v>
      </c>
      <c r="E3615" s="2" t="s">
        <v>950</v>
      </c>
      <c r="F3615" s="2">
        <v>137.0</v>
      </c>
      <c r="G3615" s="2">
        <v>4.17</v>
      </c>
      <c r="H3615" s="2">
        <v>32.9</v>
      </c>
      <c r="I3615" s="2" t="s">
        <v>47</v>
      </c>
    </row>
    <row r="3616" ht="15.75" customHeight="1">
      <c r="A3616" s="2" t="s">
        <v>7530</v>
      </c>
      <c r="B3616" s="2" t="s">
        <v>7531</v>
      </c>
      <c r="C3616" s="2" t="s">
        <v>4661</v>
      </c>
      <c r="D3616" s="2" t="s">
        <v>774</v>
      </c>
      <c r="E3616" s="2" t="s">
        <v>775</v>
      </c>
      <c r="F3616" s="2">
        <v>164.0</v>
      </c>
      <c r="G3616" s="2">
        <v>4.84</v>
      </c>
      <c r="H3616" s="2">
        <v>33.9</v>
      </c>
      <c r="I3616" s="2" t="s">
        <v>47</v>
      </c>
    </row>
    <row r="3617" ht="15.75" customHeight="1">
      <c r="A3617" s="2" t="s">
        <v>5222</v>
      </c>
      <c r="B3617" s="2" t="s">
        <v>5223</v>
      </c>
      <c r="C3617" s="2" t="s">
        <v>4661</v>
      </c>
      <c r="D3617" s="2" t="s">
        <v>869</v>
      </c>
      <c r="E3617" s="2" t="s">
        <v>870</v>
      </c>
      <c r="F3617" s="2">
        <v>346.0</v>
      </c>
      <c r="G3617" s="2">
        <v>7.14</v>
      </c>
      <c r="H3617" s="2">
        <v>48.5</v>
      </c>
      <c r="I3617" s="2" t="s">
        <v>47</v>
      </c>
    </row>
    <row r="3618" ht="15.75" customHeight="1">
      <c r="A3618" s="2" t="s">
        <v>7532</v>
      </c>
      <c r="B3618" s="2" t="s">
        <v>7533</v>
      </c>
      <c r="C3618" s="2" t="s">
        <v>4661</v>
      </c>
      <c r="D3618" s="2" t="s">
        <v>774</v>
      </c>
      <c r="E3618" s="2" t="s">
        <v>775</v>
      </c>
      <c r="F3618" s="2">
        <v>530.0</v>
      </c>
      <c r="G3618" s="2">
        <v>14.57</v>
      </c>
      <c r="H3618" s="2">
        <v>36.4</v>
      </c>
      <c r="I3618" s="2" t="s">
        <v>27</v>
      </c>
    </row>
    <row r="3619" ht="15.75" customHeight="1">
      <c r="A3619" s="2" t="s">
        <v>7534</v>
      </c>
      <c r="B3619" s="2" t="s">
        <v>7535</v>
      </c>
      <c r="C3619" s="2" t="s">
        <v>4661</v>
      </c>
      <c r="D3619" s="2" t="s">
        <v>1035</v>
      </c>
      <c r="E3619" s="2" t="s">
        <v>1037</v>
      </c>
      <c r="F3619" s="2">
        <v>223.0</v>
      </c>
      <c r="G3619" s="2">
        <v>5.44</v>
      </c>
      <c r="H3619" s="2">
        <v>41.0</v>
      </c>
      <c r="I3619" s="2" t="s">
        <v>47</v>
      </c>
    </row>
    <row r="3620" ht="15.75" customHeight="1">
      <c r="A3620" s="2" t="s">
        <v>5225</v>
      </c>
      <c r="B3620" s="2" t="s">
        <v>5226</v>
      </c>
      <c r="C3620" s="2" t="s">
        <v>4661</v>
      </c>
      <c r="D3620" s="2" t="s">
        <v>1016</v>
      </c>
      <c r="E3620" s="2" t="s">
        <v>1017</v>
      </c>
      <c r="F3620" s="2">
        <v>609.0</v>
      </c>
      <c r="G3620" s="2">
        <v>9.3</v>
      </c>
      <c r="H3620" s="2">
        <v>65.5</v>
      </c>
      <c r="I3620" s="2" t="s">
        <v>27</v>
      </c>
    </row>
    <row r="3621" ht="15.75" customHeight="1">
      <c r="A3621" s="2" t="s">
        <v>7536</v>
      </c>
      <c r="B3621" s="2" t="s">
        <v>7537</v>
      </c>
      <c r="C3621" s="2" t="s">
        <v>4661</v>
      </c>
      <c r="D3621" s="2" t="s">
        <v>1066</v>
      </c>
      <c r="E3621" s="2" t="s">
        <v>1069</v>
      </c>
      <c r="F3621" s="2">
        <v>181.0</v>
      </c>
      <c r="G3621" s="2">
        <v>10.22</v>
      </c>
      <c r="H3621" s="2">
        <v>17.7</v>
      </c>
      <c r="I3621" s="2" t="s">
        <v>47</v>
      </c>
    </row>
    <row r="3622" ht="15.75" customHeight="1">
      <c r="A3622" s="2" t="s">
        <v>5229</v>
      </c>
      <c r="B3622" s="2" t="s">
        <v>5230</v>
      </c>
      <c r="C3622" s="2" t="s">
        <v>4661</v>
      </c>
      <c r="D3622" s="2" t="s">
        <v>774</v>
      </c>
      <c r="E3622" s="2" t="s">
        <v>775</v>
      </c>
      <c r="F3622" s="2">
        <v>3636.0</v>
      </c>
      <c r="G3622" s="2">
        <v>6.46</v>
      </c>
      <c r="H3622" s="2">
        <v>562.8</v>
      </c>
      <c r="I3622" s="2" t="s">
        <v>138</v>
      </c>
    </row>
    <row r="3623" ht="15.75" customHeight="1">
      <c r="A3623" s="2" t="s">
        <v>7538</v>
      </c>
      <c r="B3623" s="2" t="s">
        <v>7539</v>
      </c>
      <c r="C3623" s="2" t="s">
        <v>4661</v>
      </c>
      <c r="D3623" s="2" t="s">
        <v>853</v>
      </c>
      <c r="E3623" s="2" t="s">
        <v>854</v>
      </c>
      <c r="F3623" s="2">
        <v>149.0</v>
      </c>
      <c r="G3623" s="2">
        <v>6.75</v>
      </c>
      <c r="H3623" s="2">
        <v>22.1</v>
      </c>
      <c r="I3623" s="2" t="s">
        <v>47</v>
      </c>
    </row>
    <row r="3624" ht="15.75" customHeight="1">
      <c r="A3624" s="2" t="s">
        <v>7540</v>
      </c>
      <c r="B3624" s="2" t="s">
        <v>7541</v>
      </c>
      <c r="C3624" s="2" t="s">
        <v>4661</v>
      </c>
      <c r="D3624" s="2" t="s">
        <v>948</v>
      </c>
      <c r="E3624" s="2" t="s">
        <v>950</v>
      </c>
      <c r="F3624" s="2">
        <v>152.0</v>
      </c>
      <c r="G3624" s="2">
        <v>5.74</v>
      </c>
      <c r="H3624" s="2">
        <v>26.5</v>
      </c>
      <c r="I3624" s="2" t="s">
        <v>47</v>
      </c>
    </row>
    <row r="3625" ht="15.75" customHeight="1">
      <c r="A3625" s="2" t="s">
        <v>5231</v>
      </c>
      <c r="B3625" s="2" t="s">
        <v>5232</v>
      </c>
      <c r="C3625" s="2" t="s">
        <v>4661</v>
      </c>
      <c r="D3625" s="2" t="s">
        <v>880</v>
      </c>
      <c r="E3625" s="2" t="s">
        <v>881</v>
      </c>
      <c r="F3625" s="2">
        <v>1626.0</v>
      </c>
      <c r="G3625" s="2">
        <v>10.14</v>
      </c>
      <c r="H3625" s="2">
        <v>160.4</v>
      </c>
      <c r="I3625" s="2" t="s">
        <v>27</v>
      </c>
    </row>
    <row r="3626" ht="15.75" customHeight="1">
      <c r="A3626" s="2" t="s">
        <v>5235</v>
      </c>
      <c r="B3626" s="2" t="s">
        <v>5236</v>
      </c>
      <c r="C3626" s="2" t="s">
        <v>4661</v>
      </c>
      <c r="D3626" s="2" t="s">
        <v>948</v>
      </c>
      <c r="E3626" s="2" t="s">
        <v>950</v>
      </c>
      <c r="F3626" s="2">
        <v>755.0</v>
      </c>
      <c r="G3626" s="2">
        <v>12.08</v>
      </c>
      <c r="H3626" s="2">
        <v>62.5</v>
      </c>
      <c r="I3626" s="2" t="s">
        <v>27</v>
      </c>
    </row>
    <row r="3627" ht="15.75" customHeight="1">
      <c r="A3627" s="2" t="s">
        <v>5237</v>
      </c>
      <c r="B3627" s="2" t="s">
        <v>5238</v>
      </c>
      <c r="C3627" s="2" t="s">
        <v>4661</v>
      </c>
      <c r="D3627" s="2" t="s">
        <v>880</v>
      </c>
      <c r="E3627" s="2" t="s">
        <v>881</v>
      </c>
      <c r="F3627" s="2">
        <v>577.0</v>
      </c>
      <c r="G3627" s="2">
        <v>7.51</v>
      </c>
      <c r="H3627" s="2">
        <v>76.8</v>
      </c>
      <c r="I3627" s="2" t="s">
        <v>27</v>
      </c>
    </row>
    <row r="3628" ht="15.75" customHeight="1">
      <c r="A3628" s="2" t="s">
        <v>5239</v>
      </c>
      <c r="B3628" s="2" t="s">
        <v>5240</v>
      </c>
      <c r="C3628" s="2" t="s">
        <v>4661</v>
      </c>
      <c r="D3628" s="2" t="s">
        <v>1071</v>
      </c>
      <c r="E3628" s="2" t="s">
        <v>1075</v>
      </c>
      <c r="F3628" s="2">
        <v>2894.0</v>
      </c>
      <c r="G3628" s="2">
        <v>13.44</v>
      </c>
      <c r="H3628" s="2">
        <v>215.3</v>
      </c>
      <c r="I3628" s="2" t="s">
        <v>138</v>
      </c>
    </row>
    <row r="3629" ht="15.75" customHeight="1">
      <c r="A3629" s="2" t="s">
        <v>7542</v>
      </c>
      <c r="B3629" s="2" t="s">
        <v>7543</v>
      </c>
      <c r="C3629" s="2" t="s">
        <v>4661</v>
      </c>
      <c r="D3629" s="2" t="s">
        <v>853</v>
      </c>
      <c r="E3629" s="2" t="s">
        <v>854</v>
      </c>
      <c r="F3629" s="2">
        <v>304.0</v>
      </c>
      <c r="G3629" s="2">
        <v>7.16</v>
      </c>
      <c r="H3629" s="2">
        <v>42.5</v>
      </c>
      <c r="I3629" s="2" t="s">
        <v>47</v>
      </c>
    </row>
    <row r="3630" ht="15.75" customHeight="1">
      <c r="A3630" s="2" t="s">
        <v>7544</v>
      </c>
      <c r="B3630" s="2" t="s">
        <v>7545</v>
      </c>
      <c r="C3630" s="2" t="s">
        <v>4661</v>
      </c>
      <c r="D3630" s="2" t="s">
        <v>1071</v>
      </c>
      <c r="E3630" s="2" t="s">
        <v>1075</v>
      </c>
      <c r="F3630" s="2">
        <v>209.0</v>
      </c>
      <c r="G3630" s="2">
        <v>7.43</v>
      </c>
      <c r="H3630" s="2">
        <v>28.1</v>
      </c>
      <c r="I3630" s="2" t="s">
        <v>47</v>
      </c>
    </row>
    <row r="3631" ht="15.75" customHeight="1">
      <c r="A3631" s="2" t="s">
        <v>7546</v>
      </c>
      <c r="B3631" s="2" t="s">
        <v>7547</v>
      </c>
      <c r="C3631" s="2" t="s">
        <v>4661</v>
      </c>
      <c r="D3631" s="2" t="s">
        <v>869</v>
      </c>
      <c r="E3631" s="2" t="s">
        <v>870</v>
      </c>
      <c r="F3631" s="2">
        <v>100.0</v>
      </c>
      <c r="G3631" s="2">
        <v>3.85</v>
      </c>
      <c r="H3631" s="2">
        <v>26.0</v>
      </c>
      <c r="I3631" s="2" t="s">
        <v>47</v>
      </c>
    </row>
    <row r="3632" ht="15.75" customHeight="1">
      <c r="A3632" s="2" t="s">
        <v>7548</v>
      </c>
      <c r="B3632" s="2" t="s">
        <v>7549</v>
      </c>
      <c r="C3632" s="2" t="s">
        <v>4661</v>
      </c>
      <c r="D3632" s="2" t="s">
        <v>869</v>
      </c>
      <c r="E3632" s="2" t="s">
        <v>870</v>
      </c>
      <c r="F3632" s="2">
        <v>101.0</v>
      </c>
      <c r="G3632" s="2">
        <v>3.29</v>
      </c>
      <c r="H3632" s="2">
        <v>30.7</v>
      </c>
      <c r="I3632" s="2" t="s">
        <v>47</v>
      </c>
    </row>
    <row r="3633" ht="15.75" customHeight="1">
      <c r="A3633" s="2" t="s">
        <v>5241</v>
      </c>
      <c r="B3633" s="2" t="s">
        <v>5242</v>
      </c>
      <c r="C3633" s="2" t="s">
        <v>4661</v>
      </c>
      <c r="D3633" s="2" t="s">
        <v>948</v>
      </c>
      <c r="E3633" s="2" t="s">
        <v>950</v>
      </c>
      <c r="F3633" s="2">
        <v>5833.0</v>
      </c>
      <c r="G3633" s="2">
        <v>15.53</v>
      </c>
      <c r="H3633" s="2">
        <v>375.6</v>
      </c>
      <c r="I3633" s="2" t="s">
        <v>138</v>
      </c>
    </row>
    <row r="3634" ht="15.75" customHeight="1">
      <c r="A3634" s="2" t="s">
        <v>5243</v>
      </c>
      <c r="B3634" s="2" t="s">
        <v>5244</v>
      </c>
      <c r="C3634" s="2" t="s">
        <v>4661</v>
      </c>
      <c r="D3634" s="2" t="s">
        <v>1009</v>
      </c>
      <c r="E3634" s="2" t="s">
        <v>1010</v>
      </c>
      <c r="F3634" s="2">
        <v>720.0</v>
      </c>
      <c r="G3634" s="2">
        <v>10.18</v>
      </c>
      <c r="H3634" s="2">
        <v>70.7</v>
      </c>
      <c r="I3634" s="2" t="s">
        <v>27</v>
      </c>
    </row>
    <row r="3635" ht="15.75" customHeight="1">
      <c r="A3635" s="2" t="s">
        <v>7550</v>
      </c>
      <c r="B3635" s="2" t="s">
        <v>7551</v>
      </c>
      <c r="C3635" s="2" t="s">
        <v>4661</v>
      </c>
      <c r="D3635" s="2" t="s">
        <v>948</v>
      </c>
      <c r="E3635" s="2" t="s">
        <v>950</v>
      </c>
      <c r="F3635" s="2">
        <v>129.0</v>
      </c>
      <c r="G3635" s="2">
        <v>3.98</v>
      </c>
      <c r="H3635" s="2">
        <v>32.4</v>
      </c>
      <c r="I3635" s="2" t="s">
        <v>47</v>
      </c>
    </row>
    <row r="3636" ht="15.75" customHeight="1">
      <c r="A3636" s="2" t="s">
        <v>5245</v>
      </c>
      <c r="B3636" s="2" t="s">
        <v>5246</v>
      </c>
      <c r="C3636" s="2" t="s">
        <v>4661</v>
      </c>
      <c r="D3636" s="2" t="s">
        <v>1051</v>
      </c>
      <c r="E3636" s="2" t="s">
        <v>1053</v>
      </c>
      <c r="F3636" s="2">
        <v>2987.0</v>
      </c>
      <c r="G3636" s="2">
        <v>29.26</v>
      </c>
      <c r="H3636" s="2">
        <v>102.1</v>
      </c>
      <c r="I3636" s="2" t="s">
        <v>138</v>
      </c>
    </row>
    <row r="3637" ht="15.75" customHeight="1">
      <c r="A3637" s="2" t="s">
        <v>5248</v>
      </c>
      <c r="B3637" s="2" t="s">
        <v>5250</v>
      </c>
      <c r="C3637" s="2" t="s">
        <v>4661</v>
      </c>
      <c r="D3637" s="2" t="s">
        <v>774</v>
      </c>
      <c r="E3637" s="2" t="s">
        <v>775</v>
      </c>
      <c r="F3637" s="2">
        <v>613.0</v>
      </c>
      <c r="G3637" s="2">
        <v>8.13</v>
      </c>
      <c r="H3637" s="2">
        <v>75.4</v>
      </c>
      <c r="I3637" s="2" t="s">
        <v>27</v>
      </c>
    </row>
    <row r="3638" ht="15.75" customHeight="1">
      <c r="A3638" s="2" t="s">
        <v>7552</v>
      </c>
      <c r="B3638" s="2" t="s">
        <v>7553</v>
      </c>
      <c r="C3638" s="2" t="s">
        <v>4661</v>
      </c>
      <c r="D3638" s="2" t="s">
        <v>796</v>
      </c>
      <c r="E3638" s="2" t="s">
        <v>797</v>
      </c>
      <c r="F3638" s="2">
        <v>344.0</v>
      </c>
      <c r="G3638" s="2">
        <v>12.69</v>
      </c>
      <c r="H3638" s="2">
        <v>27.1</v>
      </c>
      <c r="I3638" s="2" t="s">
        <v>47</v>
      </c>
    </row>
    <row r="3639" ht="15.75" customHeight="1">
      <c r="A3639" s="2" t="s">
        <v>5252</v>
      </c>
      <c r="B3639" s="2" t="s">
        <v>5254</v>
      </c>
      <c r="C3639" s="2" t="s">
        <v>4661</v>
      </c>
      <c r="D3639" s="2" t="s">
        <v>1051</v>
      </c>
      <c r="E3639" s="2" t="s">
        <v>1053</v>
      </c>
      <c r="F3639" s="2">
        <v>991.0</v>
      </c>
      <c r="G3639" s="2">
        <v>10.63</v>
      </c>
      <c r="H3639" s="2">
        <v>93.2</v>
      </c>
      <c r="I3639" s="2" t="s">
        <v>27</v>
      </c>
    </row>
    <row r="3640" ht="15.75" customHeight="1">
      <c r="A3640" s="2" t="s">
        <v>7554</v>
      </c>
      <c r="B3640" s="2" t="s">
        <v>7555</v>
      </c>
      <c r="C3640" s="2" t="s">
        <v>4661</v>
      </c>
      <c r="D3640" s="2" t="s">
        <v>1016</v>
      </c>
      <c r="E3640" s="2" t="s">
        <v>1017</v>
      </c>
      <c r="F3640" s="2">
        <v>333.0</v>
      </c>
      <c r="G3640" s="2">
        <v>6.5</v>
      </c>
      <c r="H3640" s="2">
        <v>51.2</v>
      </c>
      <c r="I3640" s="2" t="s">
        <v>47</v>
      </c>
    </row>
    <row r="3641" ht="15.75" customHeight="1">
      <c r="A3641" s="2" t="s">
        <v>5255</v>
      </c>
      <c r="B3641" s="2" t="s">
        <v>5256</v>
      </c>
      <c r="C3641" s="2" t="s">
        <v>4661</v>
      </c>
      <c r="D3641" s="2" t="s">
        <v>880</v>
      </c>
      <c r="E3641" s="2" t="s">
        <v>881</v>
      </c>
      <c r="F3641" s="2">
        <v>469.0</v>
      </c>
      <c r="G3641" s="2">
        <v>9.4</v>
      </c>
      <c r="H3641" s="2">
        <v>49.9</v>
      </c>
      <c r="I3641" s="2" t="s">
        <v>47</v>
      </c>
    </row>
    <row r="3642" ht="15.75" customHeight="1">
      <c r="A3642" s="2" t="s">
        <v>7556</v>
      </c>
      <c r="B3642" s="2" t="s">
        <v>7557</v>
      </c>
      <c r="C3642" s="2" t="s">
        <v>4661</v>
      </c>
      <c r="D3642" s="2" t="s">
        <v>1016</v>
      </c>
      <c r="E3642" s="2" t="s">
        <v>1017</v>
      </c>
      <c r="F3642" s="2">
        <v>351.0</v>
      </c>
      <c r="G3642" s="2">
        <v>6.73</v>
      </c>
      <c r="H3642" s="2">
        <v>52.2</v>
      </c>
      <c r="I3642" s="2" t="s">
        <v>47</v>
      </c>
    </row>
    <row r="3643" ht="15.75" customHeight="1">
      <c r="A3643" s="2" t="s">
        <v>5257</v>
      </c>
      <c r="B3643" s="2" t="s">
        <v>5259</v>
      </c>
      <c r="C3643" s="2" t="s">
        <v>4661</v>
      </c>
      <c r="D3643" s="2" t="s">
        <v>774</v>
      </c>
      <c r="E3643" s="2" t="s">
        <v>775</v>
      </c>
      <c r="F3643" s="2">
        <v>1187.0</v>
      </c>
      <c r="G3643" s="2">
        <v>9.94</v>
      </c>
      <c r="H3643" s="2">
        <v>119.4</v>
      </c>
      <c r="I3643" s="2" t="s">
        <v>27</v>
      </c>
    </row>
    <row r="3644" ht="15.75" customHeight="1">
      <c r="A3644" s="2" t="s">
        <v>7558</v>
      </c>
      <c r="B3644" s="2" t="s">
        <v>7559</v>
      </c>
      <c r="C3644" s="2" t="s">
        <v>4661</v>
      </c>
      <c r="D3644" s="2" t="s">
        <v>1009</v>
      </c>
      <c r="E3644" s="2" t="s">
        <v>1010</v>
      </c>
      <c r="F3644" s="2">
        <v>36.0</v>
      </c>
      <c r="G3644" s="2">
        <v>3.04</v>
      </c>
      <c r="H3644" s="2">
        <v>11.8</v>
      </c>
      <c r="I3644" s="2" t="s">
        <v>47</v>
      </c>
    </row>
    <row r="3645" ht="15.75" customHeight="1">
      <c r="A3645" s="2" t="s">
        <v>7560</v>
      </c>
      <c r="B3645" s="2" t="s">
        <v>7561</v>
      </c>
      <c r="C3645" s="2" t="s">
        <v>4661</v>
      </c>
      <c r="D3645" s="2" t="s">
        <v>1066</v>
      </c>
      <c r="E3645" s="2" t="s">
        <v>1069</v>
      </c>
      <c r="F3645" s="2">
        <v>218.0</v>
      </c>
      <c r="G3645" s="2">
        <v>10.41</v>
      </c>
      <c r="H3645" s="2">
        <v>20.9</v>
      </c>
      <c r="I3645" s="2" t="s">
        <v>47</v>
      </c>
    </row>
    <row r="3646" ht="15.75" customHeight="1">
      <c r="A3646" s="2" t="s">
        <v>7562</v>
      </c>
      <c r="B3646" s="2" t="s">
        <v>7563</v>
      </c>
      <c r="C3646" s="2" t="s">
        <v>4661</v>
      </c>
      <c r="D3646" s="2" t="s">
        <v>1066</v>
      </c>
      <c r="E3646" s="2" t="s">
        <v>1069</v>
      </c>
      <c r="F3646" s="2">
        <v>116.0</v>
      </c>
      <c r="G3646" s="2">
        <v>3.11</v>
      </c>
      <c r="H3646" s="2">
        <v>37.3</v>
      </c>
      <c r="I3646" s="2" t="s">
        <v>47</v>
      </c>
    </row>
    <row r="3647" ht="15.75" customHeight="1">
      <c r="A3647" s="2" t="s">
        <v>7564</v>
      </c>
      <c r="B3647" s="2" t="s">
        <v>7565</v>
      </c>
      <c r="C3647" s="2" t="s">
        <v>4661</v>
      </c>
      <c r="D3647" s="2" t="s">
        <v>796</v>
      </c>
      <c r="E3647" s="2" t="s">
        <v>797</v>
      </c>
      <c r="F3647" s="2">
        <v>883.0</v>
      </c>
      <c r="G3647" s="2">
        <v>6.67</v>
      </c>
      <c r="H3647" s="2">
        <v>132.4</v>
      </c>
      <c r="I3647" s="2" t="s">
        <v>27</v>
      </c>
    </row>
    <row r="3648" ht="15.75" customHeight="1">
      <c r="A3648" s="2" t="s">
        <v>7566</v>
      </c>
      <c r="B3648" s="2" t="s">
        <v>7567</v>
      </c>
      <c r="C3648" s="2" t="s">
        <v>4661</v>
      </c>
      <c r="D3648" s="2" t="s">
        <v>869</v>
      </c>
      <c r="E3648" s="2" t="s">
        <v>870</v>
      </c>
      <c r="F3648" s="2">
        <v>425.0</v>
      </c>
      <c r="G3648" s="2">
        <v>7.85</v>
      </c>
      <c r="H3648" s="2">
        <v>54.1</v>
      </c>
      <c r="I3648" s="2" t="s">
        <v>47</v>
      </c>
    </row>
    <row r="3649" ht="15.75" customHeight="1">
      <c r="A3649" s="2" t="s">
        <v>5261</v>
      </c>
      <c r="B3649" s="2" t="s">
        <v>5262</v>
      </c>
      <c r="C3649" s="2" t="s">
        <v>4661</v>
      </c>
      <c r="D3649" s="2" t="s">
        <v>774</v>
      </c>
      <c r="E3649" s="2" t="s">
        <v>775</v>
      </c>
      <c r="F3649" s="2">
        <v>1409.0</v>
      </c>
      <c r="G3649" s="2">
        <v>10.01</v>
      </c>
      <c r="H3649" s="2">
        <v>140.8</v>
      </c>
      <c r="I3649" s="2" t="s">
        <v>27</v>
      </c>
    </row>
    <row r="3650" ht="15.75" customHeight="1">
      <c r="A3650" s="2" t="s">
        <v>7568</v>
      </c>
      <c r="B3650" s="2" t="s">
        <v>7569</v>
      </c>
      <c r="C3650" s="2" t="s">
        <v>4661</v>
      </c>
      <c r="D3650" s="2" t="s">
        <v>1066</v>
      </c>
      <c r="E3650" s="2" t="s">
        <v>1069</v>
      </c>
      <c r="F3650" s="2">
        <v>224.0</v>
      </c>
      <c r="G3650" s="2">
        <v>8.75</v>
      </c>
      <c r="H3650" s="2">
        <v>25.6</v>
      </c>
      <c r="I3650" s="2" t="s">
        <v>47</v>
      </c>
    </row>
    <row r="3651" ht="15.75" customHeight="1">
      <c r="A3651" s="2" t="s">
        <v>7570</v>
      </c>
      <c r="B3651" s="2" t="s">
        <v>7571</v>
      </c>
      <c r="C3651" s="2" t="s">
        <v>4661</v>
      </c>
      <c r="D3651" s="2" t="s">
        <v>1009</v>
      </c>
      <c r="E3651" s="2" t="s">
        <v>1010</v>
      </c>
      <c r="F3651" s="2">
        <v>383.0</v>
      </c>
      <c r="G3651" s="2">
        <v>7.01</v>
      </c>
      <c r="H3651" s="2">
        <v>54.6</v>
      </c>
      <c r="I3651" s="2" t="s">
        <v>47</v>
      </c>
    </row>
    <row r="3652" ht="15.75" customHeight="1">
      <c r="A3652" s="2" t="s">
        <v>7572</v>
      </c>
      <c r="B3652" s="2" t="s">
        <v>7573</v>
      </c>
      <c r="C3652" s="2" t="s">
        <v>4661</v>
      </c>
      <c r="D3652" s="2" t="s">
        <v>980</v>
      </c>
      <c r="E3652" s="2" t="s">
        <v>981</v>
      </c>
      <c r="F3652" s="2">
        <v>79.0</v>
      </c>
      <c r="G3652" s="2">
        <v>4.32</v>
      </c>
      <c r="H3652" s="2">
        <v>18.3</v>
      </c>
      <c r="I3652" s="2" t="s">
        <v>47</v>
      </c>
    </row>
    <row r="3653" ht="15.75" customHeight="1">
      <c r="A3653" s="2" t="s">
        <v>5263</v>
      </c>
      <c r="B3653" s="2" t="s">
        <v>5264</v>
      </c>
      <c r="C3653" s="2" t="s">
        <v>4661</v>
      </c>
      <c r="D3653" s="2" t="s">
        <v>1035</v>
      </c>
      <c r="E3653" s="2" t="s">
        <v>1037</v>
      </c>
      <c r="F3653" s="2">
        <v>1809.0</v>
      </c>
      <c r="G3653" s="2">
        <v>7.05</v>
      </c>
      <c r="H3653" s="2">
        <v>256.6</v>
      </c>
      <c r="I3653" s="2" t="s">
        <v>27</v>
      </c>
    </row>
    <row r="3654" ht="15.75" customHeight="1">
      <c r="A3654" s="2" t="s">
        <v>7574</v>
      </c>
      <c r="B3654" s="2" t="s">
        <v>7575</v>
      </c>
      <c r="C3654" s="2" t="s">
        <v>4661</v>
      </c>
      <c r="D3654" s="2" t="s">
        <v>1066</v>
      </c>
      <c r="E3654" s="2" t="s">
        <v>1069</v>
      </c>
      <c r="F3654" s="2">
        <v>80.0</v>
      </c>
      <c r="G3654" s="2">
        <v>1.1</v>
      </c>
      <c r="H3654" s="2">
        <v>72.7</v>
      </c>
      <c r="I3654" s="2" t="s">
        <v>47</v>
      </c>
    </row>
    <row r="3655" ht="15.75" customHeight="1">
      <c r="A3655" s="2" t="s">
        <v>7576</v>
      </c>
      <c r="B3655" s="2" t="s">
        <v>2549</v>
      </c>
      <c r="C3655" s="2" t="s">
        <v>4661</v>
      </c>
      <c r="D3655" s="2" t="s">
        <v>948</v>
      </c>
      <c r="E3655" s="2" t="s">
        <v>950</v>
      </c>
      <c r="F3655" s="2">
        <v>155.0</v>
      </c>
      <c r="G3655" s="2">
        <v>4.18</v>
      </c>
      <c r="H3655" s="2">
        <v>37.1</v>
      </c>
      <c r="I3655" s="2" t="s">
        <v>47</v>
      </c>
    </row>
    <row r="3656" ht="15.75" customHeight="1">
      <c r="A3656" s="2" t="s">
        <v>7577</v>
      </c>
      <c r="B3656" s="2" t="s">
        <v>7578</v>
      </c>
      <c r="C3656" s="2" t="s">
        <v>4661</v>
      </c>
      <c r="D3656" s="2" t="s">
        <v>1066</v>
      </c>
      <c r="E3656" s="2" t="s">
        <v>1069</v>
      </c>
      <c r="F3656" s="2">
        <v>279.0</v>
      </c>
      <c r="G3656" s="2">
        <v>6.22</v>
      </c>
      <c r="H3656" s="2">
        <v>44.9</v>
      </c>
      <c r="I3656" s="2" t="s">
        <v>47</v>
      </c>
    </row>
    <row r="3657" ht="15.75" customHeight="1">
      <c r="A3657" s="2" t="s">
        <v>7579</v>
      </c>
      <c r="B3657" s="2" t="s">
        <v>7580</v>
      </c>
      <c r="C3657" s="2" t="s">
        <v>4661</v>
      </c>
      <c r="D3657" s="2" t="s">
        <v>1032</v>
      </c>
      <c r="E3657" s="2" t="s">
        <v>1033</v>
      </c>
      <c r="F3657" s="2">
        <v>390.0</v>
      </c>
      <c r="G3657" s="2">
        <v>6.39</v>
      </c>
      <c r="H3657" s="2">
        <v>61.0</v>
      </c>
      <c r="I3657" s="2" t="s">
        <v>47</v>
      </c>
    </row>
    <row r="3658" ht="15.75" customHeight="1">
      <c r="A3658" s="2" t="s">
        <v>5265</v>
      </c>
      <c r="B3658" s="2" t="s">
        <v>5266</v>
      </c>
      <c r="C3658" s="2" t="s">
        <v>4661</v>
      </c>
      <c r="D3658" s="2" t="s">
        <v>1035</v>
      </c>
      <c r="E3658" s="2" t="s">
        <v>1037</v>
      </c>
      <c r="F3658" s="2">
        <v>1772.0</v>
      </c>
      <c r="G3658" s="2">
        <v>4.34</v>
      </c>
      <c r="H3658" s="2">
        <v>408.3</v>
      </c>
      <c r="I3658" s="2" t="s">
        <v>27</v>
      </c>
    </row>
    <row r="3659" ht="15.75" customHeight="1">
      <c r="A3659" s="2" t="s">
        <v>5267</v>
      </c>
      <c r="B3659" s="2" t="s">
        <v>5268</v>
      </c>
      <c r="C3659" s="2" t="s">
        <v>4661</v>
      </c>
      <c r="D3659" s="2" t="s">
        <v>1051</v>
      </c>
      <c r="E3659" s="2" t="s">
        <v>1053</v>
      </c>
      <c r="F3659" s="2">
        <v>302.0</v>
      </c>
      <c r="G3659" s="2">
        <v>26.95</v>
      </c>
      <c r="H3659" s="2">
        <v>11.2</v>
      </c>
      <c r="I3659" s="2" t="s">
        <v>47</v>
      </c>
    </row>
    <row r="3660" ht="15.75" customHeight="1">
      <c r="A3660" s="2" t="s">
        <v>5269</v>
      </c>
      <c r="B3660" s="2" t="s">
        <v>5271</v>
      </c>
      <c r="C3660" s="2" t="s">
        <v>4661</v>
      </c>
      <c r="D3660" s="2" t="s">
        <v>936</v>
      </c>
      <c r="E3660" s="2" t="s">
        <v>937</v>
      </c>
      <c r="F3660" s="2">
        <v>1252.0</v>
      </c>
      <c r="G3660" s="2">
        <v>6.56</v>
      </c>
      <c r="H3660" s="2">
        <v>190.9</v>
      </c>
      <c r="I3660" s="2" t="s">
        <v>27</v>
      </c>
    </row>
    <row r="3661" ht="15.75" customHeight="1">
      <c r="A3661" s="2" t="s">
        <v>5273</v>
      </c>
      <c r="B3661" s="2" t="s">
        <v>5274</v>
      </c>
      <c r="C3661" s="2" t="s">
        <v>4661</v>
      </c>
      <c r="D3661" s="2" t="s">
        <v>1051</v>
      </c>
      <c r="E3661" s="2" t="s">
        <v>1053</v>
      </c>
      <c r="F3661" s="2">
        <v>1279.0</v>
      </c>
      <c r="G3661" s="2">
        <v>14.7</v>
      </c>
      <c r="H3661" s="2">
        <v>87.0</v>
      </c>
      <c r="I3661" s="2" t="s">
        <v>27</v>
      </c>
    </row>
    <row r="3662" ht="15.75" customHeight="1">
      <c r="A3662" s="2" t="s">
        <v>5275</v>
      </c>
      <c r="B3662" s="2" t="s">
        <v>5276</v>
      </c>
      <c r="C3662" s="2" t="s">
        <v>4661</v>
      </c>
      <c r="D3662" s="2" t="s">
        <v>774</v>
      </c>
      <c r="E3662" s="2" t="s">
        <v>775</v>
      </c>
      <c r="F3662" s="2">
        <v>976.0</v>
      </c>
      <c r="G3662" s="2">
        <v>7.86</v>
      </c>
      <c r="H3662" s="2">
        <v>124.2</v>
      </c>
      <c r="I3662" s="2" t="s">
        <v>27</v>
      </c>
    </row>
    <row r="3663" ht="15.75" customHeight="1">
      <c r="A3663" s="2" t="s">
        <v>5277</v>
      </c>
      <c r="B3663" s="2" t="s">
        <v>3509</v>
      </c>
      <c r="C3663" s="2" t="s">
        <v>4661</v>
      </c>
      <c r="D3663" s="2" t="s">
        <v>1035</v>
      </c>
      <c r="E3663" s="2" t="s">
        <v>1037</v>
      </c>
      <c r="F3663" s="2">
        <v>1344.0</v>
      </c>
      <c r="G3663" s="2">
        <v>9.16</v>
      </c>
      <c r="H3663" s="2">
        <v>146.7</v>
      </c>
      <c r="I3663" s="2" t="s">
        <v>27</v>
      </c>
    </row>
    <row r="3664" ht="15.75" customHeight="1">
      <c r="A3664" s="2" t="s">
        <v>5278</v>
      </c>
      <c r="B3664" s="2" t="s">
        <v>5280</v>
      </c>
      <c r="C3664" s="2" t="s">
        <v>4661</v>
      </c>
      <c r="D3664" s="2" t="s">
        <v>774</v>
      </c>
      <c r="E3664" s="2" t="s">
        <v>775</v>
      </c>
      <c r="F3664" s="2">
        <v>504.0</v>
      </c>
      <c r="G3664" s="2">
        <v>4.82</v>
      </c>
      <c r="H3664" s="2">
        <v>104.6</v>
      </c>
      <c r="I3664" s="2" t="s">
        <v>27</v>
      </c>
    </row>
    <row r="3665" ht="15.75" customHeight="1">
      <c r="A3665" s="2" t="s">
        <v>5282</v>
      </c>
      <c r="B3665" s="2" t="s">
        <v>5283</v>
      </c>
      <c r="C3665" s="2" t="s">
        <v>4661</v>
      </c>
      <c r="D3665" s="2" t="s">
        <v>796</v>
      </c>
      <c r="E3665" s="2" t="s">
        <v>797</v>
      </c>
      <c r="F3665" s="2">
        <v>2306.0</v>
      </c>
      <c r="G3665" s="2">
        <v>10.48</v>
      </c>
      <c r="H3665" s="2">
        <v>220.0</v>
      </c>
      <c r="I3665" s="2" t="s">
        <v>138</v>
      </c>
    </row>
    <row r="3666" ht="15.75" customHeight="1">
      <c r="A3666" s="2" t="s">
        <v>7581</v>
      </c>
      <c r="B3666" s="2" t="s">
        <v>7582</v>
      </c>
      <c r="C3666" s="2" t="s">
        <v>4661</v>
      </c>
      <c r="D3666" s="2" t="s">
        <v>1066</v>
      </c>
      <c r="E3666" s="2" t="s">
        <v>1069</v>
      </c>
      <c r="F3666" s="2">
        <v>47.0</v>
      </c>
      <c r="G3666" s="2">
        <v>2.29</v>
      </c>
      <c r="H3666" s="2">
        <v>20.5</v>
      </c>
      <c r="I3666" s="2" t="s">
        <v>47</v>
      </c>
    </row>
    <row r="3667" ht="15.75" customHeight="1">
      <c r="A3667" s="2" t="s">
        <v>7583</v>
      </c>
      <c r="B3667" s="2" t="s">
        <v>7584</v>
      </c>
      <c r="C3667" s="2" t="s">
        <v>4661</v>
      </c>
      <c r="D3667" s="2" t="s">
        <v>1035</v>
      </c>
      <c r="E3667" s="2" t="s">
        <v>1037</v>
      </c>
      <c r="F3667" s="2">
        <v>263.0</v>
      </c>
      <c r="G3667" s="2">
        <v>7.34</v>
      </c>
      <c r="H3667" s="2">
        <v>35.8</v>
      </c>
      <c r="I3667" s="2" t="s">
        <v>47</v>
      </c>
    </row>
    <row r="3668" ht="15.75" customHeight="1">
      <c r="A3668" s="2" t="s">
        <v>5286</v>
      </c>
      <c r="B3668" s="2" t="s">
        <v>5287</v>
      </c>
      <c r="C3668" s="2" t="s">
        <v>4661</v>
      </c>
      <c r="D3668" s="2" t="s">
        <v>774</v>
      </c>
      <c r="E3668" s="2" t="s">
        <v>775</v>
      </c>
      <c r="F3668" s="2">
        <v>2739.0</v>
      </c>
      <c r="G3668" s="2">
        <v>7.97</v>
      </c>
      <c r="H3668" s="2">
        <v>343.7</v>
      </c>
      <c r="I3668" s="2" t="s">
        <v>138</v>
      </c>
    </row>
    <row r="3669" ht="15.75" customHeight="1">
      <c r="A3669" s="2" t="s">
        <v>5290</v>
      </c>
      <c r="B3669" s="2" t="s">
        <v>5291</v>
      </c>
      <c r="C3669" s="2" t="s">
        <v>4661</v>
      </c>
      <c r="D3669" s="2" t="s">
        <v>774</v>
      </c>
      <c r="E3669" s="2" t="s">
        <v>775</v>
      </c>
      <c r="F3669" s="2">
        <v>4179.0</v>
      </c>
      <c r="G3669" s="2">
        <v>4.33</v>
      </c>
      <c r="H3669" s="2">
        <v>965.1</v>
      </c>
      <c r="I3669" s="2" t="s">
        <v>138</v>
      </c>
    </row>
    <row r="3670" ht="15.75" customHeight="1">
      <c r="A3670" s="2" t="s">
        <v>7585</v>
      </c>
      <c r="B3670" s="2" t="s">
        <v>4241</v>
      </c>
      <c r="C3670" s="2" t="s">
        <v>4661</v>
      </c>
      <c r="D3670" s="2" t="s">
        <v>869</v>
      </c>
      <c r="E3670" s="2" t="s">
        <v>870</v>
      </c>
      <c r="F3670" s="2">
        <v>269.0</v>
      </c>
      <c r="G3670" s="2">
        <v>7.28</v>
      </c>
      <c r="H3670" s="2">
        <v>37.0</v>
      </c>
      <c r="I3670" s="2" t="s">
        <v>47</v>
      </c>
    </row>
    <row r="3671" ht="15.75" customHeight="1">
      <c r="A3671" s="2" t="s">
        <v>7586</v>
      </c>
      <c r="B3671" s="2" t="s">
        <v>7587</v>
      </c>
      <c r="C3671" s="2" t="s">
        <v>4661</v>
      </c>
      <c r="D3671" s="2" t="s">
        <v>1066</v>
      </c>
      <c r="E3671" s="2" t="s">
        <v>1069</v>
      </c>
      <c r="F3671" s="2">
        <v>74.0</v>
      </c>
      <c r="G3671" s="2">
        <v>3.72</v>
      </c>
      <c r="H3671" s="2">
        <v>19.9</v>
      </c>
      <c r="I3671" s="2" t="s">
        <v>47</v>
      </c>
    </row>
    <row r="3672" ht="15.75" customHeight="1">
      <c r="A3672" s="2" t="s">
        <v>7588</v>
      </c>
      <c r="B3672" s="2" t="s">
        <v>7589</v>
      </c>
      <c r="C3672" s="2" t="s">
        <v>4661</v>
      </c>
      <c r="D3672" s="2" t="s">
        <v>853</v>
      </c>
      <c r="E3672" s="2" t="s">
        <v>854</v>
      </c>
      <c r="F3672" s="2">
        <v>178.0</v>
      </c>
      <c r="G3672" s="2">
        <v>5.19</v>
      </c>
      <c r="H3672" s="2">
        <v>34.3</v>
      </c>
      <c r="I3672" s="2" t="s">
        <v>47</v>
      </c>
    </row>
    <row r="3673" ht="15.75" customHeight="1">
      <c r="A3673" s="2" t="s">
        <v>5292</v>
      </c>
      <c r="B3673" s="2" t="s">
        <v>5293</v>
      </c>
      <c r="C3673" s="2" t="s">
        <v>4661</v>
      </c>
      <c r="D3673" s="2" t="s">
        <v>774</v>
      </c>
      <c r="E3673" s="2" t="s">
        <v>775</v>
      </c>
      <c r="F3673" s="2">
        <v>1096.0</v>
      </c>
      <c r="G3673" s="2">
        <v>4.04</v>
      </c>
      <c r="H3673" s="2">
        <v>271.3</v>
      </c>
      <c r="I3673" s="2" t="s">
        <v>27</v>
      </c>
    </row>
    <row r="3674" ht="15.75" customHeight="1">
      <c r="A3674" s="2" t="s">
        <v>7590</v>
      </c>
      <c r="B3674" s="2" t="s">
        <v>7591</v>
      </c>
      <c r="C3674" s="2" t="s">
        <v>4661</v>
      </c>
      <c r="D3674" s="2" t="s">
        <v>1066</v>
      </c>
      <c r="E3674" s="2" t="s">
        <v>1069</v>
      </c>
      <c r="F3674" s="2">
        <v>623.0</v>
      </c>
      <c r="G3674" s="2">
        <v>7.06</v>
      </c>
      <c r="H3674" s="2">
        <v>88.2</v>
      </c>
      <c r="I3674" s="2" t="s">
        <v>27</v>
      </c>
    </row>
    <row r="3675" ht="15.75" customHeight="1">
      <c r="A3675" s="2" t="s">
        <v>7592</v>
      </c>
      <c r="B3675" s="2" t="s">
        <v>7593</v>
      </c>
      <c r="C3675" s="2" t="s">
        <v>4661</v>
      </c>
      <c r="D3675" s="2" t="s">
        <v>980</v>
      </c>
      <c r="E3675" s="2" t="s">
        <v>981</v>
      </c>
      <c r="F3675" s="2">
        <v>324.0</v>
      </c>
      <c r="G3675" s="2">
        <v>8.35</v>
      </c>
      <c r="H3675" s="2">
        <v>38.8</v>
      </c>
      <c r="I3675" s="2" t="s">
        <v>47</v>
      </c>
    </row>
    <row r="3676" ht="15.75" customHeight="1">
      <c r="A3676" s="2" t="s">
        <v>7594</v>
      </c>
      <c r="B3676" s="2" t="s">
        <v>7595</v>
      </c>
      <c r="C3676" s="2" t="s">
        <v>4661</v>
      </c>
      <c r="D3676" s="2" t="s">
        <v>1066</v>
      </c>
      <c r="E3676" s="2" t="s">
        <v>1069</v>
      </c>
      <c r="F3676" s="2">
        <v>217.0</v>
      </c>
      <c r="G3676" s="2">
        <v>5.53</v>
      </c>
      <c r="H3676" s="2">
        <v>39.2</v>
      </c>
      <c r="I3676" s="2" t="s">
        <v>47</v>
      </c>
    </row>
    <row r="3677" ht="15.75" customHeight="1">
      <c r="A3677" s="2" t="s">
        <v>7596</v>
      </c>
      <c r="B3677" s="2" t="s">
        <v>7597</v>
      </c>
      <c r="C3677" s="2" t="s">
        <v>4661</v>
      </c>
      <c r="D3677" s="2" t="s">
        <v>774</v>
      </c>
      <c r="E3677" s="2" t="s">
        <v>775</v>
      </c>
      <c r="F3677" s="2">
        <v>162.0</v>
      </c>
      <c r="G3677" s="2">
        <v>3.53</v>
      </c>
      <c r="H3677" s="2">
        <v>45.9</v>
      </c>
      <c r="I3677" s="2" t="s">
        <v>47</v>
      </c>
    </row>
    <row r="3678" ht="15.75" customHeight="1">
      <c r="A3678" s="2" t="s">
        <v>7600</v>
      </c>
      <c r="B3678" s="2" t="s">
        <v>7601</v>
      </c>
      <c r="C3678" s="2" t="s">
        <v>4661</v>
      </c>
      <c r="D3678" s="2" t="s">
        <v>880</v>
      </c>
      <c r="E3678" s="2" t="s">
        <v>881</v>
      </c>
      <c r="F3678" s="2">
        <v>162.0</v>
      </c>
      <c r="G3678" s="2">
        <v>7.92</v>
      </c>
      <c r="H3678" s="2">
        <v>20.5</v>
      </c>
      <c r="I3678" s="2" t="s">
        <v>47</v>
      </c>
    </row>
    <row r="3679" ht="15.75" customHeight="1">
      <c r="A3679" s="2" t="s">
        <v>7598</v>
      </c>
      <c r="B3679" s="2" t="s">
        <v>7599</v>
      </c>
      <c r="C3679" s="2" t="s">
        <v>4661</v>
      </c>
      <c r="D3679" s="2" t="s">
        <v>796</v>
      </c>
      <c r="E3679" s="2" t="s">
        <v>797</v>
      </c>
      <c r="F3679" s="2">
        <v>235.0</v>
      </c>
      <c r="G3679" s="2">
        <v>4.1</v>
      </c>
      <c r="H3679" s="2">
        <v>57.3</v>
      </c>
      <c r="I3679" s="2" t="s">
        <v>47</v>
      </c>
    </row>
    <row r="3680" ht="15.75" customHeight="1">
      <c r="A3680" s="2" t="s">
        <v>7602</v>
      </c>
      <c r="B3680" s="2" t="s">
        <v>7603</v>
      </c>
      <c r="C3680" s="2" t="s">
        <v>4661</v>
      </c>
      <c r="D3680" s="2" t="s">
        <v>1035</v>
      </c>
      <c r="E3680" s="2" t="s">
        <v>1037</v>
      </c>
      <c r="F3680" s="2">
        <v>124.0</v>
      </c>
      <c r="G3680" s="2">
        <v>8.65</v>
      </c>
      <c r="H3680" s="2">
        <v>14.3</v>
      </c>
      <c r="I3680" s="2" t="s">
        <v>47</v>
      </c>
    </row>
    <row r="3681" ht="15.75" customHeight="1">
      <c r="A3681" s="2" t="s">
        <v>7604</v>
      </c>
      <c r="B3681" s="2" t="s">
        <v>7605</v>
      </c>
      <c r="C3681" s="2" t="s">
        <v>4661</v>
      </c>
      <c r="D3681" s="2" t="s">
        <v>853</v>
      </c>
      <c r="E3681" s="2" t="s">
        <v>854</v>
      </c>
      <c r="F3681" s="2">
        <v>288.0</v>
      </c>
      <c r="G3681" s="2">
        <v>5.13</v>
      </c>
      <c r="H3681" s="2">
        <v>56.1</v>
      </c>
      <c r="I3681" s="2" t="s">
        <v>47</v>
      </c>
    </row>
    <row r="3682" ht="15.75" customHeight="1">
      <c r="A3682" s="2" t="s">
        <v>7606</v>
      </c>
      <c r="B3682" s="2" t="s">
        <v>7607</v>
      </c>
      <c r="C3682" s="2" t="s">
        <v>4661</v>
      </c>
      <c r="D3682" s="2" t="s">
        <v>1071</v>
      </c>
      <c r="E3682" s="2" t="s">
        <v>1075</v>
      </c>
      <c r="F3682" s="2">
        <v>186.0</v>
      </c>
      <c r="G3682" s="2">
        <v>5.2</v>
      </c>
      <c r="H3682" s="2">
        <v>35.8</v>
      </c>
      <c r="I3682" s="2" t="s">
        <v>47</v>
      </c>
    </row>
    <row r="3683" ht="15.75" customHeight="1">
      <c r="A3683" s="2" t="s">
        <v>7608</v>
      </c>
      <c r="B3683" s="2" t="s">
        <v>7609</v>
      </c>
      <c r="C3683" s="2" t="s">
        <v>4661</v>
      </c>
      <c r="D3683" s="2" t="s">
        <v>1035</v>
      </c>
      <c r="E3683" s="2" t="s">
        <v>1037</v>
      </c>
      <c r="F3683" s="2">
        <v>84.0</v>
      </c>
      <c r="G3683" s="2">
        <v>2.99</v>
      </c>
      <c r="H3683" s="2">
        <v>28.1</v>
      </c>
      <c r="I3683" s="2" t="s">
        <v>47</v>
      </c>
    </row>
    <row r="3684" ht="15.75" customHeight="1">
      <c r="A3684" s="2" t="s">
        <v>7610</v>
      </c>
      <c r="B3684" s="2" t="s">
        <v>7611</v>
      </c>
      <c r="C3684" s="2" t="s">
        <v>4661</v>
      </c>
      <c r="D3684" s="2" t="s">
        <v>980</v>
      </c>
      <c r="E3684" s="2" t="s">
        <v>981</v>
      </c>
      <c r="F3684" s="2">
        <v>190.0</v>
      </c>
      <c r="G3684" s="2">
        <v>8.66</v>
      </c>
      <c r="H3684" s="2">
        <v>21.9</v>
      </c>
      <c r="I3684" s="2" t="s">
        <v>47</v>
      </c>
    </row>
    <row r="3685" ht="15.75" customHeight="1">
      <c r="A3685" s="2" t="s">
        <v>7612</v>
      </c>
      <c r="B3685" s="2" t="s">
        <v>7613</v>
      </c>
      <c r="C3685" s="2" t="s">
        <v>4661</v>
      </c>
      <c r="D3685" s="2" t="s">
        <v>1066</v>
      </c>
      <c r="E3685" s="2" t="s">
        <v>1069</v>
      </c>
      <c r="F3685" s="2">
        <v>58.0</v>
      </c>
      <c r="G3685" s="2">
        <v>4.06</v>
      </c>
      <c r="H3685" s="2">
        <v>14.3</v>
      </c>
      <c r="I3685" s="2" t="s">
        <v>47</v>
      </c>
    </row>
    <row r="3686" ht="15.75" customHeight="1">
      <c r="A3686" s="2" t="s">
        <v>5296</v>
      </c>
      <c r="B3686" s="2" t="s">
        <v>5298</v>
      </c>
      <c r="C3686" s="2" t="s">
        <v>4661</v>
      </c>
      <c r="D3686" s="2" t="s">
        <v>1009</v>
      </c>
      <c r="E3686" s="2" t="s">
        <v>1010</v>
      </c>
      <c r="F3686" s="2">
        <v>1085.0</v>
      </c>
      <c r="G3686" s="2">
        <v>19.17</v>
      </c>
      <c r="H3686" s="2">
        <v>56.6</v>
      </c>
      <c r="I3686" s="2" t="s">
        <v>27</v>
      </c>
    </row>
    <row r="3687" ht="15.75" customHeight="1">
      <c r="A3687" s="2" t="s">
        <v>7614</v>
      </c>
      <c r="B3687" s="2" t="s">
        <v>7615</v>
      </c>
      <c r="C3687" s="2" t="s">
        <v>4661</v>
      </c>
      <c r="D3687" s="2" t="s">
        <v>880</v>
      </c>
      <c r="E3687" s="2" t="s">
        <v>881</v>
      </c>
      <c r="F3687" s="2">
        <v>139.0</v>
      </c>
      <c r="G3687" s="2">
        <v>7.25</v>
      </c>
      <c r="H3687" s="2">
        <v>19.2</v>
      </c>
      <c r="I3687" s="2" t="s">
        <v>47</v>
      </c>
    </row>
    <row r="3688" ht="15.75" customHeight="1">
      <c r="A3688" s="2" t="s">
        <v>7616</v>
      </c>
      <c r="B3688" s="2" t="s">
        <v>7617</v>
      </c>
      <c r="C3688" s="2" t="s">
        <v>4661</v>
      </c>
      <c r="D3688" s="2" t="s">
        <v>880</v>
      </c>
      <c r="E3688" s="2" t="s">
        <v>881</v>
      </c>
      <c r="F3688" s="2">
        <v>198.0</v>
      </c>
      <c r="G3688" s="2">
        <v>6.49</v>
      </c>
      <c r="H3688" s="2">
        <v>30.5</v>
      </c>
      <c r="I3688" s="2" t="s">
        <v>47</v>
      </c>
    </row>
    <row r="3689" ht="15.75" customHeight="1">
      <c r="A3689" s="2" t="s">
        <v>7618</v>
      </c>
      <c r="B3689" s="2" t="s">
        <v>7619</v>
      </c>
      <c r="C3689" s="2" t="s">
        <v>4661</v>
      </c>
      <c r="D3689" s="2" t="s">
        <v>1009</v>
      </c>
      <c r="E3689" s="2" t="s">
        <v>1010</v>
      </c>
      <c r="F3689" s="2">
        <v>323.0</v>
      </c>
      <c r="G3689" s="2">
        <v>2.67</v>
      </c>
      <c r="H3689" s="2">
        <v>121.0</v>
      </c>
      <c r="I3689" s="2" t="s">
        <v>47</v>
      </c>
    </row>
    <row r="3690" ht="15.75" customHeight="1">
      <c r="A3690" s="2" t="s">
        <v>7620</v>
      </c>
      <c r="B3690" s="2" t="s">
        <v>7621</v>
      </c>
      <c r="C3690" s="2" t="s">
        <v>4661</v>
      </c>
      <c r="D3690" s="2" t="s">
        <v>869</v>
      </c>
      <c r="E3690" s="2" t="s">
        <v>870</v>
      </c>
      <c r="F3690" s="2">
        <v>145.0</v>
      </c>
      <c r="G3690" s="2">
        <v>4.93</v>
      </c>
      <c r="H3690" s="2">
        <v>29.4</v>
      </c>
      <c r="I3690" s="2" t="s">
        <v>47</v>
      </c>
    </row>
    <row r="3691" ht="15.75" customHeight="1">
      <c r="A3691" s="2" t="s">
        <v>5300</v>
      </c>
      <c r="B3691" s="2" t="s">
        <v>5301</v>
      </c>
      <c r="C3691" s="2" t="s">
        <v>4661</v>
      </c>
      <c r="D3691" s="2" t="s">
        <v>853</v>
      </c>
      <c r="E3691" s="2" t="s">
        <v>854</v>
      </c>
      <c r="F3691" s="2">
        <v>552.0</v>
      </c>
      <c r="G3691" s="2">
        <v>8.12</v>
      </c>
      <c r="H3691" s="2">
        <v>68.0</v>
      </c>
      <c r="I3691" s="2" t="s">
        <v>27</v>
      </c>
    </row>
    <row r="3692" ht="15.75" customHeight="1">
      <c r="A3692" s="2" t="s">
        <v>7624</v>
      </c>
      <c r="B3692" s="2" t="s">
        <v>7625</v>
      </c>
      <c r="C3692" s="2" t="s">
        <v>4661</v>
      </c>
      <c r="D3692" s="2" t="s">
        <v>980</v>
      </c>
      <c r="E3692" s="2" t="s">
        <v>981</v>
      </c>
      <c r="F3692" s="2">
        <v>124.0</v>
      </c>
      <c r="G3692" s="2">
        <v>4.42</v>
      </c>
      <c r="H3692" s="2">
        <v>28.1</v>
      </c>
      <c r="I3692" s="2" t="s">
        <v>47</v>
      </c>
    </row>
    <row r="3693" ht="15.75" customHeight="1">
      <c r="A3693" s="2" t="s">
        <v>5302</v>
      </c>
      <c r="B3693" s="2" t="s">
        <v>5303</v>
      </c>
      <c r="C3693" s="2" t="s">
        <v>4661</v>
      </c>
      <c r="D3693" s="2" t="s">
        <v>1066</v>
      </c>
      <c r="E3693" s="2" t="s">
        <v>1069</v>
      </c>
      <c r="F3693" s="2">
        <v>380.0</v>
      </c>
      <c r="G3693" s="2">
        <v>14.76</v>
      </c>
      <c r="H3693" s="2">
        <v>25.7</v>
      </c>
      <c r="I3693" s="2" t="s">
        <v>47</v>
      </c>
    </row>
    <row r="3694" ht="15.75" customHeight="1">
      <c r="A3694" s="2" t="s">
        <v>7626</v>
      </c>
      <c r="B3694" s="2" t="s">
        <v>7627</v>
      </c>
      <c r="C3694" s="2" t="s">
        <v>4661</v>
      </c>
      <c r="D3694" s="2" t="s">
        <v>1066</v>
      </c>
      <c r="E3694" s="2" t="s">
        <v>1069</v>
      </c>
      <c r="F3694" s="2">
        <v>141.0</v>
      </c>
      <c r="G3694" s="2">
        <v>3.29</v>
      </c>
      <c r="H3694" s="2">
        <v>42.9</v>
      </c>
      <c r="I3694" s="2" t="s">
        <v>47</v>
      </c>
    </row>
    <row r="3695" ht="15.75" customHeight="1">
      <c r="A3695" s="2" t="s">
        <v>7628</v>
      </c>
      <c r="B3695" s="2" t="s">
        <v>6622</v>
      </c>
      <c r="C3695" s="2" t="s">
        <v>4661</v>
      </c>
      <c r="D3695" s="2" t="s">
        <v>980</v>
      </c>
      <c r="E3695" s="2" t="s">
        <v>981</v>
      </c>
      <c r="F3695" s="2">
        <v>54.0</v>
      </c>
      <c r="G3695" s="2">
        <v>3.72</v>
      </c>
      <c r="H3695" s="2">
        <v>14.5</v>
      </c>
      <c r="I3695" s="2" t="s">
        <v>47</v>
      </c>
    </row>
    <row r="3696" ht="15.75" customHeight="1">
      <c r="A3696" s="2" t="s">
        <v>7629</v>
      </c>
      <c r="B3696" s="2" t="s">
        <v>7630</v>
      </c>
      <c r="C3696" s="2" t="s">
        <v>4661</v>
      </c>
      <c r="D3696" s="2" t="s">
        <v>1066</v>
      </c>
      <c r="E3696" s="2" t="s">
        <v>1069</v>
      </c>
      <c r="F3696" s="2">
        <v>147.0</v>
      </c>
      <c r="G3696" s="2">
        <v>11.16</v>
      </c>
      <c r="H3696" s="2">
        <v>13.2</v>
      </c>
      <c r="I3696" s="2" t="s">
        <v>47</v>
      </c>
    </row>
    <row r="3697" ht="15.75" customHeight="1">
      <c r="A3697" s="2" t="s">
        <v>7631</v>
      </c>
      <c r="B3697" s="2" t="s">
        <v>7632</v>
      </c>
      <c r="C3697" s="2" t="s">
        <v>4661</v>
      </c>
      <c r="D3697" s="2" t="s">
        <v>853</v>
      </c>
      <c r="E3697" s="2" t="s">
        <v>854</v>
      </c>
      <c r="F3697" s="2">
        <v>207.0</v>
      </c>
      <c r="G3697" s="2">
        <v>5.18</v>
      </c>
      <c r="H3697" s="2">
        <v>40.0</v>
      </c>
      <c r="I3697" s="2" t="s">
        <v>47</v>
      </c>
    </row>
    <row r="3698" ht="15.75" customHeight="1">
      <c r="A3698" s="2" t="s">
        <v>7622</v>
      </c>
      <c r="B3698" s="2" t="s">
        <v>7623</v>
      </c>
      <c r="C3698" s="2" t="s">
        <v>4661</v>
      </c>
      <c r="D3698" s="2" t="s">
        <v>774</v>
      </c>
      <c r="E3698" s="2" t="s">
        <v>775</v>
      </c>
      <c r="F3698" s="2">
        <v>661.0</v>
      </c>
      <c r="G3698" s="2">
        <v>6.74</v>
      </c>
      <c r="H3698" s="2">
        <v>98.1</v>
      </c>
      <c r="I3698" s="2" t="s">
        <v>27</v>
      </c>
    </row>
    <row r="3699" ht="15.75" customHeight="1">
      <c r="A3699" s="2" t="s">
        <v>5305</v>
      </c>
      <c r="B3699" s="2" t="s">
        <v>5307</v>
      </c>
      <c r="C3699" s="2" t="s">
        <v>4661</v>
      </c>
      <c r="D3699" s="2" t="s">
        <v>948</v>
      </c>
      <c r="E3699" s="2" t="s">
        <v>950</v>
      </c>
      <c r="F3699" s="2">
        <v>318.0</v>
      </c>
      <c r="G3699" s="2">
        <v>6.42</v>
      </c>
      <c r="H3699" s="2">
        <v>49.5</v>
      </c>
      <c r="I3699" s="2" t="s">
        <v>47</v>
      </c>
    </row>
    <row r="3700" ht="15.75" customHeight="1">
      <c r="A3700" s="2" t="s">
        <v>7633</v>
      </c>
      <c r="B3700" s="2" t="s">
        <v>7634</v>
      </c>
      <c r="C3700" s="2" t="s">
        <v>4661</v>
      </c>
      <c r="D3700" s="2" t="s">
        <v>1032</v>
      </c>
      <c r="E3700" s="2" t="s">
        <v>1033</v>
      </c>
      <c r="F3700" s="2">
        <v>353.0</v>
      </c>
      <c r="G3700" s="2">
        <v>8.08</v>
      </c>
      <c r="H3700" s="2">
        <v>43.7</v>
      </c>
      <c r="I3700" s="2" t="s">
        <v>47</v>
      </c>
    </row>
    <row r="3701" ht="15.75" customHeight="1">
      <c r="A3701" s="2" t="s">
        <v>5308</v>
      </c>
      <c r="B3701" s="2" t="s">
        <v>5309</v>
      </c>
      <c r="C3701" s="2" t="s">
        <v>4661</v>
      </c>
      <c r="D3701" s="2" t="s">
        <v>880</v>
      </c>
      <c r="E3701" s="2" t="s">
        <v>881</v>
      </c>
      <c r="F3701" s="2">
        <v>334.0</v>
      </c>
      <c r="G3701" s="2">
        <v>12.84</v>
      </c>
      <c r="H3701" s="2">
        <v>26.0</v>
      </c>
      <c r="I3701" s="2" t="s">
        <v>47</v>
      </c>
    </row>
    <row r="3702" ht="15.75" customHeight="1">
      <c r="A3702" s="2" t="s">
        <v>5310</v>
      </c>
      <c r="B3702" s="2" t="s">
        <v>5311</v>
      </c>
      <c r="C3702" s="2" t="s">
        <v>4661</v>
      </c>
      <c r="D3702" s="2" t="s">
        <v>1022</v>
      </c>
      <c r="E3702" s="2" t="s">
        <v>1025</v>
      </c>
      <c r="F3702" s="2">
        <v>805.0</v>
      </c>
      <c r="G3702" s="2">
        <v>13.39</v>
      </c>
      <c r="H3702" s="2">
        <v>60.1</v>
      </c>
      <c r="I3702" s="2" t="s">
        <v>27</v>
      </c>
    </row>
    <row r="3703" ht="15.75" customHeight="1">
      <c r="A3703" s="2" t="s">
        <v>7639</v>
      </c>
      <c r="B3703" s="2" t="s">
        <v>7640</v>
      </c>
      <c r="C3703" s="2" t="s">
        <v>4661</v>
      </c>
      <c r="D3703" s="2" t="s">
        <v>980</v>
      </c>
      <c r="E3703" s="2" t="s">
        <v>981</v>
      </c>
      <c r="F3703" s="2">
        <v>435.0</v>
      </c>
      <c r="G3703" s="2">
        <v>14.53</v>
      </c>
      <c r="H3703" s="2">
        <v>29.9</v>
      </c>
      <c r="I3703" s="2" t="s">
        <v>47</v>
      </c>
    </row>
    <row r="3704" ht="15.75" customHeight="1">
      <c r="A3704" s="2" t="s">
        <v>7643</v>
      </c>
      <c r="B3704" s="2" t="s">
        <v>7644</v>
      </c>
      <c r="C3704" s="2" t="s">
        <v>4661</v>
      </c>
      <c r="D3704" s="2" t="s">
        <v>1016</v>
      </c>
      <c r="E3704" s="2" t="s">
        <v>1017</v>
      </c>
      <c r="F3704" s="2">
        <v>220.0</v>
      </c>
      <c r="G3704" s="2">
        <v>2.25</v>
      </c>
      <c r="H3704" s="2">
        <v>97.8</v>
      </c>
      <c r="I3704" s="2" t="s">
        <v>47</v>
      </c>
    </row>
    <row r="3705" ht="15.75" customHeight="1">
      <c r="A3705" s="2" t="s">
        <v>5312</v>
      </c>
      <c r="B3705" s="2" t="s">
        <v>5313</v>
      </c>
      <c r="C3705" s="2" t="s">
        <v>4661</v>
      </c>
      <c r="D3705" s="2" t="s">
        <v>948</v>
      </c>
      <c r="E3705" s="2" t="s">
        <v>950</v>
      </c>
      <c r="F3705" s="2">
        <v>1482.0</v>
      </c>
      <c r="G3705" s="2">
        <v>16.83</v>
      </c>
      <c r="H3705" s="2">
        <v>88.1</v>
      </c>
      <c r="I3705" s="2" t="s">
        <v>27</v>
      </c>
    </row>
    <row r="3706" ht="15.75" customHeight="1">
      <c r="A3706" s="2" t="s">
        <v>5315</v>
      </c>
      <c r="B3706" s="2" t="s">
        <v>5317</v>
      </c>
      <c r="C3706" s="2" t="s">
        <v>4661</v>
      </c>
      <c r="D3706" s="2" t="s">
        <v>1022</v>
      </c>
      <c r="E3706" s="2" t="s">
        <v>1025</v>
      </c>
      <c r="F3706" s="2">
        <v>549.0</v>
      </c>
      <c r="G3706" s="2">
        <v>1.88</v>
      </c>
      <c r="H3706" s="2">
        <v>292.0</v>
      </c>
      <c r="I3706" s="2" t="s">
        <v>27</v>
      </c>
    </row>
    <row r="3707" ht="15.75" customHeight="1">
      <c r="A3707" s="2" t="s">
        <v>7637</v>
      </c>
      <c r="B3707" s="2" t="s">
        <v>7638</v>
      </c>
      <c r="C3707" s="2" t="s">
        <v>4661</v>
      </c>
      <c r="D3707" s="2" t="s">
        <v>1022</v>
      </c>
      <c r="E3707" s="2" t="s">
        <v>1025</v>
      </c>
      <c r="F3707" s="2">
        <v>308.0</v>
      </c>
      <c r="G3707" s="2">
        <v>8.86</v>
      </c>
      <c r="H3707" s="2">
        <v>34.8</v>
      </c>
      <c r="I3707" s="2" t="s">
        <v>47</v>
      </c>
    </row>
    <row r="3708" ht="15.75" customHeight="1">
      <c r="A3708" s="2" t="s">
        <v>7645</v>
      </c>
      <c r="B3708" s="2" t="s">
        <v>7646</v>
      </c>
      <c r="C3708" s="2" t="s">
        <v>4661</v>
      </c>
      <c r="D3708" s="2" t="s">
        <v>869</v>
      </c>
      <c r="E3708" s="2" t="s">
        <v>870</v>
      </c>
      <c r="F3708" s="2">
        <v>29.0</v>
      </c>
      <c r="G3708" s="2">
        <v>2.87</v>
      </c>
      <c r="H3708" s="2">
        <v>10.1</v>
      </c>
      <c r="I3708" s="2" t="s">
        <v>47</v>
      </c>
    </row>
    <row r="3709" ht="15.75" customHeight="1">
      <c r="A3709" s="2" t="s">
        <v>7647</v>
      </c>
      <c r="B3709" s="2" t="s">
        <v>765</v>
      </c>
      <c r="C3709" s="2" t="s">
        <v>4661</v>
      </c>
      <c r="D3709" s="2" t="s">
        <v>1009</v>
      </c>
      <c r="E3709" s="2" t="s">
        <v>1010</v>
      </c>
      <c r="F3709" s="2">
        <v>98.0</v>
      </c>
      <c r="G3709" s="2">
        <v>4.97</v>
      </c>
      <c r="H3709" s="2">
        <v>19.7</v>
      </c>
      <c r="I3709" s="2" t="s">
        <v>47</v>
      </c>
    </row>
    <row r="3710" ht="15.75" customHeight="1">
      <c r="A3710" s="2" t="s">
        <v>7648</v>
      </c>
      <c r="B3710" s="2" t="s">
        <v>7649</v>
      </c>
      <c r="C3710" s="2" t="s">
        <v>4661</v>
      </c>
      <c r="D3710" s="2" t="s">
        <v>1016</v>
      </c>
      <c r="E3710" s="2" t="s">
        <v>1017</v>
      </c>
      <c r="F3710" s="2">
        <v>288.0</v>
      </c>
      <c r="G3710" s="2">
        <v>6.8</v>
      </c>
      <c r="H3710" s="2">
        <v>42.4</v>
      </c>
      <c r="I3710" s="2" t="s">
        <v>47</v>
      </c>
    </row>
    <row r="3711" ht="15.75" customHeight="1">
      <c r="A3711" s="2" t="s">
        <v>7650</v>
      </c>
      <c r="B3711" s="2" t="s">
        <v>7651</v>
      </c>
      <c r="C3711" s="2" t="s">
        <v>4661</v>
      </c>
      <c r="D3711" s="2" t="s">
        <v>1022</v>
      </c>
      <c r="E3711" s="2" t="s">
        <v>1025</v>
      </c>
      <c r="F3711" s="2">
        <v>655.0</v>
      </c>
      <c r="G3711" s="2">
        <v>5.23</v>
      </c>
      <c r="H3711" s="2">
        <v>125.2</v>
      </c>
      <c r="I3711" s="2" t="s">
        <v>27</v>
      </c>
    </row>
    <row r="3712" ht="15.75" customHeight="1">
      <c r="A3712" s="2" t="s">
        <v>7652</v>
      </c>
      <c r="B3712" s="2" t="s">
        <v>7653</v>
      </c>
      <c r="C3712" s="2" t="s">
        <v>4661</v>
      </c>
      <c r="D3712" s="2" t="s">
        <v>980</v>
      </c>
      <c r="E3712" s="2" t="s">
        <v>981</v>
      </c>
      <c r="F3712" s="2">
        <v>222.0</v>
      </c>
      <c r="G3712" s="2">
        <v>7.31</v>
      </c>
      <c r="H3712" s="2">
        <v>30.4</v>
      </c>
      <c r="I3712" s="2" t="s">
        <v>47</v>
      </c>
    </row>
    <row r="3713" ht="15.75" customHeight="1">
      <c r="A3713" s="2" t="s">
        <v>5319</v>
      </c>
      <c r="B3713" s="2" t="s">
        <v>5321</v>
      </c>
      <c r="C3713" s="2" t="s">
        <v>4661</v>
      </c>
      <c r="D3713" s="2" t="s">
        <v>796</v>
      </c>
      <c r="E3713" s="2" t="s">
        <v>797</v>
      </c>
      <c r="F3713" s="2">
        <v>815.0</v>
      </c>
      <c r="G3713" s="2">
        <v>6.2</v>
      </c>
      <c r="H3713" s="2">
        <v>131.5</v>
      </c>
      <c r="I3713" s="2" t="s">
        <v>27</v>
      </c>
    </row>
    <row r="3714" ht="15.75" customHeight="1">
      <c r="A3714" s="2" t="s">
        <v>7654</v>
      </c>
      <c r="B3714" s="2" t="s">
        <v>7655</v>
      </c>
      <c r="C3714" s="2" t="s">
        <v>4661</v>
      </c>
      <c r="D3714" s="2" t="s">
        <v>980</v>
      </c>
      <c r="E3714" s="2" t="s">
        <v>981</v>
      </c>
      <c r="F3714" s="2">
        <v>132.0</v>
      </c>
      <c r="G3714" s="2">
        <v>4.77</v>
      </c>
      <c r="H3714" s="2">
        <v>27.7</v>
      </c>
      <c r="I3714" s="2" t="s">
        <v>47</v>
      </c>
    </row>
    <row r="3715" ht="15.75" customHeight="1">
      <c r="A3715" s="2" t="s">
        <v>7656</v>
      </c>
      <c r="B3715" s="2" t="s">
        <v>7657</v>
      </c>
      <c r="C3715" s="2" t="s">
        <v>4661</v>
      </c>
      <c r="D3715" s="2" t="s">
        <v>1035</v>
      </c>
      <c r="E3715" s="2" t="s">
        <v>1037</v>
      </c>
      <c r="F3715" s="2">
        <v>120.0</v>
      </c>
      <c r="G3715" s="2">
        <v>3.93</v>
      </c>
      <c r="H3715" s="2">
        <v>30.5</v>
      </c>
      <c r="I3715" s="2" t="s">
        <v>47</v>
      </c>
    </row>
    <row r="3716" ht="15.75" customHeight="1">
      <c r="A3716" s="2" t="s">
        <v>5322</v>
      </c>
      <c r="B3716" s="2" t="s">
        <v>4566</v>
      </c>
      <c r="C3716" s="2" t="s">
        <v>4661</v>
      </c>
      <c r="D3716" s="2" t="s">
        <v>796</v>
      </c>
      <c r="E3716" s="2" t="s">
        <v>797</v>
      </c>
      <c r="F3716" s="2">
        <v>414.0</v>
      </c>
      <c r="G3716" s="2">
        <v>3.01</v>
      </c>
      <c r="H3716" s="2">
        <v>137.5</v>
      </c>
      <c r="I3716" s="2" t="s">
        <v>47</v>
      </c>
    </row>
    <row r="3717" ht="15.75" customHeight="1">
      <c r="A3717" s="2" t="s">
        <v>7658</v>
      </c>
      <c r="B3717" s="2" t="s">
        <v>7659</v>
      </c>
      <c r="C3717" s="2" t="s">
        <v>4661</v>
      </c>
      <c r="D3717" s="2" t="s">
        <v>1071</v>
      </c>
      <c r="E3717" s="2" t="s">
        <v>1075</v>
      </c>
      <c r="F3717" s="2">
        <v>233.0</v>
      </c>
      <c r="G3717" s="2">
        <v>6.21</v>
      </c>
      <c r="H3717" s="2">
        <v>37.5</v>
      </c>
      <c r="I3717" s="2" t="s">
        <v>47</v>
      </c>
    </row>
    <row r="3718" ht="15.75" customHeight="1">
      <c r="A3718" s="2" t="s">
        <v>7662</v>
      </c>
      <c r="B3718" s="2" t="s">
        <v>7663</v>
      </c>
      <c r="C3718" s="2" t="s">
        <v>4661</v>
      </c>
      <c r="D3718" s="2" t="s">
        <v>796</v>
      </c>
      <c r="E3718" s="2" t="s">
        <v>797</v>
      </c>
      <c r="F3718" s="2">
        <v>79.0</v>
      </c>
      <c r="G3718" s="2">
        <v>3.99</v>
      </c>
      <c r="H3718" s="2">
        <v>19.8</v>
      </c>
      <c r="I3718" s="2" t="s">
        <v>47</v>
      </c>
    </row>
    <row r="3719" ht="15.75" customHeight="1">
      <c r="A3719" s="2" t="s">
        <v>7660</v>
      </c>
      <c r="B3719" s="2" t="s">
        <v>7661</v>
      </c>
      <c r="C3719" s="2" t="s">
        <v>4661</v>
      </c>
      <c r="D3719" s="2" t="s">
        <v>774</v>
      </c>
      <c r="E3719" s="2" t="s">
        <v>775</v>
      </c>
      <c r="F3719" s="2">
        <v>444.0</v>
      </c>
      <c r="G3719" s="2">
        <v>11.27</v>
      </c>
      <c r="H3719" s="2">
        <v>39.4</v>
      </c>
      <c r="I3719" s="2" t="s">
        <v>47</v>
      </c>
    </row>
    <row r="3720" ht="15.75" customHeight="1">
      <c r="A3720" s="2" t="s">
        <v>7664</v>
      </c>
      <c r="B3720" s="2" t="s">
        <v>7665</v>
      </c>
      <c r="C3720" s="2" t="s">
        <v>4661</v>
      </c>
      <c r="D3720" s="2" t="s">
        <v>1016</v>
      </c>
      <c r="E3720" s="2" t="s">
        <v>1017</v>
      </c>
      <c r="F3720" s="2">
        <v>268.0</v>
      </c>
      <c r="G3720" s="2">
        <v>5.14</v>
      </c>
      <c r="H3720" s="2">
        <v>52.1</v>
      </c>
      <c r="I3720" s="2" t="s">
        <v>47</v>
      </c>
    </row>
    <row r="3721" ht="15.75" customHeight="1">
      <c r="A3721" s="2" t="s">
        <v>5325</v>
      </c>
      <c r="B3721" s="2" t="s">
        <v>5326</v>
      </c>
      <c r="C3721" s="2" t="s">
        <v>4661</v>
      </c>
      <c r="D3721" s="2" t="s">
        <v>1016</v>
      </c>
      <c r="E3721" s="2" t="s">
        <v>1017</v>
      </c>
      <c r="F3721" s="2">
        <v>531.0</v>
      </c>
      <c r="G3721" s="2">
        <v>1.85</v>
      </c>
      <c r="H3721" s="2">
        <v>287.0</v>
      </c>
      <c r="I3721" s="2" t="s">
        <v>27</v>
      </c>
    </row>
    <row r="3722" ht="15.75" customHeight="1">
      <c r="A3722" s="2" t="s">
        <v>7666</v>
      </c>
      <c r="B3722" s="2" t="s">
        <v>5803</v>
      </c>
      <c r="C3722" s="2" t="s">
        <v>4661</v>
      </c>
      <c r="D3722" s="2" t="s">
        <v>1066</v>
      </c>
      <c r="E3722" s="2" t="s">
        <v>1069</v>
      </c>
      <c r="F3722" s="2">
        <v>141.0</v>
      </c>
      <c r="G3722" s="2">
        <v>3.97</v>
      </c>
      <c r="H3722" s="2">
        <v>35.5</v>
      </c>
      <c r="I3722" s="2" t="s">
        <v>47</v>
      </c>
    </row>
    <row r="3723" ht="15.75" customHeight="1">
      <c r="A3723" s="2" t="s">
        <v>7667</v>
      </c>
      <c r="B3723" s="2" t="s">
        <v>7668</v>
      </c>
      <c r="C3723" s="2" t="s">
        <v>4661</v>
      </c>
      <c r="D3723" s="2" t="s">
        <v>1051</v>
      </c>
      <c r="E3723" s="2" t="s">
        <v>1053</v>
      </c>
      <c r="F3723" s="2">
        <v>97.0</v>
      </c>
      <c r="G3723" s="2">
        <v>4.7</v>
      </c>
      <c r="H3723" s="2">
        <v>20.6</v>
      </c>
      <c r="I3723" s="2" t="s">
        <v>47</v>
      </c>
    </row>
    <row r="3724" ht="15.75" customHeight="1">
      <c r="A3724" s="2" t="s">
        <v>7669</v>
      </c>
      <c r="B3724" s="2" t="s">
        <v>7670</v>
      </c>
      <c r="C3724" s="2" t="s">
        <v>4661</v>
      </c>
      <c r="D3724" s="2" t="s">
        <v>1066</v>
      </c>
      <c r="E3724" s="2" t="s">
        <v>1069</v>
      </c>
      <c r="F3724" s="2">
        <v>174.0</v>
      </c>
      <c r="G3724" s="2">
        <v>8.02</v>
      </c>
      <c r="H3724" s="2">
        <v>21.7</v>
      </c>
      <c r="I3724" s="2" t="s">
        <v>47</v>
      </c>
    </row>
    <row r="3725" ht="15.75" customHeight="1">
      <c r="A3725" s="2" t="s">
        <v>7671</v>
      </c>
      <c r="B3725" s="2" t="s">
        <v>7672</v>
      </c>
      <c r="C3725" s="2" t="s">
        <v>4661</v>
      </c>
      <c r="D3725" s="2" t="s">
        <v>1071</v>
      </c>
      <c r="E3725" s="2" t="s">
        <v>1075</v>
      </c>
      <c r="F3725" s="2">
        <v>147.0</v>
      </c>
      <c r="G3725" s="2">
        <v>5.88</v>
      </c>
      <c r="H3725" s="2">
        <v>25.0</v>
      </c>
      <c r="I3725" s="2" t="s">
        <v>47</v>
      </c>
    </row>
    <row r="3726" ht="15.75" customHeight="1">
      <c r="A3726" s="2" t="s">
        <v>7673</v>
      </c>
      <c r="B3726" s="2" t="s">
        <v>7674</v>
      </c>
      <c r="C3726" s="2" t="s">
        <v>4661</v>
      </c>
      <c r="D3726" s="2" t="s">
        <v>948</v>
      </c>
      <c r="E3726" s="2" t="s">
        <v>950</v>
      </c>
      <c r="F3726" s="2">
        <v>168.0</v>
      </c>
      <c r="G3726" s="2">
        <v>4.87</v>
      </c>
      <c r="H3726" s="2">
        <v>34.5</v>
      </c>
      <c r="I3726" s="2" t="s">
        <v>47</v>
      </c>
    </row>
    <row r="3727" ht="15.75" customHeight="1">
      <c r="A3727" s="2" t="s">
        <v>5329</v>
      </c>
      <c r="B3727" s="2" t="s">
        <v>5330</v>
      </c>
      <c r="C3727" s="2" t="s">
        <v>4661</v>
      </c>
      <c r="D3727" s="2" t="s">
        <v>774</v>
      </c>
      <c r="E3727" s="2" t="s">
        <v>775</v>
      </c>
      <c r="F3727" s="2">
        <v>929.0</v>
      </c>
      <c r="G3727" s="2">
        <v>11.33</v>
      </c>
      <c r="H3727" s="2">
        <v>82.0</v>
      </c>
      <c r="I3727" s="2" t="s">
        <v>27</v>
      </c>
    </row>
    <row r="3728" ht="15.75" customHeight="1">
      <c r="A3728" s="2" t="s">
        <v>5331</v>
      </c>
      <c r="B3728" s="2" t="s">
        <v>5332</v>
      </c>
      <c r="C3728" s="2" t="s">
        <v>4661</v>
      </c>
      <c r="D3728" s="2" t="s">
        <v>1035</v>
      </c>
      <c r="E3728" s="2" t="s">
        <v>1037</v>
      </c>
      <c r="F3728" s="2">
        <v>2263.0</v>
      </c>
      <c r="G3728" s="2">
        <v>29.0</v>
      </c>
      <c r="H3728" s="2">
        <v>78.0</v>
      </c>
      <c r="I3728" s="2" t="s">
        <v>138</v>
      </c>
    </row>
    <row r="3729" ht="15.75" customHeight="1">
      <c r="A3729" s="2" t="s">
        <v>5333</v>
      </c>
      <c r="B3729" s="2" t="s">
        <v>5334</v>
      </c>
      <c r="C3729" s="2" t="s">
        <v>4661</v>
      </c>
      <c r="D3729" s="2" t="s">
        <v>1035</v>
      </c>
      <c r="E3729" s="2" t="s">
        <v>1037</v>
      </c>
      <c r="F3729" s="2">
        <v>461.0</v>
      </c>
      <c r="G3729" s="2">
        <v>8.94</v>
      </c>
      <c r="H3729" s="2">
        <v>51.6</v>
      </c>
      <c r="I3729" s="2" t="s">
        <v>47</v>
      </c>
    </row>
    <row r="3730" ht="15.75" customHeight="1">
      <c r="A3730" s="2" t="s">
        <v>5337</v>
      </c>
      <c r="B3730" s="2" t="s">
        <v>5338</v>
      </c>
      <c r="C3730" s="2" t="s">
        <v>4661</v>
      </c>
      <c r="D3730" s="2" t="s">
        <v>980</v>
      </c>
      <c r="E3730" s="2" t="s">
        <v>981</v>
      </c>
      <c r="F3730" s="2">
        <v>281.0</v>
      </c>
      <c r="G3730" s="2">
        <v>5.95</v>
      </c>
      <c r="H3730" s="2">
        <v>47.2</v>
      </c>
      <c r="I3730" s="2" t="s">
        <v>47</v>
      </c>
    </row>
    <row r="3731" ht="15.75" customHeight="1">
      <c r="A3731" s="2" t="s">
        <v>7677</v>
      </c>
      <c r="B3731" s="2" t="s">
        <v>7678</v>
      </c>
      <c r="C3731" s="2" t="s">
        <v>4661</v>
      </c>
      <c r="D3731" s="2" t="s">
        <v>869</v>
      </c>
      <c r="E3731" s="2" t="s">
        <v>870</v>
      </c>
      <c r="F3731" s="2">
        <v>46.0</v>
      </c>
      <c r="G3731" s="2">
        <v>2.15</v>
      </c>
      <c r="H3731" s="2">
        <v>21.4</v>
      </c>
      <c r="I3731" s="2" t="s">
        <v>47</v>
      </c>
    </row>
    <row r="3732" ht="15.75" customHeight="1">
      <c r="A3732" s="2" t="s">
        <v>7679</v>
      </c>
      <c r="B3732" s="2" t="s">
        <v>7680</v>
      </c>
      <c r="C3732" s="2" t="s">
        <v>4661</v>
      </c>
      <c r="D3732" s="2" t="s">
        <v>1066</v>
      </c>
      <c r="E3732" s="2" t="s">
        <v>1069</v>
      </c>
      <c r="F3732" s="2">
        <v>177.0</v>
      </c>
      <c r="G3732" s="2">
        <v>6.05</v>
      </c>
      <c r="H3732" s="2">
        <v>29.3</v>
      </c>
      <c r="I3732" s="2" t="s">
        <v>47</v>
      </c>
    </row>
    <row r="3733" ht="15.75" customHeight="1">
      <c r="A3733" s="2" t="s">
        <v>5340</v>
      </c>
      <c r="B3733" s="2" t="s">
        <v>5341</v>
      </c>
      <c r="C3733" s="2" t="s">
        <v>4661</v>
      </c>
      <c r="D3733" s="2" t="s">
        <v>1009</v>
      </c>
      <c r="E3733" s="2" t="s">
        <v>1010</v>
      </c>
      <c r="F3733" s="2">
        <v>1545.0</v>
      </c>
      <c r="G3733" s="2">
        <v>14.22</v>
      </c>
      <c r="H3733" s="2">
        <v>108.6</v>
      </c>
      <c r="I3733" s="2" t="s">
        <v>27</v>
      </c>
    </row>
    <row r="3734" ht="15.75" customHeight="1">
      <c r="A3734" s="2" t="s">
        <v>5343</v>
      </c>
      <c r="B3734" s="2" t="s">
        <v>5344</v>
      </c>
      <c r="C3734" s="2" t="s">
        <v>4661</v>
      </c>
      <c r="D3734" s="2" t="s">
        <v>1016</v>
      </c>
      <c r="E3734" s="2" t="s">
        <v>1017</v>
      </c>
      <c r="F3734" s="2">
        <v>4647.0</v>
      </c>
      <c r="G3734" s="2">
        <v>14.45</v>
      </c>
      <c r="H3734" s="2">
        <v>321.6</v>
      </c>
      <c r="I3734" s="2" t="s">
        <v>138</v>
      </c>
    </row>
    <row r="3735" ht="15.75" customHeight="1">
      <c r="A3735" s="2" t="s">
        <v>7683</v>
      </c>
      <c r="B3735" s="2" t="s">
        <v>7684</v>
      </c>
      <c r="C3735" s="2" t="s">
        <v>4661</v>
      </c>
      <c r="D3735" s="2" t="s">
        <v>1066</v>
      </c>
      <c r="E3735" s="2" t="s">
        <v>1069</v>
      </c>
      <c r="F3735" s="2">
        <v>138.0</v>
      </c>
      <c r="G3735" s="2">
        <v>4.48</v>
      </c>
      <c r="H3735" s="2">
        <v>30.8</v>
      </c>
      <c r="I3735" s="2" t="s">
        <v>47</v>
      </c>
    </row>
    <row r="3736" ht="15.75" customHeight="1">
      <c r="A3736" s="2" t="s">
        <v>7685</v>
      </c>
      <c r="B3736" s="2" t="s">
        <v>7686</v>
      </c>
      <c r="C3736" s="2" t="s">
        <v>4661</v>
      </c>
      <c r="D3736" s="2" t="s">
        <v>880</v>
      </c>
      <c r="E3736" s="2" t="s">
        <v>881</v>
      </c>
      <c r="F3736" s="2">
        <v>294.0</v>
      </c>
      <c r="G3736" s="2">
        <v>7.7</v>
      </c>
      <c r="H3736" s="2">
        <v>38.2</v>
      </c>
      <c r="I3736" s="2" t="s">
        <v>47</v>
      </c>
    </row>
    <row r="3737" ht="15.75" customHeight="1">
      <c r="A3737" s="2" t="s">
        <v>5345</v>
      </c>
      <c r="B3737" s="2" t="s">
        <v>5346</v>
      </c>
      <c r="C3737" s="2" t="s">
        <v>4661</v>
      </c>
      <c r="D3737" s="2" t="s">
        <v>880</v>
      </c>
      <c r="E3737" s="2" t="s">
        <v>881</v>
      </c>
      <c r="F3737" s="2">
        <v>530.0</v>
      </c>
      <c r="G3737" s="2">
        <v>11.46</v>
      </c>
      <c r="H3737" s="2">
        <v>46.2</v>
      </c>
      <c r="I3737" s="2" t="s">
        <v>27</v>
      </c>
    </row>
    <row r="3738" ht="15.75" customHeight="1">
      <c r="A3738" s="2" t="s">
        <v>7691</v>
      </c>
      <c r="B3738" s="2" t="s">
        <v>7692</v>
      </c>
      <c r="C3738" s="2" t="s">
        <v>4661</v>
      </c>
      <c r="D3738" s="2" t="s">
        <v>948</v>
      </c>
      <c r="E3738" s="2" t="s">
        <v>950</v>
      </c>
      <c r="F3738" s="2">
        <v>160.0</v>
      </c>
      <c r="G3738" s="2">
        <v>5.93</v>
      </c>
      <c r="H3738" s="2">
        <v>27.0</v>
      </c>
      <c r="I3738" s="2" t="s">
        <v>47</v>
      </c>
    </row>
    <row r="3739" ht="15.75" customHeight="1">
      <c r="A3739" s="2" t="s">
        <v>7681</v>
      </c>
      <c r="B3739" s="2" t="s">
        <v>7682</v>
      </c>
      <c r="C3739" s="2" t="s">
        <v>4661</v>
      </c>
      <c r="D3739" s="2" t="s">
        <v>853</v>
      </c>
      <c r="E3739" s="2" t="s">
        <v>854</v>
      </c>
      <c r="F3739" s="2">
        <v>137.0</v>
      </c>
      <c r="G3739" s="2">
        <v>4.38</v>
      </c>
      <c r="H3739" s="2">
        <v>31.3</v>
      </c>
      <c r="I3739" s="2" t="s">
        <v>47</v>
      </c>
    </row>
    <row r="3740" ht="15.75" customHeight="1">
      <c r="A3740" s="2" t="s">
        <v>7687</v>
      </c>
      <c r="B3740" s="2" t="s">
        <v>7688</v>
      </c>
      <c r="C3740" s="2" t="s">
        <v>4661</v>
      </c>
      <c r="D3740" s="2" t="s">
        <v>948</v>
      </c>
      <c r="E3740" s="2" t="s">
        <v>950</v>
      </c>
      <c r="F3740" s="2">
        <v>288.0</v>
      </c>
      <c r="G3740" s="2">
        <v>6.3</v>
      </c>
      <c r="H3740" s="2">
        <v>45.7</v>
      </c>
      <c r="I3740" s="2" t="s">
        <v>47</v>
      </c>
    </row>
    <row r="3741" ht="15.75" customHeight="1">
      <c r="A3741" s="2" t="s">
        <v>7689</v>
      </c>
      <c r="B3741" s="2" t="s">
        <v>7690</v>
      </c>
      <c r="C3741" s="2" t="s">
        <v>4661</v>
      </c>
      <c r="D3741" s="2" t="s">
        <v>1051</v>
      </c>
      <c r="E3741" s="2" t="s">
        <v>1053</v>
      </c>
      <c r="F3741" s="2">
        <v>167.0</v>
      </c>
      <c r="G3741" s="2">
        <v>6.3</v>
      </c>
      <c r="H3741" s="2">
        <v>26.5</v>
      </c>
      <c r="I3741" s="2" t="s">
        <v>47</v>
      </c>
    </row>
    <row r="3742" ht="15.75" customHeight="1">
      <c r="A3742" s="2" t="s">
        <v>7693</v>
      </c>
      <c r="B3742" s="2" t="s">
        <v>7694</v>
      </c>
      <c r="C3742" s="2" t="s">
        <v>4661</v>
      </c>
      <c r="D3742" s="2" t="s">
        <v>1051</v>
      </c>
      <c r="E3742" s="2" t="s">
        <v>1053</v>
      </c>
      <c r="F3742" s="2">
        <v>468.0</v>
      </c>
      <c r="G3742" s="2">
        <v>12.13</v>
      </c>
      <c r="H3742" s="2">
        <v>38.6</v>
      </c>
      <c r="I3742" s="2" t="s">
        <v>47</v>
      </c>
    </row>
    <row r="3743" ht="15.75" customHeight="1">
      <c r="A3743" s="2" t="s">
        <v>7695</v>
      </c>
      <c r="B3743" s="2" t="s">
        <v>7696</v>
      </c>
      <c r="C3743" s="2" t="s">
        <v>4661</v>
      </c>
      <c r="D3743" s="2" t="s">
        <v>1051</v>
      </c>
      <c r="E3743" s="2" t="s">
        <v>1053</v>
      </c>
      <c r="F3743" s="2">
        <v>503.0</v>
      </c>
      <c r="G3743" s="2">
        <v>16.2</v>
      </c>
      <c r="H3743" s="2">
        <v>31.0</v>
      </c>
      <c r="I3743" s="2" t="s">
        <v>27</v>
      </c>
    </row>
    <row r="3744" ht="15.75" customHeight="1">
      <c r="A3744" s="2" t="s">
        <v>7697</v>
      </c>
      <c r="B3744" s="2" t="s">
        <v>7698</v>
      </c>
      <c r="C3744" s="2" t="s">
        <v>4661</v>
      </c>
      <c r="D3744" s="2" t="s">
        <v>1032</v>
      </c>
      <c r="E3744" s="2" t="s">
        <v>1033</v>
      </c>
      <c r="F3744" s="2">
        <v>474.0</v>
      </c>
      <c r="G3744" s="2">
        <v>13.6</v>
      </c>
      <c r="H3744" s="2">
        <v>34.9</v>
      </c>
      <c r="I3744" s="2" t="s">
        <v>47</v>
      </c>
    </row>
    <row r="3745" ht="15.75" customHeight="1">
      <c r="A3745" s="2" t="s">
        <v>7699</v>
      </c>
      <c r="B3745" s="2" t="s">
        <v>7700</v>
      </c>
      <c r="C3745" s="2" t="s">
        <v>4661</v>
      </c>
      <c r="D3745" s="2" t="s">
        <v>1004</v>
      </c>
      <c r="E3745" s="2" t="s">
        <v>1006</v>
      </c>
      <c r="F3745" s="2">
        <v>136.0</v>
      </c>
      <c r="G3745" s="2">
        <v>4.69</v>
      </c>
      <c r="H3745" s="2">
        <v>29.0</v>
      </c>
      <c r="I3745" s="2" t="s">
        <v>47</v>
      </c>
    </row>
    <row r="3746" ht="15.75" customHeight="1">
      <c r="A3746" s="2" t="s">
        <v>5347</v>
      </c>
      <c r="B3746" s="2" t="s">
        <v>5348</v>
      </c>
      <c r="C3746" s="2" t="s">
        <v>4661</v>
      </c>
      <c r="D3746" s="2" t="s">
        <v>869</v>
      </c>
      <c r="E3746" s="2" t="s">
        <v>870</v>
      </c>
      <c r="F3746" s="2">
        <v>595.0</v>
      </c>
      <c r="G3746" s="2">
        <v>9.22</v>
      </c>
      <c r="H3746" s="2">
        <v>64.5</v>
      </c>
      <c r="I3746" s="2" t="s">
        <v>27</v>
      </c>
    </row>
    <row r="3747" ht="15.75" customHeight="1">
      <c r="A3747" s="2" t="s">
        <v>7701</v>
      </c>
      <c r="B3747" s="2" t="s">
        <v>7702</v>
      </c>
      <c r="C3747" s="2" t="s">
        <v>4661</v>
      </c>
      <c r="D3747" s="2" t="s">
        <v>880</v>
      </c>
      <c r="E3747" s="2" t="s">
        <v>881</v>
      </c>
      <c r="F3747" s="2">
        <v>130.0</v>
      </c>
      <c r="G3747" s="2">
        <v>4.23</v>
      </c>
      <c r="H3747" s="2">
        <v>30.7</v>
      </c>
      <c r="I3747" s="2" t="s">
        <v>47</v>
      </c>
    </row>
    <row r="3748" ht="15.75" customHeight="1">
      <c r="A3748" s="2" t="s">
        <v>7703</v>
      </c>
      <c r="B3748" s="2" t="s">
        <v>7704</v>
      </c>
      <c r="C3748" s="2" t="s">
        <v>4661</v>
      </c>
      <c r="D3748" s="2" t="s">
        <v>1066</v>
      </c>
      <c r="E3748" s="2" t="s">
        <v>1069</v>
      </c>
      <c r="F3748" s="2">
        <v>96.0</v>
      </c>
      <c r="G3748" s="2">
        <v>5.71</v>
      </c>
      <c r="H3748" s="2">
        <v>16.8</v>
      </c>
      <c r="I3748" s="2" t="s">
        <v>47</v>
      </c>
    </row>
    <row r="3749" ht="15.75" customHeight="1">
      <c r="A3749" s="2" t="s">
        <v>5349</v>
      </c>
      <c r="B3749" s="2" t="s">
        <v>5350</v>
      </c>
      <c r="C3749" s="2" t="s">
        <v>4661</v>
      </c>
      <c r="D3749" s="2" t="s">
        <v>1051</v>
      </c>
      <c r="E3749" s="2" t="s">
        <v>1053</v>
      </c>
      <c r="F3749" s="2">
        <v>839.0</v>
      </c>
      <c r="G3749" s="2">
        <v>20.64</v>
      </c>
      <c r="H3749" s="2">
        <v>40.6</v>
      </c>
      <c r="I3749" s="2" t="s">
        <v>27</v>
      </c>
    </row>
    <row r="3750" ht="15.75" customHeight="1">
      <c r="A3750" s="2" t="s">
        <v>7705</v>
      </c>
      <c r="B3750" s="2" t="s">
        <v>7706</v>
      </c>
      <c r="C3750" s="2" t="s">
        <v>4661</v>
      </c>
      <c r="D3750" s="2" t="s">
        <v>1071</v>
      </c>
      <c r="E3750" s="2" t="s">
        <v>1075</v>
      </c>
      <c r="F3750" s="2">
        <v>459.0</v>
      </c>
      <c r="G3750" s="2">
        <v>5.68</v>
      </c>
      <c r="H3750" s="2">
        <v>80.8</v>
      </c>
      <c r="I3750" s="2" t="s">
        <v>47</v>
      </c>
    </row>
    <row r="3751" ht="15.75" customHeight="1">
      <c r="A3751" s="2" t="s">
        <v>7707</v>
      </c>
      <c r="B3751" s="2" t="s">
        <v>7708</v>
      </c>
      <c r="C3751" s="2" t="s">
        <v>4661</v>
      </c>
      <c r="D3751" s="2" t="s">
        <v>1009</v>
      </c>
      <c r="E3751" s="2" t="s">
        <v>1010</v>
      </c>
      <c r="F3751" s="2">
        <v>78.0</v>
      </c>
      <c r="G3751" s="2">
        <v>2.82</v>
      </c>
      <c r="H3751" s="2">
        <v>27.7</v>
      </c>
      <c r="I3751" s="2" t="s">
        <v>47</v>
      </c>
    </row>
    <row r="3752" ht="15.75" customHeight="1">
      <c r="A3752" s="2" t="s">
        <v>7709</v>
      </c>
      <c r="B3752" s="2" t="s">
        <v>7710</v>
      </c>
      <c r="C3752" s="2" t="s">
        <v>4661</v>
      </c>
      <c r="D3752" s="2" t="s">
        <v>1016</v>
      </c>
      <c r="E3752" s="2" t="s">
        <v>1017</v>
      </c>
      <c r="F3752" s="2">
        <v>743.0</v>
      </c>
      <c r="G3752" s="2">
        <v>15.33</v>
      </c>
      <c r="H3752" s="2">
        <v>48.5</v>
      </c>
      <c r="I3752" s="2" t="s">
        <v>27</v>
      </c>
    </row>
    <row r="3753" ht="15.75" customHeight="1">
      <c r="A3753" s="2" t="s">
        <v>7711</v>
      </c>
      <c r="B3753" s="2" t="s">
        <v>6696</v>
      </c>
      <c r="C3753" s="2" t="s">
        <v>4661</v>
      </c>
      <c r="D3753" s="2" t="s">
        <v>1066</v>
      </c>
      <c r="E3753" s="2" t="s">
        <v>1069</v>
      </c>
      <c r="F3753" s="2">
        <v>230.0</v>
      </c>
      <c r="G3753" s="2">
        <v>8.18</v>
      </c>
      <c r="H3753" s="2">
        <v>28.1</v>
      </c>
      <c r="I3753" s="2" t="s">
        <v>47</v>
      </c>
    </row>
    <row r="3754" ht="15.75" customHeight="1">
      <c r="A3754" s="2" t="s">
        <v>7712</v>
      </c>
      <c r="B3754" s="2" t="s">
        <v>7713</v>
      </c>
      <c r="C3754" s="2" t="s">
        <v>4661</v>
      </c>
      <c r="D3754" s="2" t="s">
        <v>948</v>
      </c>
      <c r="E3754" s="2" t="s">
        <v>950</v>
      </c>
      <c r="F3754" s="2">
        <v>139.0</v>
      </c>
      <c r="G3754" s="2">
        <v>3.01</v>
      </c>
      <c r="H3754" s="2">
        <v>46.2</v>
      </c>
      <c r="I3754" s="2" t="s">
        <v>47</v>
      </c>
    </row>
    <row r="3755" ht="15.75" customHeight="1">
      <c r="A3755" s="2" t="s">
        <v>7714</v>
      </c>
      <c r="B3755" s="2" t="s">
        <v>7715</v>
      </c>
      <c r="C3755" s="2" t="s">
        <v>4661</v>
      </c>
      <c r="D3755" s="2" t="s">
        <v>1071</v>
      </c>
      <c r="E3755" s="2" t="s">
        <v>1075</v>
      </c>
      <c r="F3755" s="2">
        <v>121.0</v>
      </c>
      <c r="G3755" s="2">
        <v>4.22</v>
      </c>
      <c r="H3755" s="2">
        <v>28.7</v>
      </c>
      <c r="I3755" s="2" t="s">
        <v>47</v>
      </c>
    </row>
    <row r="3756" ht="15.75" customHeight="1">
      <c r="A3756" s="2" t="s">
        <v>7716</v>
      </c>
      <c r="B3756" s="2" t="s">
        <v>7717</v>
      </c>
      <c r="C3756" s="2" t="s">
        <v>4661</v>
      </c>
      <c r="D3756" s="2" t="s">
        <v>1071</v>
      </c>
      <c r="E3756" s="2" t="s">
        <v>1075</v>
      </c>
      <c r="F3756" s="2">
        <v>249.0</v>
      </c>
      <c r="G3756" s="2">
        <v>5.89</v>
      </c>
      <c r="H3756" s="2">
        <v>42.3</v>
      </c>
      <c r="I3756" s="2" t="s">
        <v>47</v>
      </c>
    </row>
    <row r="3757" ht="15.75" customHeight="1">
      <c r="A3757" s="2" t="s">
        <v>7718</v>
      </c>
      <c r="B3757" s="2" t="s">
        <v>7719</v>
      </c>
      <c r="C3757" s="2" t="s">
        <v>4661</v>
      </c>
      <c r="D3757" s="2" t="s">
        <v>796</v>
      </c>
      <c r="E3757" s="2" t="s">
        <v>797</v>
      </c>
      <c r="F3757" s="2">
        <v>103.0</v>
      </c>
      <c r="G3757" s="2">
        <v>4.81</v>
      </c>
      <c r="H3757" s="2">
        <v>21.4</v>
      </c>
      <c r="I3757" s="2" t="s">
        <v>47</v>
      </c>
    </row>
    <row r="3758" ht="15.75" customHeight="1">
      <c r="A3758" s="2" t="s">
        <v>5351</v>
      </c>
      <c r="B3758" s="2" t="s">
        <v>5352</v>
      </c>
      <c r="C3758" s="2" t="s">
        <v>4661</v>
      </c>
      <c r="D3758" s="2" t="s">
        <v>936</v>
      </c>
      <c r="E3758" s="2" t="s">
        <v>937</v>
      </c>
      <c r="F3758" s="2">
        <v>732.0</v>
      </c>
      <c r="G3758" s="2">
        <v>16.26</v>
      </c>
      <c r="H3758" s="2">
        <v>45.0</v>
      </c>
      <c r="I3758" s="2" t="s">
        <v>27</v>
      </c>
    </row>
    <row r="3759" ht="15.75" customHeight="1">
      <c r="A3759" s="2" t="s">
        <v>5355</v>
      </c>
      <c r="B3759" s="2" t="s">
        <v>5356</v>
      </c>
      <c r="C3759" s="2" t="s">
        <v>4661</v>
      </c>
      <c r="D3759" s="2" t="s">
        <v>1022</v>
      </c>
      <c r="E3759" s="2" t="s">
        <v>1025</v>
      </c>
      <c r="F3759" s="2">
        <v>1302.0</v>
      </c>
      <c r="G3759" s="2">
        <v>4.22</v>
      </c>
      <c r="H3759" s="2">
        <v>308.5</v>
      </c>
      <c r="I3759" s="2" t="s">
        <v>27</v>
      </c>
    </row>
    <row r="3760" ht="15.75" customHeight="1">
      <c r="A3760" s="2" t="s">
        <v>7720</v>
      </c>
      <c r="B3760" s="2" t="s">
        <v>7721</v>
      </c>
      <c r="C3760" s="2" t="s">
        <v>4661</v>
      </c>
      <c r="D3760" s="2" t="s">
        <v>1066</v>
      </c>
      <c r="E3760" s="2" t="s">
        <v>1069</v>
      </c>
      <c r="F3760" s="2">
        <v>46.0</v>
      </c>
      <c r="G3760" s="2">
        <v>1.87</v>
      </c>
      <c r="H3760" s="2">
        <v>24.6</v>
      </c>
      <c r="I3760" s="2" t="s">
        <v>47</v>
      </c>
    </row>
    <row r="3761" ht="15.75" customHeight="1">
      <c r="A3761" s="2" t="s">
        <v>7722</v>
      </c>
      <c r="B3761" s="2" t="s">
        <v>7723</v>
      </c>
      <c r="C3761" s="2" t="s">
        <v>4661</v>
      </c>
      <c r="D3761" s="2" t="s">
        <v>869</v>
      </c>
      <c r="E3761" s="2" t="s">
        <v>870</v>
      </c>
      <c r="F3761" s="2">
        <v>87.0</v>
      </c>
      <c r="G3761" s="2">
        <v>2.76</v>
      </c>
      <c r="H3761" s="2">
        <v>31.5</v>
      </c>
      <c r="I3761" s="2" t="s">
        <v>47</v>
      </c>
    </row>
    <row r="3762" ht="15.75" customHeight="1">
      <c r="A3762" s="2" t="s">
        <v>7730</v>
      </c>
      <c r="B3762" s="2" t="s">
        <v>7731</v>
      </c>
      <c r="C3762" s="2" t="s">
        <v>4661</v>
      </c>
      <c r="D3762" s="2" t="s">
        <v>796</v>
      </c>
      <c r="E3762" s="2" t="s">
        <v>797</v>
      </c>
      <c r="F3762" s="2">
        <v>243.0</v>
      </c>
      <c r="G3762" s="2">
        <v>3.99</v>
      </c>
      <c r="H3762" s="2">
        <v>60.9</v>
      </c>
      <c r="I3762" s="2" t="s">
        <v>47</v>
      </c>
    </row>
    <row r="3763" ht="15.75" customHeight="1">
      <c r="A3763" s="2" t="s">
        <v>7724</v>
      </c>
      <c r="B3763" s="2" t="s">
        <v>7725</v>
      </c>
      <c r="C3763" s="2" t="s">
        <v>4661</v>
      </c>
      <c r="D3763" s="2" t="s">
        <v>1051</v>
      </c>
      <c r="E3763" s="2" t="s">
        <v>1053</v>
      </c>
      <c r="F3763" s="2">
        <v>296.0</v>
      </c>
      <c r="G3763" s="2">
        <v>9.29</v>
      </c>
      <c r="H3763" s="2">
        <v>31.9</v>
      </c>
      <c r="I3763" s="2" t="s">
        <v>47</v>
      </c>
    </row>
    <row r="3764" ht="15.75" customHeight="1">
      <c r="A3764" s="2" t="s">
        <v>7726</v>
      </c>
      <c r="B3764" s="2" t="s">
        <v>7727</v>
      </c>
      <c r="C3764" s="2" t="s">
        <v>4661</v>
      </c>
      <c r="D3764" s="2" t="s">
        <v>1051</v>
      </c>
      <c r="E3764" s="2" t="s">
        <v>1053</v>
      </c>
      <c r="F3764" s="2">
        <v>130.0</v>
      </c>
      <c r="G3764" s="2">
        <v>6.08</v>
      </c>
      <c r="H3764" s="2">
        <v>21.4</v>
      </c>
      <c r="I3764" s="2" t="s">
        <v>47</v>
      </c>
    </row>
    <row r="3765" ht="15.75" customHeight="1">
      <c r="A3765" s="2" t="s">
        <v>5357</v>
      </c>
      <c r="B3765" s="2" t="s">
        <v>5358</v>
      </c>
      <c r="C3765" s="2" t="s">
        <v>4661</v>
      </c>
      <c r="D3765" s="2" t="s">
        <v>1022</v>
      </c>
      <c r="E3765" s="2" t="s">
        <v>1025</v>
      </c>
      <c r="F3765" s="2">
        <v>490.0</v>
      </c>
      <c r="G3765" s="2">
        <v>3.44</v>
      </c>
      <c r="H3765" s="2">
        <v>142.4</v>
      </c>
      <c r="I3765" s="2" t="s">
        <v>47</v>
      </c>
    </row>
    <row r="3766" ht="15.75" customHeight="1">
      <c r="A3766" s="2" t="s">
        <v>7728</v>
      </c>
      <c r="B3766" s="2" t="s">
        <v>7729</v>
      </c>
      <c r="C3766" s="2" t="s">
        <v>4661</v>
      </c>
      <c r="D3766" s="2" t="s">
        <v>1035</v>
      </c>
      <c r="E3766" s="2" t="s">
        <v>1037</v>
      </c>
      <c r="F3766" s="2">
        <v>264.0</v>
      </c>
      <c r="G3766" s="2">
        <v>5.04</v>
      </c>
      <c r="H3766" s="2">
        <v>52.4</v>
      </c>
      <c r="I3766" s="2" t="s">
        <v>47</v>
      </c>
    </row>
    <row r="3767" ht="15.75" customHeight="1">
      <c r="A3767" s="2" t="s">
        <v>7048</v>
      </c>
      <c r="B3767" s="2" t="s">
        <v>7049</v>
      </c>
      <c r="C3767" s="2" t="s">
        <v>4661</v>
      </c>
      <c r="D3767" s="2" t="s">
        <v>980</v>
      </c>
      <c r="E3767" s="2" t="s">
        <v>981</v>
      </c>
      <c r="F3767" s="2">
        <v>85.0</v>
      </c>
      <c r="G3767" s="2">
        <v>6.35</v>
      </c>
      <c r="H3767" s="2">
        <v>13.4</v>
      </c>
      <c r="I3767" s="2" t="s">
        <v>47</v>
      </c>
    </row>
    <row r="3768" ht="15.75" customHeight="1">
      <c r="A3768" s="2" t="s">
        <v>5361</v>
      </c>
      <c r="B3768" s="2" t="s">
        <v>5362</v>
      </c>
      <c r="C3768" s="2" t="s">
        <v>4661</v>
      </c>
      <c r="D3768" s="2" t="s">
        <v>796</v>
      </c>
      <c r="E3768" s="2" t="s">
        <v>797</v>
      </c>
      <c r="F3768" s="2">
        <v>510.0</v>
      </c>
      <c r="G3768" s="2">
        <v>6.83</v>
      </c>
      <c r="H3768" s="2">
        <v>74.7</v>
      </c>
      <c r="I3768" s="2" t="s">
        <v>27</v>
      </c>
    </row>
    <row r="3769" ht="15.75" customHeight="1">
      <c r="A3769" s="2" t="s">
        <v>7054</v>
      </c>
      <c r="B3769" s="2" t="s">
        <v>7055</v>
      </c>
      <c r="C3769" s="2" t="s">
        <v>4661</v>
      </c>
      <c r="D3769" s="2" t="s">
        <v>1066</v>
      </c>
      <c r="E3769" s="2" t="s">
        <v>1069</v>
      </c>
      <c r="F3769" s="2">
        <v>104.0</v>
      </c>
      <c r="G3769" s="2">
        <v>4.76</v>
      </c>
      <c r="H3769" s="2">
        <v>21.8</v>
      </c>
      <c r="I3769" s="2" t="s">
        <v>47</v>
      </c>
    </row>
    <row r="3770" ht="15.75" customHeight="1">
      <c r="A3770" s="2" t="s">
        <v>5364</v>
      </c>
      <c r="B3770" s="2" t="s">
        <v>5366</v>
      </c>
      <c r="C3770" s="2" t="s">
        <v>4661</v>
      </c>
      <c r="D3770" s="2" t="s">
        <v>880</v>
      </c>
      <c r="E3770" s="2" t="s">
        <v>881</v>
      </c>
      <c r="F3770" s="2">
        <v>1099.0</v>
      </c>
      <c r="G3770" s="2">
        <v>17.36</v>
      </c>
      <c r="H3770" s="2">
        <v>63.3</v>
      </c>
      <c r="I3770" s="2" t="s">
        <v>27</v>
      </c>
    </row>
    <row r="3771" ht="15.75" customHeight="1">
      <c r="A3771" s="2" t="s">
        <v>7060</v>
      </c>
      <c r="B3771" s="2" t="s">
        <v>7061</v>
      </c>
      <c r="C3771" s="2" t="s">
        <v>4661</v>
      </c>
      <c r="D3771" s="2" t="s">
        <v>1066</v>
      </c>
      <c r="E3771" s="2" t="s">
        <v>1069</v>
      </c>
      <c r="F3771" s="2">
        <v>342.0</v>
      </c>
      <c r="G3771" s="2">
        <v>14.13</v>
      </c>
      <c r="H3771" s="2">
        <v>24.2</v>
      </c>
      <c r="I3771" s="2" t="s">
        <v>47</v>
      </c>
    </row>
    <row r="3772" ht="15.75" customHeight="1">
      <c r="A3772" s="2" t="s">
        <v>7056</v>
      </c>
      <c r="B3772" s="2" t="s">
        <v>7057</v>
      </c>
      <c r="C3772" s="2" t="s">
        <v>4661</v>
      </c>
      <c r="D3772" s="2" t="s">
        <v>1009</v>
      </c>
      <c r="E3772" s="2" t="s">
        <v>1010</v>
      </c>
      <c r="F3772" s="2">
        <v>7.0</v>
      </c>
      <c r="G3772" s="2">
        <v>1.61</v>
      </c>
      <c r="H3772" s="2">
        <v>4.3</v>
      </c>
      <c r="I3772" s="2" t="s">
        <v>47</v>
      </c>
    </row>
    <row r="3773" ht="15.75" customHeight="1">
      <c r="A3773" s="2" t="s">
        <v>7058</v>
      </c>
      <c r="B3773" s="2" t="s">
        <v>7059</v>
      </c>
      <c r="C3773" s="2" t="s">
        <v>4661</v>
      </c>
      <c r="D3773" s="2" t="s">
        <v>869</v>
      </c>
      <c r="E3773" s="2" t="s">
        <v>870</v>
      </c>
      <c r="F3773" s="2">
        <v>129.0</v>
      </c>
      <c r="G3773" s="2">
        <v>3.48</v>
      </c>
      <c r="H3773" s="2">
        <v>37.1</v>
      </c>
      <c r="I3773" s="2" t="s">
        <v>47</v>
      </c>
    </row>
    <row r="3774" ht="15.75" customHeight="1">
      <c r="A3774" s="2" t="s">
        <v>7062</v>
      </c>
      <c r="B3774" s="2" t="s">
        <v>7063</v>
      </c>
      <c r="C3774" s="2" t="s">
        <v>4661</v>
      </c>
      <c r="D3774" s="2" t="s">
        <v>880</v>
      </c>
      <c r="E3774" s="2" t="s">
        <v>881</v>
      </c>
      <c r="F3774" s="2">
        <v>300.0</v>
      </c>
      <c r="G3774" s="2">
        <v>7.79</v>
      </c>
      <c r="H3774" s="2">
        <v>38.5</v>
      </c>
      <c r="I3774" s="2" t="s">
        <v>47</v>
      </c>
    </row>
    <row r="3775" ht="15.75" customHeight="1">
      <c r="A3775" s="2" t="s">
        <v>7064</v>
      </c>
      <c r="B3775" s="2" t="s">
        <v>7065</v>
      </c>
      <c r="C3775" s="2" t="s">
        <v>4661</v>
      </c>
      <c r="D3775" s="2" t="s">
        <v>1066</v>
      </c>
      <c r="E3775" s="2" t="s">
        <v>1069</v>
      </c>
      <c r="F3775" s="2">
        <v>276.0</v>
      </c>
      <c r="G3775" s="2">
        <v>9.07</v>
      </c>
      <c r="H3775" s="2">
        <v>30.4</v>
      </c>
      <c r="I3775" s="2" t="s">
        <v>47</v>
      </c>
    </row>
    <row r="3776" ht="15.75" customHeight="1">
      <c r="A3776" s="2" t="s">
        <v>5368</v>
      </c>
      <c r="B3776" s="2" t="s">
        <v>5370</v>
      </c>
      <c r="C3776" s="2" t="s">
        <v>4661</v>
      </c>
      <c r="D3776" s="2" t="s">
        <v>796</v>
      </c>
      <c r="E3776" s="2" t="s">
        <v>797</v>
      </c>
      <c r="F3776" s="2">
        <v>504.0</v>
      </c>
      <c r="G3776" s="2">
        <v>3.99</v>
      </c>
      <c r="H3776" s="2">
        <v>126.3</v>
      </c>
      <c r="I3776" s="2" t="s">
        <v>27</v>
      </c>
    </row>
    <row r="3777" ht="15.75" customHeight="1">
      <c r="A3777" s="2" t="s">
        <v>7084</v>
      </c>
      <c r="B3777" s="2" t="s">
        <v>7085</v>
      </c>
      <c r="C3777" s="2" t="s">
        <v>4661</v>
      </c>
      <c r="D3777" s="2" t="s">
        <v>948</v>
      </c>
      <c r="E3777" s="2" t="s">
        <v>950</v>
      </c>
      <c r="F3777" s="2">
        <v>126.0</v>
      </c>
      <c r="G3777" s="2">
        <v>4.6</v>
      </c>
      <c r="H3777" s="2">
        <v>27.4</v>
      </c>
      <c r="I3777" s="2" t="s">
        <v>47</v>
      </c>
    </row>
    <row r="3778" ht="15.75" customHeight="1">
      <c r="A3778" s="2" t="s">
        <v>7086</v>
      </c>
      <c r="B3778" s="2" t="s">
        <v>7087</v>
      </c>
      <c r="C3778" s="2" t="s">
        <v>4661</v>
      </c>
      <c r="D3778" s="2" t="s">
        <v>948</v>
      </c>
      <c r="E3778" s="2" t="s">
        <v>950</v>
      </c>
      <c r="F3778" s="2">
        <v>348.0</v>
      </c>
      <c r="G3778" s="2">
        <v>8.13</v>
      </c>
      <c r="H3778" s="2">
        <v>42.8</v>
      </c>
      <c r="I3778" s="2" t="s">
        <v>47</v>
      </c>
    </row>
    <row r="3779" ht="15.75" customHeight="1">
      <c r="A3779" s="2" t="s">
        <v>7088</v>
      </c>
      <c r="B3779" s="2" t="s">
        <v>6130</v>
      </c>
      <c r="C3779" s="2" t="s">
        <v>4661</v>
      </c>
      <c r="D3779" s="2" t="s">
        <v>880</v>
      </c>
      <c r="E3779" s="2" t="s">
        <v>881</v>
      </c>
      <c r="F3779" s="2">
        <v>166.0</v>
      </c>
      <c r="G3779" s="2">
        <v>4.07</v>
      </c>
      <c r="H3779" s="2">
        <v>40.8</v>
      </c>
      <c r="I3779" s="2" t="s">
        <v>47</v>
      </c>
    </row>
    <row r="3780" ht="15.75" customHeight="1">
      <c r="A3780" s="2" t="s">
        <v>5372</v>
      </c>
      <c r="B3780" s="2" t="s">
        <v>5373</v>
      </c>
      <c r="C3780" s="2" t="s">
        <v>4661</v>
      </c>
      <c r="D3780" s="2" t="s">
        <v>980</v>
      </c>
      <c r="E3780" s="2" t="s">
        <v>981</v>
      </c>
      <c r="F3780" s="2">
        <v>589.0</v>
      </c>
      <c r="G3780" s="2">
        <v>18.24</v>
      </c>
      <c r="H3780" s="2">
        <v>32.3</v>
      </c>
      <c r="I3780" s="2" t="s">
        <v>27</v>
      </c>
    </row>
    <row r="3781" ht="15.75" customHeight="1">
      <c r="A3781" s="2" t="s">
        <v>7091</v>
      </c>
      <c r="B3781" s="2" t="s">
        <v>7092</v>
      </c>
      <c r="C3781" s="2" t="s">
        <v>4661</v>
      </c>
      <c r="D3781" s="2" t="s">
        <v>880</v>
      </c>
      <c r="E3781" s="2" t="s">
        <v>881</v>
      </c>
      <c r="F3781" s="2">
        <v>510.0</v>
      </c>
      <c r="G3781" s="2">
        <v>11.06</v>
      </c>
      <c r="H3781" s="2">
        <v>46.1</v>
      </c>
      <c r="I3781" s="2" t="s">
        <v>27</v>
      </c>
    </row>
    <row r="3782" ht="15.75" customHeight="1">
      <c r="A3782" s="2" t="s">
        <v>7089</v>
      </c>
      <c r="B3782" s="2" t="s">
        <v>7090</v>
      </c>
      <c r="C3782" s="2" t="s">
        <v>4661</v>
      </c>
      <c r="D3782" s="2" t="s">
        <v>1066</v>
      </c>
      <c r="E3782" s="2" t="s">
        <v>1069</v>
      </c>
      <c r="F3782" s="2">
        <v>42.0</v>
      </c>
      <c r="G3782" s="2">
        <v>3.79</v>
      </c>
      <c r="H3782" s="2">
        <v>11.1</v>
      </c>
      <c r="I3782" s="2" t="s">
        <v>47</v>
      </c>
    </row>
    <row r="3783" ht="15.75" customHeight="1">
      <c r="A3783" s="2" t="s">
        <v>7327</v>
      </c>
      <c r="B3783" s="2" t="s">
        <v>7328</v>
      </c>
      <c r="C3783" s="2" t="s">
        <v>4661</v>
      </c>
      <c r="D3783" s="2" t="s">
        <v>1066</v>
      </c>
      <c r="E3783" s="2" t="s">
        <v>1069</v>
      </c>
      <c r="F3783" s="2">
        <v>1148.0</v>
      </c>
      <c r="G3783" s="2">
        <v>26.94</v>
      </c>
      <c r="H3783" s="2">
        <v>42.6</v>
      </c>
      <c r="I3783" s="2" t="s">
        <v>27</v>
      </c>
    </row>
  </sheetData>
  <autoFilter ref="$A$1:$I$3783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9.25"/>
    <col customWidth="1" min="2" max="2" width="13.38"/>
    <col customWidth="1" min="3" max="3" width="31.0"/>
    <col customWidth="1" min="4" max="4" width="33.0"/>
    <col customWidth="1" min="6" max="6" width="24.8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>
      <c r="C95" s="5"/>
      <c r="D95" s="5"/>
    </row>
    <row r="96">
      <c r="C96" s="5"/>
      <c r="D96" s="5"/>
    </row>
    <row r="97">
      <c r="C97" s="5"/>
      <c r="D97" s="5"/>
    </row>
    <row r="98">
      <c r="C98" s="5"/>
      <c r="D98" s="5"/>
    </row>
    <row r="99">
      <c r="C99" s="5"/>
      <c r="D99" s="5"/>
    </row>
    <row r="100">
      <c r="C100" s="5"/>
      <c r="D100" s="5"/>
    </row>
    <row r="101">
      <c r="C101" s="5"/>
      <c r="D101" s="5"/>
    </row>
    <row r="102">
      <c r="C102" s="5"/>
      <c r="D102" s="5"/>
    </row>
    <row r="103">
      <c r="C103" s="5"/>
      <c r="D103" s="5"/>
    </row>
    <row r="104">
      <c r="C104" s="5"/>
      <c r="D104" s="5"/>
    </row>
    <row r="105">
      <c r="C105" s="5"/>
      <c r="D105" s="5"/>
    </row>
    <row r="106">
      <c r="C106" s="5"/>
      <c r="D106" s="5"/>
    </row>
    <row r="107">
      <c r="C107" s="5"/>
      <c r="D107" s="5"/>
    </row>
    <row r="108">
      <c r="C108" s="5"/>
      <c r="D108" s="5"/>
    </row>
    <row r="109">
      <c r="C109" s="5"/>
      <c r="D109" s="5"/>
    </row>
    <row r="110">
      <c r="C110" s="5"/>
      <c r="D110" s="5"/>
    </row>
    <row r="111">
      <c r="C111" s="5"/>
      <c r="D111" s="5"/>
    </row>
    <row r="112">
      <c r="C112" s="5"/>
      <c r="D112" s="5"/>
    </row>
    <row r="113">
      <c r="C113" s="5"/>
      <c r="D113" s="5"/>
    </row>
    <row r="114">
      <c r="C114" s="5"/>
      <c r="D114" s="5"/>
    </row>
    <row r="115">
      <c r="C115" s="5"/>
      <c r="D115" s="5"/>
    </row>
    <row r="116">
      <c r="C116" s="5"/>
      <c r="D116" s="5"/>
    </row>
    <row r="117">
      <c r="C117" s="5"/>
      <c r="D117" s="5"/>
    </row>
    <row r="118">
      <c r="C118" s="5"/>
      <c r="D118" s="5"/>
    </row>
    <row r="119">
      <c r="C119" s="5"/>
      <c r="D119" s="5"/>
    </row>
    <row r="120">
      <c r="C120" s="5"/>
      <c r="D120" s="5"/>
    </row>
    <row r="121">
      <c r="C121" s="5"/>
      <c r="D121" s="5"/>
    </row>
    <row r="122">
      <c r="C122" s="5"/>
      <c r="D122" s="5"/>
    </row>
    <row r="123">
      <c r="C123" s="5"/>
      <c r="D123" s="5"/>
    </row>
    <row r="124">
      <c r="C124" s="5"/>
      <c r="D124" s="5"/>
    </row>
    <row r="125">
      <c r="C125" s="5"/>
      <c r="D125" s="5"/>
    </row>
    <row r="126">
      <c r="C126" s="5"/>
      <c r="D126" s="5"/>
    </row>
    <row r="127">
      <c r="C127" s="5"/>
      <c r="D127" s="5"/>
    </row>
    <row r="128">
      <c r="C128" s="5"/>
      <c r="D128" s="5"/>
    </row>
    <row r="129">
      <c r="C129" s="5"/>
      <c r="D129" s="5"/>
    </row>
    <row r="130">
      <c r="C130" s="5"/>
      <c r="D130" s="5"/>
    </row>
    <row r="131">
      <c r="C131" s="5"/>
      <c r="D131" s="5"/>
    </row>
    <row r="132">
      <c r="C132" s="5"/>
      <c r="D132" s="5"/>
    </row>
    <row r="133">
      <c r="C133" s="5"/>
      <c r="D133" s="5"/>
    </row>
    <row r="134">
      <c r="C134" s="5"/>
      <c r="D134" s="5"/>
    </row>
    <row r="135">
      <c r="C135" s="5"/>
      <c r="D135" s="5"/>
    </row>
    <row r="136">
      <c r="C136" s="5"/>
      <c r="D136" s="5"/>
    </row>
    <row r="137">
      <c r="C137" s="5"/>
      <c r="D137" s="5"/>
    </row>
    <row r="138">
      <c r="C138" s="5"/>
      <c r="D138" s="5"/>
    </row>
    <row r="139">
      <c r="C139" s="5"/>
      <c r="D139" s="5"/>
    </row>
    <row r="140">
      <c r="C140" s="5"/>
      <c r="D140" s="5"/>
    </row>
    <row r="141">
      <c r="C141" s="5"/>
      <c r="D141" s="5"/>
    </row>
    <row r="142">
      <c r="C142" s="5"/>
      <c r="D142" s="5"/>
    </row>
    <row r="143">
      <c r="C143" s="5"/>
      <c r="D143" s="5"/>
    </row>
    <row r="144">
      <c r="C144" s="5"/>
      <c r="D144" s="5"/>
    </row>
    <row r="145">
      <c r="C145" s="5"/>
      <c r="D145" s="5"/>
    </row>
    <row r="146">
      <c r="C146" s="5"/>
      <c r="D146" s="5"/>
    </row>
    <row r="147">
      <c r="C147" s="5"/>
      <c r="D147" s="5"/>
    </row>
    <row r="148">
      <c r="C148" s="5"/>
      <c r="D148" s="5"/>
    </row>
    <row r="149">
      <c r="C149" s="5"/>
      <c r="D149" s="5"/>
    </row>
    <row r="150">
      <c r="C150" s="5"/>
      <c r="D150" s="5"/>
    </row>
    <row r="151">
      <c r="C151" s="5"/>
      <c r="D151" s="5"/>
    </row>
    <row r="152">
      <c r="C152" s="5"/>
      <c r="D152" s="5"/>
    </row>
    <row r="153">
      <c r="C153" s="5"/>
      <c r="D153" s="5"/>
    </row>
    <row r="154">
      <c r="C154" s="5"/>
      <c r="D154" s="5"/>
    </row>
    <row r="155">
      <c r="C155" s="5"/>
      <c r="D155" s="5"/>
    </row>
    <row r="156">
      <c r="C156" s="5"/>
      <c r="D156" s="5"/>
    </row>
    <row r="157">
      <c r="C157" s="5"/>
      <c r="D157" s="5"/>
    </row>
    <row r="158">
      <c r="C158" s="5"/>
      <c r="D158" s="5"/>
    </row>
    <row r="159">
      <c r="C159" s="5"/>
      <c r="D159" s="5"/>
    </row>
    <row r="160">
      <c r="C160" s="5"/>
      <c r="D160" s="5"/>
    </row>
    <row r="161">
      <c r="C161" s="5"/>
      <c r="D161" s="5"/>
    </row>
    <row r="162">
      <c r="C162" s="5"/>
      <c r="D162" s="5"/>
    </row>
    <row r="163">
      <c r="C163" s="5"/>
      <c r="D163" s="5"/>
    </row>
    <row r="164">
      <c r="C164" s="5"/>
      <c r="D164" s="5"/>
    </row>
    <row r="165">
      <c r="C165" s="5"/>
      <c r="D165" s="5"/>
    </row>
    <row r="166">
      <c r="C166" s="5"/>
      <c r="D166" s="5"/>
    </row>
    <row r="167">
      <c r="C167" s="5"/>
      <c r="D167" s="5"/>
    </row>
    <row r="168">
      <c r="C168" s="5"/>
      <c r="D168" s="5"/>
    </row>
    <row r="169">
      <c r="C169" s="5"/>
      <c r="D169" s="5"/>
    </row>
    <row r="170">
      <c r="C170" s="5"/>
      <c r="D170" s="5"/>
    </row>
    <row r="171">
      <c r="C171" s="5"/>
      <c r="D171" s="5"/>
    </row>
    <row r="172">
      <c r="C172" s="5"/>
      <c r="D172" s="5"/>
    </row>
    <row r="173">
      <c r="C173" s="5"/>
      <c r="D173" s="5"/>
    </row>
    <row r="174">
      <c r="C174" s="5"/>
      <c r="D174" s="5"/>
    </row>
    <row r="175">
      <c r="C175" s="5"/>
      <c r="D175" s="5"/>
    </row>
    <row r="176">
      <c r="C176" s="5"/>
      <c r="D176" s="5"/>
    </row>
    <row r="177">
      <c r="C177" s="5"/>
      <c r="D177" s="5"/>
    </row>
    <row r="178">
      <c r="C178" s="5"/>
      <c r="D178" s="5"/>
    </row>
    <row r="179">
      <c r="C179" s="5"/>
      <c r="D179" s="5"/>
    </row>
    <row r="180">
      <c r="C180" s="5"/>
      <c r="D180" s="5"/>
    </row>
    <row r="181">
      <c r="C181" s="5"/>
      <c r="D181" s="5"/>
    </row>
    <row r="182">
      <c r="C182" s="5"/>
      <c r="D182" s="5"/>
    </row>
    <row r="183">
      <c r="C183" s="5"/>
      <c r="D183" s="5"/>
    </row>
    <row r="184">
      <c r="C184" s="5"/>
      <c r="D184" s="5"/>
    </row>
    <row r="185">
      <c r="C185" s="5"/>
      <c r="D185" s="5"/>
    </row>
    <row r="186">
      <c r="C186" s="5"/>
      <c r="D186" s="5"/>
    </row>
    <row r="187">
      <c r="C187" s="5"/>
      <c r="D187" s="5"/>
    </row>
    <row r="188">
      <c r="C188" s="5"/>
      <c r="D188" s="5"/>
    </row>
    <row r="189">
      <c r="C189" s="5"/>
      <c r="D189" s="5"/>
    </row>
    <row r="190">
      <c r="C190" s="5"/>
      <c r="D190" s="5"/>
    </row>
    <row r="191">
      <c r="C191" s="5"/>
      <c r="D191" s="5"/>
    </row>
    <row r="192">
      <c r="C192" s="5"/>
      <c r="D192" s="5"/>
    </row>
    <row r="193">
      <c r="C193" s="5"/>
      <c r="D193" s="5"/>
    </row>
    <row r="194">
      <c r="C194" s="5"/>
      <c r="D194" s="5"/>
    </row>
    <row r="195">
      <c r="C195" s="5"/>
      <c r="D195" s="5"/>
    </row>
    <row r="196">
      <c r="C196" s="5"/>
      <c r="D196" s="5"/>
    </row>
    <row r="197">
      <c r="C197" s="5"/>
      <c r="D197" s="5"/>
    </row>
    <row r="198">
      <c r="C198" s="5"/>
      <c r="D198" s="5"/>
    </row>
    <row r="199">
      <c r="C199" s="5"/>
      <c r="D199" s="5"/>
    </row>
    <row r="200">
      <c r="C200" s="5"/>
      <c r="D200" s="5"/>
    </row>
    <row r="201">
      <c r="C201" s="5"/>
      <c r="D201" s="5"/>
    </row>
    <row r="202">
      <c r="C202" s="5"/>
      <c r="D202" s="5"/>
    </row>
    <row r="203">
      <c r="C203" s="5"/>
      <c r="D203" s="5"/>
    </row>
    <row r="204">
      <c r="C204" s="5"/>
      <c r="D204" s="5"/>
    </row>
    <row r="205">
      <c r="C205" s="5"/>
      <c r="D205" s="5"/>
    </row>
    <row r="206">
      <c r="C206" s="5"/>
      <c r="D206" s="5"/>
    </row>
    <row r="207">
      <c r="C207" s="5"/>
      <c r="D207" s="5"/>
    </row>
    <row r="208">
      <c r="C208" s="5"/>
      <c r="D208" s="5"/>
    </row>
    <row r="209">
      <c r="C209" s="5"/>
      <c r="D209" s="5"/>
    </row>
    <row r="210">
      <c r="C210" s="5"/>
      <c r="D210" s="5"/>
    </row>
    <row r="211">
      <c r="C211" s="5"/>
      <c r="D211" s="5"/>
    </row>
    <row r="212">
      <c r="C212" s="5"/>
      <c r="D212" s="5"/>
    </row>
    <row r="213">
      <c r="C213" s="5"/>
      <c r="D213" s="5"/>
    </row>
    <row r="214">
      <c r="C214" s="5"/>
      <c r="D214" s="5"/>
    </row>
    <row r="215">
      <c r="C215" s="5"/>
      <c r="D215" s="5"/>
    </row>
    <row r="216">
      <c r="C216" s="5"/>
      <c r="D216" s="5"/>
    </row>
    <row r="217">
      <c r="C217" s="5"/>
      <c r="D217" s="5"/>
    </row>
    <row r="218">
      <c r="C218" s="5"/>
      <c r="D218" s="5"/>
    </row>
    <row r="219">
      <c r="C219" s="5"/>
      <c r="D219" s="5"/>
    </row>
    <row r="220">
      <c r="C220" s="5"/>
      <c r="D220" s="5"/>
    </row>
    <row r="221">
      <c r="C221" s="5"/>
      <c r="D221" s="5"/>
    </row>
    <row r="222">
      <c r="C222" s="5"/>
      <c r="D222" s="5"/>
    </row>
    <row r="223">
      <c r="C223" s="5"/>
      <c r="D223" s="5"/>
    </row>
    <row r="224">
      <c r="C224" s="5"/>
      <c r="D224" s="5"/>
    </row>
    <row r="225">
      <c r="C225" s="5"/>
      <c r="D225" s="5"/>
    </row>
    <row r="226">
      <c r="C226" s="5"/>
      <c r="D226" s="5"/>
    </row>
    <row r="227">
      <c r="C227" s="5"/>
      <c r="D227" s="5"/>
    </row>
    <row r="228">
      <c r="C228" s="5"/>
      <c r="D228" s="5"/>
    </row>
    <row r="229">
      <c r="C229" s="5"/>
      <c r="D229" s="5"/>
    </row>
    <row r="230">
      <c r="C230" s="5"/>
      <c r="D230" s="5"/>
    </row>
    <row r="231">
      <c r="C231" s="5"/>
      <c r="D231" s="5"/>
    </row>
    <row r="232">
      <c r="C232" s="5"/>
      <c r="D232" s="5"/>
    </row>
    <row r="233">
      <c r="C233" s="5"/>
      <c r="D233" s="5"/>
    </row>
    <row r="234">
      <c r="C234" s="5"/>
      <c r="D234" s="5"/>
    </row>
    <row r="235">
      <c r="C235" s="5"/>
      <c r="D235" s="5"/>
    </row>
    <row r="236">
      <c r="C236" s="5"/>
      <c r="D236" s="5"/>
    </row>
    <row r="237">
      <c r="C237" s="5"/>
      <c r="D237" s="5"/>
    </row>
    <row r="238">
      <c r="C238" s="5"/>
      <c r="D238" s="5"/>
    </row>
    <row r="239">
      <c r="C239" s="5"/>
      <c r="D239" s="5"/>
    </row>
    <row r="240">
      <c r="C240" s="5"/>
      <c r="D240" s="5"/>
    </row>
    <row r="241">
      <c r="C241" s="5"/>
      <c r="D241" s="5"/>
    </row>
    <row r="242">
      <c r="C242" s="5"/>
      <c r="D242" s="5"/>
    </row>
    <row r="243">
      <c r="C243" s="5"/>
      <c r="D243" s="5"/>
    </row>
    <row r="244">
      <c r="C244" s="5"/>
      <c r="D244" s="5"/>
    </row>
    <row r="245">
      <c r="C245" s="5"/>
      <c r="D245" s="5"/>
    </row>
    <row r="246">
      <c r="C246" s="5"/>
      <c r="D246" s="5"/>
    </row>
    <row r="247">
      <c r="C247" s="5"/>
      <c r="D247" s="5"/>
    </row>
    <row r="248">
      <c r="C248" s="5"/>
      <c r="D248" s="5"/>
    </row>
    <row r="249">
      <c r="C249" s="5"/>
      <c r="D249" s="5"/>
    </row>
    <row r="250">
      <c r="C250" s="5"/>
      <c r="D250" s="5"/>
    </row>
    <row r="251">
      <c r="C251" s="5"/>
      <c r="D251" s="5"/>
    </row>
    <row r="252">
      <c r="C252" s="5"/>
      <c r="D252" s="5"/>
    </row>
    <row r="253">
      <c r="C253" s="5"/>
      <c r="D253" s="5"/>
    </row>
    <row r="254">
      <c r="C254" s="5"/>
      <c r="D254" s="5"/>
    </row>
    <row r="255">
      <c r="C255" s="5"/>
      <c r="D255" s="5"/>
    </row>
    <row r="256">
      <c r="C256" s="5"/>
      <c r="D256" s="5"/>
    </row>
    <row r="257">
      <c r="C257" s="5"/>
      <c r="D257" s="5"/>
    </row>
    <row r="258">
      <c r="C258" s="5"/>
      <c r="D258" s="5"/>
    </row>
    <row r="259">
      <c r="C259" s="5"/>
      <c r="D259" s="5"/>
    </row>
    <row r="260">
      <c r="C260" s="5"/>
      <c r="D260" s="5"/>
    </row>
    <row r="261">
      <c r="C261" s="5"/>
      <c r="D261" s="5"/>
    </row>
    <row r="262">
      <c r="C262" s="5"/>
      <c r="D262" s="5"/>
    </row>
    <row r="263">
      <c r="C263" s="5"/>
      <c r="D263" s="5"/>
    </row>
    <row r="264">
      <c r="C264" s="5"/>
      <c r="D264" s="5"/>
    </row>
    <row r="265">
      <c r="C265" s="5"/>
      <c r="D265" s="5"/>
    </row>
    <row r="266">
      <c r="C266" s="5"/>
      <c r="D266" s="5"/>
    </row>
    <row r="267">
      <c r="C267" s="5"/>
      <c r="D267" s="5"/>
    </row>
    <row r="268">
      <c r="C268" s="5"/>
      <c r="D268" s="5"/>
    </row>
    <row r="269">
      <c r="C269" s="5"/>
      <c r="D269" s="5"/>
    </row>
    <row r="270">
      <c r="C270" s="5"/>
      <c r="D270" s="5"/>
    </row>
    <row r="271">
      <c r="C271" s="5"/>
      <c r="D271" s="5"/>
    </row>
    <row r="272">
      <c r="C272" s="5"/>
      <c r="D272" s="5"/>
    </row>
    <row r="273">
      <c r="C273" s="5"/>
      <c r="D273" s="5"/>
    </row>
    <row r="274">
      <c r="C274" s="5"/>
      <c r="D274" s="5"/>
    </row>
    <row r="275">
      <c r="C275" s="5"/>
      <c r="D275" s="5"/>
    </row>
    <row r="276">
      <c r="C276" s="5"/>
      <c r="D276" s="5"/>
    </row>
    <row r="277">
      <c r="C277" s="5"/>
      <c r="D277" s="5"/>
    </row>
    <row r="278">
      <c r="C278" s="5"/>
      <c r="D278" s="5"/>
    </row>
    <row r="279">
      <c r="C279" s="5"/>
      <c r="D279" s="5"/>
    </row>
    <row r="280">
      <c r="C280" s="5"/>
      <c r="D280" s="5"/>
    </row>
    <row r="281">
      <c r="C281" s="5"/>
      <c r="D281" s="5"/>
    </row>
    <row r="282">
      <c r="C282" s="5"/>
      <c r="D282" s="5"/>
    </row>
    <row r="283">
      <c r="C283" s="5"/>
      <c r="D283" s="5"/>
    </row>
    <row r="284">
      <c r="C284" s="5"/>
      <c r="D284" s="5"/>
    </row>
    <row r="285">
      <c r="C285" s="5"/>
      <c r="D285" s="5"/>
    </row>
    <row r="286">
      <c r="C286" s="5"/>
      <c r="D286" s="5"/>
    </row>
    <row r="287">
      <c r="C287" s="5"/>
      <c r="D287" s="5"/>
    </row>
    <row r="288">
      <c r="C288" s="5"/>
      <c r="D288" s="5"/>
    </row>
    <row r="289">
      <c r="C289" s="5"/>
      <c r="D289" s="5"/>
    </row>
    <row r="290">
      <c r="C290" s="5"/>
      <c r="D290" s="5"/>
    </row>
    <row r="291">
      <c r="C291" s="5"/>
      <c r="D291" s="5"/>
    </row>
    <row r="292">
      <c r="C292" s="5"/>
      <c r="D292" s="5"/>
    </row>
    <row r="293">
      <c r="C293" s="5"/>
      <c r="D293" s="5"/>
    </row>
    <row r="294">
      <c r="C294" s="5"/>
      <c r="D294" s="5"/>
    </row>
    <row r="295">
      <c r="C295" s="5"/>
      <c r="D295" s="5"/>
    </row>
    <row r="296">
      <c r="C296" s="5"/>
      <c r="D296" s="5"/>
    </row>
    <row r="297">
      <c r="C297" s="5"/>
      <c r="D297" s="5"/>
    </row>
    <row r="298">
      <c r="C298" s="5"/>
      <c r="D298" s="5"/>
    </row>
    <row r="299">
      <c r="C299" s="5"/>
      <c r="D299" s="5"/>
    </row>
    <row r="300">
      <c r="C300" s="5"/>
      <c r="D300" s="5"/>
    </row>
    <row r="301">
      <c r="C301" s="5"/>
      <c r="D301" s="5"/>
    </row>
    <row r="302">
      <c r="C302" s="5"/>
      <c r="D302" s="5"/>
    </row>
    <row r="303">
      <c r="C303" s="5"/>
      <c r="D303" s="5"/>
    </row>
    <row r="304">
      <c r="C304" s="5"/>
      <c r="D304" s="5"/>
    </row>
    <row r="305">
      <c r="C305" s="5"/>
      <c r="D305" s="5"/>
    </row>
    <row r="306">
      <c r="C306" s="5"/>
      <c r="D306" s="5"/>
    </row>
    <row r="307">
      <c r="C307" s="5"/>
      <c r="D307" s="5"/>
    </row>
    <row r="308">
      <c r="C308" s="5"/>
      <c r="D308" s="5"/>
    </row>
    <row r="309">
      <c r="C309" s="5"/>
      <c r="D309" s="5"/>
    </row>
    <row r="310">
      <c r="C310" s="5"/>
      <c r="D310" s="5"/>
    </row>
    <row r="311">
      <c r="C311" s="5"/>
      <c r="D311" s="5"/>
    </row>
    <row r="312">
      <c r="C312" s="5"/>
      <c r="D312" s="5"/>
    </row>
    <row r="313">
      <c r="C313" s="5"/>
      <c r="D313" s="5"/>
    </row>
    <row r="314">
      <c r="C314" s="5"/>
      <c r="D314" s="5"/>
    </row>
    <row r="315">
      <c r="C315" s="5"/>
      <c r="D315" s="5"/>
    </row>
    <row r="316">
      <c r="C316" s="5"/>
      <c r="D316" s="5"/>
    </row>
    <row r="317">
      <c r="C317" s="5"/>
      <c r="D317" s="5"/>
    </row>
    <row r="318">
      <c r="C318" s="5"/>
      <c r="D318" s="5"/>
    </row>
    <row r="319">
      <c r="C319" s="5"/>
      <c r="D319" s="5"/>
    </row>
    <row r="320">
      <c r="C320" s="5"/>
      <c r="D320" s="5"/>
    </row>
    <row r="321">
      <c r="C321" s="5"/>
      <c r="D321" s="5"/>
    </row>
    <row r="322">
      <c r="C322" s="5"/>
      <c r="D322" s="5"/>
    </row>
    <row r="323">
      <c r="C323" s="5"/>
      <c r="D323" s="5"/>
    </row>
    <row r="324">
      <c r="C324" s="5"/>
      <c r="D324" s="5"/>
    </row>
    <row r="325">
      <c r="C325" s="5"/>
      <c r="D325" s="5"/>
    </row>
    <row r="326">
      <c r="C326" s="5"/>
      <c r="D326" s="5"/>
    </row>
    <row r="327">
      <c r="C327" s="5"/>
      <c r="D327" s="5"/>
    </row>
    <row r="328">
      <c r="C328" s="5"/>
      <c r="D328" s="5"/>
    </row>
    <row r="329">
      <c r="C329" s="5"/>
      <c r="D329" s="5"/>
    </row>
    <row r="330">
      <c r="C330" s="5"/>
      <c r="D330" s="5"/>
    </row>
    <row r="331">
      <c r="C331" s="5"/>
      <c r="D331" s="5"/>
    </row>
    <row r="332">
      <c r="C332" s="5"/>
      <c r="D332" s="5"/>
    </row>
    <row r="333">
      <c r="C333" s="5"/>
      <c r="D333" s="5"/>
    </row>
    <row r="334">
      <c r="C334" s="5"/>
      <c r="D334" s="5"/>
    </row>
    <row r="335">
      <c r="C335" s="5"/>
      <c r="D335" s="5"/>
    </row>
    <row r="336">
      <c r="C336" s="5"/>
      <c r="D336" s="5"/>
    </row>
    <row r="337">
      <c r="C337" s="5"/>
      <c r="D337" s="5"/>
    </row>
    <row r="338">
      <c r="C338" s="5"/>
      <c r="D338" s="5"/>
    </row>
    <row r="339">
      <c r="C339" s="5"/>
      <c r="D339" s="5"/>
    </row>
    <row r="340">
      <c r="C340" s="5"/>
      <c r="D340" s="5"/>
    </row>
    <row r="341">
      <c r="C341" s="5"/>
      <c r="D341" s="5"/>
    </row>
    <row r="342">
      <c r="C342" s="5"/>
      <c r="D342" s="5"/>
    </row>
    <row r="343">
      <c r="C343" s="5"/>
      <c r="D343" s="5"/>
    </row>
    <row r="344">
      <c r="C344" s="5"/>
      <c r="D344" s="5"/>
    </row>
    <row r="345">
      <c r="C345" s="5"/>
      <c r="D345" s="5"/>
    </row>
    <row r="346">
      <c r="C346" s="5"/>
      <c r="D346" s="5"/>
    </row>
    <row r="347">
      <c r="C347" s="5"/>
      <c r="D347" s="5"/>
    </row>
    <row r="348">
      <c r="C348" s="5"/>
      <c r="D348" s="5"/>
    </row>
    <row r="349">
      <c r="C349" s="5"/>
      <c r="D349" s="5"/>
    </row>
    <row r="350">
      <c r="C350" s="5"/>
      <c r="D350" s="5"/>
    </row>
    <row r="351">
      <c r="C351" s="5"/>
      <c r="D351" s="5"/>
    </row>
    <row r="352">
      <c r="C352" s="5"/>
      <c r="D352" s="5"/>
    </row>
    <row r="353">
      <c r="C353" s="5"/>
      <c r="D353" s="5"/>
    </row>
    <row r="354">
      <c r="C354" s="5"/>
      <c r="D354" s="5"/>
    </row>
    <row r="355">
      <c r="C355" s="5"/>
      <c r="D355" s="5"/>
    </row>
    <row r="356">
      <c r="C356" s="5"/>
      <c r="D356" s="5"/>
    </row>
    <row r="357">
      <c r="C357" s="5"/>
      <c r="D357" s="5"/>
    </row>
    <row r="358">
      <c r="C358" s="5"/>
      <c r="D358" s="5"/>
    </row>
    <row r="359">
      <c r="C359" s="5"/>
      <c r="D359" s="5"/>
    </row>
    <row r="360">
      <c r="C360" s="5"/>
      <c r="D360" s="5"/>
    </row>
    <row r="361">
      <c r="C361" s="5"/>
      <c r="D361" s="5"/>
    </row>
    <row r="362">
      <c r="C362" s="5"/>
      <c r="D362" s="5"/>
    </row>
    <row r="363">
      <c r="C363" s="5"/>
      <c r="D363" s="5"/>
    </row>
    <row r="364">
      <c r="C364" s="5"/>
      <c r="D364" s="5"/>
    </row>
    <row r="365">
      <c r="C365" s="5"/>
      <c r="D365" s="5"/>
    </row>
    <row r="366">
      <c r="C366" s="5"/>
      <c r="D366" s="5"/>
    </row>
    <row r="367">
      <c r="C367" s="5"/>
      <c r="D367" s="5"/>
    </row>
    <row r="368">
      <c r="C368" s="5"/>
      <c r="D368" s="5"/>
    </row>
    <row r="369">
      <c r="C369" s="5"/>
      <c r="D369" s="5"/>
    </row>
    <row r="370">
      <c r="C370" s="5"/>
      <c r="D370" s="5"/>
    </row>
    <row r="371">
      <c r="C371" s="5"/>
      <c r="D371" s="5"/>
    </row>
    <row r="372">
      <c r="C372" s="5"/>
      <c r="D372" s="5"/>
    </row>
    <row r="373">
      <c r="C373" s="5"/>
      <c r="D373" s="5"/>
    </row>
    <row r="374">
      <c r="C374" s="5"/>
      <c r="D374" s="5"/>
    </row>
    <row r="375">
      <c r="C375" s="5"/>
      <c r="D375" s="5"/>
    </row>
    <row r="376">
      <c r="C376" s="5"/>
      <c r="D376" s="5"/>
    </row>
    <row r="377">
      <c r="C377" s="5"/>
      <c r="D377" s="5"/>
    </row>
    <row r="378">
      <c r="C378" s="5"/>
      <c r="D378" s="5"/>
    </row>
    <row r="379">
      <c r="C379" s="5"/>
      <c r="D379" s="5"/>
    </row>
    <row r="380">
      <c r="C380" s="5"/>
      <c r="D380" s="5"/>
    </row>
    <row r="381">
      <c r="C381" s="5"/>
      <c r="D381" s="5"/>
    </row>
    <row r="382">
      <c r="C382" s="5"/>
      <c r="D382" s="5"/>
    </row>
    <row r="383">
      <c r="C383" s="5"/>
      <c r="D383" s="5"/>
    </row>
    <row r="384">
      <c r="C384" s="5"/>
      <c r="D384" s="5"/>
    </row>
    <row r="385">
      <c r="C385" s="5"/>
      <c r="D385" s="5"/>
    </row>
    <row r="386">
      <c r="C386" s="5"/>
      <c r="D386" s="5"/>
    </row>
    <row r="387">
      <c r="C387" s="5"/>
      <c r="D387" s="5"/>
    </row>
    <row r="388">
      <c r="C388" s="5"/>
      <c r="D388" s="5"/>
    </row>
    <row r="389">
      <c r="C389" s="5"/>
      <c r="D389" s="5"/>
    </row>
    <row r="390">
      <c r="C390" s="5"/>
      <c r="D390" s="5"/>
    </row>
    <row r="391">
      <c r="C391" s="5"/>
      <c r="D391" s="5"/>
    </row>
    <row r="392">
      <c r="C392" s="5"/>
      <c r="D392" s="5"/>
    </row>
    <row r="393">
      <c r="C393" s="5"/>
      <c r="D393" s="5"/>
    </row>
    <row r="394">
      <c r="C394" s="5"/>
      <c r="D394" s="5"/>
    </row>
    <row r="395">
      <c r="C395" s="5"/>
      <c r="D395" s="5"/>
    </row>
    <row r="396">
      <c r="C396" s="5"/>
      <c r="D396" s="5"/>
    </row>
    <row r="397">
      <c r="C397" s="5"/>
      <c r="D397" s="5"/>
    </row>
    <row r="398">
      <c r="C398" s="5"/>
      <c r="D398" s="5"/>
    </row>
    <row r="399">
      <c r="C399" s="5"/>
      <c r="D399" s="5"/>
    </row>
    <row r="400">
      <c r="C400" s="5"/>
      <c r="D400" s="5"/>
    </row>
    <row r="401">
      <c r="C401" s="5"/>
      <c r="D401" s="5"/>
    </row>
    <row r="402">
      <c r="C402" s="5"/>
      <c r="D402" s="5"/>
    </row>
    <row r="403">
      <c r="C403" s="5"/>
      <c r="D403" s="5"/>
    </row>
    <row r="404">
      <c r="C404" s="5"/>
      <c r="D404" s="5"/>
    </row>
    <row r="405">
      <c r="C405" s="5"/>
      <c r="D405" s="5"/>
    </row>
    <row r="406">
      <c r="C406" s="5"/>
      <c r="D406" s="5"/>
    </row>
    <row r="407">
      <c r="C407" s="5"/>
      <c r="D407" s="5"/>
    </row>
    <row r="408">
      <c r="C408" s="5"/>
      <c r="D408" s="5"/>
    </row>
    <row r="409">
      <c r="C409" s="5"/>
      <c r="D409" s="5"/>
    </row>
    <row r="410">
      <c r="C410" s="5"/>
      <c r="D410" s="5"/>
    </row>
    <row r="411">
      <c r="C411" s="5"/>
      <c r="D411" s="5"/>
    </row>
    <row r="412">
      <c r="C412" s="5"/>
      <c r="D412" s="5"/>
    </row>
    <row r="413">
      <c r="C413" s="5"/>
      <c r="D413" s="5"/>
    </row>
    <row r="414">
      <c r="C414" s="5"/>
      <c r="D414" s="5"/>
    </row>
    <row r="415">
      <c r="C415" s="5"/>
      <c r="D415" s="5"/>
    </row>
    <row r="416">
      <c r="C416" s="5"/>
      <c r="D416" s="5"/>
    </row>
    <row r="417">
      <c r="C417" s="5"/>
      <c r="D417" s="5"/>
    </row>
    <row r="418">
      <c r="C418" s="5"/>
      <c r="D418" s="5"/>
    </row>
    <row r="419">
      <c r="C419" s="5"/>
      <c r="D419" s="5"/>
    </row>
    <row r="420">
      <c r="C420" s="5"/>
      <c r="D420" s="5"/>
    </row>
    <row r="421">
      <c r="C421" s="5"/>
      <c r="D421" s="5"/>
    </row>
    <row r="422">
      <c r="C422" s="5"/>
      <c r="D422" s="5"/>
    </row>
    <row r="423">
      <c r="C423" s="5"/>
      <c r="D423" s="5"/>
    </row>
    <row r="424">
      <c r="C424" s="5"/>
      <c r="D424" s="5"/>
    </row>
    <row r="425">
      <c r="C425" s="5"/>
      <c r="D425" s="5"/>
    </row>
    <row r="426">
      <c r="C426" s="5"/>
      <c r="D426" s="5"/>
    </row>
    <row r="427">
      <c r="C427" s="5"/>
      <c r="D427" s="5"/>
    </row>
    <row r="428">
      <c r="C428" s="5"/>
      <c r="D428" s="5"/>
    </row>
    <row r="429">
      <c r="C429" s="5"/>
      <c r="D429" s="5"/>
    </row>
    <row r="430">
      <c r="C430" s="5"/>
      <c r="D430" s="5"/>
    </row>
    <row r="431">
      <c r="C431" s="5"/>
      <c r="D431" s="5"/>
    </row>
    <row r="432">
      <c r="C432" s="5"/>
      <c r="D432" s="5"/>
    </row>
    <row r="433">
      <c r="C433" s="5"/>
      <c r="D433" s="5"/>
    </row>
    <row r="434">
      <c r="C434" s="5"/>
      <c r="D434" s="5"/>
    </row>
    <row r="435">
      <c r="C435" s="5"/>
      <c r="D435" s="5"/>
    </row>
    <row r="436">
      <c r="C436" s="5"/>
      <c r="D436" s="5"/>
    </row>
    <row r="437">
      <c r="C437" s="5"/>
      <c r="D437" s="5"/>
    </row>
    <row r="438">
      <c r="C438" s="5"/>
      <c r="D438" s="5"/>
    </row>
    <row r="439">
      <c r="C439" s="5"/>
      <c r="D439" s="5"/>
    </row>
    <row r="440">
      <c r="C440" s="5"/>
      <c r="D440" s="5"/>
    </row>
    <row r="441">
      <c r="C441" s="5"/>
      <c r="D441" s="5"/>
    </row>
    <row r="442">
      <c r="C442" s="5"/>
      <c r="D442" s="5"/>
    </row>
    <row r="443">
      <c r="C443" s="5"/>
      <c r="D443" s="5"/>
    </row>
    <row r="444">
      <c r="C444" s="5"/>
      <c r="D444" s="5"/>
    </row>
    <row r="445">
      <c r="C445" s="5"/>
      <c r="D445" s="5"/>
    </row>
    <row r="446">
      <c r="C446" s="5"/>
      <c r="D446" s="5"/>
    </row>
    <row r="447">
      <c r="C447" s="5"/>
      <c r="D447" s="5"/>
    </row>
    <row r="448">
      <c r="C448" s="5"/>
      <c r="D448" s="5"/>
    </row>
    <row r="449">
      <c r="C449" s="5"/>
      <c r="D449" s="5"/>
    </row>
    <row r="450">
      <c r="C450" s="5"/>
      <c r="D450" s="5"/>
    </row>
    <row r="451">
      <c r="C451" s="5"/>
      <c r="D451" s="5"/>
    </row>
    <row r="452">
      <c r="C452" s="5"/>
      <c r="D452" s="5"/>
    </row>
    <row r="453">
      <c r="C453" s="5"/>
      <c r="D453" s="5"/>
    </row>
    <row r="454">
      <c r="C454" s="5"/>
      <c r="D454" s="5"/>
    </row>
    <row r="455">
      <c r="C455" s="5"/>
      <c r="D455" s="5"/>
    </row>
    <row r="456">
      <c r="C456" s="5"/>
      <c r="D456" s="5"/>
    </row>
    <row r="457">
      <c r="C457" s="5"/>
      <c r="D457" s="5"/>
    </row>
    <row r="458">
      <c r="C458" s="5"/>
      <c r="D458" s="5"/>
    </row>
    <row r="459">
      <c r="C459" s="5"/>
      <c r="D459" s="5"/>
    </row>
    <row r="460">
      <c r="C460" s="5"/>
      <c r="D460" s="5"/>
    </row>
    <row r="461">
      <c r="C461" s="5"/>
      <c r="D461" s="5"/>
    </row>
    <row r="462">
      <c r="C462" s="5"/>
      <c r="D462" s="5"/>
    </row>
    <row r="463">
      <c r="C463" s="5"/>
      <c r="D463" s="5"/>
    </row>
    <row r="464">
      <c r="C464" s="5"/>
      <c r="D464" s="5"/>
    </row>
    <row r="465">
      <c r="C465" s="5"/>
      <c r="D465" s="5"/>
    </row>
    <row r="466">
      <c r="C466" s="5"/>
      <c r="D466" s="5"/>
    </row>
    <row r="467">
      <c r="C467" s="5"/>
      <c r="D467" s="5"/>
    </row>
    <row r="468">
      <c r="C468" s="5"/>
      <c r="D468" s="5"/>
    </row>
    <row r="469">
      <c r="C469" s="5"/>
      <c r="D469" s="5"/>
    </row>
    <row r="470">
      <c r="C470" s="5"/>
      <c r="D470" s="5"/>
    </row>
    <row r="471">
      <c r="C471" s="5"/>
      <c r="D471" s="5"/>
    </row>
    <row r="472">
      <c r="C472" s="5"/>
      <c r="D472" s="5"/>
    </row>
    <row r="473">
      <c r="C473" s="5"/>
      <c r="D473" s="5"/>
    </row>
    <row r="474">
      <c r="C474" s="5"/>
      <c r="D474" s="5"/>
    </row>
    <row r="475">
      <c r="C475" s="5"/>
      <c r="D475" s="5"/>
    </row>
    <row r="476">
      <c r="C476" s="5"/>
      <c r="D476" s="5"/>
    </row>
    <row r="477">
      <c r="C477" s="5"/>
      <c r="D477" s="5"/>
    </row>
    <row r="478">
      <c r="C478" s="5"/>
      <c r="D478" s="5"/>
    </row>
    <row r="479">
      <c r="C479" s="5"/>
      <c r="D479" s="5"/>
    </row>
    <row r="480">
      <c r="C480" s="5"/>
      <c r="D480" s="5"/>
    </row>
    <row r="481">
      <c r="C481" s="5"/>
      <c r="D481" s="5"/>
    </row>
    <row r="482">
      <c r="C482" s="5"/>
      <c r="D482" s="5"/>
    </row>
    <row r="483">
      <c r="C483" s="5"/>
      <c r="D483" s="5"/>
    </row>
    <row r="484">
      <c r="C484" s="5"/>
      <c r="D484" s="5"/>
    </row>
    <row r="485">
      <c r="C485" s="5"/>
      <c r="D485" s="5"/>
    </row>
    <row r="486">
      <c r="C486" s="5"/>
      <c r="D486" s="5"/>
    </row>
    <row r="487">
      <c r="C487" s="5"/>
      <c r="D487" s="5"/>
    </row>
    <row r="488">
      <c r="C488" s="5"/>
      <c r="D488" s="5"/>
    </row>
    <row r="489">
      <c r="C489" s="5"/>
      <c r="D489" s="5"/>
    </row>
    <row r="490">
      <c r="C490" s="5"/>
      <c r="D490" s="5"/>
    </row>
    <row r="491">
      <c r="C491" s="5"/>
      <c r="D491" s="5"/>
    </row>
    <row r="492">
      <c r="C492" s="5"/>
      <c r="D492" s="5"/>
    </row>
    <row r="493">
      <c r="C493" s="5"/>
      <c r="D493" s="5"/>
    </row>
    <row r="494">
      <c r="C494" s="5"/>
      <c r="D494" s="5"/>
    </row>
    <row r="495">
      <c r="C495" s="5"/>
      <c r="D495" s="5"/>
    </row>
    <row r="496">
      <c r="C496" s="5"/>
      <c r="D496" s="5"/>
    </row>
    <row r="497">
      <c r="C497" s="5"/>
      <c r="D497" s="5"/>
    </row>
    <row r="498">
      <c r="C498" s="5"/>
      <c r="D498" s="5"/>
    </row>
    <row r="499">
      <c r="C499" s="5"/>
      <c r="D499" s="5"/>
    </row>
    <row r="500">
      <c r="C500" s="5"/>
      <c r="D500" s="5"/>
    </row>
    <row r="501">
      <c r="C501" s="5"/>
      <c r="D501" s="5"/>
    </row>
    <row r="502">
      <c r="C502" s="5"/>
      <c r="D502" s="5"/>
    </row>
    <row r="503">
      <c r="C503" s="5"/>
      <c r="D503" s="5"/>
    </row>
    <row r="504">
      <c r="C504" s="5"/>
      <c r="D504" s="5"/>
    </row>
    <row r="505">
      <c r="C505" s="5"/>
      <c r="D505" s="5"/>
    </row>
    <row r="506">
      <c r="C506" s="5"/>
      <c r="D506" s="5"/>
    </row>
    <row r="507">
      <c r="C507" s="5"/>
      <c r="D507" s="5"/>
    </row>
    <row r="508">
      <c r="C508" s="5"/>
      <c r="D508" s="5"/>
    </row>
    <row r="509">
      <c r="C509" s="5"/>
      <c r="D509" s="5"/>
    </row>
    <row r="510">
      <c r="C510" s="5"/>
      <c r="D510" s="5"/>
    </row>
    <row r="511">
      <c r="C511" s="5"/>
      <c r="D511" s="5"/>
    </row>
    <row r="512">
      <c r="C512" s="5"/>
      <c r="D512" s="5"/>
    </row>
    <row r="513">
      <c r="C513" s="5"/>
      <c r="D513" s="5"/>
    </row>
    <row r="514">
      <c r="C514" s="5"/>
      <c r="D514" s="5"/>
    </row>
    <row r="515">
      <c r="C515" s="5"/>
      <c r="D515" s="5"/>
    </row>
    <row r="516">
      <c r="C516" s="5"/>
      <c r="D516" s="5"/>
    </row>
    <row r="517">
      <c r="C517" s="5"/>
      <c r="D517" s="5"/>
    </row>
    <row r="518">
      <c r="C518" s="5"/>
      <c r="D518" s="5"/>
    </row>
    <row r="519">
      <c r="C519" s="5"/>
      <c r="D519" s="5"/>
    </row>
    <row r="520">
      <c r="C520" s="5"/>
      <c r="D520" s="5"/>
    </row>
    <row r="521">
      <c r="C521" s="5"/>
      <c r="D521" s="5"/>
    </row>
    <row r="522">
      <c r="C522" s="5"/>
      <c r="D522" s="5"/>
    </row>
    <row r="523">
      <c r="C523" s="5"/>
      <c r="D523" s="5"/>
    </row>
    <row r="524">
      <c r="C524" s="5"/>
      <c r="D524" s="5"/>
    </row>
    <row r="525">
      <c r="C525" s="5"/>
      <c r="D525" s="5"/>
    </row>
    <row r="526">
      <c r="C526" s="5"/>
      <c r="D526" s="5"/>
    </row>
    <row r="527">
      <c r="C527" s="5"/>
      <c r="D527" s="5"/>
    </row>
    <row r="528">
      <c r="C528" s="5"/>
      <c r="D528" s="5"/>
    </row>
    <row r="529">
      <c r="C529" s="5"/>
      <c r="D529" s="5"/>
    </row>
    <row r="530">
      <c r="C530" s="5"/>
      <c r="D530" s="5"/>
    </row>
    <row r="531">
      <c r="C531" s="5"/>
      <c r="D531" s="5"/>
    </row>
    <row r="532">
      <c r="C532" s="5"/>
      <c r="D532" s="5"/>
    </row>
    <row r="533">
      <c r="C533" s="5"/>
      <c r="D533" s="5"/>
    </row>
    <row r="534">
      <c r="C534" s="5"/>
      <c r="D534" s="5"/>
    </row>
    <row r="535">
      <c r="C535" s="5"/>
      <c r="D535" s="5"/>
    </row>
    <row r="536">
      <c r="C536" s="5"/>
      <c r="D536" s="5"/>
    </row>
    <row r="537">
      <c r="C537" s="5"/>
      <c r="D537" s="5"/>
    </row>
    <row r="538">
      <c r="C538" s="5"/>
      <c r="D538" s="5"/>
    </row>
    <row r="539">
      <c r="C539" s="5"/>
      <c r="D539" s="5"/>
    </row>
    <row r="540">
      <c r="C540" s="5"/>
      <c r="D540" s="5"/>
    </row>
    <row r="541">
      <c r="C541" s="5"/>
      <c r="D541" s="5"/>
    </row>
    <row r="542">
      <c r="C542" s="5"/>
      <c r="D542" s="5"/>
    </row>
    <row r="543">
      <c r="C543" s="5"/>
      <c r="D543" s="5"/>
    </row>
    <row r="544">
      <c r="C544" s="5"/>
      <c r="D544" s="5"/>
    </row>
    <row r="545">
      <c r="C545" s="5"/>
      <c r="D545" s="5"/>
    </row>
    <row r="546">
      <c r="C546" s="5"/>
      <c r="D546" s="5"/>
    </row>
    <row r="547">
      <c r="C547" s="5"/>
      <c r="D547" s="5"/>
    </row>
    <row r="548">
      <c r="C548" s="5"/>
      <c r="D548" s="5"/>
    </row>
    <row r="549">
      <c r="C549" s="5"/>
      <c r="D549" s="5"/>
    </row>
    <row r="550">
      <c r="C550" s="5"/>
      <c r="D550" s="5"/>
    </row>
    <row r="551">
      <c r="C551" s="5"/>
      <c r="D551" s="5"/>
    </row>
    <row r="552">
      <c r="C552" s="5"/>
      <c r="D552" s="5"/>
    </row>
    <row r="553">
      <c r="C553" s="5"/>
      <c r="D553" s="5"/>
    </row>
    <row r="554">
      <c r="C554" s="5"/>
      <c r="D554" s="5"/>
    </row>
    <row r="555">
      <c r="C555" s="5"/>
      <c r="D555" s="5"/>
    </row>
    <row r="556">
      <c r="C556" s="5"/>
      <c r="D556" s="5"/>
    </row>
    <row r="557">
      <c r="C557" s="5"/>
      <c r="D557" s="5"/>
    </row>
    <row r="558">
      <c r="C558" s="5"/>
      <c r="D558" s="5"/>
    </row>
    <row r="559">
      <c r="C559" s="5"/>
      <c r="D559" s="5"/>
    </row>
    <row r="560">
      <c r="C560" s="5"/>
      <c r="D560" s="5"/>
    </row>
    <row r="561">
      <c r="C561" s="5"/>
      <c r="D561" s="5"/>
    </row>
    <row r="562">
      <c r="C562" s="5"/>
      <c r="D562" s="5"/>
    </row>
    <row r="563">
      <c r="C563" s="5"/>
      <c r="D563" s="5"/>
    </row>
    <row r="564">
      <c r="C564" s="5"/>
      <c r="D564" s="5"/>
    </row>
    <row r="565">
      <c r="C565" s="5"/>
      <c r="D565" s="5"/>
    </row>
    <row r="566">
      <c r="C566" s="5"/>
      <c r="D566" s="5"/>
    </row>
    <row r="567">
      <c r="C567" s="5"/>
      <c r="D567" s="5"/>
    </row>
    <row r="568">
      <c r="C568" s="5"/>
      <c r="D568" s="5"/>
    </row>
    <row r="569">
      <c r="C569" s="5"/>
      <c r="D569" s="5"/>
    </row>
    <row r="570">
      <c r="C570" s="5"/>
      <c r="D570" s="5"/>
    </row>
    <row r="571">
      <c r="C571" s="5"/>
      <c r="D571" s="5"/>
    </row>
    <row r="572">
      <c r="C572" s="5"/>
      <c r="D572" s="5"/>
    </row>
    <row r="573">
      <c r="C573" s="5"/>
      <c r="D573" s="5"/>
    </row>
    <row r="574">
      <c r="C574" s="5"/>
      <c r="D574" s="5"/>
    </row>
    <row r="575">
      <c r="C575" s="5"/>
      <c r="D575" s="5"/>
    </row>
    <row r="576">
      <c r="C576" s="5"/>
      <c r="D576" s="5"/>
    </row>
    <row r="577">
      <c r="C577" s="5"/>
      <c r="D577" s="5"/>
    </row>
    <row r="578">
      <c r="C578" s="5"/>
      <c r="D578" s="5"/>
    </row>
    <row r="579">
      <c r="C579" s="5"/>
      <c r="D579" s="5"/>
    </row>
    <row r="580">
      <c r="C580" s="5"/>
      <c r="D580" s="5"/>
    </row>
    <row r="581">
      <c r="C581" s="5"/>
      <c r="D581" s="5"/>
    </row>
    <row r="582">
      <c r="C582" s="5"/>
      <c r="D582" s="5"/>
    </row>
    <row r="583">
      <c r="C583" s="5"/>
      <c r="D583" s="5"/>
    </row>
    <row r="584">
      <c r="C584" s="5"/>
      <c r="D584" s="5"/>
    </row>
    <row r="585">
      <c r="C585" s="5"/>
      <c r="D585" s="5"/>
    </row>
    <row r="586">
      <c r="C586" s="5"/>
      <c r="D586" s="5"/>
    </row>
    <row r="587">
      <c r="C587" s="5"/>
      <c r="D587" s="5"/>
    </row>
    <row r="588">
      <c r="C588" s="5"/>
      <c r="D588" s="5"/>
    </row>
    <row r="589">
      <c r="C589" s="5"/>
      <c r="D589" s="5"/>
    </row>
    <row r="590">
      <c r="C590" s="5"/>
      <c r="D590" s="5"/>
    </row>
    <row r="591">
      <c r="C591" s="5"/>
      <c r="D591" s="5"/>
    </row>
    <row r="592">
      <c r="C592" s="5"/>
      <c r="D592" s="5"/>
    </row>
    <row r="593">
      <c r="C593" s="5"/>
      <c r="D593" s="5"/>
    </row>
    <row r="594">
      <c r="C594" s="5"/>
      <c r="D594" s="5"/>
    </row>
    <row r="595">
      <c r="C595" s="5"/>
      <c r="D595" s="5"/>
    </row>
    <row r="596">
      <c r="C596" s="5"/>
      <c r="D596" s="5"/>
    </row>
    <row r="597">
      <c r="C597" s="5"/>
      <c r="D597" s="5"/>
    </row>
    <row r="598">
      <c r="C598" s="5"/>
      <c r="D598" s="5"/>
    </row>
    <row r="599">
      <c r="C599" s="5"/>
      <c r="D599" s="5"/>
    </row>
    <row r="600">
      <c r="C600" s="5"/>
      <c r="D600" s="5"/>
    </row>
    <row r="601">
      <c r="C601" s="5"/>
      <c r="D601" s="5"/>
    </row>
    <row r="602">
      <c r="C602" s="5"/>
      <c r="D602" s="5"/>
    </row>
    <row r="603">
      <c r="C603" s="5"/>
      <c r="D603" s="5"/>
    </row>
    <row r="604">
      <c r="C604" s="5"/>
      <c r="D604" s="5"/>
    </row>
    <row r="605">
      <c r="C605" s="5"/>
      <c r="D605" s="5"/>
    </row>
    <row r="606">
      <c r="C606" s="5"/>
      <c r="D606" s="5"/>
    </row>
    <row r="607">
      <c r="C607" s="5"/>
      <c r="D607" s="5"/>
    </row>
    <row r="608">
      <c r="C608" s="5"/>
      <c r="D608" s="5"/>
    </row>
    <row r="609">
      <c r="C609" s="5"/>
      <c r="D609" s="5"/>
    </row>
    <row r="610">
      <c r="C610" s="5"/>
      <c r="D610" s="5"/>
    </row>
    <row r="611">
      <c r="C611" s="5"/>
      <c r="D611" s="5"/>
    </row>
    <row r="612">
      <c r="C612" s="5"/>
      <c r="D612" s="5"/>
    </row>
    <row r="613">
      <c r="C613" s="5"/>
      <c r="D613" s="5"/>
    </row>
    <row r="614">
      <c r="C614" s="5"/>
      <c r="D614" s="5"/>
    </row>
    <row r="615">
      <c r="C615" s="5"/>
      <c r="D615" s="5"/>
    </row>
    <row r="616">
      <c r="C616" s="5"/>
      <c r="D616" s="5"/>
    </row>
    <row r="617">
      <c r="C617" s="5"/>
      <c r="D617" s="5"/>
    </row>
    <row r="618">
      <c r="C618" s="5"/>
      <c r="D618" s="5"/>
    </row>
    <row r="619">
      <c r="C619" s="5"/>
      <c r="D619" s="5"/>
    </row>
    <row r="620">
      <c r="C620" s="5"/>
      <c r="D620" s="5"/>
    </row>
    <row r="621">
      <c r="C621" s="5"/>
      <c r="D621" s="5"/>
    </row>
    <row r="622">
      <c r="C622" s="5"/>
      <c r="D622" s="5"/>
    </row>
    <row r="623">
      <c r="C623" s="5"/>
      <c r="D623" s="5"/>
    </row>
    <row r="624">
      <c r="C624" s="5"/>
      <c r="D624" s="5"/>
    </row>
    <row r="625">
      <c r="C625" s="5"/>
      <c r="D625" s="5"/>
    </row>
    <row r="626">
      <c r="C626" s="5"/>
      <c r="D626" s="5"/>
    </row>
    <row r="627">
      <c r="C627" s="5"/>
      <c r="D627" s="5"/>
    </row>
    <row r="628">
      <c r="C628" s="5"/>
      <c r="D628" s="5"/>
    </row>
    <row r="629">
      <c r="C629" s="5"/>
      <c r="D629" s="5"/>
    </row>
    <row r="630">
      <c r="C630" s="5"/>
      <c r="D630" s="5"/>
    </row>
    <row r="631">
      <c r="C631" s="5"/>
      <c r="D631" s="5"/>
    </row>
    <row r="632">
      <c r="C632" s="5"/>
      <c r="D632" s="5"/>
    </row>
    <row r="633">
      <c r="C633" s="5"/>
      <c r="D633" s="5"/>
    </row>
    <row r="634">
      <c r="C634" s="5"/>
      <c r="D634" s="5"/>
    </row>
    <row r="635">
      <c r="C635" s="5"/>
      <c r="D635" s="5"/>
    </row>
    <row r="636">
      <c r="C636" s="5"/>
      <c r="D636" s="5"/>
    </row>
    <row r="637">
      <c r="C637" s="5"/>
      <c r="D637" s="5"/>
    </row>
    <row r="638">
      <c r="C638" s="5"/>
      <c r="D638" s="5"/>
    </row>
    <row r="639">
      <c r="C639" s="5"/>
      <c r="D639" s="5"/>
    </row>
    <row r="640">
      <c r="C640" s="5"/>
      <c r="D640" s="5"/>
    </row>
    <row r="641">
      <c r="C641" s="5"/>
      <c r="D641" s="5"/>
    </row>
    <row r="642">
      <c r="C642" s="5"/>
      <c r="D642" s="5"/>
    </row>
    <row r="643">
      <c r="C643" s="5"/>
      <c r="D643" s="5"/>
    </row>
    <row r="644">
      <c r="C644" s="5"/>
      <c r="D644" s="5"/>
    </row>
    <row r="645">
      <c r="C645" s="5"/>
      <c r="D645" s="5"/>
    </row>
    <row r="646">
      <c r="C646" s="5"/>
      <c r="D646" s="5"/>
    </row>
    <row r="647">
      <c r="C647" s="5"/>
      <c r="D647" s="5"/>
    </row>
    <row r="648">
      <c r="C648" s="5"/>
      <c r="D648" s="5"/>
    </row>
    <row r="649">
      <c r="C649" s="5"/>
      <c r="D649" s="5"/>
    </row>
    <row r="650">
      <c r="C650" s="5"/>
      <c r="D650" s="5"/>
    </row>
    <row r="651">
      <c r="C651" s="5"/>
      <c r="D651" s="5"/>
    </row>
    <row r="652">
      <c r="C652" s="5"/>
      <c r="D652" s="5"/>
    </row>
    <row r="653">
      <c r="C653" s="5"/>
      <c r="D653" s="5"/>
    </row>
    <row r="654">
      <c r="C654" s="5"/>
      <c r="D654" s="5"/>
    </row>
    <row r="655">
      <c r="C655" s="5"/>
      <c r="D655" s="5"/>
    </row>
    <row r="656">
      <c r="C656" s="5"/>
      <c r="D656" s="5"/>
    </row>
    <row r="657">
      <c r="C657" s="5"/>
      <c r="D657" s="5"/>
    </row>
    <row r="658">
      <c r="C658" s="5"/>
      <c r="D658" s="5"/>
    </row>
    <row r="659">
      <c r="C659" s="5"/>
      <c r="D659" s="5"/>
    </row>
    <row r="660">
      <c r="C660" s="5"/>
      <c r="D660" s="5"/>
    </row>
    <row r="661">
      <c r="C661" s="5"/>
      <c r="D661" s="5"/>
    </row>
    <row r="662">
      <c r="C662" s="5"/>
      <c r="D662" s="5"/>
    </row>
    <row r="663">
      <c r="C663" s="5"/>
      <c r="D663" s="5"/>
    </row>
    <row r="664">
      <c r="C664" s="5"/>
      <c r="D664" s="5"/>
    </row>
    <row r="665">
      <c r="C665" s="5"/>
      <c r="D665" s="5"/>
    </row>
    <row r="666">
      <c r="C666" s="5"/>
      <c r="D666" s="5"/>
    </row>
    <row r="667">
      <c r="C667" s="5"/>
      <c r="D667" s="5"/>
    </row>
    <row r="668">
      <c r="C668" s="5"/>
      <c r="D668" s="5"/>
    </row>
    <row r="669">
      <c r="C669" s="5"/>
      <c r="D669" s="5"/>
    </row>
    <row r="670">
      <c r="C670" s="5"/>
      <c r="D670" s="5"/>
    </row>
    <row r="671">
      <c r="C671" s="5"/>
      <c r="D671" s="5"/>
    </row>
    <row r="672">
      <c r="C672" s="5"/>
      <c r="D672" s="5"/>
    </row>
    <row r="673">
      <c r="C673" s="5"/>
      <c r="D673" s="5"/>
    </row>
    <row r="674">
      <c r="C674" s="5"/>
      <c r="D674" s="5"/>
    </row>
    <row r="675">
      <c r="C675" s="5"/>
      <c r="D675" s="5"/>
    </row>
    <row r="676">
      <c r="C676" s="5"/>
      <c r="D676" s="5"/>
    </row>
    <row r="677">
      <c r="C677" s="5"/>
      <c r="D677" s="5"/>
    </row>
    <row r="678">
      <c r="C678" s="5"/>
      <c r="D678" s="5"/>
    </row>
    <row r="679">
      <c r="C679" s="5"/>
      <c r="D679" s="5"/>
    </row>
    <row r="680">
      <c r="C680" s="5"/>
      <c r="D680" s="5"/>
    </row>
    <row r="681">
      <c r="C681" s="5"/>
      <c r="D681" s="5"/>
    </row>
    <row r="682">
      <c r="C682" s="5"/>
      <c r="D682" s="5"/>
    </row>
    <row r="683">
      <c r="C683" s="5"/>
      <c r="D683" s="5"/>
    </row>
    <row r="684">
      <c r="C684" s="5"/>
      <c r="D684" s="5"/>
    </row>
    <row r="685">
      <c r="C685" s="5"/>
      <c r="D685" s="5"/>
    </row>
    <row r="686">
      <c r="C686" s="5"/>
      <c r="D686" s="5"/>
    </row>
    <row r="687">
      <c r="C687" s="5"/>
      <c r="D687" s="5"/>
    </row>
    <row r="688">
      <c r="C688" s="5"/>
      <c r="D688" s="5"/>
    </row>
    <row r="689">
      <c r="C689" s="5"/>
      <c r="D689" s="5"/>
    </row>
    <row r="690">
      <c r="C690" s="5"/>
      <c r="D690" s="5"/>
    </row>
    <row r="691">
      <c r="C691" s="5"/>
      <c r="D691" s="5"/>
    </row>
    <row r="692">
      <c r="C692" s="5"/>
      <c r="D692" s="5"/>
    </row>
    <row r="693">
      <c r="C693" s="5"/>
      <c r="D693" s="5"/>
    </row>
    <row r="694">
      <c r="C694" s="5"/>
      <c r="D694" s="5"/>
    </row>
    <row r="695">
      <c r="C695" s="5"/>
      <c r="D695" s="5"/>
    </row>
    <row r="696">
      <c r="C696" s="5"/>
      <c r="D696" s="5"/>
    </row>
    <row r="697">
      <c r="C697" s="5"/>
      <c r="D697" s="5"/>
    </row>
    <row r="698">
      <c r="C698" s="5"/>
      <c r="D698" s="5"/>
    </row>
    <row r="699">
      <c r="C699" s="5"/>
      <c r="D699" s="5"/>
    </row>
    <row r="700">
      <c r="C700" s="5"/>
      <c r="D700" s="5"/>
    </row>
    <row r="701">
      <c r="C701" s="5"/>
      <c r="D701" s="5"/>
    </row>
    <row r="702">
      <c r="C702" s="5"/>
      <c r="D702" s="5"/>
    </row>
    <row r="703">
      <c r="C703" s="5"/>
      <c r="D703" s="5"/>
    </row>
    <row r="704">
      <c r="C704" s="5"/>
      <c r="D704" s="5"/>
    </row>
    <row r="705">
      <c r="C705" s="5"/>
      <c r="D705" s="5"/>
    </row>
    <row r="706">
      <c r="C706" s="5"/>
      <c r="D706" s="5"/>
    </row>
    <row r="707">
      <c r="C707" s="5"/>
      <c r="D707" s="5"/>
    </row>
    <row r="708">
      <c r="C708" s="5"/>
      <c r="D708" s="5"/>
    </row>
    <row r="709">
      <c r="C709" s="5"/>
      <c r="D709" s="5"/>
    </row>
    <row r="710">
      <c r="C710" s="5"/>
      <c r="D710" s="5"/>
    </row>
    <row r="711">
      <c r="C711" s="5"/>
      <c r="D711" s="5"/>
    </row>
    <row r="712">
      <c r="C712" s="5"/>
      <c r="D712" s="5"/>
    </row>
    <row r="713">
      <c r="C713" s="5"/>
      <c r="D713" s="5"/>
    </row>
    <row r="714">
      <c r="C714" s="5"/>
      <c r="D714" s="5"/>
    </row>
    <row r="715">
      <c r="C715" s="5"/>
      <c r="D715" s="5"/>
    </row>
    <row r="716">
      <c r="C716" s="5"/>
      <c r="D716" s="5"/>
    </row>
    <row r="717">
      <c r="C717" s="5"/>
      <c r="D717" s="5"/>
    </row>
    <row r="718">
      <c r="C718" s="5"/>
      <c r="D718" s="5"/>
    </row>
    <row r="719">
      <c r="C719" s="5"/>
      <c r="D719" s="5"/>
    </row>
    <row r="720">
      <c r="C720" s="5"/>
      <c r="D720" s="5"/>
    </row>
    <row r="721">
      <c r="C721" s="5"/>
      <c r="D721" s="5"/>
    </row>
    <row r="722">
      <c r="C722" s="5"/>
      <c r="D722" s="5"/>
    </row>
    <row r="723">
      <c r="C723" s="5"/>
      <c r="D723" s="5"/>
    </row>
    <row r="724">
      <c r="C724" s="5"/>
      <c r="D724" s="5"/>
    </row>
    <row r="725">
      <c r="C725" s="5"/>
      <c r="D725" s="5"/>
    </row>
    <row r="726">
      <c r="C726" s="5"/>
      <c r="D726" s="5"/>
    </row>
    <row r="727">
      <c r="C727" s="5"/>
      <c r="D727" s="5"/>
    </row>
    <row r="728">
      <c r="C728" s="5"/>
      <c r="D728" s="5"/>
    </row>
    <row r="729">
      <c r="C729" s="5"/>
      <c r="D729" s="5"/>
    </row>
    <row r="730">
      <c r="C730" s="5"/>
      <c r="D730" s="5"/>
    </row>
    <row r="731">
      <c r="C731" s="5"/>
      <c r="D731" s="5"/>
    </row>
    <row r="732">
      <c r="C732" s="5"/>
      <c r="D732" s="5"/>
    </row>
    <row r="733">
      <c r="C733" s="5"/>
      <c r="D733" s="5"/>
    </row>
    <row r="734">
      <c r="C734" s="5"/>
      <c r="D734" s="5"/>
    </row>
    <row r="735">
      <c r="C735" s="5"/>
      <c r="D735" s="5"/>
    </row>
    <row r="736">
      <c r="C736" s="5"/>
      <c r="D736" s="5"/>
    </row>
    <row r="737">
      <c r="C737" s="5"/>
      <c r="D737" s="5"/>
    </row>
    <row r="738">
      <c r="C738" s="5"/>
      <c r="D738" s="5"/>
    </row>
    <row r="739">
      <c r="C739" s="5"/>
      <c r="D739" s="5"/>
    </row>
    <row r="740">
      <c r="C740" s="5"/>
      <c r="D740" s="5"/>
    </row>
    <row r="741">
      <c r="C741" s="5"/>
      <c r="D741" s="5"/>
    </row>
    <row r="742">
      <c r="C742" s="5"/>
      <c r="D742" s="5"/>
    </row>
    <row r="743">
      <c r="C743" s="5"/>
      <c r="D743" s="5"/>
    </row>
    <row r="744">
      <c r="C744" s="5"/>
      <c r="D744" s="5"/>
    </row>
    <row r="745">
      <c r="C745" s="5"/>
      <c r="D745" s="5"/>
    </row>
    <row r="746">
      <c r="C746" s="5"/>
      <c r="D746" s="5"/>
    </row>
    <row r="747">
      <c r="C747" s="5"/>
      <c r="D747" s="5"/>
    </row>
    <row r="748">
      <c r="C748" s="5"/>
      <c r="D748" s="5"/>
    </row>
    <row r="749">
      <c r="C749" s="5"/>
      <c r="D749" s="5"/>
    </row>
    <row r="750">
      <c r="C750" s="5"/>
      <c r="D750" s="5"/>
    </row>
    <row r="751">
      <c r="C751" s="5"/>
      <c r="D751" s="5"/>
    </row>
    <row r="752">
      <c r="C752" s="5"/>
      <c r="D752" s="5"/>
    </row>
    <row r="753">
      <c r="C753" s="5"/>
      <c r="D753" s="5"/>
    </row>
    <row r="754">
      <c r="C754" s="5"/>
      <c r="D754" s="5"/>
    </row>
    <row r="755">
      <c r="C755" s="5"/>
      <c r="D755" s="5"/>
    </row>
    <row r="756">
      <c r="C756" s="5"/>
      <c r="D756" s="5"/>
    </row>
    <row r="757">
      <c r="C757" s="5"/>
      <c r="D757" s="5"/>
    </row>
    <row r="758">
      <c r="C758" s="5"/>
      <c r="D758" s="5"/>
    </row>
    <row r="759">
      <c r="C759" s="5"/>
      <c r="D759" s="5"/>
    </row>
    <row r="760">
      <c r="C760" s="5"/>
      <c r="D760" s="5"/>
    </row>
    <row r="761">
      <c r="C761" s="5"/>
      <c r="D761" s="5"/>
    </row>
    <row r="762">
      <c r="C762" s="5"/>
      <c r="D762" s="5"/>
    </row>
    <row r="763">
      <c r="C763" s="5"/>
      <c r="D763" s="5"/>
    </row>
    <row r="764">
      <c r="C764" s="5"/>
      <c r="D764" s="5"/>
    </row>
    <row r="765">
      <c r="C765" s="5"/>
      <c r="D765" s="5"/>
    </row>
    <row r="766">
      <c r="C766" s="5"/>
      <c r="D766" s="5"/>
    </row>
    <row r="767">
      <c r="C767" s="5"/>
      <c r="D767" s="5"/>
    </row>
    <row r="768">
      <c r="C768" s="5"/>
      <c r="D768" s="5"/>
    </row>
    <row r="769">
      <c r="C769" s="5"/>
      <c r="D769" s="5"/>
    </row>
    <row r="770">
      <c r="C770" s="5"/>
      <c r="D770" s="5"/>
    </row>
    <row r="771">
      <c r="C771" s="5"/>
      <c r="D771" s="5"/>
    </row>
    <row r="772">
      <c r="C772" s="5"/>
      <c r="D772" s="5"/>
    </row>
    <row r="773">
      <c r="C773" s="5"/>
      <c r="D773" s="5"/>
    </row>
    <row r="774">
      <c r="C774" s="5"/>
      <c r="D774" s="5"/>
    </row>
    <row r="775">
      <c r="C775" s="5"/>
      <c r="D775" s="5"/>
    </row>
    <row r="776">
      <c r="C776" s="5"/>
      <c r="D776" s="5"/>
    </row>
    <row r="777">
      <c r="C777" s="5"/>
      <c r="D777" s="5"/>
    </row>
    <row r="778">
      <c r="C778" s="5"/>
      <c r="D778" s="5"/>
    </row>
    <row r="779">
      <c r="C779" s="5"/>
      <c r="D779" s="5"/>
    </row>
    <row r="780">
      <c r="C780" s="5"/>
      <c r="D780" s="5"/>
    </row>
    <row r="781">
      <c r="C781" s="5"/>
      <c r="D781" s="5"/>
    </row>
    <row r="782">
      <c r="C782" s="5"/>
      <c r="D782" s="5"/>
    </row>
    <row r="783">
      <c r="C783" s="5"/>
      <c r="D783" s="5"/>
    </row>
    <row r="784">
      <c r="C784" s="5"/>
      <c r="D784" s="5"/>
    </row>
    <row r="785">
      <c r="C785" s="5"/>
      <c r="D785" s="5"/>
    </row>
    <row r="786">
      <c r="C786" s="5"/>
      <c r="D786" s="5"/>
    </row>
    <row r="787">
      <c r="C787" s="5"/>
      <c r="D787" s="5"/>
    </row>
    <row r="788">
      <c r="C788" s="5"/>
      <c r="D788" s="5"/>
    </row>
    <row r="789">
      <c r="C789" s="5"/>
      <c r="D789" s="5"/>
    </row>
    <row r="790">
      <c r="C790" s="5"/>
      <c r="D790" s="5"/>
    </row>
    <row r="791">
      <c r="C791" s="5"/>
      <c r="D791" s="5"/>
    </row>
    <row r="792">
      <c r="C792" s="5"/>
      <c r="D792" s="5"/>
    </row>
    <row r="793">
      <c r="C793" s="5"/>
      <c r="D793" s="5"/>
    </row>
    <row r="794">
      <c r="C794" s="5"/>
      <c r="D794" s="5"/>
    </row>
    <row r="795">
      <c r="C795" s="5"/>
      <c r="D795" s="5"/>
    </row>
    <row r="796">
      <c r="C796" s="5"/>
      <c r="D796" s="5"/>
    </row>
    <row r="797">
      <c r="C797" s="5"/>
      <c r="D797" s="5"/>
    </row>
    <row r="798">
      <c r="C798" s="5"/>
      <c r="D798" s="5"/>
    </row>
    <row r="799">
      <c r="C799" s="5"/>
      <c r="D799" s="5"/>
    </row>
    <row r="800">
      <c r="C800" s="5"/>
      <c r="D800" s="5"/>
    </row>
    <row r="801">
      <c r="C801" s="5"/>
      <c r="D801" s="5"/>
    </row>
    <row r="802">
      <c r="C802" s="5"/>
      <c r="D802" s="5"/>
    </row>
    <row r="803">
      <c r="C803" s="5"/>
      <c r="D803" s="5"/>
    </row>
    <row r="804">
      <c r="C804" s="5"/>
      <c r="D804" s="5"/>
    </row>
    <row r="805">
      <c r="C805" s="5"/>
      <c r="D805" s="5"/>
    </row>
    <row r="806">
      <c r="C806" s="5"/>
      <c r="D806" s="5"/>
    </row>
    <row r="807">
      <c r="C807" s="5"/>
      <c r="D807" s="5"/>
    </row>
    <row r="808">
      <c r="C808" s="5"/>
      <c r="D808" s="5"/>
    </row>
    <row r="809">
      <c r="C809" s="5"/>
      <c r="D809" s="5"/>
    </row>
    <row r="810">
      <c r="C810" s="5"/>
      <c r="D810" s="5"/>
    </row>
    <row r="811">
      <c r="C811" s="5"/>
      <c r="D811" s="5"/>
    </row>
    <row r="812">
      <c r="C812" s="5"/>
      <c r="D812" s="5"/>
    </row>
    <row r="813">
      <c r="C813" s="5"/>
      <c r="D813" s="5"/>
    </row>
    <row r="814">
      <c r="C814" s="5"/>
      <c r="D814" s="5"/>
    </row>
    <row r="815">
      <c r="C815" s="5"/>
      <c r="D815" s="5"/>
    </row>
    <row r="816">
      <c r="C816" s="5"/>
      <c r="D816" s="5"/>
    </row>
    <row r="817">
      <c r="C817" s="5"/>
      <c r="D817" s="5"/>
    </row>
    <row r="818">
      <c r="C818" s="5"/>
      <c r="D818" s="5"/>
    </row>
    <row r="819">
      <c r="C819" s="5"/>
      <c r="D819" s="5"/>
    </row>
    <row r="820">
      <c r="C820" s="5"/>
      <c r="D820" s="5"/>
    </row>
    <row r="821">
      <c r="C821" s="5"/>
      <c r="D821" s="5"/>
    </row>
    <row r="822">
      <c r="C822" s="5"/>
      <c r="D822" s="5"/>
    </row>
    <row r="823">
      <c r="C823" s="5"/>
      <c r="D823" s="5"/>
    </row>
    <row r="824">
      <c r="C824" s="5"/>
      <c r="D824" s="5"/>
    </row>
    <row r="825">
      <c r="C825" s="5"/>
      <c r="D825" s="5"/>
    </row>
    <row r="826">
      <c r="C826" s="5"/>
      <c r="D826" s="5"/>
    </row>
    <row r="827">
      <c r="C827" s="5"/>
      <c r="D827" s="5"/>
    </row>
    <row r="828">
      <c r="C828" s="5"/>
      <c r="D828" s="5"/>
    </row>
    <row r="829">
      <c r="C829" s="5"/>
      <c r="D829" s="5"/>
    </row>
    <row r="830">
      <c r="C830" s="5"/>
      <c r="D830" s="5"/>
    </row>
    <row r="831">
      <c r="C831" s="5"/>
      <c r="D831" s="5"/>
    </row>
    <row r="832">
      <c r="C832" s="5"/>
      <c r="D832" s="5"/>
    </row>
    <row r="833">
      <c r="C833" s="5"/>
      <c r="D833" s="5"/>
    </row>
    <row r="834">
      <c r="C834" s="5"/>
      <c r="D834" s="5"/>
    </row>
    <row r="835">
      <c r="C835" s="5"/>
      <c r="D835" s="5"/>
    </row>
    <row r="836">
      <c r="C836" s="5"/>
      <c r="D836" s="5"/>
    </row>
    <row r="837">
      <c r="C837" s="5"/>
      <c r="D837" s="5"/>
    </row>
    <row r="838">
      <c r="C838" s="5"/>
      <c r="D838" s="5"/>
    </row>
    <row r="839">
      <c r="C839" s="5"/>
      <c r="D839" s="5"/>
    </row>
    <row r="840">
      <c r="C840" s="5"/>
      <c r="D840" s="5"/>
    </row>
    <row r="841">
      <c r="C841" s="5"/>
      <c r="D841" s="5"/>
    </row>
    <row r="842">
      <c r="C842" s="5"/>
      <c r="D842" s="5"/>
    </row>
    <row r="843">
      <c r="C843" s="5"/>
      <c r="D843" s="5"/>
    </row>
    <row r="844">
      <c r="C844" s="5"/>
      <c r="D844" s="5"/>
    </row>
    <row r="845">
      <c r="C845" s="5"/>
      <c r="D845" s="5"/>
    </row>
    <row r="846">
      <c r="C846" s="5"/>
      <c r="D846" s="5"/>
    </row>
    <row r="847">
      <c r="C847" s="5"/>
      <c r="D847" s="5"/>
    </row>
    <row r="848">
      <c r="C848" s="5"/>
      <c r="D848" s="5"/>
    </row>
    <row r="849">
      <c r="C849" s="5"/>
      <c r="D849" s="5"/>
    </row>
    <row r="850">
      <c r="C850" s="5"/>
      <c r="D850" s="5"/>
    </row>
    <row r="851">
      <c r="C851" s="5"/>
      <c r="D851" s="5"/>
    </row>
    <row r="852">
      <c r="C852" s="5"/>
      <c r="D852" s="5"/>
    </row>
    <row r="853">
      <c r="C853" s="5"/>
      <c r="D853" s="5"/>
    </row>
    <row r="854">
      <c r="C854" s="5"/>
      <c r="D854" s="5"/>
    </row>
    <row r="855">
      <c r="C855" s="5"/>
      <c r="D855" s="5"/>
    </row>
    <row r="856">
      <c r="C856" s="5"/>
      <c r="D856" s="5"/>
    </row>
    <row r="857">
      <c r="C857" s="5"/>
      <c r="D857" s="5"/>
    </row>
    <row r="858">
      <c r="C858" s="5"/>
      <c r="D858" s="5"/>
    </row>
    <row r="859">
      <c r="C859" s="5"/>
      <c r="D859" s="5"/>
    </row>
    <row r="860">
      <c r="C860" s="5"/>
      <c r="D860" s="5"/>
    </row>
    <row r="861">
      <c r="C861" s="5"/>
      <c r="D861" s="5"/>
    </row>
    <row r="862">
      <c r="C862" s="5"/>
      <c r="D862" s="5"/>
    </row>
    <row r="863">
      <c r="C863" s="5"/>
      <c r="D863" s="5"/>
    </row>
    <row r="864">
      <c r="C864" s="5"/>
      <c r="D864" s="5"/>
    </row>
    <row r="865">
      <c r="C865" s="5"/>
      <c r="D865" s="5"/>
    </row>
    <row r="866">
      <c r="C866" s="5"/>
      <c r="D866" s="5"/>
    </row>
    <row r="867">
      <c r="C867" s="5"/>
      <c r="D867" s="5"/>
    </row>
    <row r="868">
      <c r="C868" s="5"/>
      <c r="D868" s="5"/>
    </row>
    <row r="869">
      <c r="C869" s="5"/>
      <c r="D869" s="5"/>
    </row>
    <row r="870">
      <c r="C870" s="5"/>
      <c r="D870" s="5"/>
    </row>
    <row r="871">
      <c r="C871" s="5"/>
      <c r="D871" s="5"/>
    </row>
    <row r="872">
      <c r="C872" s="5"/>
      <c r="D872" s="5"/>
    </row>
    <row r="873">
      <c r="C873" s="5"/>
      <c r="D873" s="5"/>
    </row>
    <row r="874">
      <c r="C874" s="5"/>
      <c r="D874" s="5"/>
    </row>
    <row r="875">
      <c r="C875" s="5"/>
      <c r="D875" s="5"/>
    </row>
    <row r="876">
      <c r="C876" s="5"/>
      <c r="D876" s="5"/>
    </row>
    <row r="877">
      <c r="C877" s="5"/>
      <c r="D877" s="5"/>
    </row>
    <row r="878">
      <c r="C878" s="5"/>
      <c r="D878" s="5"/>
    </row>
    <row r="879">
      <c r="C879" s="5"/>
      <c r="D879" s="5"/>
    </row>
    <row r="880">
      <c r="C880" s="5"/>
      <c r="D880" s="5"/>
    </row>
    <row r="881">
      <c r="C881" s="5"/>
      <c r="D881" s="5"/>
    </row>
    <row r="882">
      <c r="C882" s="5"/>
      <c r="D882" s="5"/>
    </row>
    <row r="883">
      <c r="C883" s="5"/>
      <c r="D883" s="5"/>
    </row>
    <row r="884">
      <c r="C884" s="5"/>
      <c r="D884" s="5"/>
    </row>
    <row r="885">
      <c r="C885" s="5"/>
      <c r="D885" s="5"/>
    </row>
    <row r="886">
      <c r="C886" s="5"/>
      <c r="D886" s="5"/>
    </row>
    <row r="887">
      <c r="C887" s="5"/>
      <c r="D887" s="5"/>
    </row>
    <row r="888">
      <c r="C888" s="5"/>
      <c r="D888" s="5"/>
    </row>
    <row r="889">
      <c r="C889" s="5"/>
      <c r="D889" s="5"/>
    </row>
    <row r="890">
      <c r="C890" s="5"/>
      <c r="D890" s="5"/>
    </row>
    <row r="891">
      <c r="C891" s="5"/>
      <c r="D891" s="5"/>
    </row>
    <row r="892">
      <c r="C892" s="5"/>
      <c r="D892" s="5"/>
    </row>
    <row r="893">
      <c r="C893" s="5"/>
      <c r="D893" s="5"/>
    </row>
    <row r="894">
      <c r="C894" s="5"/>
      <c r="D894" s="5"/>
    </row>
    <row r="895">
      <c r="C895" s="5"/>
      <c r="D895" s="5"/>
    </row>
    <row r="896">
      <c r="C896" s="5"/>
      <c r="D896" s="5"/>
    </row>
    <row r="897">
      <c r="C897" s="5"/>
      <c r="D897" s="5"/>
    </row>
    <row r="898">
      <c r="C898" s="5"/>
      <c r="D898" s="5"/>
    </row>
    <row r="899">
      <c r="C899" s="5"/>
      <c r="D899" s="5"/>
    </row>
    <row r="900">
      <c r="C900" s="5"/>
      <c r="D900" s="5"/>
    </row>
    <row r="901">
      <c r="C901" s="5"/>
      <c r="D901" s="5"/>
    </row>
    <row r="902">
      <c r="C902" s="5"/>
      <c r="D902" s="5"/>
    </row>
    <row r="903">
      <c r="C903" s="5"/>
      <c r="D903" s="5"/>
    </row>
    <row r="904">
      <c r="C904" s="5"/>
      <c r="D904" s="5"/>
    </row>
    <row r="905">
      <c r="C905" s="5"/>
      <c r="D905" s="5"/>
    </row>
    <row r="906">
      <c r="C906" s="5"/>
      <c r="D906" s="5"/>
    </row>
    <row r="907">
      <c r="C907" s="5"/>
      <c r="D907" s="5"/>
    </row>
    <row r="908">
      <c r="C908" s="5"/>
      <c r="D908" s="5"/>
    </row>
    <row r="909">
      <c r="C909" s="5"/>
      <c r="D909" s="5"/>
    </row>
    <row r="910">
      <c r="C910" s="5"/>
      <c r="D910" s="5"/>
    </row>
    <row r="911">
      <c r="C911" s="5"/>
      <c r="D911" s="5"/>
    </row>
    <row r="912">
      <c r="C912" s="5"/>
      <c r="D912" s="5"/>
    </row>
    <row r="913">
      <c r="C913" s="5"/>
      <c r="D913" s="5"/>
    </row>
    <row r="914">
      <c r="C914" s="5"/>
      <c r="D914" s="5"/>
    </row>
    <row r="915">
      <c r="C915" s="5"/>
      <c r="D915" s="5"/>
    </row>
    <row r="916">
      <c r="C916" s="5"/>
      <c r="D916" s="5"/>
    </row>
    <row r="917">
      <c r="C917" s="5"/>
      <c r="D917" s="5"/>
    </row>
    <row r="918">
      <c r="C918" s="5"/>
      <c r="D918" s="5"/>
    </row>
    <row r="919">
      <c r="C919" s="5"/>
      <c r="D919" s="5"/>
    </row>
    <row r="920">
      <c r="C920" s="5"/>
      <c r="D920" s="5"/>
    </row>
    <row r="921">
      <c r="C921" s="5"/>
      <c r="D921" s="5"/>
    </row>
    <row r="922">
      <c r="C922" s="5"/>
      <c r="D922" s="5"/>
    </row>
    <row r="923">
      <c r="C923" s="5"/>
      <c r="D923" s="5"/>
    </row>
    <row r="924">
      <c r="C924" s="5"/>
      <c r="D924" s="5"/>
    </row>
    <row r="925">
      <c r="C925" s="5"/>
      <c r="D925" s="5"/>
    </row>
    <row r="926">
      <c r="C926" s="5"/>
      <c r="D926" s="5"/>
    </row>
    <row r="927">
      <c r="C927" s="5"/>
      <c r="D927" s="5"/>
    </row>
    <row r="928">
      <c r="C928" s="5"/>
      <c r="D928" s="5"/>
    </row>
    <row r="929">
      <c r="C929" s="5"/>
      <c r="D929" s="5"/>
    </row>
    <row r="930">
      <c r="C930" s="5"/>
      <c r="D930" s="5"/>
    </row>
    <row r="931">
      <c r="C931" s="5"/>
      <c r="D931" s="5"/>
    </row>
    <row r="932">
      <c r="C932" s="5"/>
      <c r="D932" s="5"/>
    </row>
    <row r="933">
      <c r="C933" s="5"/>
      <c r="D933" s="5"/>
    </row>
    <row r="934">
      <c r="C934" s="5"/>
      <c r="D934" s="5"/>
    </row>
    <row r="935">
      <c r="C935" s="5"/>
      <c r="D935" s="5"/>
    </row>
    <row r="936">
      <c r="C936" s="5"/>
      <c r="D936" s="5"/>
    </row>
    <row r="937">
      <c r="C937" s="5"/>
      <c r="D937" s="5"/>
    </row>
    <row r="938">
      <c r="C938" s="5"/>
      <c r="D938" s="5"/>
    </row>
    <row r="939">
      <c r="C939" s="5"/>
      <c r="D939" s="5"/>
    </row>
    <row r="940">
      <c r="C940" s="5"/>
      <c r="D940" s="5"/>
    </row>
    <row r="941">
      <c r="C941" s="5"/>
      <c r="D941" s="5"/>
    </row>
    <row r="942">
      <c r="C942" s="5"/>
      <c r="D942" s="5"/>
    </row>
    <row r="943">
      <c r="C943" s="5"/>
      <c r="D943" s="5"/>
    </row>
    <row r="944">
      <c r="C944" s="5"/>
      <c r="D944" s="5"/>
    </row>
    <row r="945">
      <c r="C945" s="5"/>
      <c r="D945" s="5"/>
    </row>
    <row r="946">
      <c r="C946" s="5"/>
      <c r="D946" s="5"/>
    </row>
    <row r="947">
      <c r="C947" s="5"/>
      <c r="D947" s="5"/>
    </row>
    <row r="948">
      <c r="C948" s="5"/>
      <c r="D948" s="5"/>
    </row>
    <row r="949">
      <c r="C949" s="5"/>
      <c r="D949" s="5"/>
    </row>
    <row r="950">
      <c r="C950" s="5"/>
      <c r="D950" s="5"/>
    </row>
    <row r="951">
      <c r="C951" s="5"/>
      <c r="D951" s="5"/>
    </row>
    <row r="952">
      <c r="C952" s="5"/>
      <c r="D952" s="5"/>
    </row>
    <row r="953">
      <c r="C953" s="5"/>
      <c r="D953" s="5"/>
    </row>
    <row r="954">
      <c r="C954" s="5"/>
      <c r="D954" s="5"/>
    </row>
    <row r="955">
      <c r="C955" s="5"/>
      <c r="D955" s="5"/>
    </row>
    <row r="956">
      <c r="C956" s="5"/>
      <c r="D956" s="5"/>
    </row>
    <row r="957">
      <c r="C957" s="5"/>
      <c r="D957" s="5"/>
    </row>
    <row r="958">
      <c r="C958" s="5"/>
      <c r="D958" s="5"/>
    </row>
    <row r="959">
      <c r="C959" s="5"/>
      <c r="D959" s="5"/>
    </row>
    <row r="960">
      <c r="C960" s="5"/>
      <c r="D960" s="5"/>
    </row>
    <row r="961">
      <c r="C961" s="5"/>
      <c r="D961" s="5"/>
    </row>
    <row r="962">
      <c r="C962" s="5"/>
      <c r="D962" s="5"/>
    </row>
    <row r="963">
      <c r="C963" s="5"/>
      <c r="D963" s="5"/>
    </row>
    <row r="964">
      <c r="C964" s="5"/>
      <c r="D964" s="5"/>
    </row>
    <row r="965">
      <c r="C965" s="5"/>
      <c r="D965" s="5"/>
    </row>
    <row r="966">
      <c r="C966" s="5"/>
      <c r="D966" s="5"/>
    </row>
    <row r="967">
      <c r="C967" s="5"/>
      <c r="D967" s="5"/>
    </row>
    <row r="968">
      <c r="C968" s="5"/>
      <c r="D968" s="5"/>
    </row>
    <row r="969">
      <c r="C969" s="5"/>
      <c r="D969" s="5"/>
    </row>
    <row r="970">
      <c r="C970" s="5"/>
      <c r="D970" s="5"/>
    </row>
    <row r="971">
      <c r="C971" s="5"/>
      <c r="D971" s="5"/>
    </row>
    <row r="972">
      <c r="C972" s="5"/>
      <c r="D972" s="5"/>
    </row>
    <row r="973">
      <c r="C973" s="5"/>
      <c r="D973" s="5"/>
    </row>
    <row r="974">
      <c r="C974" s="5"/>
      <c r="D974" s="5"/>
    </row>
    <row r="975">
      <c r="C975" s="5"/>
      <c r="D975" s="5"/>
    </row>
    <row r="976">
      <c r="C976" s="5"/>
      <c r="D976" s="5"/>
    </row>
    <row r="977">
      <c r="C977" s="5"/>
      <c r="D977" s="5"/>
    </row>
    <row r="978">
      <c r="C978" s="5"/>
      <c r="D978" s="5"/>
    </row>
    <row r="979">
      <c r="C979" s="5"/>
      <c r="D979" s="5"/>
    </row>
    <row r="980">
      <c r="C980" s="5"/>
      <c r="D980" s="5"/>
    </row>
    <row r="981">
      <c r="C981" s="5"/>
      <c r="D981" s="5"/>
    </row>
    <row r="982">
      <c r="C982" s="5"/>
      <c r="D982" s="5"/>
    </row>
    <row r="983">
      <c r="C983" s="5"/>
      <c r="D983" s="5"/>
    </row>
    <row r="984">
      <c r="C984" s="5"/>
      <c r="D984" s="5"/>
    </row>
    <row r="985">
      <c r="C985" s="5"/>
      <c r="D985" s="5"/>
    </row>
    <row r="986">
      <c r="C986" s="5"/>
      <c r="D986" s="5"/>
    </row>
    <row r="987">
      <c r="C987" s="5"/>
      <c r="D987" s="5"/>
    </row>
    <row r="988">
      <c r="C988" s="5"/>
      <c r="D988" s="5"/>
    </row>
    <row r="989">
      <c r="C989" s="5"/>
      <c r="D989" s="5"/>
    </row>
    <row r="990">
      <c r="C990" s="5"/>
      <c r="D990" s="5"/>
    </row>
    <row r="991">
      <c r="C991" s="5"/>
      <c r="D991" s="5"/>
    </row>
    <row r="992">
      <c r="C992" s="5"/>
      <c r="D992" s="5"/>
    </row>
    <row r="993">
      <c r="C993" s="5"/>
      <c r="D993" s="5"/>
    </row>
    <row r="994">
      <c r="C994" s="5"/>
      <c r="D994" s="5"/>
    </row>
    <row r="995">
      <c r="C995" s="5"/>
      <c r="D995" s="5"/>
    </row>
    <row r="996">
      <c r="C996" s="5"/>
      <c r="D996" s="5"/>
    </row>
    <row r="997">
      <c r="C997" s="5"/>
      <c r="D997" s="5"/>
    </row>
    <row r="998">
      <c r="C998" s="5"/>
      <c r="D998" s="5"/>
    </row>
    <row r="999">
      <c r="C999" s="5"/>
      <c r="D999" s="5"/>
    </row>
    <row r="1000">
      <c r="C1000" s="5"/>
      <c r="D1000" s="5"/>
    </row>
    <row r="1001">
      <c r="C1001" s="5"/>
      <c r="D1001" s="5"/>
    </row>
    <row r="1002">
      <c r="C1002" s="5"/>
      <c r="D1002" s="5"/>
    </row>
    <row r="1003">
      <c r="C1003" s="5"/>
      <c r="D1003" s="5"/>
    </row>
    <row r="1004">
      <c r="C1004" s="5"/>
      <c r="D1004" s="5"/>
    </row>
    <row r="1005">
      <c r="C1005" s="5"/>
      <c r="D1005" s="5"/>
    </row>
    <row r="1006">
      <c r="C1006" s="5"/>
      <c r="D1006" s="5"/>
    </row>
    <row r="1007">
      <c r="C1007" s="5"/>
      <c r="D1007" s="5"/>
    </row>
    <row r="1008">
      <c r="C1008" s="5"/>
      <c r="D1008" s="5"/>
    </row>
    <row r="1009">
      <c r="C1009" s="5"/>
      <c r="D1009" s="5"/>
    </row>
    <row r="1010">
      <c r="C1010" s="5"/>
      <c r="D1010" s="5"/>
    </row>
    <row r="1011">
      <c r="C1011" s="5"/>
      <c r="D1011" s="5"/>
    </row>
    <row r="1012">
      <c r="C1012" s="5"/>
      <c r="D1012" s="5"/>
    </row>
    <row r="1013">
      <c r="C1013" s="5"/>
      <c r="D1013" s="5"/>
    </row>
    <row r="1014">
      <c r="C1014" s="5"/>
      <c r="D1014" s="5"/>
    </row>
    <row r="1015">
      <c r="C1015" s="5"/>
      <c r="D1015" s="5"/>
    </row>
    <row r="1016">
      <c r="C1016" s="5"/>
      <c r="D1016" s="5"/>
    </row>
    <row r="1017">
      <c r="C1017" s="5"/>
      <c r="D1017" s="5"/>
    </row>
    <row r="1018">
      <c r="C1018" s="5"/>
      <c r="D1018" s="5"/>
    </row>
    <row r="1019">
      <c r="C1019" s="5"/>
      <c r="D1019" s="5"/>
    </row>
    <row r="1020">
      <c r="C1020" s="5"/>
      <c r="D1020" s="5"/>
    </row>
    <row r="1021">
      <c r="C1021" s="5"/>
      <c r="D1021" s="5"/>
    </row>
    <row r="1022">
      <c r="C1022" s="5"/>
      <c r="D1022" s="5"/>
    </row>
    <row r="1023">
      <c r="C1023" s="5"/>
      <c r="D1023" s="5"/>
    </row>
    <row r="1024">
      <c r="C1024" s="5"/>
      <c r="D1024" s="5"/>
    </row>
    <row r="1025">
      <c r="C1025" s="5"/>
      <c r="D1025" s="5"/>
    </row>
    <row r="1026">
      <c r="C1026" s="5"/>
      <c r="D1026" s="5"/>
    </row>
    <row r="1027">
      <c r="C1027" s="5"/>
      <c r="D1027" s="5"/>
    </row>
    <row r="1028">
      <c r="C1028" s="5"/>
      <c r="D1028" s="5"/>
    </row>
    <row r="1029">
      <c r="C1029" s="5"/>
      <c r="D1029" s="5"/>
    </row>
    <row r="1030">
      <c r="C1030" s="5"/>
      <c r="D1030" s="5"/>
    </row>
    <row r="1031">
      <c r="C1031" s="5"/>
      <c r="D1031" s="5"/>
    </row>
    <row r="1032">
      <c r="C1032" s="5"/>
      <c r="D1032" s="5"/>
    </row>
    <row r="1033">
      <c r="C1033" s="5"/>
      <c r="D1033" s="5"/>
    </row>
    <row r="1034">
      <c r="C1034" s="5"/>
      <c r="D1034" s="5"/>
    </row>
    <row r="1035">
      <c r="C1035" s="5"/>
      <c r="D1035" s="5"/>
    </row>
    <row r="1036">
      <c r="C1036" s="5"/>
      <c r="D1036" s="5"/>
    </row>
    <row r="1037">
      <c r="C1037" s="5"/>
      <c r="D1037" s="5"/>
    </row>
    <row r="1038">
      <c r="C1038" s="5"/>
      <c r="D1038" s="5"/>
    </row>
    <row r="1039">
      <c r="C1039" s="5"/>
      <c r="D1039" s="5"/>
    </row>
    <row r="1040">
      <c r="C1040" s="5"/>
      <c r="D1040" s="5"/>
    </row>
    <row r="1041">
      <c r="C1041" s="5"/>
      <c r="D1041" s="5"/>
    </row>
    <row r="1042">
      <c r="C1042" s="5"/>
      <c r="D1042" s="5"/>
    </row>
    <row r="1043">
      <c r="C1043" s="5"/>
      <c r="D1043" s="5"/>
    </row>
    <row r="1044">
      <c r="C1044" s="5"/>
      <c r="D1044" s="5"/>
    </row>
    <row r="1045">
      <c r="C1045" s="5"/>
      <c r="D1045" s="5"/>
    </row>
    <row r="1046">
      <c r="C1046" s="5"/>
      <c r="D1046" s="5"/>
    </row>
    <row r="1047">
      <c r="C1047" s="5"/>
      <c r="D1047" s="5"/>
    </row>
    <row r="1048">
      <c r="C1048" s="5"/>
      <c r="D1048" s="5"/>
    </row>
    <row r="1049">
      <c r="C1049" s="5"/>
      <c r="D1049" s="5"/>
    </row>
    <row r="1050">
      <c r="C1050" s="5"/>
      <c r="D1050" s="5"/>
    </row>
    <row r="1051">
      <c r="C1051" s="5"/>
      <c r="D1051" s="5"/>
    </row>
    <row r="1052">
      <c r="C1052" s="5"/>
      <c r="D1052" s="5"/>
    </row>
    <row r="1053">
      <c r="C1053" s="5"/>
      <c r="D1053" s="5"/>
    </row>
    <row r="1054">
      <c r="C1054" s="5"/>
      <c r="D1054" s="5"/>
    </row>
    <row r="1055">
      <c r="C1055" s="5"/>
      <c r="D1055" s="5"/>
    </row>
    <row r="1056">
      <c r="C1056" s="5"/>
      <c r="D1056" s="5"/>
    </row>
    <row r="1057">
      <c r="C1057" s="5"/>
      <c r="D1057" s="5"/>
    </row>
    <row r="1058">
      <c r="C1058" s="5"/>
      <c r="D1058" s="5"/>
    </row>
    <row r="1059">
      <c r="C1059" s="5"/>
      <c r="D1059" s="5"/>
    </row>
    <row r="1060">
      <c r="C1060" s="5"/>
      <c r="D1060" s="5"/>
    </row>
    <row r="1061">
      <c r="C1061" s="5"/>
      <c r="D1061" s="5"/>
    </row>
    <row r="1062">
      <c r="C1062" s="5"/>
      <c r="D1062" s="5"/>
    </row>
    <row r="1063">
      <c r="C1063" s="5"/>
      <c r="D1063" s="5"/>
    </row>
    <row r="1064">
      <c r="C1064" s="5"/>
      <c r="D1064" s="5"/>
    </row>
    <row r="1065">
      <c r="C1065" s="5"/>
      <c r="D1065" s="5"/>
    </row>
    <row r="1066">
      <c r="C1066" s="5"/>
      <c r="D1066" s="5"/>
    </row>
    <row r="1067">
      <c r="C1067" s="5"/>
      <c r="D1067" s="5"/>
    </row>
    <row r="1068">
      <c r="C1068" s="5"/>
      <c r="D1068" s="5"/>
    </row>
    <row r="1069">
      <c r="C1069" s="5"/>
      <c r="D1069" s="5"/>
    </row>
    <row r="1070">
      <c r="C1070" s="5"/>
      <c r="D1070" s="5"/>
    </row>
    <row r="1071">
      <c r="C1071" s="5"/>
      <c r="D1071" s="5"/>
    </row>
    <row r="1072">
      <c r="C1072" s="5"/>
      <c r="D1072" s="5"/>
    </row>
    <row r="1073">
      <c r="C1073" s="5"/>
      <c r="D1073" s="5"/>
    </row>
    <row r="1074">
      <c r="C1074" s="5"/>
      <c r="D1074" s="5"/>
    </row>
    <row r="1075">
      <c r="C1075" s="5"/>
      <c r="D1075" s="5"/>
    </row>
    <row r="1076">
      <c r="C1076" s="5"/>
      <c r="D1076" s="5"/>
    </row>
    <row r="1077">
      <c r="C1077" s="5"/>
      <c r="D1077" s="5"/>
    </row>
    <row r="1078">
      <c r="C1078" s="5"/>
      <c r="D1078" s="5"/>
    </row>
    <row r="1079">
      <c r="C1079" s="5"/>
      <c r="D1079" s="5"/>
    </row>
    <row r="1080">
      <c r="C1080" s="5"/>
      <c r="D1080" s="5"/>
    </row>
    <row r="1081">
      <c r="C1081" s="5"/>
      <c r="D1081" s="5"/>
    </row>
    <row r="1082">
      <c r="C1082" s="5"/>
      <c r="D1082" s="5"/>
    </row>
    <row r="1083">
      <c r="C1083" s="5"/>
      <c r="D1083" s="5"/>
    </row>
    <row r="1084">
      <c r="C1084" s="5"/>
      <c r="D1084" s="5"/>
    </row>
    <row r="1085">
      <c r="C1085" s="5"/>
      <c r="D1085" s="5"/>
    </row>
    <row r="1086">
      <c r="C1086" s="5"/>
      <c r="D1086" s="5"/>
    </row>
    <row r="1087">
      <c r="C1087" s="5"/>
      <c r="D1087" s="5"/>
    </row>
    <row r="1088">
      <c r="C1088" s="5"/>
      <c r="D1088" s="5"/>
    </row>
    <row r="1089">
      <c r="C1089" s="5"/>
      <c r="D1089" s="5"/>
    </row>
    <row r="1090">
      <c r="C1090" s="5"/>
      <c r="D1090" s="5"/>
    </row>
    <row r="1091">
      <c r="C1091" s="5"/>
      <c r="D1091" s="5"/>
    </row>
    <row r="1092">
      <c r="C1092" s="5"/>
      <c r="D1092" s="5"/>
    </row>
    <row r="1093">
      <c r="C1093" s="5"/>
      <c r="D1093" s="5"/>
    </row>
    <row r="1094">
      <c r="C1094" s="5"/>
      <c r="D1094" s="5"/>
    </row>
    <row r="1095">
      <c r="C1095" s="5"/>
      <c r="D1095" s="5"/>
    </row>
    <row r="1096">
      <c r="C1096" s="5"/>
      <c r="D1096" s="5"/>
    </row>
    <row r="1097">
      <c r="C1097" s="5"/>
      <c r="D1097" s="5"/>
    </row>
    <row r="1098">
      <c r="C1098" s="5"/>
      <c r="D1098" s="5"/>
    </row>
    <row r="1099">
      <c r="C1099" s="5"/>
      <c r="D1099" s="5"/>
    </row>
    <row r="1100">
      <c r="C1100" s="5"/>
      <c r="D1100" s="5"/>
    </row>
    <row r="1101">
      <c r="C1101" s="5"/>
      <c r="D1101" s="5"/>
    </row>
    <row r="1102">
      <c r="C1102" s="5"/>
      <c r="D1102" s="5"/>
    </row>
    <row r="1103">
      <c r="C1103" s="5"/>
      <c r="D1103" s="5"/>
    </row>
    <row r="1104">
      <c r="C1104" s="5"/>
      <c r="D1104" s="5"/>
    </row>
    <row r="1105">
      <c r="C1105" s="5"/>
      <c r="D1105" s="5"/>
    </row>
    <row r="1106">
      <c r="C1106" s="5"/>
      <c r="D1106" s="5"/>
    </row>
    <row r="1107">
      <c r="C1107" s="5"/>
      <c r="D1107" s="5"/>
    </row>
    <row r="1108">
      <c r="C1108" s="5"/>
      <c r="D1108" s="5"/>
    </row>
    <row r="1109">
      <c r="C1109" s="5"/>
      <c r="D1109" s="5"/>
    </row>
    <row r="1110">
      <c r="C1110" s="5"/>
      <c r="D1110" s="5"/>
    </row>
    <row r="1111">
      <c r="C1111" s="5"/>
      <c r="D1111" s="5"/>
    </row>
    <row r="1112">
      <c r="C1112" s="5"/>
      <c r="D1112" s="5"/>
    </row>
    <row r="1113">
      <c r="C1113" s="5"/>
      <c r="D1113" s="5"/>
    </row>
    <row r="1114">
      <c r="C1114" s="5"/>
      <c r="D1114" s="5"/>
    </row>
    <row r="1115">
      <c r="C1115" s="5"/>
      <c r="D1115" s="5"/>
    </row>
    <row r="1116">
      <c r="C1116" s="5"/>
      <c r="D1116" s="5"/>
    </row>
    <row r="1117">
      <c r="C1117" s="5"/>
      <c r="D1117" s="5"/>
    </row>
    <row r="1118">
      <c r="C1118" s="5"/>
      <c r="D1118" s="5"/>
    </row>
    <row r="1119">
      <c r="C1119" s="5"/>
      <c r="D1119" s="5"/>
    </row>
    <row r="1120">
      <c r="C1120" s="5"/>
      <c r="D1120" s="5"/>
    </row>
    <row r="1121">
      <c r="C1121" s="5"/>
      <c r="D1121" s="5"/>
    </row>
    <row r="1122">
      <c r="C1122" s="5"/>
      <c r="D1122" s="5"/>
    </row>
    <row r="1123">
      <c r="C1123" s="5"/>
      <c r="D1123" s="5"/>
    </row>
    <row r="1124">
      <c r="C1124" s="5"/>
      <c r="D1124" s="5"/>
    </row>
    <row r="1125">
      <c r="C1125" s="5"/>
      <c r="D1125" s="5"/>
    </row>
    <row r="1126">
      <c r="C1126" s="5"/>
      <c r="D1126" s="5"/>
    </row>
    <row r="1127">
      <c r="C1127" s="5"/>
      <c r="D1127" s="5"/>
    </row>
    <row r="1128">
      <c r="C1128" s="5"/>
      <c r="D1128" s="5"/>
    </row>
    <row r="1129">
      <c r="C1129" s="5"/>
      <c r="D1129" s="5"/>
    </row>
    <row r="1130">
      <c r="C1130" s="5"/>
      <c r="D1130" s="5"/>
    </row>
    <row r="1131">
      <c r="C1131" s="5"/>
      <c r="D1131" s="5"/>
    </row>
    <row r="1132">
      <c r="C1132" s="5"/>
      <c r="D1132" s="5"/>
    </row>
    <row r="1133">
      <c r="C1133" s="5"/>
      <c r="D1133" s="5"/>
    </row>
    <row r="1134">
      <c r="C1134" s="5"/>
      <c r="D1134" s="5"/>
    </row>
    <row r="1135">
      <c r="C1135" s="5"/>
      <c r="D1135" s="5"/>
    </row>
    <row r="1136">
      <c r="C1136" s="5"/>
      <c r="D1136" s="5"/>
    </row>
    <row r="1137">
      <c r="C1137" s="5"/>
      <c r="D1137" s="5"/>
    </row>
    <row r="1138">
      <c r="C1138" s="5"/>
      <c r="D1138" s="5"/>
    </row>
    <row r="1139">
      <c r="C1139" s="5"/>
      <c r="D1139" s="5"/>
    </row>
    <row r="1140">
      <c r="C1140" s="5"/>
      <c r="D1140" s="5"/>
    </row>
    <row r="1141">
      <c r="C1141" s="5"/>
      <c r="D1141" s="5"/>
    </row>
    <row r="1142">
      <c r="C1142" s="5"/>
      <c r="D1142" s="5"/>
    </row>
    <row r="1143">
      <c r="C1143" s="5"/>
      <c r="D1143" s="5"/>
    </row>
    <row r="1144">
      <c r="C1144" s="5"/>
      <c r="D1144" s="5"/>
    </row>
    <row r="1145">
      <c r="C1145" s="5"/>
      <c r="D1145" s="5"/>
    </row>
    <row r="1146">
      <c r="C1146" s="5"/>
      <c r="D1146" s="5"/>
    </row>
    <row r="1147">
      <c r="C1147" s="5"/>
      <c r="D1147" s="5"/>
    </row>
    <row r="1148">
      <c r="C1148" s="5"/>
      <c r="D1148" s="5"/>
    </row>
    <row r="1149">
      <c r="C1149" s="5"/>
      <c r="D1149" s="5"/>
    </row>
    <row r="1150">
      <c r="C1150" s="5"/>
      <c r="D1150" s="5"/>
    </row>
    <row r="1151">
      <c r="C1151" s="5"/>
      <c r="D1151" s="5"/>
    </row>
    <row r="1152">
      <c r="C1152" s="5"/>
      <c r="D1152" s="5"/>
    </row>
    <row r="1153">
      <c r="C1153" s="5"/>
      <c r="D1153" s="5"/>
    </row>
    <row r="1154">
      <c r="C1154" s="5"/>
      <c r="D1154" s="5"/>
    </row>
    <row r="1155">
      <c r="C1155" s="5"/>
      <c r="D1155" s="5"/>
    </row>
    <row r="1156">
      <c r="C1156" s="5"/>
      <c r="D1156" s="5"/>
    </row>
    <row r="1157">
      <c r="C1157" s="5"/>
      <c r="D1157" s="5"/>
    </row>
    <row r="1158">
      <c r="C1158" s="5"/>
      <c r="D1158" s="5"/>
    </row>
    <row r="1159">
      <c r="C1159" s="5"/>
      <c r="D1159" s="5"/>
    </row>
    <row r="1160">
      <c r="C1160" s="5"/>
      <c r="D1160" s="5"/>
    </row>
    <row r="1161">
      <c r="C1161" s="5"/>
      <c r="D1161" s="5"/>
    </row>
    <row r="1162">
      <c r="C1162" s="5"/>
      <c r="D1162" s="5"/>
    </row>
    <row r="1163">
      <c r="C1163" s="5"/>
      <c r="D1163" s="5"/>
    </row>
    <row r="1164">
      <c r="C1164" s="5"/>
      <c r="D1164" s="5"/>
    </row>
    <row r="1165">
      <c r="C1165" s="5"/>
      <c r="D1165" s="5"/>
    </row>
    <row r="1166">
      <c r="C1166" s="5"/>
      <c r="D1166" s="5"/>
    </row>
    <row r="1167">
      <c r="C1167" s="5"/>
      <c r="D1167" s="5"/>
    </row>
    <row r="1168">
      <c r="C1168" s="5"/>
      <c r="D1168" s="5"/>
    </row>
    <row r="1169">
      <c r="C1169" s="5"/>
      <c r="D1169" s="5"/>
    </row>
    <row r="1170">
      <c r="C1170" s="5"/>
      <c r="D1170" s="5"/>
    </row>
    <row r="1171">
      <c r="C1171" s="5"/>
      <c r="D1171" s="5"/>
    </row>
    <row r="1172">
      <c r="C1172" s="5"/>
      <c r="D1172" s="5"/>
    </row>
    <row r="1173">
      <c r="C1173" s="5"/>
      <c r="D1173" s="5"/>
    </row>
    <row r="1174">
      <c r="C1174" s="5"/>
      <c r="D1174" s="5"/>
    </row>
    <row r="1175">
      <c r="C1175" s="5"/>
      <c r="D1175" s="5"/>
    </row>
    <row r="1176">
      <c r="C1176" s="5"/>
      <c r="D1176" s="5"/>
    </row>
    <row r="1177">
      <c r="C1177" s="5"/>
      <c r="D1177" s="5"/>
    </row>
    <row r="1178">
      <c r="C1178" s="5"/>
      <c r="D1178" s="5"/>
    </row>
    <row r="1179">
      <c r="C1179" s="5"/>
      <c r="D1179" s="5"/>
    </row>
    <row r="1180">
      <c r="C1180" s="5"/>
      <c r="D1180" s="5"/>
    </row>
    <row r="1181">
      <c r="C1181" s="5"/>
      <c r="D1181" s="5"/>
    </row>
    <row r="1182">
      <c r="C1182" s="5"/>
      <c r="D1182" s="5"/>
    </row>
    <row r="1183">
      <c r="C1183" s="5"/>
      <c r="D1183" s="5"/>
    </row>
    <row r="1184">
      <c r="C1184" s="5"/>
      <c r="D1184" s="5"/>
    </row>
    <row r="1185">
      <c r="C1185" s="5"/>
      <c r="D1185" s="5"/>
    </row>
    <row r="1186">
      <c r="C1186" s="5"/>
      <c r="D1186" s="5"/>
    </row>
    <row r="1187">
      <c r="C1187" s="5"/>
      <c r="D1187" s="5"/>
    </row>
    <row r="1188">
      <c r="C1188" s="5"/>
      <c r="D1188" s="5"/>
    </row>
    <row r="1189">
      <c r="C1189" s="5"/>
      <c r="D1189" s="5"/>
    </row>
    <row r="1190">
      <c r="C1190" s="5"/>
      <c r="D1190" s="5"/>
    </row>
    <row r="1191">
      <c r="C1191" s="5"/>
      <c r="D1191" s="5"/>
    </row>
    <row r="1192">
      <c r="C1192" s="5"/>
      <c r="D1192" s="5"/>
    </row>
    <row r="1193">
      <c r="C1193" s="5"/>
      <c r="D1193" s="5"/>
    </row>
    <row r="1194">
      <c r="C1194" s="5"/>
      <c r="D1194" s="5"/>
    </row>
    <row r="1195">
      <c r="C1195" s="5"/>
      <c r="D1195" s="5"/>
    </row>
    <row r="1196">
      <c r="C1196" s="5"/>
      <c r="D1196" s="5"/>
    </row>
    <row r="1197">
      <c r="C1197" s="5"/>
      <c r="D1197" s="5"/>
    </row>
    <row r="1198">
      <c r="C1198" s="5"/>
      <c r="D1198" s="5"/>
    </row>
    <row r="1199">
      <c r="C1199" s="5"/>
      <c r="D1199" s="5"/>
    </row>
    <row r="1200">
      <c r="C1200" s="5"/>
      <c r="D1200" s="5"/>
    </row>
    <row r="1201">
      <c r="C1201" s="5"/>
      <c r="D1201" s="5"/>
    </row>
    <row r="1202">
      <c r="C1202" s="5"/>
      <c r="D1202" s="5"/>
    </row>
    <row r="1203">
      <c r="C1203" s="5"/>
      <c r="D1203" s="5"/>
    </row>
    <row r="1204">
      <c r="C1204" s="5"/>
      <c r="D1204" s="5"/>
    </row>
    <row r="1205">
      <c r="C1205" s="5"/>
      <c r="D1205" s="5"/>
    </row>
    <row r="1206">
      <c r="C1206" s="5"/>
      <c r="D1206" s="5"/>
    </row>
    <row r="1207">
      <c r="C1207" s="5"/>
      <c r="D1207" s="5"/>
    </row>
    <row r="1208">
      <c r="C1208" s="5"/>
      <c r="D1208" s="5"/>
    </row>
    <row r="1209">
      <c r="C1209" s="5"/>
      <c r="D1209" s="5"/>
    </row>
    <row r="1210">
      <c r="C1210" s="5"/>
      <c r="D1210" s="5"/>
    </row>
    <row r="1211">
      <c r="C1211" s="5"/>
      <c r="D1211" s="5"/>
    </row>
    <row r="1212">
      <c r="C1212" s="5"/>
      <c r="D1212" s="5"/>
    </row>
    <row r="1213">
      <c r="C1213" s="5"/>
      <c r="D1213" s="5"/>
    </row>
    <row r="1214">
      <c r="C1214" s="5"/>
      <c r="D1214" s="5"/>
    </row>
    <row r="1215">
      <c r="C1215" s="5"/>
      <c r="D1215" s="5"/>
    </row>
    <row r="1216">
      <c r="C1216" s="5"/>
      <c r="D1216" s="5"/>
    </row>
    <row r="1217">
      <c r="C1217" s="5"/>
      <c r="D1217" s="5"/>
    </row>
    <row r="1218">
      <c r="C1218" s="5"/>
      <c r="D1218" s="5"/>
    </row>
    <row r="1219">
      <c r="C1219" s="5"/>
      <c r="D1219" s="5"/>
    </row>
    <row r="1220">
      <c r="C1220" s="5"/>
      <c r="D1220" s="5"/>
    </row>
    <row r="1221">
      <c r="C1221" s="5"/>
      <c r="D1221" s="5"/>
    </row>
    <row r="1222">
      <c r="C1222" s="5"/>
      <c r="D1222" s="5"/>
    </row>
    <row r="1223">
      <c r="C1223" s="5"/>
      <c r="D1223" s="5"/>
    </row>
    <row r="1224">
      <c r="C1224" s="5"/>
      <c r="D1224" s="5"/>
    </row>
    <row r="1225">
      <c r="C1225" s="5"/>
      <c r="D1225" s="5"/>
    </row>
    <row r="1226">
      <c r="C1226" s="5"/>
      <c r="D1226" s="5"/>
    </row>
    <row r="1227">
      <c r="C1227" s="5"/>
      <c r="D1227" s="5"/>
    </row>
    <row r="1228">
      <c r="C1228" s="5"/>
      <c r="D1228" s="5"/>
    </row>
    <row r="1229">
      <c r="C1229" s="5"/>
      <c r="D1229" s="5"/>
    </row>
    <row r="1230">
      <c r="C1230" s="5"/>
      <c r="D1230" s="5"/>
    </row>
    <row r="1231">
      <c r="C1231" s="5"/>
      <c r="D1231" s="5"/>
    </row>
    <row r="1232">
      <c r="C1232" s="5"/>
      <c r="D1232" s="5"/>
    </row>
    <row r="1233">
      <c r="C1233" s="5"/>
      <c r="D1233" s="5"/>
    </row>
    <row r="1234">
      <c r="C1234" s="5"/>
      <c r="D1234" s="5"/>
    </row>
    <row r="1235">
      <c r="C1235" s="5"/>
      <c r="D1235" s="5"/>
    </row>
    <row r="1236">
      <c r="C1236" s="5"/>
      <c r="D1236" s="5"/>
    </row>
    <row r="1237">
      <c r="C1237" s="5"/>
      <c r="D1237" s="5"/>
    </row>
    <row r="1238">
      <c r="C1238" s="5"/>
      <c r="D1238" s="5"/>
    </row>
    <row r="1239">
      <c r="C1239" s="5"/>
      <c r="D1239" s="5"/>
    </row>
    <row r="1240">
      <c r="C1240" s="5"/>
      <c r="D1240" s="5"/>
    </row>
    <row r="1241">
      <c r="C1241" s="5"/>
      <c r="D1241" s="5"/>
    </row>
    <row r="1242">
      <c r="C1242" s="5"/>
      <c r="D1242" s="5"/>
    </row>
    <row r="1243">
      <c r="C1243" s="5"/>
      <c r="D1243" s="5"/>
    </row>
    <row r="1244">
      <c r="C1244" s="5"/>
      <c r="D1244" s="5"/>
    </row>
    <row r="1245">
      <c r="C1245" s="5"/>
      <c r="D1245" s="5"/>
    </row>
    <row r="1246">
      <c r="C1246" s="5"/>
      <c r="D1246" s="5"/>
    </row>
    <row r="1247">
      <c r="C1247" s="5"/>
      <c r="D1247" s="5"/>
    </row>
    <row r="1248">
      <c r="C1248" s="5"/>
      <c r="D1248" s="5"/>
    </row>
    <row r="1249">
      <c r="C1249" s="5"/>
      <c r="D1249" s="5"/>
    </row>
    <row r="1250">
      <c r="C1250" s="5"/>
      <c r="D1250" s="5"/>
    </row>
    <row r="1251">
      <c r="C1251" s="5"/>
      <c r="D1251" s="5"/>
    </row>
    <row r="1252">
      <c r="C1252" s="5"/>
      <c r="D1252" s="5"/>
    </row>
    <row r="1253">
      <c r="C1253" s="5"/>
      <c r="D1253" s="5"/>
    </row>
    <row r="1254">
      <c r="C1254" s="5"/>
      <c r="D1254" s="5"/>
    </row>
    <row r="1255">
      <c r="C1255" s="5"/>
      <c r="D1255" s="5"/>
    </row>
    <row r="1256">
      <c r="C1256" s="5"/>
      <c r="D1256" s="5"/>
    </row>
    <row r="1257">
      <c r="C1257" s="5"/>
      <c r="D1257" s="5"/>
    </row>
    <row r="1258">
      <c r="C1258" s="5"/>
      <c r="D1258" s="5"/>
    </row>
    <row r="1259">
      <c r="C1259" s="5"/>
      <c r="D1259" s="5"/>
    </row>
    <row r="1260">
      <c r="C1260" s="5"/>
      <c r="D1260" s="5"/>
    </row>
    <row r="1261">
      <c r="C1261" s="5"/>
      <c r="D1261" s="5"/>
    </row>
    <row r="1262">
      <c r="C1262" s="5"/>
      <c r="D1262" s="5"/>
    </row>
    <row r="1263">
      <c r="C1263" s="5"/>
      <c r="D1263" s="5"/>
    </row>
    <row r="1264">
      <c r="C1264" s="5"/>
      <c r="D1264" s="5"/>
    </row>
    <row r="1265">
      <c r="C1265" s="5"/>
      <c r="D1265" s="5"/>
    </row>
    <row r="1266">
      <c r="C1266" s="5"/>
      <c r="D1266" s="5"/>
    </row>
    <row r="1267">
      <c r="C1267" s="5"/>
      <c r="D1267" s="5"/>
    </row>
    <row r="1268">
      <c r="C1268" s="5"/>
      <c r="D1268" s="5"/>
    </row>
    <row r="1269">
      <c r="C1269" s="5"/>
      <c r="D1269" s="5"/>
    </row>
    <row r="1270">
      <c r="C1270" s="5"/>
      <c r="D1270" s="5"/>
    </row>
    <row r="1271">
      <c r="C1271" s="5"/>
      <c r="D1271" s="5"/>
    </row>
    <row r="1272">
      <c r="C1272" s="5"/>
      <c r="D1272" s="5"/>
    </row>
    <row r="1273">
      <c r="C1273" s="5"/>
      <c r="D1273" s="5"/>
    </row>
    <row r="1274">
      <c r="C1274" s="5"/>
      <c r="D1274" s="5"/>
    </row>
    <row r="1275">
      <c r="C1275" s="5"/>
      <c r="D1275" s="5"/>
    </row>
    <row r="1276">
      <c r="C1276" s="5"/>
      <c r="D1276" s="5"/>
    </row>
    <row r="1277">
      <c r="C1277" s="5"/>
      <c r="D1277" s="5"/>
    </row>
    <row r="1278">
      <c r="C1278" s="5"/>
      <c r="D1278" s="5"/>
    </row>
    <row r="1279">
      <c r="C1279" s="5"/>
      <c r="D1279" s="5"/>
    </row>
    <row r="1280">
      <c r="C1280" s="5"/>
      <c r="D1280" s="5"/>
    </row>
    <row r="1281">
      <c r="C1281" s="5"/>
      <c r="D1281" s="5"/>
    </row>
    <row r="1282">
      <c r="C1282" s="5"/>
      <c r="D1282" s="5"/>
    </row>
    <row r="1283">
      <c r="C1283" s="5"/>
      <c r="D1283" s="5"/>
    </row>
    <row r="1284">
      <c r="C1284" s="5"/>
      <c r="D1284" s="5"/>
    </row>
    <row r="1285">
      <c r="C1285" s="5"/>
      <c r="D1285" s="5"/>
    </row>
    <row r="1286">
      <c r="C1286" s="5"/>
      <c r="D1286" s="5"/>
    </row>
    <row r="1287">
      <c r="C1287" s="5"/>
      <c r="D1287" s="5"/>
    </row>
    <row r="1288">
      <c r="C1288" s="5"/>
      <c r="D1288" s="5"/>
    </row>
    <row r="1289">
      <c r="C1289" s="5"/>
      <c r="D1289" s="5"/>
    </row>
    <row r="1290">
      <c r="C1290" s="5"/>
      <c r="D1290" s="5"/>
    </row>
    <row r="1291">
      <c r="C1291" s="5"/>
      <c r="D1291" s="5"/>
    </row>
    <row r="1292">
      <c r="C1292" s="5"/>
      <c r="D1292" s="5"/>
    </row>
    <row r="1293">
      <c r="C1293" s="5"/>
      <c r="D1293" s="5"/>
    </row>
    <row r="1294">
      <c r="C1294" s="5"/>
      <c r="D1294" s="5"/>
    </row>
    <row r="1295">
      <c r="C1295" s="5"/>
      <c r="D1295" s="5"/>
    </row>
    <row r="1296">
      <c r="C1296" s="5"/>
      <c r="D1296" s="5"/>
    </row>
    <row r="1297">
      <c r="C1297" s="5"/>
      <c r="D1297" s="5"/>
    </row>
    <row r="1298">
      <c r="C1298" s="5"/>
      <c r="D1298" s="5"/>
    </row>
    <row r="1299">
      <c r="C1299" s="5"/>
      <c r="D1299" s="5"/>
    </row>
    <row r="1300">
      <c r="C1300" s="5"/>
      <c r="D1300" s="5"/>
    </row>
    <row r="1301">
      <c r="C1301" s="5"/>
      <c r="D1301" s="5"/>
    </row>
    <row r="1302">
      <c r="C1302" s="5"/>
      <c r="D1302" s="5"/>
    </row>
    <row r="1303">
      <c r="C1303" s="5"/>
      <c r="D1303" s="5"/>
    </row>
    <row r="1304">
      <c r="C1304" s="5"/>
      <c r="D1304" s="5"/>
    </row>
    <row r="1305">
      <c r="C1305" s="5"/>
      <c r="D1305" s="5"/>
    </row>
    <row r="1306">
      <c r="C1306" s="5"/>
      <c r="D1306" s="5"/>
    </row>
    <row r="1307">
      <c r="C1307" s="5"/>
      <c r="D1307" s="5"/>
    </row>
    <row r="1308">
      <c r="C1308" s="5"/>
      <c r="D1308" s="5"/>
    </row>
    <row r="1309">
      <c r="C1309" s="5"/>
      <c r="D1309" s="5"/>
    </row>
    <row r="1310">
      <c r="C1310" s="5"/>
      <c r="D1310" s="5"/>
    </row>
    <row r="1311">
      <c r="C1311" s="5"/>
      <c r="D1311" s="5"/>
    </row>
    <row r="1312">
      <c r="C1312" s="5"/>
      <c r="D1312" s="5"/>
    </row>
    <row r="1313">
      <c r="C1313" s="5"/>
      <c r="D1313" s="5"/>
    </row>
    <row r="1314">
      <c r="C1314" s="5"/>
      <c r="D1314" s="5"/>
    </row>
    <row r="1315">
      <c r="C1315" s="5"/>
      <c r="D1315" s="5"/>
    </row>
    <row r="1316">
      <c r="C1316" s="5"/>
      <c r="D1316" s="5"/>
    </row>
    <row r="1317">
      <c r="C1317" s="5"/>
      <c r="D1317" s="5"/>
    </row>
    <row r="1318">
      <c r="C1318" s="5"/>
      <c r="D1318" s="5"/>
    </row>
    <row r="1319">
      <c r="C1319" s="5"/>
      <c r="D1319" s="5"/>
    </row>
    <row r="1320">
      <c r="C1320" s="5"/>
      <c r="D1320" s="5"/>
    </row>
    <row r="1321">
      <c r="C1321" s="5"/>
      <c r="D1321" s="5"/>
    </row>
    <row r="1322">
      <c r="C1322" s="5"/>
      <c r="D1322" s="5"/>
    </row>
    <row r="1323">
      <c r="C1323" s="5"/>
      <c r="D1323" s="5"/>
    </row>
    <row r="1324">
      <c r="C1324" s="5"/>
      <c r="D1324" s="5"/>
    </row>
    <row r="1325">
      <c r="C1325" s="5"/>
      <c r="D1325" s="5"/>
    </row>
    <row r="1326">
      <c r="C1326" s="5"/>
      <c r="D1326" s="5"/>
    </row>
    <row r="1327">
      <c r="C1327" s="5"/>
      <c r="D1327" s="5"/>
    </row>
    <row r="1328">
      <c r="C1328" s="5"/>
      <c r="D1328" s="5"/>
    </row>
    <row r="1329">
      <c r="C1329" s="5"/>
      <c r="D1329" s="5"/>
    </row>
    <row r="1330">
      <c r="C1330" s="5"/>
      <c r="D1330" s="5"/>
    </row>
    <row r="1331">
      <c r="C1331" s="5"/>
      <c r="D1331" s="5"/>
    </row>
    <row r="1332">
      <c r="C1332" s="5"/>
      <c r="D1332" s="5"/>
    </row>
    <row r="1333">
      <c r="C1333" s="5"/>
      <c r="D1333" s="5"/>
    </row>
    <row r="1334">
      <c r="C1334" s="5"/>
      <c r="D1334" s="5"/>
    </row>
    <row r="1335">
      <c r="C1335" s="5"/>
      <c r="D1335" s="5"/>
    </row>
    <row r="1336">
      <c r="C1336" s="5"/>
      <c r="D1336" s="5"/>
    </row>
    <row r="1337">
      <c r="C1337" s="5"/>
      <c r="D1337" s="5"/>
    </row>
    <row r="1338">
      <c r="C1338" s="5"/>
      <c r="D1338" s="5"/>
    </row>
    <row r="1339">
      <c r="C1339" s="5"/>
      <c r="D1339" s="5"/>
    </row>
    <row r="1340">
      <c r="C1340" s="5"/>
      <c r="D1340" s="5"/>
    </row>
    <row r="1341">
      <c r="C1341" s="5"/>
      <c r="D1341" s="5"/>
    </row>
    <row r="1342">
      <c r="C1342" s="5"/>
      <c r="D1342" s="5"/>
    </row>
    <row r="1343">
      <c r="C1343" s="5"/>
      <c r="D1343" s="5"/>
    </row>
    <row r="1344">
      <c r="C1344" s="5"/>
      <c r="D1344" s="5"/>
    </row>
    <row r="1345">
      <c r="C1345" s="5"/>
      <c r="D1345" s="5"/>
    </row>
    <row r="1346">
      <c r="C1346" s="5"/>
      <c r="D1346" s="5"/>
    </row>
    <row r="1347">
      <c r="C1347" s="5"/>
      <c r="D1347" s="5"/>
    </row>
    <row r="1348">
      <c r="C1348" s="5"/>
      <c r="D1348" s="5"/>
    </row>
    <row r="1349">
      <c r="C1349" s="5"/>
      <c r="D1349" s="5"/>
    </row>
    <row r="1350">
      <c r="C1350" s="5"/>
      <c r="D1350" s="5"/>
    </row>
    <row r="1351">
      <c r="C1351" s="5"/>
      <c r="D1351" s="5"/>
    </row>
    <row r="1352">
      <c r="C1352" s="5"/>
      <c r="D1352" s="5"/>
    </row>
    <row r="1353">
      <c r="C1353" s="5"/>
      <c r="D1353" s="5"/>
    </row>
    <row r="1354">
      <c r="C1354" s="5"/>
      <c r="D1354" s="5"/>
    </row>
    <row r="1355">
      <c r="C1355" s="5"/>
      <c r="D1355" s="5"/>
    </row>
    <row r="1356">
      <c r="C1356" s="5"/>
      <c r="D1356" s="5"/>
    </row>
    <row r="1357">
      <c r="C1357" s="5"/>
      <c r="D1357" s="5"/>
    </row>
    <row r="1358">
      <c r="C1358" s="5"/>
      <c r="D1358" s="5"/>
    </row>
    <row r="1359">
      <c r="C1359" s="5"/>
      <c r="D1359" s="5"/>
    </row>
    <row r="1360">
      <c r="C1360" s="5"/>
      <c r="D1360" s="5"/>
    </row>
    <row r="1361">
      <c r="C1361" s="5"/>
      <c r="D1361" s="5"/>
    </row>
    <row r="1362">
      <c r="C1362" s="5"/>
      <c r="D1362" s="5"/>
    </row>
    <row r="1363">
      <c r="C1363" s="5"/>
      <c r="D1363" s="5"/>
    </row>
    <row r="1364">
      <c r="C1364" s="5"/>
      <c r="D1364" s="5"/>
    </row>
    <row r="1365">
      <c r="C1365" s="5"/>
      <c r="D1365" s="5"/>
    </row>
    <row r="1366">
      <c r="C1366" s="5"/>
      <c r="D1366" s="5"/>
    </row>
    <row r="1367">
      <c r="C1367" s="5"/>
      <c r="D1367" s="5"/>
    </row>
    <row r="1368">
      <c r="C1368" s="5"/>
      <c r="D1368" s="5"/>
    </row>
    <row r="1369">
      <c r="C1369" s="5"/>
      <c r="D1369" s="5"/>
    </row>
    <row r="1370">
      <c r="C1370" s="5"/>
      <c r="D1370" s="5"/>
    </row>
    <row r="1371">
      <c r="C1371" s="5"/>
      <c r="D1371" s="5"/>
    </row>
    <row r="1372">
      <c r="C1372" s="5"/>
      <c r="D1372" s="5"/>
    </row>
    <row r="1373">
      <c r="C1373" s="5"/>
      <c r="D1373" s="5"/>
    </row>
    <row r="1374">
      <c r="C1374" s="5"/>
      <c r="D1374" s="5"/>
    </row>
    <row r="1375">
      <c r="C1375" s="5"/>
      <c r="D1375" s="5"/>
    </row>
    <row r="1376">
      <c r="C1376" s="5"/>
      <c r="D1376" s="5"/>
    </row>
    <row r="1377">
      <c r="C1377" s="5"/>
      <c r="D1377" s="5"/>
    </row>
    <row r="1378">
      <c r="C1378" s="5"/>
      <c r="D1378" s="5"/>
    </row>
    <row r="1379">
      <c r="C1379" s="5"/>
      <c r="D1379" s="5"/>
    </row>
    <row r="1380">
      <c r="C1380" s="5"/>
      <c r="D1380" s="5"/>
    </row>
    <row r="1381">
      <c r="C1381" s="5"/>
      <c r="D1381" s="5"/>
    </row>
    <row r="1382">
      <c r="C1382" s="5"/>
      <c r="D1382" s="5"/>
    </row>
    <row r="1383">
      <c r="C1383" s="5"/>
      <c r="D1383" s="5"/>
    </row>
    <row r="1384">
      <c r="C1384" s="5"/>
      <c r="D1384" s="5"/>
    </row>
    <row r="1385">
      <c r="C1385" s="5"/>
      <c r="D1385" s="5"/>
    </row>
    <row r="1386">
      <c r="C1386" s="5"/>
      <c r="D1386" s="5"/>
    </row>
    <row r="1387">
      <c r="C1387" s="5"/>
      <c r="D1387" s="5"/>
    </row>
    <row r="1388">
      <c r="C1388" s="5"/>
      <c r="D1388" s="5"/>
    </row>
    <row r="1389">
      <c r="C1389" s="5"/>
      <c r="D1389" s="5"/>
    </row>
    <row r="1390">
      <c r="C1390" s="5"/>
      <c r="D1390" s="5"/>
    </row>
    <row r="1391">
      <c r="C1391" s="5"/>
      <c r="D1391" s="5"/>
    </row>
    <row r="1392">
      <c r="C1392" s="5"/>
      <c r="D1392" s="5"/>
    </row>
    <row r="1393">
      <c r="C1393" s="5"/>
      <c r="D1393" s="5"/>
    </row>
    <row r="1394">
      <c r="C1394" s="5"/>
      <c r="D1394" s="5"/>
    </row>
    <row r="1395">
      <c r="C1395" s="5"/>
      <c r="D1395" s="5"/>
    </row>
    <row r="1396">
      <c r="C1396" s="5"/>
      <c r="D1396" s="5"/>
    </row>
    <row r="1397">
      <c r="C1397" s="5"/>
      <c r="D1397" s="5"/>
    </row>
    <row r="1398">
      <c r="C1398" s="5"/>
      <c r="D1398" s="5"/>
    </row>
    <row r="1399">
      <c r="C1399" s="5"/>
      <c r="D1399" s="5"/>
    </row>
    <row r="1400">
      <c r="C1400" s="5"/>
      <c r="D1400" s="5"/>
    </row>
    <row r="1401">
      <c r="C1401" s="5"/>
      <c r="D1401" s="5"/>
    </row>
    <row r="1402">
      <c r="C1402" s="5"/>
      <c r="D1402" s="5"/>
    </row>
    <row r="1403">
      <c r="C1403" s="5"/>
      <c r="D1403" s="5"/>
    </row>
    <row r="1404">
      <c r="C1404" s="5"/>
      <c r="D1404" s="5"/>
    </row>
    <row r="1405">
      <c r="C1405" s="5"/>
      <c r="D1405" s="5"/>
    </row>
    <row r="1406">
      <c r="C1406" s="5"/>
      <c r="D1406" s="5"/>
    </row>
    <row r="1407">
      <c r="C1407" s="5"/>
      <c r="D1407" s="5"/>
    </row>
    <row r="1408">
      <c r="C1408" s="5"/>
      <c r="D1408" s="5"/>
    </row>
    <row r="1409">
      <c r="C1409" s="5"/>
      <c r="D1409" s="5"/>
    </row>
    <row r="1410">
      <c r="C1410" s="5"/>
      <c r="D1410" s="5"/>
    </row>
    <row r="1411">
      <c r="C1411" s="5"/>
      <c r="D1411" s="5"/>
    </row>
    <row r="1412">
      <c r="C1412" s="5"/>
      <c r="D1412" s="5"/>
    </row>
    <row r="1413">
      <c r="C1413" s="5"/>
      <c r="D1413" s="5"/>
    </row>
    <row r="1414">
      <c r="C1414" s="5"/>
      <c r="D1414" s="5"/>
    </row>
    <row r="1415">
      <c r="C1415" s="5"/>
      <c r="D1415" s="5"/>
    </row>
    <row r="1416">
      <c r="C1416" s="5"/>
      <c r="D1416" s="5"/>
    </row>
    <row r="1417">
      <c r="C1417" s="5"/>
      <c r="D1417" s="5"/>
    </row>
    <row r="1418">
      <c r="C1418" s="5"/>
      <c r="D1418" s="5"/>
    </row>
    <row r="1419">
      <c r="C1419" s="5"/>
      <c r="D1419" s="5"/>
    </row>
    <row r="1420">
      <c r="C1420" s="5"/>
      <c r="D1420" s="5"/>
    </row>
    <row r="1421">
      <c r="C1421" s="5"/>
      <c r="D1421" s="5"/>
    </row>
    <row r="1422">
      <c r="C1422" s="5"/>
      <c r="D1422" s="5"/>
    </row>
    <row r="1423">
      <c r="C1423" s="5"/>
      <c r="D1423" s="5"/>
    </row>
    <row r="1424">
      <c r="C1424" s="5"/>
      <c r="D1424" s="5"/>
    </row>
    <row r="1425">
      <c r="C1425" s="5"/>
      <c r="D1425" s="5"/>
    </row>
    <row r="1426">
      <c r="C1426" s="5"/>
      <c r="D1426" s="5"/>
    </row>
    <row r="1427">
      <c r="C1427" s="5"/>
      <c r="D1427" s="5"/>
    </row>
    <row r="1428">
      <c r="C1428" s="5"/>
      <c r="D1428" s="5"/>
    </row>
    <row r="1429">
      <c r="C1429" s="5"/>
      <c r="D1429" s="5"/>
    </row>
    <row r="1430">
      <c r="C1430" s="5"/>
      <c r="D1430" s="5"/>
    </row>
    <row r="1431">
      <c r="C1431" s="5"/>
      <c r="D1431" s="5"/>
    </row>
    <row r="1432">
      <c r="C1432" s="5"/>
      <c r="D1432" s="5"/>
    </row>
    <row r="1433">
      <c r="C1433" s="5"/>
      <c r="D1433" s="5"/>
    </row>
    <row r="1434">
      <c r="C1434" s="5"/>
      <c r="D1434" s="5"/>
    </row>
    <row r="1435">
      <c r="C1435" s="5"/>
      <c r="D1435" s="5"/>
    </row>
    <row r="1436">
      <c r="C1436" s="5"/>
      <c r="D1436" s="5"/>
    </row>
    <row r="1437">
      <c r="C1437" s="5"/>
      <c r="D1437" s="5"/>
    </row>
    <row r="1438">
      <c r="C1438" s="5"/>
      <c r="D1438" s="5"/>
    </row>
    <row r="1439">
      <c r="C1439" s="5"/>
      <c r="D1439" s="5"/>
    </row>
    <row r="1440">
      <c r="C1440" s="5"/>
      <c r="D1440" s="5"/>
    </row>
    <row r="1441">
      <c r="C1441" s="5"/>
      <c r="D1441" s="5"/>
    </row>
    <row r="1442">
      <c r="C1442" s="5"/>
      <c r="D1442" s="5"/>
    </row>
    <row r="1443">
      <c r="C1443" s="5"/>
      <c r="D1443" s="5"/>
    </row>
    <row r="1444">
      <c r="C1444" s="5"/>
      <c r="D1444" s="5"/>
    </row>
    <row r="1445">
      <c r="C1445" s="5"/>
      <c r="D1445" s="5"/>
    </row>
    <row r="1446">
      <c r="C1446" s="5"/>
      <c r="D1446" s="5"/>
    </row>
    <row r="1447">
      <c r="C1447" s="5"/>
      <c r="D1447" s="5"/>
    </row>
    <row r="1448">
      <c r="C1448" s="5"/>
      <c r="D1448" s="5"/>
    </row>
    <row r="1449">
      <c r="C1449" s="5"/>
      <c r="D1449" s="5"/>
    </row>
    <row r="1450">
      <c r="C1450" s="5"/>
      <c r="D1450" s="5"/>
    </row>
    <row r="1451">
      <c r="C1451" s="5"/>
      <c r="D1451" s="5"/>
    </row>
    <row r="1452">
      <c r="C1452" s="5"/>
      <c r="D1452" s="5"/>
    </row>
    <row r="1453">
      <c r="C1453" s="5"/>
      <c r="D1453" s="5"/>
    </row>
    <row r="1454">
      <c r="C1454" s="5"/>
      <c r="D1454" s="5"/>
    </row>
    <row r="1455">
      <c r="C1455" s="5"/>
      <c r="D1455" s="5"/>
    </row>
    <row r="1456">
      <c r="C1456" s="5"/>
      <c r="D1456" s="5"/>
    </row>
    <row r="1457">
      <c r="C1457" s="5"/>
      <c r="D1457" s="5"/>
    </row>
    <row r="1458">
      <c r="C1458" s="5"/>
      <c r="D1458" s="5"/>
    </row>
    <row r="1459">
      <c r="C1459" s="5"/>
      <c r="D1459" s="5"/>
    </row>
    <row r="1460">
      <c r="C1460" s="5"/>
      <c r="D1460" s="5"/>
    </row>
    <row r="1461">
      <c r="C1461" s="5"/>
      <c r="D1461" s="5"/>
    </row>
    <row r="1462">
      <c r="C1462" s="5"/>
      <c r="D1462" s="5"/>
    </row>
    <row r="1463">
      <c r="C1463" s="5"/>
      <c r="D1463" s="5"/>
    </row>
    <row r="1464">
      <c r="C1464" s="5"/>
      <c r="D1464" s="5"/>
    </row>
    <row r="1465">
      <c r="C1465" s="5"/>
      <c r="D1465" s="5"/>
    </row>
    <row r="1466">
      <c r="C1466" s="5"/>
      <c r="D1466" s="5"/>
    </row>
    <row r="1467">
      <c r="C1467" s="5"/>
      <c r="D1467" s="5"/>
    </row>
    <row r="1468">
      <c r="C1468" s="5"/>
      <c r="D1468" s="5"/>
    </row>
    <row r="1469">
      <c r="C1469" s="5"/>
      <c r="D1469" s="5"/>
    </row>
    <row r="1470">
      <c r="C1470" s="5"/>
      <c r="D1470" s="5"/>
    </row>
    <row r="1471">
      <c r="C1471" s="5"/>
      <c r="D1471" s="5"/>
    </row>
    <row r="1472">
      <c r="C1472" s="5"/>
      <c r="D1472" s="5"/>
    </row>
    <row r="1473">
      <c r="C1473" s="5"/>
      <c r="D1473" s="5"/>
    </row>
    <row r="1474">
      <c r="C1474" s="5"/>
      <c r="D1474" s="5"/>
    </row>
    <row r="1475">
      <c r="C1475" s="5"/>
      <c r="D1475" s="5"/>
    </row>
    <row r="1476">
      <c r="C1476" s="5"/>
      <c r="D1476" s="5"/>
    </row>
    <row r="1477">
      <c r="C1477" s="5"/>
      <c r="D1477" s="5"/>
    </row>
    <row r="1478">
      <c r="C1478" s="5"/>
      <c r="D1478" s="5"/>
    </row>
    <row r="1479">
      <c r="C1479" s="5"/>
      <c r="D1479" s="5"/>
    </row>
    <row r="1480">
      <c r="C1480" s="5"/>
      <c r="D1480" s="5"/>
    </row>
    <row r="1481">
      <c r="C1481" s="5"/>
      <c r="D1481" s="5"/>
    </row>
    <row r="1482">
      <c r="C1482" s="5"/>
      <c r="D1482" s="5"/>
    </row>
    <row r="1483">
      <c r="C1483" s="5"/>
      <c r="D1483" s="5"/>
    </row>
    <row r="1484">
      <c r="C1484" s="5"/>
      <c r="D1484" s="5"/>
    </row>
    <row r="1485">
      <c r="C1485" s="5"/>
      <c r="D1485" s="5"/>
    </row>
    <row r="1486">
      <c r="C1486" s="5"/>
      <c r="D1486" s="5"/>
    </row>
    <row r="1487">
      <c r="C1487" s="5"/>
      <c r="D1487" s="5"/>
    </row>
    <row r="1488">
      <c r="C1488" s="5"/>
      <c r="D1488" s="5"/>
    </row>
    <row r="1489">
      <c r="C1489" s="5"/>
      <c r="D1489" s="5"/>
    </row>
    <row r="1490">
      <c r="C1490" s="5"/>
      <c r="D1490" s="5"/>
    </row>
    <row r="1491">
      <c r="C1491" s="5"/>
      <c r="D1491" s="5"/>
    </row>
    <row r="1492">
      <c r="C1492" s="5"/>
      <c r="D1492" s="5"/>
    </row>
    <row r="1493">
      <c r="C1493" s="5"/>
      <c r="D1493" s="5"/>
    </row>
    <row r="1494">
      <c r="C1494" s="5"/>
      <c r="D1494" s="5"/>
    </row>
    <row r="1495">
      <c r="C1495" s="5"/>
      <c r="D1495" s="5"/>
    </row>
    <row r="1496">
      <c r="C1496" s="5"/>
      <c r="D1496" s="5"/>
    </row>
    <row r="1497">
      <c r="C1497" s="5"/>
      <c r="D1497" s="5"/>
    </row>
    <row r="1498">
      <c r="C1498" s="5"/>
      <c r="D1498" s="5"/>
    </row>
    <row r="1499">
      <c r="C1499" s="5"/>
      <c r="D1499" s="5"/>
    </row>
    <row r="1500">
      <c r="C1500" s="5"/>
      <c r="D1500" s="5"/>
    </row>
    <row r="1501">
      <c r="C1501" s="5"/>
      <c r="D1501" s="5"/>
    </row>
    <row r="1502">
      <c r="C1502" s="5"/>
      <c r="D1502" s="5"/>
    </row>
    <row r="1503">
      <c r="C1503" s="5"/>
      <c r="D1503" s="5"/>
    </row>
    <row r="1504">
      <c r="C1504" s="5"/>
      <c r="D1504" s="5"/>
    </row>
    <row r="1505">
      <c r="C1505" s="5"/>
      <c r="D1505" s="5"/>
    </row>
    <row r="1506">
      <c r="C1506" s="5"/>
      <c r="D1506" s="5"/>
    </row>
    <row r="1507">
      <c r="C1507" s="5"/>
      <c r="D1507" s="5"/>
    </row>
    <row r="1508">
      <c r="C1508" s="5"/>
      <c r="D1508" s="5"/>
    </row>
    <row r="1509">
      <c r="C1509" s="5"/>
      <c r="D1509" s="5"/>
    </row>
    <row r="1510">
      <c r="C1510" s="5"/>
      <c r="D1510" s="5"/>
    </row>
    <row r="1511">
      <c r="C1511" s="5"/>
      <c r="D1511" s="5"/>
    </row>
    <row r="1512">
      <c r="C1512" s="5"/>
      <c r="D1512" s="5"/>
    </row>
    <row r="1513">
      <c r="C1513" s="5"/>
      <c r="D1513" s="5"/>
    </row>
    <row r="1514">
      <c r="C1514" s="5"/>
      <c r="D1514" s="5"/>
    </row>
    <row r="1515">
      <c r="C1515" s="5"/>
      <c r="D1515" s="5"/>
    </row>
    <row r="1516">
      <c r="C1516" s="5"/>
      <c r="D1516" s="5"/>
    </row>
    <row r="1517">
      <c r="C1517" s="5"/>
      <c r="D1517" s="5"/>
    </row>
    <row r="1518">
      <c r="C1518" s="5"/>
      <c r="D1518" s="5"/>
    </row>
    <row r="1519">
      <c r="C1519" s="5"/>
      <c r="D1519" s="5"/>
    </row>
    <row r="1520">
      <c r="C1520" s="5"/>
      <c r="D1520" s="5"/>
    </row>
    <row r="1521">
      <c r="C1521" s="5"/>
      <c r="D1521" s="5"/>
    </row>
    <row r="1522">
      <c r="C1522" s="5"/>
      <c r="D1522" s="5"/>
    </row>
    <row r="1523">
      <c r="C1523" s="5"/>
      <c r="D1523" s="5"/>
    </row>
    <row r="1524">
      <c r="C1524" s="5"/>
      <c r="D1524" s="5"/>
    </row>
    <row r="1525">
      <c r="C1525" s="5"/>
      <c r="D1525" s="5"/>
    </row>
    <row r="1526">
      <c r="C1526" s="5"/>
      <c r="D1526" s="5"/>
    </row>
    <row r="1527">
      <c r="C1527" s="5"/>
      <c r="D1527" s="5"/>
    </row>
    <row r="1528">
      <c r="C1528" s="5"/>
      <c r="D1528" s="5"/>
    </row>
    <row r="1529">
      <c r="C1529" s="5"/>
      <c r="D1529" s="5"/>
    </row>
    <row r="1530">
      <c r="C1530" s="5"/>
      <c r="D1530" s="5"/>
    </row>
    <row r="1531">
      <c r="C1531" s="5"/>
      <c r="D1531" s="5"/>
    </row>
    <row r="1532">
      <c r="C1532" s="5"/>
      <c r="D1532" s="5"/>
    </row>
    <row r="1533">
      <c r="C1533" s="5"/>
      <c r="D1533" s="5"/>
    </row>
    <row r="1534">
      <c r="C1534" s="5"/>
      <c r="D1534" s="5"/>
    </row>
    <row r="1535">
      <c r="C1535" s="5"/>
      <c r="D1535" s="5"/>
    </row>
    <row r="1536">
      <c r="C1536" s="5"/>
      <c r="D1536" s="5"/>
    </row>
    <row r="1537">
      <c r="C1537" s="5"/>
      <c r="D1537" s="5"/>
    </row>
    <row r="1538">
      <c r="C1538" s="5"/>
      <c r="D1538" s="5"/>
    </row>
    <row r="1539">
      <c r="C1539" s="5"/>
      <c r="D1539" s="5"/>
    </row>
    <row r="1540">
      <c r="C1540" s="5"/>
      <c r="D1540" s="5"/>
    </row>
    <row r="1541">
      <c r="C1541" s="5"/>
      <c r="D1541" s="5"/>
    </row>
    <row r="1542">
      <c r="C1542" s="5"/>
      <c r="D1542" s="5"/>
    </row>
    <row r="1543">
      <c r="C1543" s="5"/>
      <c r="D1543" s="5"/>
    </row>
    <row r="1544">
      <c r="C1544" s="5"/>
      <c r="D1544" s="5"/>
    </row>
    <row r="1545">
      <c r="C1545" s="5"/>
      <c r="D1545" s="5"/>
    </row>
    <row r="1546">
      <c r="C1546" s="5"/>
      <c r="D1546" s="5"/>
    </row>
    <row r="1547">
      <c r="C1547" s="5"/>
      <c r="D1547" s="5"/>
    </row>
    <row r="1548">
      <c r="C1548" s="5"/>
      <c r="D1548" s="5"/>
    </row>
    <row r="1549">
      <c r="C1549" s="5"/>
      <c r="D1549" s="5"/>
    </row>
    <row r="1550">
      <c r="C1550" s="5"/>
      <c r="D1550" s="5"/>
    </row>
    <row r="1551">
      <c r="C1551" s="5"/>
      <c r="D1551" s="5"/>
    </row>
    <row r="1552">
      <c r="C1552" s="5"/>
      <c r="D1552" s="5"/>
    </row>
    <row r="1553">
      <c r="C1553" s="5"/>
      <c r="D1553" s="5"/>
    </row>
    <row r="1554">
      <c r="C1554" s="5"/>
      <c r="D1554" s="5"/>
    </row>
    <row r="1555">
      <c r="C1555" s="5"/>
      <c r="D1555" s="5"/>
    </row>
    <row r="1556">
      <c r="C1556" s="5"/>
      <c r="D1556" s="5"/>
    </row>
    <row r="1557">
      <c r="C1557" s="5"/>
      <c r="D1557" s="5"/>
    </row>
    <row r="1558">
      <c r="C1558" s="5"/>
      <c r="D1558" s="5"/>
    </row>
    <row r="1559">
      <c r="C1559" s="5"/>
      <c r="D1559" s="5"/>
    </row>
    <row r="1560">
      <c r="C1560" s="5"/>
      <c r="D1560" s="5"/>
    </row>
    <row r="1561">
      <c r="C1561" s="5"/>
      <c r="D1561" s="5"/>
    </row>
    <row r="1562">
      <c r="C1562" s="5"/>
      <c r="D1562" s="5"/>
    </row>
    <row r="1563">
      <c r="C1563" s="5"/>
      <c r="D1563" s="5"/>
    </row>
    <row r="1564">
      <c r="C1564" s="5"/>
      <c r="D1564" s="5"/>
    </row>
    <row r="1565">
      <c r="C1565" s="5"/>
      <c r="D1565" s="5"/>
    </row>
    <row r="1566">
      <c r="C1566" s="5"/>
      <c r="D1566" s="5"/>
    </row>
    <row r="1567">
      <c r="C1567" s="5"/>
      <c r="D1567" s="5"/>
    </row>
    <row r="1568">
      <c r="C1568" s="5"/>
      <c r="D1568" s="5"/>
    </row>
    <row r="1569">
      <c r="C1569" s="5"/>
      <c r="D1569" s="5"/>
    </row>
    <row r="1570">
      <c r="C1570" s="5"/>
      <c r="D1570" s="5"/>
    </row>
    <row r="1571">
      <c r="C1571" s="5"/>
      <c r="D1571" s="5"/>
    </row>
    <row r="1572">
      <c r="C1572" s="5"/>
      <c r="D1572" s="5"/>
    </row>
    <row r="1573">
      <c r="C1573" s="5"/>
      <c r="D1573" s="5"/>
    </row>
    <row r="1574">
      <c r="C1574" s="5"/>
      <c r="D1574" s="5"/>
    </row>
    <row r="1575">
      <c r="C1575" s="5"/>
      <c r="D1575" s="5"/>
    </row>
    <row r="1576">
      <c r="C1576" s="5"/>
      <c r="D1576" s="5"/>
    </row>
    <row r="1577">
      <c r="C1577" s="5"/>
      <c r="D1577" s="5"/>
    </row>
    <row r="1578">
      <c r="C1578" s="5"/>
      <c r="D1578" s="5"/>
    </row>
    <row r="1579">
      <c r="C1579" s="5"/>
      <c r="D1579" s="5"/>
    </row>
    <row r="1580">
      <c r="C1580" s="5"/>
      <c r="D1580" s="5"/>
    </row>
    <row r="1581">
      <c r="C1581" s="5"/>
      <c r="D1581" s="5"/>
    </row>
    <row r="1582">
      <c r="C1582" s="5"/>
      <c r="D1582" s="5"/>
    </row>
    <row r="1583">
      <c r="C1583" s="5"/>
      <c r="D1583" s="5"/>
    </row>
    <row r="1584">
      <c r="C1584" s="5"/>
      <c r="D1584" s="5"/>
    </row>
    <row r="1585">
      <c r="C1585" s="5"/>
      <c r="D1585" s="5"/>
    </row>
    <row r="1586">
      <c r="C1586" s="5"/>
      <c r="D1586" s="5"/>
    </row>
    <row r="1587">
      <c r="C1587" s="5"/>
      <c r="D1587" s="5"/>
    </row>
    <row r="1588">
      <c r="C1588" s="5"/>
      <c r="D1588" s="5"/>
    </row>
    <row r="1589">
      <c r="C1589" s="5"/>
      <c r="D1589" s="5"/>
    </row>
    <row r="1590">
      <c r="C1590" s="5"/>
      <c r="D1590" s="5"/>
    </row>
    <row r="1591">
      <c r="C1591" s="5"/>
      <c r="D1591" s="5"/>
    </row>
    <row r="1592">
      <c r="C1592" s="5"/>
      <c r="D1592" s="5"/>
    </row>
    <row r="1593">
      <c r="C1593" s="5"/>
      <c r="D1593" s="5"/>
    </row>
    <row r="1594">
      <c r="C1594" s="5"/>
      <c r="D1594" s="5"/>
    </row>
    <row r="1595">
      <c r="C1595" s="5"/>
      <c r="D1595" s="5"/>
    </row>
    <row r="1596">
      <c r="C1596" s="5"/>
      <c r="D1596" s="5"/>
    </row>
    <row r="1597">
      <c r="C1597" s="5"/>
      <c r="D1597" s="5"/>
    </row>
    <row r="1598">
      <c r="C1598" s="5"/>
      <c r="D1598" s="5"/>
    </row>
    <row r="1599">
      <c r="C1599" s="5"/>
      <c r="D1599" s="5"/>
    </row>
    <row r="1600">
      <c r="C1600" s="5"/>
      <c r="D1600" s="5"/>
    </row>
    <row r="1601">
      <c r="C1601" s="5"/>
      <c r="D1601" s="5"/>
    </row>
    <row r="1602">
      <c r="C1602" s="5"/>
      <c r="D1602" s="5"/>
    </row>
    <row r="1603">
      <c r="C1603" s="5"/>
      <c r="D1603" s="5"/>
    </row>
    <row r="1604">
      <c r="C1604" s="5"/>
      <c r="D1604" s="5"/>
    </row>
    <row r="1605">
      <c r="C1605" s="5"/>
      <c r="D1605" s="5"/>
    </row>
    <row r="1606">
      <c r="C1606" s="5"/>
      <c r="D1606" s="5"/>
    </row>
    <row r="1607">
      <c r="C1607" s="5"/>
      <c r="D1607" s="5"/>
    </row>
    <row r="1608">
      <c r="C1608" s="5"/>
      <c r="D1608" s="5"/>
    </row>
    <row r="1609">
      <c r="C1609" s="5"/>
      <c r="D1609" s="5"/>
    </row>
    <row r="1610">
      <c r="C1610" s="5"/>
      <c r="D1610" s="5"/>
    </row>
    <row r="1611">
      <c r="C1611" s="5"/>
      <c r="D1611" s="5"/>
    </row>
    <row r="1612">
      <c r="C1612" s="5"/>
      <c r="D1612" s="5"/>
    </row>
    <row r="1613">
      <c r="C1613" s="5"/>
      <c r="D1613" s="5"/>
    </row>
    <row r="1614">
      <c r="C1614" s="5"/>
      <c r="D1614" s="5"/>
    </row>
    <row r="1615">
      <c r="C1615" s="5"/>
      <c r="D1615" s="5"/>
    </row>
    <row r="1616">
      <c r="C1616" s="5"/>
      <c r="D1616" s="5"/>
    </row>
    <row r="1617">
      <c r="C1617" s="5"/>
      <c r="D1617" s="5"/>
    </row>
    <row r="1618">
      <c r="C1618" s="5"/>
      <c r="D1618" s="5"/>
    </row>
    <row r="1619">
      <c r="C1619" s="5"/>
      <c r="D1619" s="5"/>
    </row>
    <row r="1620">
      <c r="C1620" s="5"/>
      <c r="D1620" s="5"/>
    </row>
    <row r="1621">
      <c r="C1621" s="5"/>
      <c r="D1621" s="5"/>
    </row>
    <row r="1622">
      <c r="C1622" s="5"/>
      <c r="D1622" s="5"/>
    </row>
    <row r="1623">
      <c r="C1623" s="5"/>
      <c r="D1623" s="5"/>
    </row>
    <row r="1624">
      <c r="C1624" s="5"/>
      <c r="D1624" s="5"/>
    </row>
    <row r="1625">
      <c r="C1625" s="5"/>
      <c r="D1625" s="5"/>
    </row>
    <row r="1626">
      <c r="C1626" s="5"/>
      <c r="D1626" s="5"/>
    </row>
    <row r="1627">
      <c r="C1627" s="5"/>
      <c r="D1627" s="5"/>
    </row>
    <row r="1628">
      <c r="C1628" s="5"/>
      <c r="D1628" s="5"/>
    </row>
    <row r="1629">
      <c r="C1629" s="5"/>
      <c r="D1629" s="5"/>
    </row>
    <row r="1630">
      <c r="C1630" s="5"/>
      <c r="D1630" s="5"/>
    </row>
    <row r="1631">
      <c r="C1631" s="5"/>
      <c r="D1631" s="5"/>
    </row>
    <row r="1632">
      <c r="C1632" s="5"/>
      <c r="D1632" s="5"/>
    </row>
    <row r="1633">
      <c r="C1633" s="5"/>
      <c r="D1633" s="5"/>
    </row>
    <row r="1634">
      <c r="C1634" s="5"/>
      <c r="D1634" s="5"/>
    </row>
    <row r="1635">
      <c r="C1635" s="5"/>
      <c r="D1635" s="5"/>
    </row>
    <row r="1636">
      <c r="C1636" s="5"/>
      <c r="D1636" s="5"/>
    </row>
    <row r="1637">
      <c r="C1637" s="5"/>
      <c r="D1637" s="5"/>
    </row>
    <row r="1638">
      <c r="C1638" s="5"/>
      <c r="D1638" s="5"/>
    </row>
    <row r="1639">
      <c r="C1639" s="5"/>
      <c r="D1639" s="5"/>
    </row>
    <row r="1640">
      <c r="C1640" s="5"/>
      <c r="D1640" s="5"/>
    </row>
    <row r="1641">
      <c r="C1641" s="5"/>
      <c r="D1641" s="5"/>
    </row>
    <row r="1642">
      <c r="C1642" s="5"/>
      <c r="D1642" s="5"/>
    </row>
    <row r="1643">
      <c r="C1643" s="5"/>
      <c r="D1643" s="5"/>
    </row>
    <row r="1644">
      <c r="C1644" s="5"/>
      <c r="D1644" s="5"/>
    </row>
    <row r="1645">
      <c r="C1645" s="5"/>
      <c r="D1645" s="5"/>
    </row>
    <row r="1646">
      <c r="C1646" s="5"/>
      <c r="D1646" s="5"/>
    </row>
    <row r="1647">
      <c r="C1647" s="5"/>
      <c r="D1647" s="5"/>
    </row>
    <row r="1648">
      <c r="C1648" s="5"/>
      <c r="D1648" s="5"/>
    </row>
    <row r="1649">
      <c r="C1649" s="5"/>
      <c r="D1649" s="5"/>
    </row>
    <row r="1650">
      <c r="C1650" s="5"/>
      <c r="D1650" s="5"/>
    </row>
    <row r="1651">
      <c r="C1651" s="5"/>
      <c r="D1651" s="5"/>
    </row>
    <row r="1652">
      <c r="C1652" s="5"/>
      <c r="D1652" s="5"/>
    </row>
    <row r="1653">
      <c r="C1653" s="5"/>
      <c r="D1653" s="5"/>
    </row>
    <row r="1654">
      <c r="C1654" s="5"/>
      <c r="D1654" s="5"/>
    </row>
    <row r="1655">
      <c r="C1655" s="5"/>
      <c r="D1655" s="5"/>
    </row>
    <row r="1656">
      <c r="C1656" s="5"/>
      <c r="D1656" s="5"/>
    </row>
    <row r="1657">
      <c r="C1657" s="5"/>
      <c r="D1657" s="5"/>
    </row>
    <row r="1658">
      <c r="C1658" s="5"/>
      <c r="D1658" s="5"/>
    </row>
    <row r="1659">
      <c r="C1659" s="5"/>
      <c r="D1659" s="5"/>
    </row>
    <row r="1660">
      <c r="C1660" s="5"/>
      <c r="D1660" s="5"/>
    </row>
    <row r="1661">
      <c r="C1661" s="5"/>
      <c r="D1661" s="5"/>
    </row>
    <row r="1662">
      <c r="C1662" s="5"/>
      <c r="D1662" s="5"/>
    </row>
    <row r="1663">
      <c r="C1663" s="5"/>
      <c r="D1663" s="5"/>
    </row>
    <row r="1664">
      <c r="C1664" s="5"/>
      <c r="D1664" s="5"/>
    </row>
    <row r="1665">
      <c r="C1665" s="5"/>
      <c r="D1665" s="5"/>
    </row>
    <row r="1666">
      <c r="C1666" s="5"/>
      <c r="D1666" s="5"/>
    </row>
    <row r="1667">
      <c r="C1667" s="5"/>
      <c r="D1667" s="5"/>
    </row>
    <row r="1668">
      <c r="C1668" s="5"/>
      <c r="D1668" s="5"/>
    </row>
    <row r="1669">
      <c r="C1669" s="5"/>
      <c r="D1669" s="5"/>
    </row>
    <row r="1670">
      <c r="C1670" s="5"/>
      <c r="D1670" s="5"/>
    </row>
    <row r="1671">
      <c r="C1671" s="5"/>
      <c r="D1671" s="5"/>
    </row>
    <row r="1672">
      <c r="C1672" s="5"/>
      <c r="D1672" s="5"/>
    </row>
    <row r="1673">
      <c r="C1673" s="5"/>
      <c r="D1673" s="5"/>
    </row>
    <row r="1674">
      <c r="C1674" s="5"/>
      <c r="D1674" s="5"/>
    </row>
    <row r="1675">
      <c r="C1675" s="5"/>
      <c r="D1675" s="5"/>
    </row>
    <row r="1676">
      <c r="C1676" s="5"/>
      <c r="D1676" s="5"/>
    </row>
    <row r="1677">
      <c r="C1677" s="5"/>
      <c r="D1677" s="5"/>
    </row>
    <row r="1678">
      <c r="C1678" s="5"/>
      <c r="D1678" s="5"/>
    </row>
    <row r="1679">
      <c r="C1679" s="5"/>
      <c r="D1679" s="5"/>
    </row>
    <row r="1680">
      <c r="C1680" s="5"/>
      <c r="D1680" s="5"/>
    </row>
    <row r="1681">
      <c r="C1681" s="5"/>
      <c r="D1681" s="5"/>
    </row>
    <row r="1682">
      <c r="C1682" s="5"/>
      <c r="D1682" s="5"/>
    </row>
    <row r="1683">
      <c r="C1683" s="5"/>
      <c r="D1683" s="5"/>
    </row>
    <row r="1684">
      <c r="C1684" s="5"/>
      <c r="D1684" s="5"/>
    </row>
    <row r="1685">
      <c r="C1685" s="5"/>
      <c r="D1685" s="5"/>
    </row>
    <row r="1686">
      <c r="C1686" s="5"/>
      <c r="D1686" s="5"/>
    </row>
    <row r="1687">
      <c r="C1687" s="5"/>
      <c r="D1687" s="5"/>
    </row>
    <row r="1688">
      <c r="C1688" s="5"/>
      <c r="D1688" s="5"/>
    </row>
    <row r="1689">
      <c r="C1689" s="5"/>
      <c r="D1689" s="5"/>
    </row>
    <row r="1690">
      <c r="C1690" s="5"/>
      <c r="D1690" s="5"/>
    </row>
    <row r="1691">
      <c r="C1691" s="5"/>
      <c r="D1691" s="5"/>
    </row>
    <row r="1692">
      <c r="C1692" s="5"/>
      <c r="D1692" s="5"/>
    </row>
    <row r="1693">
      <c r="C1693" s="5"/>
      <c r="D1693" s="5"/>
    </row>
    <row r="1694">
      <c r="C1694" s="5"/>
      <c r="D1694" s="5"/>
    </row>
    <row r="1695">
      <c r="C1695" s="5"/>
      <c r="D1695" s="5"/>
    </row>
    <row r="1696">
      <c r="C1696" s="5"/>
      <c r="D1696" s="5"/>
    </row>
    <row r="1697">
      <c r="C1697" s="5"/>
      <c r="D1697" s="5"/>
    </row>
    <row r="1698">
      <c r="C1698" s="5"/>
      <c r="D1698" s="5"/>
    </row>
    <row r="1699">
      <c r="C1699" s="5"/>
      <c r="D1699" s="5"/>
    </row>
    <row r="1700">
      <c r="C1700" s="5"/>
      <c r="D1700" s="5"/>
    </row>
    <row r="1701">
      <c r="C1701" s="5"/>
      <c r="D1701" s="5"/>
    </row>
    <row r="1702">
      <c r="C1702" s="5"/>
      <c r="D1702" s="5"/>
    </row>
    <row r="1703">
      <c r="C1703" s="5"/>
      <c r="D1703" s="5"/>
    </row>
    <row r="1704">
      <c r="C1704" s="5"/>
      <c r="D1704" s="5"/>
    </row>
    <row r="1705">
      <c r="C1705" s="5"/>
      <c r="D1705" s="5"/>
    </row>
    <row r="1706">
      <c r="C1706" s="5"/>
      <c r="D1706" s="5"/>
    </row>
    <row r="1707">
      <c r="C1707" s="5"/>
      <c r="D1707" s="5"/>
    </row>
    <row r="1708">
      <c r="C1708" s="5"/>
      <c r="D1708" s="5"/>
    </row>
    <row r="1709">
      <c r="C1709" s="5"/>
      <c r="D1709" s="5"/>
    </row>
    <row r="1710">
      <c r="C1710" s="5"/>
      <c r="D1710" s="5"/>
    </row>
    <row r="1711">
      <c r="C1711" s="5"/>
      <c r="D1711" s="5"/>
    </row>
    <row r="1712">
      <c r="C1712" s="5"/>
      <c r="D1712" s="5"/>
    </row>
    <row r="1713">
      <c r="C1713" s="5"/>
      <c r="D1713" s="5"/>
    </row>
    <row r="1714">
      <c r="C1714" s="5"/>
      <c r="D1714" s="5"/>
    </row>
    <row r="1715">
      <c r="C1715" s="5"/>
      <c r="D1715" s="5"/>
    </row>
    <row r="1716">
      <c r="C1716" s="5"/>
      <c r="D1716" s="5"/>
    </row>
    <row r="1717">
      <c r="C1717" s="5"/>
      <c r="D1717" s="5"/>
    </row>
    <row r="1718">
      <c r="C1718" s="5"/>
      <c r="D1718" s="5"/>
    </row>
    <row r="1719">
      <c r="C1719" s="5"/>
      <c r="D1719" s="5"/>
    </row>
    <row r="1720">
      <c r="C1720" s="5"/>
      <c r="D1720" s="5"/>
    </row>
    <row r="1721">
      <c r="C1721" s="5"/>
      <c r="D1721" s="5"/>
    </row>
    <row r="1722">
      <c r="C1722" s="5"/>
      <c r="D1722" s="5"/>
    </row>
    <row r="1723">
      <c r="C1723" s="5"/>
      <c r="D1723" s="5"/>
    </row>
    <row r="1724">
      <c r="C1724" s="5"/>
      <c r="D1724" s="5"/>
    </row>
    <row r="1725">
      <c r="C1725" s="5"/>
      <c r="D1725" s="5"/>
    </row>
    <row r="1726">
      <c r="C1726" s="5"/>
      <c r="D1726" s="5"/>
    </row>
    <row r="1727">
      <c r="C1727" s="5"/>
      <c r="D1727" s="5"/>
    </row>
    <row r="1728">
      <c r="C1728" s="5"/>
      <c r="D1728" s="5"/>
    </row>
    <row r="1729">
      <c r="C1729" s="5"/>
      <c r="D1729" s="5"/>
    </row>
    <row r="1730">
      <c r="C1730" s="5"/>
      <c r="D1730" s="5"/>
    </row>
    <row r="1731">
      <c r="C1731" s="5"/>
      <c r="D1731" s="5"/>
    </row>
    <row r="1732">
      <c r="C1732" s="5"/>
      <c r="D1732" s="5"/>
    </row>
    <row r="1733">
      <c r="C1733" s="5"/>
      <c r="D1733" s="5"/>
    </row>
    <row r="1734">
      <c r="C1734" s="5"/>
      <c r="D1734" s="5"/>
    </row>
    <row r="1735">
      <c r="C1735" s="5"/>
      <c r="D1735" s="5"/>
    </row>
    <row r="1736">
      <c r="C1736" s="5"/>
      <c r="D1736" s="5"/>
    </row>
    <row r="1737">
      <c r="C1737" s="5"/>
      <c r="D1737" s="5"/>
    </row>
    <row r="1738">
      <c r="C1738" s="5"/>
      <c r="D1738" s="5"/>
    </row>
    <row r="1739">
      <c r="C1739" s="5"/>
      <c r="D1739" s="5"/>
    </row>
    <row r="1740">
      <c r="C1740" s="5"/>
      <c r="D1740" s="5"/>
    </row>
    <row r="1741">
      <c r="C1741" s="5"/>
      <c r="D1741" s="5"/>
    </row>
    <row r="1742">
      <c r="C1742" s="5"/>
      <c r="D1742" s="5"/>
    </row>
    <row r="1743">
      <c r="C1743" s="5"/>
      <c r="D1743" s="5"/>
    </row>
    <row r="1744">
      <c r="C1744" s="5"/>
      <c r="D1744" s="5"/>
    </row>
    <row r="1745">
      <c r="C1745" s="5"/>
      <c r="D1745" s="5"/>
    </row>
    <row r="1746">
      <c r="C1746" s="5"/>
      <c r="D1746" s="5"/>
    </row>
    <row r="1747">
      <c r="C1747" s="5"/>
      <c r="D1747" s="5"/>
    </row>
    <row r="1748">
      <c r="C1748" s="5"/>
      <c r="D1748" s="5"/>
    </row>
    <row r="1749">
      <c r="C1749" s="5"/>
      <c r="D1749" s="5"/>
    </row>
    <row r="1750">
      <c r="C1750" s="5"/>
      <c r="D1750" s="5"/>
    </row>
    <row r="1751">
      <c r="C1751" s="5"/>
      <c r="D1751" s="5"/>
    </row>
    <row r="1752">
      <c r="C1752" s="5"/>
      <c r="D1752" s="5"/>
    </row>
    <row r="1753">
      <c r="C1753" s="5"/>
      <c r="D1753" s="5"/>
    </row>
    <row r="1754">
      <c r="C1754" s="5"/>
      <c r="D1754" s="5"/>
    </row>
    <row r="1755">
      <c r="C1755" s="5"/>
      <c r="D1755" s="5"/>
    </row>
    <row r="1756">
      <c r="C1756" s="5"/>
      <c r="D1756" s="5"/>
    </row>
    <row r="1757">
      <c r="C1757" s="5"/>
      <c r="D1757" s="5"/>
    </row>
    <row r="1758">
      <c r="C1758" s="5"/>
      <c r="D1758" s="5"/>
    </row>
    <row r="1759">
      <c r="C1759" s="5"/>
      <c r="D1759" s="5"/>
    </row>
    <row r="1760">
      <c r="C1760" s="5"/>
      <c r="D1760" s="5"/>
    </row>
    <row r="1761">
      <c r="C1761" s="5"/>
      <c r="D1761" s="5"/>
    </row>
    <row r="1762">
      <c r="C1762" s="5"/>
      <c r="D1762" s="5"/>
    </row>
    <row r="1763">
      <c r="C1763" s="5"/>
      <c r="D1763" s="5"/>
    </row>
    <row r="1764">
      <c r="C1764" s="5"/>
      <c r="D1764" s="5"/>
    </row>
    <row r="1765">
      <c r="C1765" s="5"/>
      <c r="D1765" s="5"/>
    </row>
    <row r="1766">
      <c r="C1766" s="5"/>
      <c r="D1766" s="5"/>
    </row>
    <row r="1767">
      <c r="C1767" s="5"/>
      <c r="D1767" s="5"/>
    </row>
    <row r="1768">
      <c r="C1768" s="5"/>
      <c r="D1768" s="5"/>
    </row>
    <row r="1769">
      <c r="C1769" s="5"/>
      <c r="D1769" s="5"/>
    </row>
    <row r="1770">
      <c r="C1770" s="5"/>
      <c r="D1770" s="5"/>
    </row>
    <row r="1771">
      <c r="C1771" s="5"/>
      <c r="D1771" s="5"/>
    </row>
    <row r="1772">
      <c r="C1772" s="5"/>
      <c r="D1772" s="5"/>
    </row>
    <row r="1773">
      <c r="C1773" s="5"/>
      <c r="D1773" s="5"/>
    </row>
    <row r="1774">
      <c r="C1774" s="5"/>
      <c r="D1774" s="5"/>
    </row>
    <row r="1775">
      <c r="C1775" s="5"/>
      <c r="D1775" s="5"/>
    </row>
    <row r="1776">
      <c r="C1776" s="5"/>
      <c r="D1776" s="5"/>
    </row>
    <row r="1777">
      <c r="C1777" s="5"/>
      <c r="D1777" s="5"/>
    </row>
    <row r="1778">
      <c r="C1778" s="5"/>
      <c r="D1778" s="5"/>
    </row>
    <row r="1779">
      <c r="C1779" s="5"/>
      <c r="D1779" s="5"/>
    </row>
    <row r="1780">
      <c r="C1780" s="5"/>
      <c r="D1780" s="5"/>
    </row>
    <row r="1781">
      <c r="C1781" s="5"/>
      <c r="D1781" s="5"/>
    </row>
    <row r="1782">
      <c r="C1782" s="5"/>
      <c r="D1782" s="5"/>
    </row>
    <row r="1783">
      <c r="C1783" s="5"/>
      <c r="D1783" s="5"/>
    </row>
    <row r="1784">
      <c r="C1784" s="5"/>
      <c r="D1784" s="5"/>
    </row>
    <row r="1785">
      <c r="C1785" s="5"/>
      <c r="D1785" s="5"/>
    </row>
    <row r="1786">
      <c r="C1786" s="5"/>
      <c r="D1786" s="5"/>
    </row>
    <row r="1787">
      <c r="C1787" s="5"/>
      <c r="D1787" s="5"/>
    </row>
    <row r="1788">
      <c r="C1788" s="5"/>
      <c r="D1788" s="5"/>
    </row>
    <row r="1789">
      <c r="C1789" s="5"/>
      <c r="D1789" s="5"/>
    </row>
    <row r="1790">
      <c r="C1790" s="5"/>
      <c r="D1790" s="5"/>
    </row>
    <row r="1791">
      <c r="C1791" s="5"/>
      <c r="D1791" s="5"/>
    </row>
    <row r="1792">
      <c r="C1792" s="5"/>
      <c r="D1792" s="5"/>
    </row>
    <row r="1793">
      <c r="C1793" s="5"/>
      <c r="D1793" s="5"/>
    </row>
    <row r="1794">
      <c r="C1794" s="5"/>
      <c r="D1794" s="5"/>
    </row>
    <row r="1795">
      <c r="C1795" s="5"/>
      <c r="D1795" s="5"/>
    </row>
    <row r="1796">
      <c r="C1796" s="5"/>
      <c r="D1796" s="5"/>
    </row>
    <row r="1797">
      <c r="C1797" s="5"/>
      <c r="D1797" s="5"/>
    </row>
    <row r="1798">
      <c r="C1798" s="5"/>
      <c r="D1798" s="5"/>
    </row>
    <row r="1799">
      <c r="C1799" s="5"/>
      <c r="D1799" s="5"/>
    </row>
    <row r="1800">
      <c r="C1800" s="5"/>
      <c r="D1800" s="5"/>
    </row>
    <row r="1801">
      <c r="C1801" s="5"/>
      <c r="D1801" s="5"/>
    </row>
    <row r="1802">
      <c r="C1802" s="5"/>
      <c r="D1802" s="5"/>
    </row>
    <row r="1803">
      <c r="C1803" s="5"/>
      <c r="D1803" s="5"/>
    </row>
    <row r="1804">
      <c r="C1804" s="5"/>
      <c r="D1804" s="5"/>
    </row>
    <row r="1805">
      <c r="C1805" s="5"/>
      <c r="D1805" s="5"/>
    </row>
    <row r="1806">
      <c r="C1806" s="5"/>
      <c r="D1806" s="5"/>
    </row>
    <row r="1807">
      <c r="C1807" s="5"/>
      <c r="D1807" s="5"/>
    </row>
    <row r="1808">
      <c r="C1808" s="5"/>
      <c r="D1808" s="5"/>
    </row>
    <row r="1809">
      <c r="C1809" s="5"/>
      <c r="D1809" s="5"/>
    </row>
    <row r="1810">
      <c r="C1810" s="5"/>
      <c r="D1810" s="5"/>
    </row>
    <row r="1811">
      <c r="C1811" s="5"/>
      <c r="D1811" s="5"/>
    </row>
    <row r="1812">
      <c r="C1812" s="5"/>
      <c r="D1812" s="5"/>
    </row>
    <row r="1813">
      <c r="C1813" s="5"/>
      <c r="D1813" s="5"/>
    </row>
    <row r="1814">
      <c r="C1814" s="5"/>
      <c r="D1814" s="5"/>
    </row>
    <row r="1815">
      <c r="C1815" s="5"/>
      <c r="D1815" s="5"/>
    </row>
    <row r="1816">
      <c r="C1816" s="5"/>
      <c r="D1816" s="5"/>
    </row>
    <row r="1817">
      <c r="C1817" s="5"/>
      <c r="D1817" s="5"/>
    </row>
    <row r="1818">
      <c r="C1818" s="5"/>
      <c r="D1818" s="5"/>
    </row>
    <row r="1819">
      <c r="C1819" s="5"/>
      <c r="D1819" s="5"/>
    </row>
    <row r="1820">
      <c r="C1820" s="5"/>
      <c r="D1820" s="5"/>
    </row>
    <row r="1821">
      <c r="C1821" s="5"/>
      <c r="D1821" s="5"/>
    </row>
    <row r="1822">
      <c r="C1822" s="5"/>
      <c r="D1822" s="5"/>
    </row>
    <row r="1823">
      <c r="C1823" s="5"/>
      <c r="D1823" s="5"/>
    </row>
    <row r="1824">
      <c r="C1824" s="5"/>
      <c r="D1824" s="5"/>
    </row>
    <row r="1825">
      <c r="C1825" s="5"/>
      <c r="D1825" s="5"/>
    </row>
    <row r="1826">
      <c r="C1826" s="5"/>
      <c r="D1826" s="5"/>
    </row>
    <row r="1827">
      <c r="C1827" s="5"/>
      <c r="D1827" s="5"/>
    </row>
    <row r="1828">
      <c r="C1828" s="5"/>
      <c r="D1828" s="5"/>
    </row>
    <row r="1829">
      <c r="C1829" s="5"/>
      <c r="D1829" s="5"/>
    </row>
    <row r="1830">
      <c r="C1830" s="5"/>
      <c r="D1830" s="5"/>
    </row>
    <row r="1831">
      <c r="C1831" s="5"/>
      <c r="D1831" s="5"/>
    </row>
    <row r="1832">
      <c r="C1832" s="5"/>
      <c r="D1832" s="5"/>
    </row>
    <row r="1833">
      <c r="C1833" s="5"/>
      <c r="D1833" s="5"/>
    </row>
    <row r="1834">
      <c r="C1834" s="5"/>
      <c r="D1834" s="5"/>
    </row>
    <row r="1835">
      <c r="C1835" s="5"/>
      <c r="D1835" s="5"/>
    </row>
    <row r="1836">
      <c r="C1836" s="5"/>
      <c r="D1836" s="5"/>
    </row>
    <row r="1837">
      <c r="C1837" s="5"/>
      <c r="D1837" s="5"/>
    </row>
    <row r="1838">
      <c r="C1838" s="5"/>
      <c r="D1838" s="5"/>
    </row>
    <row r="1839">
      <c r="C1839" s="5"/>
      <c r="D1839" s="5"/>
    </row>
    <row r="1840">
      <c r="C1840" s="5"/>
      <c r="D1840" s="5"/>
    </row>
    <row r="1841">
      <c r="C1841" s="5"/>
      <c r="D1841" s="5"/>
    </row>
    <row r="1842">
      <c r="C1842" s="5"/>
      <c r="D1842" s="5"/>
    </row>
    <row r="1843">
      <c r="C1843" s="5"/>
      <c r="D1843" s="5"/>
    </row>
    <row r="1844">
      <c r="C1844" s="5"/>
      <c r="D1844" s="5"/>
    </row>
    <row r="1845">
      <c r="C1845" s="5"/>
      <c r="D1845" s="5"/>
    </row>
    <row r="1846">
      <c r="C1846" s="5"/>
      <c r="D1846" s="5"/>
    </row>
    <row r="1847">
      <c r="C1847" s="5"/>
      <c r="D1847" s="5"/>
    </row>
    <row r="1848">
      <c r="C1848" s="5"/>
      <c r="D1848" s="5"/>
    </row>
    <row r="1849">
      <c r="C1849" s="5"/>
      <c r="D1849" s="5"/>
    </row>
    <row r="1850">
      <c r="C1850" s="5"/>
      <c r="D1850" s="5"/>
    </row>
    <row r="1851">
      <c r="C1851" s="5"/>
      <c r="D1851" s="5"/>
    </row>
    <row r="1852">
      <c r="C1852" s="5"/>
      <c r="D1852" s="5"/>
    </row>
    <row r="1853">
      <c r="C1853" s="5"/>
      <c r="D1853" s="5"/>
    </row>
    <row r="1854">
      <c r="C1854" s="5"/>
      <c r="D1854" s="5"/>
    </row>
    <row r="1855">
      <c r="C1855" s="5"/>
      <c r="D1855" s="5"/>
    </row>
    <row r="1856">
      <c r="C1856" s="5"/>
      <c r="D1856" s="5"/>
    </row>
    <row r="1857">
      <c r="C1857" s="5"/>
      <c r="D1857" s="5"/>
    </row>
    <row r="1858">
      <c r="C1858" s="5"/>
      <c r="D1858" s="5"/>
    </row>
    <row r="1859">
      <c r="C1859" s="5"/>
      <c r="D1859" s="5"/>
    </row>
    <row r="1860">
      <c r="C1860" s="5"/>
      <c r="D1860" s="5"/>
    </row>
    <row r="1861">
      <c r="C1861" s="5"/>
      <c r="D1861" s="5"/>
    </row>
    <row r="1862">
      <c r="C1862" s="5"/>
      <c r="D1862" s="5"/>
    </row>
    <row r="1863">
      <c r="C1863" s="5"/>
      <c r="D1863" s="5"/>
    </row>
    <row r="1864">
      <c r="C1864" s="5"/>
      <c r="D1864" s="5"/>
    </row>
    <row r="1865">
      <c r="C1865" s="5"/>
      <c r="D1865" s="5"/>
    </row>
    <row r="1866">
      <c r="C1866" s="5"/>
      <c r="D1866" s="5"/>
    </row>
    <row r="1867">
      <c r="C1867" s="5"/>
      <c r="D1867" s="5"/>
    </row>
    <row r="1868">
      <c r="C1868" s="5"/>
      <c r="D1868" s="5"/>
    </row>
    <row r="1869">
      <c r="C1869" s="5"/>
      <c r="D1869" s="5"/>
    </row>
    <row r="1870">
      <c r="C1870" s="5"/>
      <c r="D1870" s="5"/>
    </row>
    <row r="1871">
      <c r="C1871" s="5"/>
      <c r="D1871" s="5"/>
    </row>
    <row r="1872">
      <c r="C1872" s="5"/>
      <c r="D1872" s="5"/>
    </row>
    <row r="1873">
      <c r="C1873" s="5"/>
      <c r="D1873" s="5"/>
    </row>
    <row r="1874">
      <c r="C1874" s="5"/>
      <c r="D1874" s="5"/>
    </row>
    <row r="1875">
      <c r="C1875" s="5"/>
      <c r="D1875" s="5"/>
    </row>
    <row r="1876">
      <c r="C1876" s="5"/>
      <c r="D1876" s="5"/>
    </row>
    <row r="1877">
      <c r="C1877" s="5"/>
      <c r="D1877" s="5"/>
    </row>
    <row r="1878">
      <c r="C1878" s="5"/>
      <c r="D1878" s="5"/>
    </row>
    <row r="1879">
      <c r="C1879" s="5"/>
      <c r="D1879" s="5"/>
    </row>
    <row r="1880">
      <c r="C1880" s="5"/>
      <c r="D1880" s="5"/>
    </row>
    <row r="1881">
      <c r="C1881" s="5"/>
      <c r="D1881" s="5"/>
    </row>
    <row r="1882">
      <c r="C1882" s="5"/>
      <c r="D1882" s="5"/>
    </row>
    <row r="1883">
      <c r="C1883" s="5"/>
      <c r="D1883" s="5"/>
    </row>
    <row r="1884">
      <c r="C1884" s="5"/>
      <c r="D1884" s="5"/>
    </row>
    <row r="1885">
      <c r="C1885" s="5"/>
      <c r="D1885" s="5"/>
    </row>
    <row r="1886">
      <c r="C1886" s="5"/>
      <c r="D1886" s="5"/>
    </row>
    <row r="1887">
      <c r="C1887" s="5"/>
      <c r="D1887" s="5"/>
    </row>
    <row r="1888">
      <c r="C1888" s="5"/>
      <c r="D1888" s="5"/>
    </row>
    <row r="1889">
      <c r="C1889" s="5"/>
      <c r="D1889" s="5"/>
    </row>
    <row r="1890">
      <c r="C1890" s="5"/>
      <c r="D1890" s="5"/>
    </row>
    <row r="1891">
      <c r="C1891" s="5"/>
      <c r="D1891" s="5"/>
    </row>
    <row r="1892">
      <c r="C1892" s="5"/>
      <c r="D1892" s="5"/>
    </row>
    <row r="1893">
      <c r="C1893" s="5"/>
      <c r="D1893" s="5"/>
    </row>
    <row r="1894">
      <c r="C1894" s="5"/>
      <c r="D1894" s="5"/>
    </row>
    <row r="1895">
      <c r="C1895" s="5"/>
      <c r="D1895" s="5"/>
    </row>
    <row r="1896">
      <c r="C1896" s="5"/>
      <c r="D1896" s="5"/>
    </row>
    <row r="1897">
      <c r="C1897" s="5"/>
      <c r="D1897" s="5"/>
    </row>
    <row r="1898">
      <c r="C1898" s="5"/>
      <c r="D1898" s="5"/>
    </row>
    <row r="1899">
      <c r="C1899" s="5"/>
      <c r="D1899" s="5"/>
    </row>
    <row r="1900">
      <c r="C1900" s="5"/>
      <c r="D1900" s="5"/>
    </row>
    <row r="1901">
      <c r="C1901" s="5"/>
      <c r="D1901" s="5"/>
    </row>
    <row r="1902">
      <c r="C1902" s="5"/>
      <c r="D1902" s="5"/>
    </row>
    <row r="1903">
      <c r="C1903" s="5"/>
      <c r="D1903" s="5"/>
    </row>
    <row r="1904">
      <c r="C1904" s="5"/>
      <c r="D1904" s="5"/>
    </row>
    <row r="1905">
      <c r="C1905" s="5"/>
      <c r="D1905" s="5"/>
    </row>
    <row r="1906">
      <c r="C1906" s="5"/>
      <c r="D1906" s="5"/>
    </row>
    <row r="1907">
      <c r="C1907" s="5"/>
      <c r="D1907" s="5"/>
    </row>
    <row r="1908">
      <c r="C1908" s="5"/>
      <c r="D1908" s="5"/>
    </row>
    <row r="1909">
      <c r="C1909" s="5"/>
      <c r="D1909" s="5"/>
    </row>
    <row r="1910">
      <c r="C1910" s="5"/>
      <c r="D1910" s="5"/>
    </row>
    <row r="1911">
      <c r="C1911" s="5"/>
      <c r="D1911" s="5"/>
    </row>
    <row r="1912">
      <c r="C1912" s="5"/>
      <c r="D1912" s="5"/>
    </row>
    <row r="1913">
      <c r="C1913" s="5"/>
      <c r="D1913" s="5"/>
    </row>
    <row r="1914">
      <c r="C1914" s="5"/>
      <c r="D1914" s="5"/>
    </row>
    <row r="1915">
      <c r="C1915" s="5"/>
      <c r="D1915" s="5"/>
    </row>
    <row r="1916">
      <c r="C1916" s="5"/>
      <c r="D1916" s="5"/>
    </row>
    <row r="1917">
      <c r="C1917" s="5"/>
      <c r="D1917" s="5"/>
    </row>
    <row r="1918">
      <c r="C1918" s="5"/>
      <c r="D1918" s="5"/>
    </row>
    <row r="1919">
      <c r="C1919" s="5"/>
      <c r="D1919" s="5"/>
    </row>
    <row r="1920">
      <c r="C1920" s="5"/>
      <c r="D1920" s="5"/>
    </row>
    <row r="1921">
      <c r="C1921" s="5"/>
      <c r="D1921" s="5"/>
    </row>
    <row r="1922">
      <c r="C1922" s="5"/>
      <c r="D1922" s="5"/>
    </row>
    <row r="1923">
      <c r="C1923" s="5"/>
      <c r="D1923" s="5"/>
    </row>
    <row r="1924">
      <c r="C1924" s="5"/>
      <c r="D1924" s="5"/>
    </row>
    <row r="1925">
      <c r="C1925" s="5"/>
      <c r="D1925" s="5"/>
    </row>
    <row r="1926">
      <c r="C1926" s="5"/>
      <c r="D1926" s="5"/>
    </row>
    <row r="1927">
      <c r="C1927" s="5"/>
      <c r="D1927" s="5"/>
    </row>
    <row r="1928">
      <c r="C1928" s="5"/>
      <c r="D1928" s="5"/>
    </row>
    <row r="1929">
      <c r="C1929" s="5"/>
      <c r="D1929" s="5"/>
    </row>
    <row r="1930">
      <c r="C1930" s="5"/>
      <c r="D1930" s="5"/>
    </row>
    <row r="1931">
      <c r="C1931" s="5"/>
      <c r="D1931" s="5"/>
    </row>
    <row r="1932">
      <c r="C1932" s="5"/>
      <c r="D1932" s="5"/>
    </row>
    <row r="1933">
      <c r="C1933" s="5"/>
      <c r="D1933" s="5"/>
    </row>
    <row r="1934">
      <c r="C1934" s="5"/>
      <c r="D1934" s="5"/>
    </row>
    <row r="1935">
      <c r="C1935" s="5"/>
      <c r="D1935" s="5"/>
    </row>
    <row r="1936">
      <c r="C1936" s="5"/>
      <c r="D1936" s="5"/>
    </row>
    <row r="1937">
      <c r="C1937" s="5"/>
      <c r="D1937" s="5"/>
    </row>
    <row r="1938">
      <c r="C1938" s="5"/>
      <c r="D1938" s="5"/>
    </row>
    <row r="1939">
      <c r="C1939" s="5"/>
      <c r="D1939" s="5"/>
    </row>
    <row r="1940">
      <c r="C1940" s="5"/>
      <c r="D1940" s="5"/>
    </row>
    <row r="1941">
      <c r="C1941" s="5"/>
      <c r="D1941" s="5"/>
    </row>
    <row r="1942">
      <c r="C1942" s="5"/>
      <c r="D1942" s="5"/>
    </row>
    <row r="1943">
      <c r="C1943" s="5"/>
      <c r="D1943" s="5"/>
    </row>
    <row r="1944">
      <c r="C1944" s="5"/>
      <c r="D1944" s="5"/>
    </row>
    <row r="1945">
      <c r="C1945" s="5"/>
      <c r="D1945" s="5"/>
    </row>
    <row r="1946">
      <c r="C1946" s="5"/>
      <c r="D1946" s="5"/>
    </row>
    <row r="1947">
      <c r="C1947" s="5"/>
      <c r="D1947" s="5"/>
    </row>
    <row r="1948">
      <c r="C1948" s="5"/>
      <c r="D1948" s="5"/>
    </row>
    <row r="1949">
      <c r="C1949" s="5"/>
      <c r="D1949" s="5"/>
    </row>
    <row r="1950">
      <c r="C1950" s="5"/>
      <c r="D1950" s="5"/>
    </row>
    <row r="1951">
      <c r="C1951" s="5"/>
      <c r="D1951" s="5"/>
    </row>
    <row r="1952">
      <c r="C1952" s="5"/>
      <c r="D1952" s="5"/>
    </row>
    <row r="1953">
      <c r="C1953" s="5"/>
      <c r="D1953" s="5"/>
    </row>
    <row r="1954">
      <c r="C1954" s="5"/>
      <c r="D1954" s="5"/>
    </row>
    <row r="1955">
      <c r="C1955" s="5"/>
      <c r="D1955" s="5"/>
    </row>
    <row r="1956">
      <c r="C1956" s="5"/>
      <c r="D1956" s="5"/>
    </row>
    <row r="1957">
      <c r="C1957" s="5"/>
      <c r="D1957" s="5"/>
    </row>
    <row r="1958">
      <c r="C1958" s="5"/>
      <c r="D1958" s="5"/>
    </row>
    <row r="1959">
      <c r="C1959" s="5"/>
      <c r="D1959" s="5"/>
    </row>
    <row r="1960">
      <c r="C1960" s="5"/>
      <c r="D1960" s="5"/>
    </row>
    <row r="1961">
      <c r="C1961" s="5"/>
      <c r="D1961" s="5"/>
    </row>
    <row r="1962">
      <c r="C1962" s="5"/>
      <c r="D1962" s="5"/>
    </row>
    <row r="1963">
      <c r="C1963" s="5"/>
      <c r="D1963" s="5"/>
    </row>
    <row r="1964">
      <c r="C1964" s="5"/>
      <c r="D1964" s="5"/>
    </row>
    <row r="1965">
      <c r="C1965" s="5"/>
      <c r="D1965" s="5"/>
    </row>
    <row r="1966">
      <c r="C1966" s="5"/>
      <c r="D1966" s="5"/>
    </row>
    <row r="1967">
      <c r="C1967" s="5"/>
      <c r="D1967" s="5"/>
    </row>
    <row r="1968">
      <c r="C1968" s="5"/>
      <c r="D1968" s="5"/>
    </row>
    <row r="1969">
      <c r="C1969" s="5"/>
      <c r="D1969" s="5"/>
    </row>
    <row r="1970">
      <c r="C1970" s="5"/>
      <c r="D1970" s="5"/>
    </row>
    <row r="1971">
      <c r="C1971" s="5"/>
      <c r="D1971" s="5"/>
    </row>
    <row r="1972">
      <c r="C1972" s="5"/>
      <c r="D1972" s="5"/>
    </row>
    <row r="1973">
      <c r="C1973" s="5"/>
      <c r="D1973" s="5"/>
    </row>
    <row r="1974">
      <c r="C1974" s="5"/>
      <c r="D1974" s="5"/>
    </row>
    <row r="1975">
      <c r="C1975" s="5"/>
      <c r="D1975" s="5"/>
    </row>
    <row r="1976">
      <c r="C1976" s="5"/>
      <c r="D1976" s="5"/>
    </row>
    <row r="1977">
      <c r="C1977" s="5"/>
      <c r="D1977" s="5"/>
    </row>
    <row r="1978">
      <c r="C1978" s="5"/>
      <c r="D1978" s="5"/>
    </row>
    <row r="1979">
      <c r="C1979" s="5"/>
      <c r="D1979" s="5"/>
    </row>
    <row r="1980">
      <c r="C1980" s="5"/>
      <c r="D1980" s="5"/>
    </row>
    <row r="1981">
      <c r="C1981" s="5"/>
      <c r="D1981" s="5"/>
    </row>
    <row r="1982">
      <c r="C1982" s="5"/>
      <c r="D1982" s="5"/>
    </row>
    <row r="1983">
      <c r="C1983" s="5"/>
      <c r="D1983" s="5"/>
    </row>
    <row r="1984">
      <c r="C1984" s="5"/>
      <c r="D1984" s="5"/>
    </row>
    <row r="1985">
      <c r="C1985" s="5"/>
      <c r="D1985" s="5"/>
    </row>
    <row r="1986">
      <c r="C1986" s="5"/>
      <c r="D1986" s="5"/>
    </row>
    <row r="1987">
      <c r="C1987" s="5"/>
      <c r="D1987" s="5"/>
    </row>
    <row r="1988">
      <c r="C1988" s="5"/>
      <c r="D1988" s="5"/>
    </row>
    <row r="1989">
      <c r="C1989" s="5"/>
      <c r="D1989" s="5"/>
    </row>
    <row r="1990">
      <c r="C1990" s="5"/>
      <c r="D1990" s="5"/>
    </row>
    <row r="1991">
      <c r="C1991" s="5"/>
      <c r="D1991" s="5"/>
    </row>
    <row r="1992">
      <c r="C1992" s="5"/>
      <c r="D1992" s="5"/>
    </row>
    <row r="1993">
      <c r="C1993" s="5"/>
      <c r="D1993" s="5"/>
    </row>
    <row r="1994">
      <c r="C1994" s="5"/>
      <c r="D1994" s="5"/>
    </row>
    <row r="1995">
      <c r="C1995" s="5"/>
      <c r="D1995" s="5"/>
    </row>
    <row r="1996">
      <c r="C1996" s="5"/>
      <c r="D1996" s="5"/>
    </row>
    <row r="1997">
      <c r="C1997" s="5"/>
      <c r="D1997" s="5"/>
    </row>
    <row r="1998">
      <c r="C1998" s="5"/>
      <c r="D1998" s="5"/>
    </row>
    <row r="1999">
      <c r="C1999" s="5"/>
      <c r="D1999" s="5"/>
    </row>
    <row r="2000">
      <c r="C2000" s="5"/>
      <c r="D2000" s="5"/>
    </row>
    <row r="2001">
      <c r="C2001" s="5"/>
      <c r="D2001" s="5"/>
    </row>
    <row r="2002">
      <c r="C2002" s="5"/>
      <c r="D2002" s="5"/>
    </row>
    <row r="2003">
      <c r="C2003" s="5"/>
      <c r="D2003" s="5"/>
    </row>
    <row r="2004">
      <c r="C2004" s="5"/>
      <c r="D2004" s="5"/>
    </row>
    <row r="2005">
      <c r="C2005" s="5"/>
      <c r="D2005" s="5"/>
    </row>
    <row r="2006">
      <c r="C2006" s="5"/>
      <c r="D2006" s="5"/>
    </row>
    <row r="2007">
      <c r="C2007" s="5"/>
      <c r="D2007" s="5"/>
    </row>
    <row r="2008">
      <c r="C2008" s="5"/>
      <c r="D2008" s="5"/>
    </row>
    <row r="2009">
      <c r="C2009" s="5"/>
      <c r="D2009" s="5"/>
    </row>
    <row r="2010">
      <c r="C2010" s="5"/>
      <c r="D2010" s="5"/>
    </row>
    <row r="2011">
      <c r="C2011" s="5"/>
      <c r="D2011" s="5"/>
    </row>
    <row r="2012">
      <c r="C2012" s="5"/>
      <c r="D2012" s="5"/>
    </row>
    <row r="2013">
      <c r="C2013" s="5"/>
      <c r="D2013" s="5"/>
    </row>
    <row r="2014">
      <c r="C2014" s="5"/>
      <c r="D2014" s="5"/>
    </row>
    <row r="2015">
      <c r="C2015" s="5"/>
      <c r="D2015" s="5"/>
    </row>
    <row r="2016">
      <c r="C2016" s="5"/>
      <c r="D2016" s="5"/>
    </row>
    <row r="2017">
      <c r="C2017" s="5"/>
      <c r="D2017" s="5"/>
    </row>
    <row r="2018">
      <c r="C2018" s="5"/>
      <c r="D2018" s="5"/>
    </row>
    <row r="2019">
      <c r="C2019" s="5"/>
      <c r="D2019" s="5"/>
    </row>
    <row r="2020">
      <c r="C2020" s="5"/>
      <c r="D2020" s="5"/>
    </row>
    <row r="2021">
      <c r="C2021" s="5"/>
      <c r="D2021" s="5"/>
    </row>
    <row r="2022">
      <c r="C2022" s="5"/>
      <c r="D2022" s="5"/>
    </row>
    <row r="2023">
      <c r="C2023" s="5"/>
      <c r="D2023" s="5"/>
    </row>
    <row r="2024">
      <c r="C2024" s="5"/>
      <c r="D2024" s="5"/>
    </row>
    <row r="2025">
      <c r="C2025" s="5"/>
      <c r="D2025" s="5"/>
    </row>
    <row r="2026">
      <c r="C2026" s="5"/>
      <c r="D2026" s="5"/>
    </row>
    <row r="2027">
      <c r="C2027" s="5"/>
      <c r="D2027" s="5"/>
    </row>
    <row r="2028">
      <c r="C2028" s="5"/>
      <c r="D2028" s="5"/>
    </row>
    <row r="2029">
      <c r="C2029" s="5"/>
      <c r="D2029" s="5"/>
    </row>
    <row r="2030">
      <c r="C2030" s="5"/>
      <c r="D2030" s="5"/>
    </row>
    <row r="2031">
      <c r="C2031" s="5"/>
      <c r="D2031" s="5"/>
    </row>
    <row r="2032">
      <c r="C2032" s="5"/>
      <c r="D2032" s="5"/>
    </row>
    <row r="2033">
      <c r="C2033" s="5"/>
      <c r="D2033" s="5"/>
    </row>
    <row r="2034">
      <c r="C2034" s="5"/>
      <c r="D2034" s="5"/>
    </row>
    <row r="2035">
      <c r="C2035" s="5"/>
      <c r="D2035" s="5"/>
    </row>
    <row r="2036">
      <c r="C2036" s="5"/>
      <c r="D2036" s="5"/>
    </row>
    <row r="2037">
      <c r="C2037" s="5"/>
      <c r="D2037" s="5"/>
    </row>
    <row r="2038">
      <c r="C2038" s="5"/>
      <c r="D2038" s="5"/>
    </row>
    <row r="2039">
      <c r="C2039" s="5"/>
      <c r="D2039" s="5"/>
    </row>
    <row r="2040">
      <c r="C2040" s="5"/>
      <c r="D2040" s="5"/>
    </row>
    <row r="2041">
      <c r="C2041" s="5"/>
      <c r="D2041" s="5"/>
    </row>
    <row r="2042">
      <c r="C2042" s="5"/>
      <c r="D2042" s="5"/>
    </row>
    <row r="2043">
      <c r="C2043" s="5"/>
      <c r="D2043" s="5"/>
    </row>
    <row r="2044">
      <c r="C2044" s="5"/>
      <c r="D2044" s="5"/>
    </row>
    <row r="2045">
      <c r="C2045" s="5"/>
      <c r="D2045" s="5"/>
    </row>
    <row r="2046">
      <c r="C2046" s="5"/>
      <c r="D2046" s="5"/>
    </row>
    <row r="2047">
      <c r="C2047" s="5"/>
      <c r="D2047" s="5"/>
    </row>
    <row r="2048">
      <c r="C2048" s="5"/>
      <c r="D2048" s="5"/>
    </row>
    <row r="2049">
      <c r="C2049" s="5"/>
      <c r="D2049" s="5"/>
    </row>
    <row r="2050">
      <c r="C2050" s="5"/>
      <c r="D2050" s="5"/>
    </row>
    <row r="2051">
      <c r="C2051" s="5"/>
      <c r="D2051" s="5"/>
    </row>
    <row r="2052">
      <c r="C2052" s="5"/>
      <c r="D2052" s="5"/>
    </row>
    <row r="2053">
      <c r="C2053" s="5"/>
      <c r="D2053" s="5"/>
    </row>
    <row r="2054">
      <c r="C2054" s="5"/>
      <c r="D2054" s="5"/>
    </row>
    <row r="2055">
      <c r="C2055" s="5"/>
      <c r="D2055" s="5"/>
    </row>
    <row r="2056">
      <c r="C2056" s="5"/>
      <c r="D2056" s="5"/>
    </row>
    <row r="2057">
      <c r="C2057" s="5"/>
      <c r="D2057" s="5"/>
    </row>
    <row r="2058">
      <c r="C2058" s="5"/>
      <c r="D2058" s="5"/>
    </row>
    <row r="2059">
      <c r="C2059" s="5"/>
      <c r="D2059" s="5"/>
    </row>
    <row r="2060">
      <c r="C2060" s="5"/>
      <c r="D2060" s="5"/>
    </row>
    <row r="2061">
      <c r="C2061" s="5"/>
      <c r="D2061" s="5"/>
    </row>
    <row r="2062">
      <c r="C2062" s="5"/>
      <c r="D2062" s="5"/>
    </row>
    <row r="2063">
      <c r="C2063" s="5"/>
      <c r="D2063" s="5"/>
    </row>
    <row r="2064">
      <c r="C2064" s="5"/>
      <c r="D2064" s="5"/>
    </row>
    <row r="2065">
      <c r="C2065" s="5"/>
      <c r="D2065" s="5"/>
    </row>
    <row r="2066">
      <c r="C2066" s="5"/>
      <c r="D2066" s="5"/>
    </row>
    <row r="2067">
      <c r="C2067" s="5"/>
      <c r="D2067" s="5"/>
    </row>
    <row r="2068">
      <c r="C2068" s="5"/>
      <c r="D2068" s="5"/>
    </row>
    <row r="2069">
      <c r="C2069" s="5"/>
      <c r="D2069" s="5"/>
    </row>
    <row r="2070">
      <c r="C2070" s="5"/>
      <c r="D2070" s="5"/>
    </row>
    <row r="2071">
      <c r="C2071" s="5"/>
      <c r="D2071" s="5"/>
    </row>
    <row r="2072">
      <c r="C2072" s="5"/>
      <c r="D2072" s="5"/>
    </row>
    <row r="2073">
      <c r="C2073" s="5"/>
      <c r="D2073" s="5"/>
    </row>
    <row r="2074">
      <c r="C2074" s="5"/>
      <c r="D2074" s="5"/>
    </row>
    <row r="2075">
      <c r="C2075" s="5"/>
      <c r="D2075" s="5"/>
    </row>
    <row r="2076">
      <c r="C2076" s="5"/>
      <c r="D2076" s="5"/>
    </row>
    <row r="2077">
      <c r="C2077" s="5"/>
      <c r="D2077" s="5"/>
    </row>
    <row r="2078">
      <c r="C2078" s="5"/>
      <c r="D2078" s="5"/>
    </row>
    <row r="2079">
      <c r="C2079" s="5"/>
      <c r="D2079" s="5"/>
    </row>
    <row r="2080">
      <c r="C2080" s="5"/>
      <c r="D2080" s="5"/>
    </row>
    <row r="2081">
      <c r="C2081" s="5"/>
      <c r="D2081" s="5"/>
    </row>
    <row r="2082">
      <c r="C2082" s="5"/>
      <c r="D2082" s="5"/>
    </row>
    <row r="2083">
      <c r="C2083" s="5"/>
      <c r="D2083" s="5"/>
    </row>
    <row r="2084">
      <c r="C2084" s="5"/>
      <c r="D2084" s="5"/>
    </row>
    <row r="2085">
      <c r="C2085" s="5"/>
      <c r="D2085" s="5"/>
    </row>
    <row r="2086">
      <c r="C2086" s="5"/>
      <c r="D2086" s="5"/>
    </row>
    <row r="2087">
      <c r="C2087" s="5"/>
      <c r="D2087" s="5"/>
    </row>
    <row r="2088">
      <c r="C2088" s="5"/>
      <c r="D2088" s="5"/>
    </row>
    <row r="2089">
      <c r="C2089" s="5"/>
      <c r="D2089" s="5"/>
    </row>
    <row r="2090">
      <c r="C2090" s="5"/>
      <c r="D2090" s="5"/>
    </row>
    <row r="2091">
      <c r="C2091" s="5"/>
      <c r="D2091" s="5"/>
    </row>
    <row r="2092">
      <c r="C2092" s="5"/>
      <c r="D2092" s="5"/>
    </row>
    <row r="2093">
      <c r="C2093" s="5"/>
      <c r="D2093" s="5"/>
    </row>
    <row r="2094">
      <c r="C2094" s="5"/>
      <c r="D2094" s="5"/>
    </row>
    <row r="2095">
      <c r="C2095" s="5"/>
      <c r="D2095" s="5"/>
    </row>
    <row r="2096">
      <c r="C2096" s="5"/>
      <c r="D2096" s="5"/>
    </row>
    <row r="2097">
      <c r="C2097" s="5"/>
      <c r="D2097" s="5"/>
    </row>
    <row r="2098">
      <c r="C2098" s="5"/>
      <c r="D2098" s="5"/>
    </row>
    <row r="2099">
      <c r="C2099" s="5"/>
      <c r="D2099" s="5"/>
    </row>
    <row r="2100">
      <c r="C2100" s="5"/>
      <c r="D2100" s="5"/>
    </row>
    <row r="2101">
      <c r="C2101" s="5"/>
      <c r="D2101" s="5"/>
    </row>
    <row r="2102">
      <c r="C2102" s="5"/>
      <c r="D2102" s="5"/>
    </row>
    <row r="2103">
      <c r="C2103" s="5"/>
      <c r="D2103" s="5"/>
    </row>
    <row r="2104">
      <c r="C2104" s="5"/>
      <c r="D2104" s="5"/>
    </row>
    <row r="2105">
      <c r="C2105" s="5"/>
      <c r="D2105" s="5"/>
    </row>
    <row r="2106">
      <c r="C2106" s="5"/>
      <c r="D2106" s="5"/>
    </row>
    <row r="2107">
      <c r="C2107" s="5"/>
      <c r="D2107" s="5"/>
    </row>
    <row r="2108">
      <c r="C2108" s="5"/>
      <c r="D2108" s="5"/>
    </row>
    <row r="2109">
      <c r="C2109" s="5"/>
      <c r="D2109" s="5"/>
    </row>
    <row r="2110">
      <c r="C2110" s="5"/>
      <c r="D2110" s="5"/>
    </row>
    <row r="2111">
      <c r="C2111" s="5"/>
      <c r="D2111" s="5"/>
    </row>
    <row r="2112">
      <c r="C2112" s="5"/>
      <c r="D2112" s="5"/>
    </row>
    <row r="2113">
      <c r="C2113" s="5"/>
      <c r="D2113" s="5"/>
    </row>
    <row r="2114">
      <c r="C2114" s="5"/>
      <c r="D2114" s="5"/>
    </row>
    <row r="2115">
      <c r="C2115" s="5"/>
      <c r="D2115" s="5"/>
    </row>
    <row r="2116">
      <c r="C2116" s="5"/>
      <c r="D2116" s="5"/>
    </row>
    <row r="2117">
      <c r="C2117" s="5"/>
      <c r="D2117" s="5"/>
    </row>
    <row r="2118">
      <c r="C2118" s="5"/>
      <c r="D2118" s="5"/>
    </row>
    <row r="2119">
      <c r="C2119" s="5"/>
      <c r="D2119" s="5"/>
    </row>
    <row r="2120">
      <c r="C2120" s="5"/>
      <c r="D2120" s="5"/>
    </row>
    <row r="2121">
      <c r="C2121" s="5"/>
      <c r="D2121" s="5"/>
    </row>
    <row r="2122">
      <c r="C2122" s="5"/>
      <c r="D2122" s="5"/>
    </row>
    <row r="2123">
      <c r="C2123" s="5"/>
      <c r="D2123" s="5"/>
    </row>
    <row r="2124">
      <c r="C2124" s="5"/>
      <c r="D2124" s="5"/>
    </row>
    <row r="2125">
      <c r="C2125" s="5"/>
      <c r="D2125" s="5"/>
    </row>
    <row r="2126">
      <c r="C2126" s="5"/>
      <c r="D2126" s="5"/>
    </row>
    <row r="2127">
      <c r="C2127" s="5"/>
      <c r="D2127" s="5"/>
    </row>
    <row r="2128">
      <c r="C2128" s="5"/>
      <c r="D2128" s="5"/>
    </row>
    <row r="2129">
      <c r="C2129" s="5"/>
      <c r="D2129" s="5"/>
    </row>
    <row r="2130">
      <c r="C2130" s="5"/>
      <c r="D2130" s="5"/>
    </row>
    <row r="2131">
      <c r="C2131" s="5"/>
      <c r="D2131" s="5"/>
    </row>
    <row r="2132">
      <c r="C2132" s="5"/>
      <c r="D2132" s="5"/>
    </row>
    <row r="2133">
      <c r="C2133" s="5"/>
      <c r="D2133" s="5"/>
    </row>
    <row r="2134">
      <c r="C2134" s="5"/>
      <c r="D2134" s="5"/>
    </row>
    <row r="2135">
      <c r="C2135" s="5"/>
      <c r="D2135" s="5"/>
    </row>
    <row r="2136">
      <c r="C2136" s="5"/>
      <c r="D2136" s="5"/>
    </row>
    <row r="2137">
      <c r="C2137" s="5"/>
      <c r="D2137" s="5"/>
    </row>
    <row r="2138">
      <c r="C2138" s="5"/>
      <c r="D2138" s="5"/>
    </row>
    <row r="2139">
      <c r="C2139" s="5"/>
      <c r="D2139" s="5"/>
    </row>
    <row r="2140">
      <c r="C2140" s="5"/>
      <c r="D2140" s="5"/>
    </row>
    <row r="2141">
      <c r="C2141" s="5"/>
      <c r="D2141" s="5"/>
    </row>
    <row r="2142">
      <c r="C2142" s="5"/>
      <c r="D2142" s="5"/>
    </row>
    <row r="2143">
      <c r="C2143" s="5"/>
      <c r="D2143" s="5"/>
    </row>
    <row r="2144">
      <c r="C2144" s="5"/>
      <c r="D2144" s="5"/>
    </row>
    <row r="2145">
      <c r="C2145" s="5"/>
      <c r="D2145" s="5"/>
    </row>
    <row r="2146">
      <c r="C2146" s="5"/>
      <c r="D2146" s="5"/>
    </row>
    <row r="2147">
      <c r="C2147" s="5"/>
      <c r="D2147" s="5"/>
    </row>
    <row r="2148">
      <c r="C2148" s="5"/>
      <c r="D2148" s="5"/>
    </row>
    <row r="2149">
      <c r="C2149" s="5"/>
      <c r="D2149" s="5"/>
    </row>
    <row r="2150">
      <c r="C2150" s="5"/>
      <c r="D2150" s="5"/>
    </row>
    <row r="2151">
      <c r="C2151" s="5"/>
      <c r="D2151" s="5"/>
    </row>
    <row r="2152">
      <c r="C2152" s="5"/>
      <c r="D2152" s="5"/>
    </row>
    <row r="2153">
      <c r="C2153" s="5"/>
      <c r="D2153" s="5"/>
    </row>
    <row r="2154">
      <c r="C2154" s="5"/>
      <c r="D2154" s="5"/>
    </row>
    <row r="2155">
      <c r="C2155" s="5"/>
      <c r="D2155" s="5"/>
    </row>
    <row r="2156">
      <c r="C2156" s="5"/>
      <c r="D2156" s="5"/>
    </row>
    <row r="2157">
      <c r="C2157" s="5"/>
      <c r="D2157" s="5"/>
    </row>
    <row r="2158">
      <c r="C2158" s="5"/>
      <c r="D2158" s="5"/>
    </row>
    <row r="2159">
      <c r="C2159" s="5"/>
      <c r="D2159" s="5"/>
    </row>
    <row r="2160">
      <c r="C2160" s="5"/>
      <c r="D2160" s="5"/>
    </row>
    <row r="2161">
      <c r="C2161" s="5"/>
      <c r="D2161" s="5"/>
    </row>
    <row r="2162">
      <c r="C2162" s="5"/>
      <c r="D2162" s="5"/>
    </row>
    <row r="2163">
      <c r="C2163" s="5"/>
      <c r="D2163" s="5"/>
    </row>
    <row r="2164">
      <c r="C2164" s="5"/>
      <c r="D2164" s="5"/>
    </row>
    <row r="2165">
      <c r="C2165" s="5"/>
      <c r="D2165" s="5"/>
    </row>
    <row r="2166">
      <c r="C2166" s="5"/>
      <c r="D2166" s="5"/>
    </row>
    <row r="2167">
      <c r="C2167" s="5"/>
      <c r="D2167" s="5"/>
    </row>
    <row r="2168">
      <c r="C2168" s="5"/>
      <c r="D2168" s="5"/>
    </row>
    <row r="2169">
      <c r="C2169" s="5"/>
      <c r="D2169" s="5"/>
    </row>
    <row r="2170">
      <c r="C2170" s="5"/>
      <c r="D2170" s="5"/>
    </row>
    <row r="2171">
      <c r="C2171" s="5"/>
      <c r="D2171" s="5"/>
    </row>
    <row r="2172">
      <c r="C2172" s="5"/>
      <c r="D2172" s="5"/>
    </row>
    <row r="2173">
      <c r="C2173" s="5"/>
      <c r="D2173" s="5"/>
    </row>
    <row r="2174">
      <c r="C2174" s="5"/>
      <c r="D2174" s="5"/>
    </row>
    <row r="2175">
      <c r="C2175" s="5"/>
      <c r="D2175" s="5"/>
    </row>
    <row r="2176">
      <c r="C2176" s="5"/>
      <c r="D2176" s="5"/>
    </row>
    <row r="2177">
      <c r="C2177" s="5"/>
      <c r="D2177" s="5"/>
    </row>
    <row r="2178">
      <c r="C2178" s="5"/>
      <c r="D2178" s="5"/>
    </row>
    <row r="2179">
      <c r="C2179" s="5"/>
      <c r="D2179" s="5"/>
    </row>
    <row r="2180">
      <c r="C2180" s="5"/>
      <c r="D2180" s="5"/>
    </row>
    <row r="2181">
      <c r="C2181" s="5"/>
      <c r="D2181" s="5"/>
    </row>
    <row r="2182">
      <c r="C2182" s="5"/>
      <c r="D2182" s="5"/>
    </row>
    <row r="2183">
      <c r="C2183" s="5"/>
      <c r="D2183" s="5"/>
    </row>
    <row r="2184">
      <c r="C2184" s="5"/>
      <c r="D2184" s="5"/>
    </row>
    <row r="2185">
      <c r="C2185" s="5"/>
      <c r="D2185" s="5"/>
    </row>
    <row r="2186">
      <c r="C2186" s="5"/>
      <c r="D2186" s="5"/>
    </row>
    <row r="2187">
      <c r="C2187" s="5"/>
      <c r="D2187" s="5"/>
    </row>
    <row r="2188">
      <c r="C2188" s="5"/>
      <c r="D2188" s="5"/>
    </row>
    <row r="2189">
      <c r="C2189" s="5"/>
      <c r="D2189" s="5"/>
    </row>
    <row r="2190">
      <c r="C2190" s="5"/>
      <c r="D2190" s="5"/>
    </row>
    <row r="2191">
      <c r="C2191" s="5"/>
      <c r="D2191" s="5"/>
    </row>
    <row r="2192">
      <c r="C2192" s="5"/>
      <c r="D2192" s="5"/>
    </row>
    <row r="2193">
      <c r="C2193" s="5"/>
      <c r="D2193" s="5"/>
    </row>
    <row r="2194">
      <c r="C2194" s="5"/>
      <c r="D2194" s="5"/>
    </row>
    <row r="2195">
      <c r="C2195" s="5"/>
      <c r="D2195" s="5"/>
    </row>
    <row r="2196">
      <c r="C2196" s="5"/>
      <c r="D2196" s="5"/>
    </row>
    <row r="2197">
      <c r="C2197" s="5"/>
      <c r="D2197" s="5"/>
    </row>
    <row r="2198">
      <c r="C2198" s="5"/>
      <c r="D2198" s="5"/>
    </row>
    <row r="2199">
      <c r="C2199" s="5"/>
      <c r="D2199" s="5"/>
    </row>
    <row r="2200">
      <c r="C2200" s="5"/>
      <c r="D2200" s="5"/>
    </row>
    <row r="2201">
      <c r="C2201" s="5"/>
      <c r="D2201" s="5"/>
    </row>
    <row r="2202">
      <c r="C2202" s="5"/>
      <c r="D2202" s="5"/>
    </row>
    <row r="2203">
      <c r="C2203" s="5"/>
      <c r="D2203" s="5"/>
    </row>
    <row r="2204">
      <c r="C2204" s="5"/>
      <c r="D2204" s="5"/>
    </row>
    <row r="2205">
      <c r="C2205" s="5"/>
      <c r="D2205" s="5"/>
    </row>
    <row r="2206">
      <c r="C2206" s="5"/>
      <c r="D2206" s="5"/>
    </row>
    <row r="2207">
      <c r="C2207" s="5"/>
      <c r="D2207" s="5"/>
    </row>
    <row r="2208">
      <c r="C2208" s="5"/>
      <c r="D2208" s="5"/>
    </row>
    <row r="2209">
      <c r="C2209" s="5"/>
      <c r="D2209" s="5"/>
    </row>
    <row r="2210">
      <c r="C2210" s="5"/>
      <c r="D2210" s="5"/>
    </row>
    <row r="2211">
      <c r="C2211" s="5"/>
      <c r="D2211" s="5"/>
    </row>
    <row r="2212">
      <c r="C2212" s="5"/>
      <c r="D2212" s="5"/>
    </row>
    <row r="2213">
      <c r="C2213" s="5"/>
      <c r="D2213" s="5"/>
    </row>
    <row r="2214">
      <c r="C2214" s="5"/>
      <c r="D2214" s="5"/>
    </row>
    <row r="2215">
      <c r="C2215" s="5"/>
      <c r="D2215" s="5"/>
    </row>
    <row r="2216">
      <c r="C2216" s="5"/>
      <c r="D2216" s="5"/>
    </row>
    <row r="2217">
      <c r="C2217" s="5"/>
      <c r="D2217" s="5"/>
    </row>
    <row r="2218">
      <c r="C2218" s="5"/>
      <c r="D2218" s="5"/>
    </row>
    <row r="2219">
      <c r="C2219" s="5"/>
      <c r="D2219" s="5"/>
    </row>
    <row r="2220">
      <c r="C2220" s="5"/>
      <c r="D2220" s="5"/>
    </row>
    <row r="2221">
      <c r="C2221" s="5"/>
      <c r="D2221" s="5"/>
    </row>
    <row r="2222">
      <c r="C2222" s="5"/>
      <c r="D2222" s="5"/>
    </row>
    <row r="2223">
      <c r="C2223" s="5"/>
      <c r="D2223" s="5"/>
    </row>
    <row r="2224">
      <c r="C2224" s="5"/>
      <c r="D2224" s="5"/>
    </row>
    <row r="2225">
      <c r="C2225" s="5"/>
      <c r="D2225" s="5"/>
    </row>
    <row r="2226">
      <c r="C2226" s="5"/>
      <c r="D2226" s="5"/>
    </row>
    <row r="2227">
      <c r="C2227" s="5"/>
      <c r="D2227" s="5"/>
    </row>
    <row r="2228">
      <c r="C2228" s="5"/>
      <c r="D2228" s="5"/>
    </row>
    <row r="2229">
      <c r="C2229" s="5"/>
      <c r="D2229" s="5"/>
    </row>
    <row r="2230">
      <c r="C2230" s="5"/>
      <c r="D2230" s="5"/>
    </row>
    <row r="2231">
      <c r="C2231" s="5"/>
      <c r="D2231" s="5"/>
    </row>
    <row r="2232">
      <c r="C2232" s="5"/>
      <c r="D2232" s="5"/>
    </row>
    <row r="2233">
      <c r="C2233" s="5"/>
      <c r="D2233" s="5"/>
    </row>
    <row r="2234">
      <c r="C2234" s="5"/>
      <c r="D2234" s="5"/>
    </row>
    <row r="2235">
      <c r="C2235" s="5"/>
      <c r="D2235" s="5"/>
    </row>
    <row r="2236">
      <c r="C2236" s="5"/>
      <c r="D2236" s="5"/>
    </row>
    <row r="2237">
      <c r="C2237" s="5"/>
      <c r="D2237" s="5"/>
    </row>
    <row r="2238">
      <c r="C2238" s="5"/>
      <c r="D2238" s="5"/>
    </row>
    <row r="2239">
      <c r="C2239" s="5"/>
      <c r="D2239" s="5"/>
    </row>
    <row r="2240">
      <c r="C2240" s="5"/>
      <c r="D2240" s="5"/>
    </row>
    <row r="2241">
      <c r="C2241" s="5"/>
      <c r="D2241" s="5"/>
    </row>
    <row r="2242">
      <c r="C2242" s="5"/>
      <c r="D2242" s="5"/>
    </row>
    <row r="2243">
      <c r="C2243" s="5"/>
      <c r="D2243" s="5"/>
    </row>
    <row r="2244">
      <c r="C2244" s="5"/>
      <c r="D2244" s="5"/>
    </row>
    <row r="2245">
      <c r="C2245" s="5"/>
      <c r="D2245" s="5"/>
    </row>
    <row r="2246">
      <c r="C2246" s="5"/>
      <c r="D2246" s="5"/>
    </row>
    <row r="2247">
      <c r="C2247" s="5"/>
      <c r="D2247" s="5"/>
    </row>
    <row r="2248">
      <c r="C2248" s="5"/>
      <c r="D2248" s="5"/>
    </row>
    <row r="2249">
      <c r="C2249" s="5"/>
      <c r="D2249" s="5"/>
    </row>
    <row r="2250">
      <c r="C2250" s="5"/>
      <c r="D2250" s="5"/>
    </row>
    <row r="2251">
      <c r="C2251" s="5"/>
      <c r="D2251" s="5"/>
    </row>
    <row r="2252">
      <c r="C2252" s="5"/>
      <c r="D2252" s="5"/>
    </row>
    <row r="2253">
      <c r="C2253" s="5"/>
      <c r="D2253" s="5"/>
    </row>
    <row r="2254">
      <c r="C2254" s="5"/>
      <c r="D2254" s="5"/>
    </row>
    <row r="2255">
      <c r="C2255" s="5"/>
      <c r="D2255" s="5"/>
    </row>
    <row r="2256">
      <c r="C2256" s="5"/>
      <c r="D2256" s="5"/>
    </row>
    <row r="2257">
      <c r="C2257" s="5"/>
      <c r="D2257" s="5"/>
    </row>
    <row r="2258">
      <c r="C2258" s="5"/>
      <c r="D2258" s="5"/>
    </row>
    <row r="2259">
      <c r="C2259" s="5"/>
      <c r="D2259" s="5"/>
    </row>
    <row r="2260">
      <c r="C2260" s="5"/>
      <c r="D2260" s="5"/>
    </row>
    <row r="2261">
      <c r="C2261" s="5"/>
      <c r="D2261" s="5"/>
    </row>
    <row r="2262">
      <c r="C2262" s="5"/>
      <c r="D2262" s="5"/>
    </row>
    <row r="2263">
      <c r="C2263" s="5"/>
      <c r="D2263" s="5"/>
    </row>
    <row r="2264">
      <c r="C2264" s="5"/>
      <c r="D2264" s="5"/>
    </row>
    <row r="2265">
      <c r="C2265" s="5"/>
      <c r="D2265" s="5"/>
    </row>
    <row r="2266">
      <c r="C2266" s="5"/>
      <c r="D2266" s="5"/>
    </row>
    <row r="2267">
      <c r="C2267" s="5"/>
      <c r="D2267" s="5"/>
    </row>
    <row r="2268">
      <c r="C2268" s="5"/>
      <c r="D2268" s="5"/>
    </row>
    <row r="2269">
      <c r="C2269" s="5"/>
      <c r="D2269" s="5"/>
    </row>
    <row r="2270">
      <c r="C2270" s="5"/>
      <c r="D2270" s="5"/>
    </row>
    <row r="2271">
      <c r="C2271" s="5"/>
      <c r="D2271" s="5"/>
    </row>
    <row r="2272">
      <c r="C2272" s="5"/>
      <c r="D2272" s="5"/>
    </row>
    <row r="2273">
      <c r="C2273" s="5"/>
      <c r="D2273" s="5"/>
    </row>
    <row r="2274">
      <c r="C2274" s="5"/>
      <c r="D2274" s="5"/>
    </row>
    <row r="2275">
      <c r="C2275" s="5"/>
      <c r="D2275" s="5"/>
    </row>
    <row r="2276">
      <c r="C2276" s="5"/>
      <c r="D2276" s="5"/>
    </row>
    <row r="2277">
      <c r="C2277" s="5"/>
      <c r="D2277" s="5"/>
    </row>
    <row r="2278">
      <c r="C2278" s="5"/>
      <c r="D2278" s="5"/>
    </row>
    <row r="2279">
      <c r="C2279" s="5"/>
      <c r="D2279" s="5"/>
    </row>
    <row r="2280">
      <c r="C2280" s="5"/>
      <c r="D2280" s="5"/>
    </row>
    <row r="2281">
      <c r="C2281" s="5"/>
      <c r="D2281" s="5"/>
    </row>
    <row r="2282">
      <c r="C2282" s="5"/>
      <c r="D2282" s="5"/>
    </row>
    <row r="2283">
      <c r="C2283" s="5"/>
      <c r="D2283" s="5"/>
    </row>
    <row r="2284">
      <c r="C2284" s="5"/>
      <c r="D2284" s="5"/>
    </row>
    <row r="2285">
      <c r="C2285" s="5"/>
      <c r="D2285" s="5"/>
    </row>
    <row r="2286">
      <c r="C2286" s="5"/>
      <c r="D2286" s="5"/>
    </row>
    <row r="2287">
      <c r="C2287" s="5"/>
      <c r="D2287" s="5"/>
    </row>
    <row r="2288">
      <c r="C2288" s="5"/>
      <c r="D2288" s="5"/>
    </row>
    <row r="2289">
      <c r="C2289" s="5"/>
      <c r="D2289" s="5"/>
    </row>
    <row r="2290">
      <c r="C2290" s="5"/>
      <c r="D2290" s="5"/>
    </row>
    <row r="2291">
      <c r="C2291" s="5"/>
      <c r="D2291" s="5"/>
    </row>
    <row r="2292">
      <c r="C2292" s="5"/>
      <c r="D2292" s="5"/>
    </row>
    <row r="2293">
      <c r="C2293" s="5"/>
      <c r="D2293" s="5"/>
    </row>
    <row r="2294">
      <c r="C2294" s="5"/>
      <c r="D2294" s="5"/>
    </row>
    <row r="2295">
      <c r="C2295" s="5"/>
      <c r="D2295" s="5"/>
    </row>
    <row r="2296">
      <c r="C2296" s="5"/>
      <c r="D2296" s="5"/>
    </row>
    <row r="2297">
      <c r="C2297" s="5"/>
      <c r="D2297" s="5"/>
    </row>
    <row r="2298">
      <c r="C2298" s="5"/>
      <c r="D2298" s="5"/>
    </row>
    <row r="2299">
      <c r="C2299" s="5"/>
      <c r="D2299" s="5"/>
    </row>
    <row r="2300">
      <c r="C2300" s="5"/>
      <c r="D2300" s="5"/>
    </row>
    <row r="2301">
      <c r="C2301" s="5"/>
      <c r="D2301" s="5"/>
    </row>
    <row r="2302">
      <c r="C2302" s="5"/>
      <c r="D2302" s="5"/>
    </row>
    <row r="2303">
      <c r="C2303" s="5"/>
      <c r="D2303" s="5"/>
    </row>
    <row r="2304">
      <c r="C2304" s="5"/>
      <c r="D2304" s="5"/>
    </row>
    <row r="2305">
      <c r="C2305" s="5"/>
      <c r="D2305" s="5"/>
    </row>
    <row r="2306">
      <c r="C2306" s="5"/>
      <c r="D2306" s="5"/>
    </row>
    <row r="2307">
      <c r="C2307" s="5"/>
      <c r="D2307" s="5"/>
    </row>
    <row r="2308">
      <c r="C2308" s="5"/>
      <c r="D2308" s="5"/>
    </row>
    <row r="2309">
      <c r="C2309" s="5"/>
      <c r="D2309" s="5"/>
    </row>
    <row r="2310">
      <c r="C2310" s="5"/>
      <c r="D2310" s="5"/>
    </row>
    <row r="2311">
      <c r="C2311" s="5"/>
      <c r="D2311" s="5"/>
    </row>
    <row r="2312">
      <c r="C2312" s="5"/>
      <c r="D2312" s="5"/>
    </row>
    <row r="2313">
      <c r="C2313" s="5"/>
      <c r="D2313" s="5"/>
    </row>
    <row r="2314">
      <c r="C2314" s="5"/>
      <c r="D2314" s="5"/>
    </row>
    <row r="2315">
      <c r="C2315" s="5"/>
      <c r="D2315" s="5"/>
    </row>
    <row r="2316">
      <c r="C2316" s="5"/>
      <c r="D2316" s="5"/>
    </row>
    <row r="2317">
      <c r="C2317" s="5"/>
      <c r="D2317" s="5"/>
    </row>
    <row r="2318">
      <c r="C2318" s="5"/>
      <c r="D2318" s="5"/>
    </row>
    <row r="2319">
      <c r="C2319" s="5"/>
      <c r="D2319" s="5"/>
    </row>
    <row r="2320">
      <c r="C2320" s="5"/>
      <c r="D2320" s="5"/>
    </row>
    <row r="2321">
      <c r="C2321" s="5"/>
      <c r="D2321" s="5"/>
    </row>
    <row r="2322">
      <c r="C2322" s="5"/>
      <c r="D2322" s="5"/>
    </row>
    <row r="2323">
      <c r="C2323" s="5"/>
      <c r="D2323" s="5"/>
    </row>
    <row r="2324">
      <c r="C2324" s="5"/>
      <c r="D2324" s="5"/>
    </row>
    <row r="2325">
      <c r="C2325" s="5"/>
      <c r="D2325" s="5"/>
    </row>
    <row r="2326">
      <c r="C2326" s="5"/>
      <c r="D2326" s="5"/>
    </row>
    <row r="2327">
      <c r="C2327" s="5"/>
      <c r="D2327" s="5"/>
    </row>
    <row r="2328">
      <c r="C2328" s="5"/>
      <c r="D2328" s="5"/>
    </row>
    <row r="2329">
      <c r="C2329" s="5"/>
      <c r="D2329" s="5"/>
    </row>
    <row r="2330">
      <c r="C2330" s="5"/>
      <c r="D2330" s="5"/>
    </row>
    <row r="2331">
      <c r="C2331" s="5"/>
      <c r="D2331" s="5"/>
    </row>
    <row r="2332">
      <c r="C2332" s="5"/>
      <c r="D2332" s="5"/>
    </row>
    <row r="2333">
      <c r="C2333" s="5"/>
      <c r="D2333" s="5"/>
    </row>
    <row r="2334">
      <c r="C2334" s="5"/>
      <c r="D2334" s="5"/>
    </row>
    <row r="2335">
      <c r="C2335" s="5"/>
      <c r="D2335" s="5"/>
    </row>
    <row r="2336">
      <c r="C2336" s="5"/>
      <c r="D2336" s="5"/>
    </row>
    <row r="2337">
      <c r="C2337" s="5"/>
      <c r="D2337" s="5"/>
    </row>
    <row r="2338">
      <c r="C2338" s="5"/>
      <c r="D2338" s="5"/>
    </row>
    <row r="2339">
      <c r="C2339" s="5"/>
      <c r="D2339" s="5"/>
    </row>
    <row r="2340">
      <c r="C2340" s="5"/>
      <c r="D2340" s="5"/>
    </row>
    <row r="2341">
      <c r="C2341" s="5"/>
      <c r="D2341" s="5"/>
    </row>
    <row r="2342">
      <c r="C2342" s="5"/>
      <c r="D2342" s="5"/>
    </row>
    <row r="2343">
      <c r="C2343" s="5"/>
      <c r="D2343" s="5"/>
    </row>
    <row r="2344">
      <c r="C2344" s="5"/>
      <c r="D2344" s="5"/>
    </row>
    <row r="2345">
      <c r="C2345" s="5"/>
      <c r="D2345" s="5"/>
    </row>
    <row r="2346">
      <c r="C2346" s="5"/>
      <c r="D2346" s="5"/>
    </row>
    <row r="2347">
      <c r="C2347" s="5"/>
      <c r="D2347" s="5"/>
    </row>
    <row r="2348">
      <c r="C2348" s="5"/>
      <c r="D2348" s="5"/>
    </row>
    <row r="2349">
      <c r="C2349" s="5"/>
      <c r="D2349" s="5"/>
    </row>
    <row r="2350">
      <c r="C2350" s="5"/>
      <c r="D2350" s="5"/>
    </row>
    <row r="2351">
      <c r="C2351" s="5"/>
      <c r="D2351" s="5"/>
    </row>
    <row r="2352">
      <c r="C2352" s="5"/>
      <c r="D2352" s="5"/>
    </row>
    <row r="2353">
      <c r="C2353" s="5"/>
      <c r="D2353" s="5"/>
    </row>
    <row r="2354">
      <c r="C2354" s="5"/>
      <c r="D2354" s="5"/>
    </row>
    <row r="2355">
      <c r="C2355" s="5"/>
      <c r="D2355" s="5"/>
    </row>
    <row r="2356">
      <c r="C2356" s="5"/>
      <c r="D2356" s="5"/>
    </row>
    <row r="2357">
      <c r="C2357" s="5"/>
      <c r="D2357" s="5"/>
    </row>
    <row r="2358">
      <c r="C2358" s="5"/>
      <c r="D2358" s="5"/>
    </row>
    <row r="2359">
      <c r="C2359" s="5"/>
      <c r="D2359" s="5"/>
    </row>
    <row r="2360">
      <c r="C2360" s="5"/>
      <c r="D2360" s="5"/>
    </row>
    <row r="2361">
      <c r="C2361" s="5"/>
      <c r="D2361" s="5"/>
    </row>
    <row r="2362">
      <c r="C2362" s="5"/>
      <c r="D2362" s="5"/>
    </row>
    <row r="2363">
      <c r="C2363" s="5"/>
      <c r="D2363" s="5"/>
    </row>
    <row r="2364">
      <c r="C2364" s="5"/>
      <c r="D2364" s="5"/>
    </row>
    <row r="2365">
      <c r="C2365" s="5"/>
      <c r="D2365" s="5"/>
    </row>
    <row r="2366">
      <c r="C2366" s="5"/>
      <c r="D2366" s="5"/>
    </row>
    <row r="2367">
      <c r="C2367" s="5"/>
      <c r="D2367" s="5"/>
    </row>
    <row r="2368">
      <c r="C2368" s="5"/>
      <c r="D2368" s="5"/>
    </row>
    <row r="2369">
      <c r="C2369" s="5"/>
      <c r="D2369" s="5"/>
    </row>
    <row r="2370">
      <c r="C2370" s="5"/>
      <c r="D2370" s="5"/>
    </row>
    <row r="2371">
      <c r="C2371" s="5"/>
      <c r="D2371" s="5"/>
    </row>
    <row r="2372">
      <c r="C2372" s="5"/>
      <c r="D2372" s="5"/>
    </row>
    <row r="2373">
      <c r="C2373" s="5"/>
      <c r="D2373" s="5"/>
    </row>
    <row r="2374">
      <c r="C2374" s="5"/>
      <c r="D2374" s="5"/>
    </row>
    <row r="2375">
      <c r="C2375" s="5"/>
      <c r="D2375" s="5"/>
    </row>
    <row r="2376">
      <c r="C2376" s="5"/>
      <c r="D2376" s="5"/>
    </row>
    <row r="2377">
      <c r="C2377" s="5"/>
      <c r="D2377" s="5"/>
    </row>
    <row r="2378">
      <c r="C2378" s="5"/>
      <c r="D2378" s="5"/>
    </row>
    <row r="2379">
      <c r="C2379" s="5"/>
      <c r="D2379" s="5"/>
    </row>
    <row r="2380">
      <c r="C2380" s="5"/>
      <c r="D2380" s="5"/>
    </row>
    <row r="2381">
      <c r="C2381" s="5"/>
      <c r="D2381" s="5"/>
    </row>
    <row r="2382">
      <c r="C2382" s="5"/>
      <c r="D2382" s="5"/>
    </row>
    <row r="2383">
      <c r="C2383" s="5"/>
      <c r="D2383" s="5"/>
    </row>
    <row r="2384">
      <c r="C2384" s="5"/>
      <c r="D2384" s="5"/>
    </row>
    <row r="2385">
      <c r="C2385" s="5"/>
      <c r="D2385" s="5"/>
    </row>
    <row r="2386">
      <c r="C2386" s="5"/>
      <c r="D2386" s="5"/>
    </row>
    <row r="2387">
      <c r="C2387" s="5"/>
      <c r="D2387" s="5"/>
    </row>
    <row r="2388">
      <c r="C2388" s="5"/>
      <c r="D2388" s="5"/>
    </row>
    <row r="2389">
      <c r="C2389" s="5"/>
      <c r="D2389" s="5"/>
    </row>
    <row r="2390">
      <c r="C2390" s="5"/>
      <c r="D2390" s="5"/>
    </row>
    <row r="2391">
      <c r="C2391" s="5"/>
      <c r="D2391" s="5"/>
    </row>
    <row r="2392">
      <c r="C2392" s="5"/>
      <c r="D2392" s="5"/>
    </row>
    <row r="2393">
      <c r="C2393" s="5"/>
      <c r="D2393" s="5"/>
    </row>
    <row r="2394">
      <c r="C2394" s="5"/>
      <c r="D2394" s="5"/>
    </row>
    <row r="2395">
      <c r="C2395" s="5"/>
      <c r="D2395" s="5"/>
    </row>
    <row r="2396">
      <c r="C2396" s="5"/>
      <c r="D2396" s="5"/>
    </row>
    <row r="2397">
      <c r="C2397" s="5"/>
      <c r="D2397" s="5"/>
    </row>
    <row r="2398">
      <c r="C2398" s="5"/>
      <c r="D2398" s="5"/>
    </row>
    <row r="2399">
      <c r="C2399" s="5"/>
      <c r="D2399" s="5"/>
    </row>
    <row r="2400">
      <c r="C2400" s="5"/>
      <c r="D2400" s="5"/>
    </row>
    <row r="2401">
      <c r="C2401" s="5"/>
      <c r="D2401" s="5"/>
    </row>
    <row r="2402">
      <c r="C2402" s="5"/>
      <c r="D2402" s="5"/>
    </row>
    <row r="2403">
      <c r="C2403" s="5"/>
      <c r="D2403" s="5"/>
    </row>
    <row r="2404">
      <c r="C2404" s="5"/>
      <c r="D2404" s="5"/>
    </row>
    <row r="2405">
      <c r="C2405" s="5"/>
      <c r="D2405" s="5"/>
    </row>
    <row r="2406">
      <c r="C2406" s="5"/>
      <c r="D2406" s="5"/>
    </row>
    <row r="2407">
      <c r="C2407" s="5"/>
      <c r="D2407" s="5"/>
    </row>
    <row r="2408">
      <c r="C2408" s="5"/>
      <c r="D2408" s="5"/>
    </row>
    <row r="2409">
      <c r="C2409" s="5"/>
      <c r="D2409" s="5"/>
    </row>
    <row r="2410">
      <c r="C2410" s="5"/>
      <c r="D2410" s="5"/>
    </row>
    <row r="2411">
      <c r="C2411" s="5"/>
      <c r="D2411" s="5"/>
    </row>
    <row r="2412">
      <c r="C2412" s="5"/>
      <c r="D2412" s="5"/>
    </row>
    <row r="2413">
      <c r="C2413" s="5"/>
      <c r="D2413" s="5"/>
    </row>
    <row r="2414">
      <c r="C2414" s="5"/>
      <c r="D2414" s="5"/>
    </row>
    <row r="2415">
      <c r="C2415" s="5"/>
      <c r="D2415" s="5"/>
    </row>
    <row r="2416">
      <c r="C2416" s="5"/>
      <c r="D2416" s="5"/>
    </row>
    <row r="2417">
      <c r="C2417" s="5"/>
      <c r="D2417" s="5"/>
    </row>
    <row r="2418">
      <c r="C2418" s="5"/>
      <c r="D2418" s="5"/>
    </row>
    <row r="2419">
      <c r="C2419" s="5"/>
      <c r="D2419" s="5"/>
    </row>
    <row r="2420">
      <c r="C2420" s="5"/>
      <c r="D2420" s="5"/>
    </row>
    <row r="2421">
      <c r="C2421" s="5"/>
      <c r="D2421" s="5"/>
    </row>
    <row r="2422">
      <c r="C2422" s="5"/>
      <c r="D2422" s="5"/>
    </row>
    <row r="2423">
      <c r="C2423" s="5"/>
      <c r="D2423" s="5"/>
    </row>
    <row r="2424">
      <c r="C2424" s="5"/>
      <c r="D2424" s="5"/>
    </row>
    <row r="2425">
      <c r="C2425" s="5"/>
      <c r="D2425" s="5"/>
    </row>
    <row r="2426">
      <c r="C2426" s="5"/>
      <c r="D2426" s="5"/>
    </row>
    <row r="2427">
      <c r="C2427" s="5"/>
      <c r="D2427" s="5"/>
    </row>
    <row r="2428">
      <c r="C2428" s="5"/>
      <c r="D2428" s="5"/>
    </row>
    <row r="2429">
      <c r="C2429" s="5"/>
      <c r="D2429" s="5"/>
    </row>
    <row r="2430">
      <c r="C2430" s="5"/>
      <c r="D2430" s="5"/>
    </row>
    <row r="2431">
      <c r="C2431" s="5"/>
      <c r="D2431" s="5"/>
    </row>
    <row r="2432">
      <c r="C2432" s="5"/>
      <c r="D2432" s="5"/>
    </row>
    <row r="2433">
      <c r="C2433" s="5"/>
      <c r="D2433" s="5"/>
    </row>
    <row r="2434">
      <c r="C2434" s="5"/>
      <c r="D2434" s="5"/>
    </row>
    <row r="2435">
      <c r="C2435" s="5"/>
      <c r="D2435" s="5"/>
    </row>
    <row r="2436">
      <c r="C2436" s="5"/>
      <c r="D2436" s="5"/>
    </row>
    <row r="2437">
      <c r="C2437" s="5"/>
      <c r="D2437" s="5"/>
    </row>
    <row r="2438">
      <c r="C2438" s="5"/>
      <c r="D2438" s="5"/>
    </row>
    <row r="2439">
      <c r="C2439" s="5"/>
      <c r="D2439" s="5"/>
    </row>
    <row r="2440">
      <c r="C2440" s="5"/>
      <c r="D2440" s="5"/>
    </row>
    <row r="2441">
      <c r="C2441" s="5"/>
      <c r="D2441" s="5"/>
    </row>
    <row r="2442">
      <c r="C2442" s="5"/>
      <c r="D2442" s="5"/>
    </row>
    <row r="2443">
      <c r="C2443" s="5"/>
      <c r="D2443" s="5"/>
    </row>
    <row r="2444">
      <c r="C2444" s="5"/>
      <c r="D2444" s="5"/>
    </row>
    <row r="2445">
      <c r="C2445" s="5"/>
      <c r="D2445" s="5"/>
    </row>
    <row r="2446">
      <c r="C2446" s="5"/>
      <c r="D2446" s="5"/>
    </row>
    <row r="2447">
      <c r="C2447" s="5"/>
      <c r="D2447" s="5"/>
    </row>
    <row r="2448">
      <c r="C2448" s="5"/>
      <c r="D2448" s="5"/>
    </row>
    <row r="2449">
      <c r="C2449" s="5"/>
      <c r="D2449" s="5"/>
    </row>
    <row r="2450">
      <c r="C2450" s="5"/>
      <c r="D2450" s="5"/>
    </row>
    <row r="2451">
      <c r="C2451" s="5"/>
      <c r="D2451" s="5"/>
    </row>
    <row r="2452">
      <c r="C2452" s="5"/>
      <c r="D2452" s="5"/>
    </row>
    <row r="2453">
      <c r="C2453" s="5"/>
      <c r="D2453" s="5"/>
    </row>
    <row r="2454">
      <c r="C2454" s="5"/>
      <c r="D2454" s="5"/>
    </row>
    <row r="2455">
      <c r="C2455" s="5"/>
      <c r="D2455" s="5"/>
    </row>
    <row r="2456">
      <c r="C2456" s="5"/>
      <c r="D2456" s="5"/>
    </row>
    <row r="2457">
      <c r="C2457" s="5"/>
      <c r="D2457" s="5"/>
    </row>
    <row r="2458">
      <c r="C2458" s="5"/>
      <c r="D2458" s="5"/>
    </row>
    <row r="2459">
      <c r="C2459" s="5"/>
      <c r="D2459" s="5"/>
    </row>
    <row r="2460">
      <c r="C2460" s="5"/>
      <c r="D2460" s="5"/>
    </row>
    <row r="2461">
      <c r="C2461" s="5"/>
      <c r="D2461" s="5"/>
    </row>
    <row r="2462">
      <c r="C2462" s="5"/>
      <c r="D2462" s="5"/>
    </row>
    <row r="2463">
      <c r="C2463" s="5"/>
      <c r="D2463" s="5"/>
    </row>
    <row r="2464">
      <c r="C2464" s="5"/>
      <c r="D2464" s="5"/>
    </row>
    <row r="2465">
      <c r="C2465" s="5"/>
      <c r="D2465" s="5"/>
    </row>
    <row r="2466">
      <c r="C2466" s="5"/>
      <c r="D2466" s="5"/>
    </row>
    <row r="2467">
      <c r="C2467" s="5"/>
      <c r="D2467" s="5"/>
    </row>
    <row r="2468">
      <c r="C2468" s="5"/>
      <c r="D2468" s="5"/>
    </row>
    <row r="2469">
      <c r="C2469" s="5"/>
      <c r="D2469" s="5"/>
    </row>
    <row r="2470">
      <c r="C2470" s="5"/>
      <c r="D2470" s="5"/>
    </row>
    <row r="2471">
      <c r="C2471" s="5"/>
      <c r="D2471" s="5"/>
    </row>
    <row r="2472">
      <c r="C2472" s="5"/>
      <c r="D2472" s="5"/>
    </row>
    <row r="2473">
      <c r="C2473" s="5"/>
      <c r="D2473" s="5"/>
    </row>
    <row r="2474">
      <c r="C2474" s="5"/>
      <c r="D2474" s="5"/>
    </row>
    <row r="2475">
      <c r="C2475" s="5"/>
      <c r="D2475" s="5"/>
    </row>
    <row r="2476">
      <c r="C2476" s="5"/>
      <c r="D2476" s="5"/>
    </row>
    <row r="2477">
      <c r="C2477" s="5"/>
      <c r="D2477" s="5"/>
    </row>
    <row r="2478">
      <c r="C2478" s="5"/>
      <c r="D2478" s="5"/>
    </row>
    <row r="2479">
      <c r="C2479" s="5"/>
      <c r="D2479" s="5"/>
    </row>
    <row r="2480">
      <c r="C2480" s="5"/>
      <c r="D2480" s="5"/>
    </row>
    <row r="2481">
      <c r="C2481" s="5"/>
      <c r="D2481" s="5"/>
    </row>
    <row r="2482">
      <c r="C2482" s="5"/>
      <c r="D2482" s="5"/>
    </row>
    <row r="2483">
      <c r="C2483" s="5"/>
      <c r="D2483" s="5"/>
    </row>
    <row r="2484">
      <c r="C2484" s="5"/>
      <c r="D2484" s="5"/>
    </row>
    <row r="2485">
      <c r="C2485" s="5"/>
      <c r="D2485" s="5"/>
    </row>
    <row r="2486">
      <c r="C2486" s="5"/>
      <c r="D2486" s="5"/>
    </row>
    <row r="2487">
      <c r="C2487" s="5"/>
      <c r="D2487" s="5"/>
    </row>
    <row r="2488">
      <c r="C2488" s="5"/>
      <c r="D2488" s="5"/>
    </row>
    <row r="2489">
      <c r="C2489" s="5"/>
      <c r="D2489" s="5"/>
    </row>
    <row r="2490">
      <c r="C2490" s="5"/>
      <c r="D2490" s="5"/>
    </row>
    <row r="2491">
      <c r="C2491" s="5"/>
      <c r="D2491" s="5"/>
    </row>
    <row r="2492">
      <c r="C2492" s="5"/>
      <c r="D2492" s="5"/>
    </row>
    <row r="2493">
      <c r="C2493" s="5"/>
      <c r="D2493" s="5"/>
    </row>
    <row r="2494">
      <c r="C2494" s="5"/>
      <c r="D2494" s="5"/>
    </row>
    <row r="2495">
      <c r="C2495" s="5"/>
      <c r="D2495" s="5"/>
    </row>
    <row r="2496">
      <c r="C2496" s="5"/>
      <c r="D2496" s="5"/>
    </row>
    <row r="2497">
      <c r="C2497" s="5"/>
      <c r="D2497" s="5"/>
    </row>
    <row r="2498">
      <c r="C2498" s="5"/>
      <c r="D2498" s="5"/>
    </row>
    <row r="2499">
      <c r="C2499" s="5"/>
      <c r="D2499" s="5"/>
    </row>
    <row r="2500">
      <c r="C2500" s="5"/>
      <c r="D2500" s="5"/>
    </row>
    <row r="2501">
      <c r="C2501" s="5"/>
      <c r="D2501" s="5"/>
    </row>
    <row r="2502">
      <c r="C2502" s="5"/>
      <c r="D2502" s="5"/>
    </row>
    <row r="2503">
      <c r="C2503" s="5"/>
      <c r="D2503" s="5"/>
    </row>
    <row r="2504">
      <c r="C2504" s="5"/>
      <c r="D2504" s="5"/>
    </row>
    <row r="2505">
      <c r="C2505" s="5"/>
      <c r="D2505" s="5"/>
    </row>
    <row r="2506">
      <c r="C2506" s="5"/>
      <c r="D2506" s="5"/>
    </row>
    <row r="2507">
      <c r="C2507" s="5"/>
      <c r="D2507" s="5"/>
    </row>
    <row r="2508">
      <c r="C2508" s="5"/>
      <c r="D2508" s="5"/>
    </row>
    <row r="2509">
      <c r="C2509" s="5"/>
      <c r="D2509" s="5"/>
    </row>
    <row r="2510">
      <c r="C2510" s="5"/>
      <c r="D2510" s="5"/>
    </row>
    <row r="2511">
      <c r="C2511" s="5"/>
      <c r="D2511" s="5"/>
    </row>
    <row r="2512">
      <c r="C2512" s="5"/>
      <c r="D2512" s="5"/>
    </row>
    <row r="2513">
      <c r="C2513" s="5"/>
      <c r="D2513" s="5"/>
    </row>
    <row r="2514">
      <c r="C2514" s="5"/>
      <c r="D2514" s="5"/>
    </row>
    <row r="2515">
      <c r="C2515" s="5"/>
      <c r="D2515" s="5"/>
    </row>
    <row r="2516">
      <c r="C2516" s="5"/>
      <c r="D2516" s="5"/>
    </row>
    <row r="2517">
      <c r="C2517" s="5"/>
      <c r="D2517" s="5"/>
    </row>
    <row r="2518">
      <c r="C2518" s="5"/>
      <c r="D2518" s="5"/>
    </row>
    <row r="2519">
      <c r="C2519" s="5"/>
      <c r="D2519" s="5"/>
    </row>
    <row r="2520">
      <c r="C2520" s="5"/>
      <c r="D2520" s="5"/>
    </row>
    <row r="2521">
      <c r="C2521" s="5"/>
      <c r="D2521" s="5"/>
    </row>
    <row r="2522">
      <c r="C2522" s="5"/>
      <c r="D2522" s="5"/>
    </row>
    <row r="2523">
      <c r="C2523" s="5"/>
      <c r="D2523" s="5"/>
    </row>
    <row r="2524">
      <c r="C2524" s="5"/>
      <c r="D2524" s="5"/>
    </row>
    <row r="2525">
      <c r="C2525" s="5"/>
      <c r="D2525" s="5"/>
    </row>
    <row r="2526">
      <c r="C2526" s="5"/>
      <c r="D2526" s="5"/>
    </row>
    <row r="2527">
      <c r="C2527" s="5"/>
      <c r="D2527" s="5"/>
    </row>
    <row r="2528">
      <c r="C2528" s="5"/>
      <c r="D2528" s="5"/>
    </row>
    <row r="2529">
      <c r="C2529" s="5"/>
      <c r="D2529" s="5"/>
    </row>
    <row r="2530">
      <c r="C2530" s="5"/>
      <c r="D2530" s="5"/>
    </row>
    <row r="2531">
      <c r="C2531" s="5"/>
      <c r="D2531" s="5"/>
    </row>
    <row r="2532">
      <c r="C2532" s="5"/>
      <c r="D2532" s="5"/>
    </row>
    <row r="2533">
      <c r="C2533" s="5"/>
      <c r="D2533" s="5"/>
    </row>
    <row r="2534">
      <c r="C2534" s="5"/>
      <c r="D2534" s="5"/>
    </row>
    <row r="2535">
      <c r="C2535" s="5"/>
      <c r="D2535" s="5"/>
    </row>
    <row r="2536">
      <c r="C2536" s="5"/>
      <c r="D2536" s="5"/>
    </row>
    <row r="2537">
      <c r="C2537" s="5"/>
      <c r="D2537" s="5"/>
    </row>
    <row r="2538">
      <c r="C2538" s="5"/>
      <c r="D2538" s="5"/>
    </row>
    <row r="2539">
      <c r="C2539" s="5"/>
      <c r="D2539" s="5"/>
    </row>
    <row r="2540">
      <c r="C2540" s="5"/>
      <c r="D2540" s="5"/>
    </row>
    <row r="2541">
      <c r="C2541" s="5"/>
      <c r="D2541" s="5"/>
    </row>
    <row r="2542">
      <c r="C2542" s="5"/>
      <c r="D2542" s="5"/>
    </row>
    <row r="2543">
      <c r="C2543" s="5"/>
      <c r="D2543" s="5"/>
    </row>
    <row r="2544">
      <c r="C2544" s="5"/>
      <c r="D2544" s="5"/>
    </row>
    <row r="2545">
      <c r="C2545" s="5"/>
      <c r="D2545" s="5"/>
    </row>
    <row r="2546">
      <c r="C2546" s="5"/>
      <c r="D2546" s="5"/>
    </row>
    <row r="2547">
      <c r="C2547" s="5"/>
      <c r="D2547" s="5"/>
    </row>
    <row r="2548">
      <c r="C2548" s="5"/>
      <c r="D2548" s="5"/>
    </row>
    <row r="2549">
      <c r="C2549" s="5"/>
      <c r="D2549" s="5"/>
    </row>
    <row r="2550">
      <c r="C2550" s="5"/>
      <c r="D2550" s="5"/>
    </row>
    <row r="2551">
      <c r="C2551" s="5"/>
      <c r="D2551" s="5"/>
    </row>
    <row r="2552">
      <c r="C2552" s="5"/>
      <c r="D2552" s="5"/>
    </row>
    <row r="2553">
      <c r="C2553" s="5"/>
      <c r="D2553" s="5"/>
    </row>
    <row r="2554">
      <c r="C2554" s="5"/>
      <c r="D2554" s="5"/>
    </row>
    <row r="2555">
      <c r="C2555" s="5"/>
      <c r="D2555" s="5"/>
    </row>
    <row r="2556">
      <c r="C2556" s="5"/>
      <c r="D2556" s="5"/>
    </row>
    <row r="2557">
      <c r="C2557" s="5"/>
      <c r="D2557" s="5"/>
    </row>
    <row r="2558">
      <c r="C2558" s="5"/>
      <c r="D2558" s="5"/>
    </row>
    <row r="2559">
      <c r="C2559" s="5"/>
      <c r="D2559" s="5"/>
    </row>
    <row r="2560">
      <c r="C2560" s="5"/>
      <c r="D2560" s="5"/>
    </row>
    <row r="2561">
      <c r="C2561" s="5"/>
      <c r="D2561" s="5"/>
    </row>
    <row r="2562">
      <c r="C2562" s="5"/>
      <c r="D2562" s="5"/>
    </row>
    <row r="2563">
      <c r="C2563" s="5"/>
      <c r="D2563" s="5"/>
    </row>
    <row r="2564">
      <c r="C2564" s="5"/>
      <c r="D2564" s="5"/>
    </row>
    <row r="2565">
      <c r="C2565" s="5"/>
      <c r="D2565" s="5"/>
    </row>
    <row r="2566">
      <c r="C2566" s="5"/>
      <c r="D2566" s="5"/>
    </row>
    <row r="2567">
      <c r="C2567" s="5"/>
      <c r="D2567" s="5"/>
    </row>
    <row r="2568">
      <c r="C2568" s="5"/>
      <c r="D2568" s="5"/>
    </row>
    <row r="2569">
      <c r="C2569" s="5"/>
      <c r="D2569" s="5"/>
    </row>
    <row r="2570">
      <c r="C2570" s="5"/>
      <c r="D2570" s="5"/>
    </row>
    <row r="2571">
      <c r="C2571" s="5"/>
      <c r="D2571" s="5"/>
    </row>
    <row r="2572">
      <c r="C2572" s="5"/>
      <c r="D2572" s="5"/>
    </row>
    <row r="2573">
      <c r="C2573" s="5"/>
      <c r="D2573" s="5"/>
    </row>
    <row r="2574">
      <c r="C2574" s="5"/>
      <c r="D2574" s="5"/>
    </row>
    <row r="2575">
      <c r="C2575" s="5"/>
      <c r="D2575" s="5"/>
    </row>
    <row r="2576">
      <c r="C2576" s="5"/>
      <c r="D2576" s="5"/>
    </row>
    <row r="2577">
      <c r="C2577" s="5"/>
      <c r="D2577" s="5"/>
    </row>
    <row r="2578">
      <c r="C2578" s="5"/>
      <c r="D2578" s="5"/>
    </row>
    <row r="2579">
      <c r="C2579" s="5"/>
      <c r="D2579" s="5"/>
    </row>
    <row r="2580">
      <c r="C2580" s="5"/>
      <c r="D2580" s="5"/>
    </row>
    <row r="2581">
      <c r="C2581" s="5"/>
      <c r="D2581" s="5"/>
    </row>
    <row r="2582">
      <c r="C2582" s="5"/>
      <c r="D2582" s="5"/>
    </row>
    <row r="2583">
      <c r="C2583" s="5"/>
      <c r="D2583" s="5"/>
    </row>
    <row r="2584">
      <c r="C2584" s="5"/>
      <c r="D2584" s="5"/>
    </row>
    <row r="2585">
      <c r="C2585" s="5"/>
      <c r="D2585" s="5"/>
    </row>
    <row r="2586">
      <c r="C2586" s="5"/>
      <c r="D2586" s="5"/>
    </row>
    <row r="2587">
      <c r="C2587" s="5"/>
      <c r="D2587" s="5"/>
    </row>
    <row r="2588">
      <c r="C2588" s="5"/>
      <c r="D2588" s="5"/>
    </row>
    <row r="2589">
      <c r="C2589" s="5"/>
      <c r="D2589" s="5"/>
    </row>
    <row r="2590">
      <c r="C2590" s="5"/>
      <c r="D2590" s="5"/>
    </row>
    <row r="2591">
      <c r="C2591" s="5"/>
      <c r="D2591" s="5"/>
    </row>
    <row r="2592">
      <c r="C2592" s="5"/>
      <c r="D2592" s="5"/>
    </row>
    <row r="2593">
      <c r="C2593" s="5"/>
      <c r="D2593" s="5"/>
    </row>
    <row r="2594">
      <c r="C2594" s="5"/>
      <c r="D2594" s="5"/>
    </row>
    <row r="2595">
      <c r="C2595" s="5"/>
      <c r="D2595" s="5"/>
    </row>
    <row r="2596">
      <c r="C2596" s="5"/>
      <c r="D2596" s="5"/>
    </row>
    <row r="2597">
      <c r="C2597" s="5"/>
      <c r="D2597" s="5"/>
    </row>
    <row r="2598">
      <c r="C2598" s="5"/>
      <c r="D2598" s="5"/>
    </row>
    <row r="2599">
      <c r="C2599" s="5"/>
      <c r="D2599" s="5"/>
    </row>
    <row r="2600">
      <c r="C2600" s="5"/>
      <c r="D2600" s="5"/>
    </row>
    <row r="2601">
      <c r="C2601" s="5"/>
      <c r="D2601" s="5"/>
    </row>
    <row r="2602">
      <c r="C2602" s="5"/>
      <c r="D2602" s="5"/>
    </row>
    <row r="2603">
      <c r="C2603" s="5"/>
      <c r="D2603" s="5"/>
    </row>
    <row r="2604">
      <c r="C2604" s="5"/>
      <c r="D2604" s="5"/>
    </row>
    <row r="2605">
      <c r="C2605" s="5"/>
      <c r="D2605" s="5"/>
    </row>
    <row r="2606">
      <c r="C2606" s="5"/>
      <c r="D2606" s="5"/>
    </row>
    <row r="2607">
      <c r="C2607" s="5"/>
      <c r="D2607" s="5"/>
    </row>
    <row r="2608">
      <c r="C2608" s="5"/>
      <c r="D2608" s="5"/>
    </row>
    <row r="2609">
      <c r="C2609" s="5"/>
      <c r="D2609" s="5"/>
    </row>
    <row r="2610">
      <c r="C2610" s="5"/>
      <c r="D2610" s="5"/>
    </row>
    <row r="2611">
      <c r="C2611" s="5"/>
      <c r="D2611" s="5"/>
    </row>
    <row r="2612">
      <c r="C2612" s="5"/>
      <c r="D2612" s="5"/>
    </row>
    <row r="2613">
      <c r="C2613" s="5"/>
      <c r="D2613" s="5"/>
    </row>
    <row r="2614">
      <c r="C2614" s="5"/>
      <c r="D2614" s="5"/>
    </row>
    <row r="2615">
      <c r="C2615" s="5"/>
      <c r="D2615" s="5"/>
    </row>
    <row r="2616">
      <c r="C2616" s="5"/>
      <c r="D2616" s="5"/>
    </row>
    <row r="2617">
      <c r="C2617" s="5"/>
      <c r="D2617" s="5"/>
    </row>
    <row r="2618">
      <c r="C2618" s="5"/>
      <c r="D2618" s="5"/>
    </row>
    <row r="2619">
      <c r="C2619" s="5"/>
      <c r="D2619" s="5"/>
    </row>
    <row r="2620">
      <c r="C2620" s="5"/>
      <c r="D2620" s="5"/>
    </row>
    <row r="2621">
      <c r="C2621" s="5"/>
      <c r="D2621" s="5"/>
    </row>
    <row r="2622">
      <c r="C2622" s="5"/>
      <c r="D2622" s="5"/>
    </row>
    <row r="2623">
      <c r="C2623" s="5"/>
      <c r="D2623" s="5"/>
    </row>
    <row r="2624">
      <c r="C2624" s="5"/>
      <c r="D2624" s="5"/>
    </row>
    <row r="2625">
      <c r="C2625" s="5"/>
      <c r="D2625" s="5"/>
    </row>
    <row r="2626">
      <c r="C2626" s="5"/>
      <c r="D2626" s="5"/>
    </row>
    <row r="2627">
      <c r="C2627" s="5"/>
      <c r="D2627" s="5"/>
    </row>
    <row r="2628">
      <c r="C2628" s="5"/>
      <c r="D2628" s="5"/>
    </row>
    <row r="2629">
      <c r="C2629" s="5"/>
      <c r="D2629" s="5"/>
    </row>
    <row r="2630">
      <c r="C2630" s="5"/>
      <c r="D2630" s="5"/>
    </row>
    <row r="2631">
      <c r="C2631" s="5"/>
      <c r="D2631" s="5"/>
    </row>
    <row r="2632">
      <c r="C2632" s="5"/>
      <c r="D2632" s="5"/>
    </row>
    <row r="2633">
      <c r="C2633" s="5"/>
      <c r="D2633" s="5"/>
    </row>
    <row r="2634">
      <c r="C2634" s="5"/>
      <c r="D2634" s="5"/>
    </row>
    <row r="2635">
      <c r="C2635" s="5"/>
      <c r="D2635" s="5"/>
    </row>
    <row r="2636">
      <c r="C2636" s="5"/>
      <c r="D2636" s="5"/>
    </row>
    <row r="2637">
      <c r="C2637" s="5"/>
      <c r="D2637" s="5"/>
    </row>
    <row r="2638">
      <c r="C2638" s="5"/>
      <c r="D2638" s="5"/>
    </row>
    <row r="2639">
      <c r="C2639" s="5"/>
      <c r="D2639" s="5"/>
    </row>
    <row r="2640">
      <c r="C2640" s="5"/>
      <c r="D2640" s="5"/>
    </row>
    <row r="2641">
      <c r="C2641" s="5"/>
      <c r="D2641" s="5"/>
    </row>
    <row r="2642">
      <c r="C2642" s="5"/>
      <c r="D2642" s="5"/>
    </row>
    <row r="2643">
      <c r="C2643" s="5"/>
      <c r="D2643" s="5"/>
    </row>
    <row r="2644">
      <c r="C2644" s="5"/>
      <c r="D2644" s="5"/>
    </row>
    <row r="2645">
      <c r="C2645" s="5"/>
      <c r="D2645" s="5"/>
    </row>
    <row r="2646">
      <c r="C2646" s="5"/>
      <c r="D2646" s="5"/>
    </row>
    <row r="2647">
      <c r="C2647" s="5"/>
      <c r="D2647" s="5"/>
    </row>
    <row r="2648">
      <c r="C2648" s="5"/>
      <c r="D2648" s="5"/>
    </row>
    <row r="2649">
      <c r="C2649" s="5"/>
      <c r="D2649" s="5"/>
    </row>
    <row r="2650">
      <c r="C2650" s="5"/>
      <c r="D2650" s="5"/>
    </row>
    <row r="2651">
      <c r="C2651" s="5"/>
      <c r="D2651" s="5"/>
    </row>
    <row r="2652">
      <c r="C2652" s="5"/>
      <c r="D2652" s="5"/>
    </row>
    <row r="2653">
      <c r="C2653" s="5"/>
      <c r="D2653" s="5"/>
    </row>
    <row r="2654">
      <c r="C2654" s="5"/>
      <c r="D2654" s="5"/>
    </row>
    <row r="2655">
      <c r="C2655" s="5"/>
      <c r="D2655" s="5"/>
    </row>
    <row r="2656">
      <c r="C2656" s="5"/>
      <c r="D2656" s="5"/>
    </row>
    <row r="2657">
      <c r="C2657" s="5"/>
      <c r="D2657" s="5"/>
    </row>
    <row r="2658">
      <c r="C2658" s="5"/>
      <c r="D2658" s="5"/>
    </row>
    <row r="2659">
      <c r="C2659" s="5"/>
      <c r="D2659" s="5"/>
    </row>
    <row r="2660">
      <c r="C2660" s="5"/>
      <c r="D2660" s="5"/>
    </row>
    <row r="2661">
      <c r="C2661" s="5"/>
      <c r="D2661" s="5"/>
    </row>
    <row r="2662">
      <c r="C2662" s="5"/>
      <c r="D2662" s="5"/>
    </row>
    <row r="2663">
      <c r="C2663" s="5"/>
      <c r="D2663" s="5"/>
    </row>
    <row r="2664">
      <c r="C2664" s="5"/>
      <c r="D2664" s="5"/>
    </row>
    <row r="2665">
      <c r="C2665" s="5"/>
      <c r="D2665" s="5"/>
    </row>
    <row r="2666">
      <c r="C2666" s="5"/>
      <c r="D2666" s="5"/>
    </row>
    <row r="2667">
      <c r="C2667" s="5"/>
      <c r="D2667" s="5"/>
    </row>
    <row r="2668">
      <c r="C2668" s="5"/>
      <c r="D2668" s="5"/>
    </row>
    <row r="2669">
      <c r="C2669" s="5"/>
      <c r="D2669" s="5"/>
    </row>
    <row r="2670">
      <c r="C2670" s="5"/>
      <c r="D2670" s="5"/>
    </row>
    <row r="2671">
      <c r="C2671" s="5"/>
      <c r="D2671" s="5"/>
    </row>
    <row r="2672">
      <c r="C2672" s="5"/>
      <c r="D2672" s="5"/>
    </row>
    <row r="2673">
      <c r="C2673" s="5"/>
      <c r="D2673" s="5"/>
    </row>
    <row r="2674">
      <c r="C2674" s="5"/>
      <c r="D2674" s="5"/>
    </row>
    <row r="2675">
      <c r="C2675" s="5"/>
      <c r="D2675" s="5"/>
    </row>
    <row r="2676">
      <c r="C2676" s="5"/>
      <c r="D2676" s="5"/>
    </row>
    <row r="2677">
      <c r="C2677" s="5"/>
      <c r="D2677" s="5"/>
    </row>
    <row r="2678">
      <c r="C2678" s="5"/>
      <c r="D2678" s="5"/>
    </row>
    <row r="2679">
      <c r="C2679" s="5"/>
      <c r="D2679" s="5"/>
    </row>
    <row r="2680">
      <c r="C2680" s="5"/>
      <c r="D2680" s="5"/>
    </row>
    <row r="2681">
      <c r="C2681" s="5"/>
      <c r="D2681" s="5"/>
    </row>
    <row r="2682">
      <c r="C2682" s="5"/>
      <c r="D2682" s="5"/>
    </row>
    <row r="2683">
      <c r="C2683" s="5"/>
      <c r="D2683" s="5"/>
    </row>
    <row r="2684">
      <c r="C2684" s="5"/>
      <c r="D2684" s="5"/>
    </row>
    <row r="2685">
      <c r="C2685" s="5"/>
      <c r="D2685" s="5"/>
    </row>
    <row r="2686">
      <c r="C2686" s="5"/>
      <c r="D2686" s="5"/>
    </row>
    <row r="2687">
      <c r="C2687" s="5"/>
      <c r="D2687" s="5"/>
    </row>
    <row r="2688">
      <c r="C2688" s="5"/>
      <c r="D2688" s="5"/>
    </row>
    <row r="2689">
      <c r="C2689" s="5"/>
      <c r="D2689" s="5"/>
    </row>
    <row r="2690">
      <c r="C2690" s="5"/>
      <c r="D2690" s="5"/>
    </row>
    <row r="2691">
      <c r="C2691" s="5"/>
      <c r="D2691" s="5"/>
    </row>
    <row r="2692">
      <c r="C2692" s="5"/>
      <c r="D2692" s="5"/>
    </row>
    <row r="2693">
      <c r="C2693" s="5"/>
      <c r="D2693" s="5"/>
    </row>
    <row r="2694">
      <c r="C2694" s="5"/>
      <c r="D2694" s="5"/>
    </row>
    <row r="2695">
      <c r="C2695" s="5"/>
      <c r="D2695" s="5"/>
    </row>
    <row r="2696">
      <c r="C2696" s="5"/>
      <c r="D2696" s="5"/>
    </row>
    <row r="2697">
      <c r="C2697" s="5"/>
      <c r="D2697" s="5"/>
    </row>
    <row r="2698">
      <c r="C2698" s="5"/>
      <c r="D2698" s="5"/>
    </row>
    <row r="2699">
      <c r="C2699" s="5"/>
      <c r="D2699" s="5"/>
    </row>
    <row r="2700">
      <c r="C2700" s="5"/>
      <c r="D2700" s="5"/>
    </row>
    <row r="2701">
      <c r="C2701" s="5"/>
      <c r="D2701" s="5"/>
    </row>
    <row r="2702">
      <c r="C2702" s="5"/>
      <c r="D2702" s="5"/>
    </row>
    <row r="2703">
      <c r="C2703" s="5"/>
      <c r="D2703" s="5"/>
    </row>
    <row r="2704">
      <c r="C2704" s="5"/>
      <c r="D2704" s="5"/>
    </row>
    <row r="2705">
      <c r="C2705" s="5"/>
      <c r="D2705" s="5"/>
    </row>
    <row r="2706">
      <c r="C2706" s="5"/>
      <c r="D2706" s="5"/>
    </row>
    <row r="2707">
      <c r="C2707" s="5"/>
      <c r="D2707" s="5"/>
    </row>
    <row r="2708">
      <c r="C2708" s="5"/>
      <c r="D2708" s="5"/>
    </row>
    <row r="2709">
      <c r="C2709" s="5"/>
      <c r="D2709" s="5"/>
    </row>
    <row r="2710">
      <c r="C2710" s="5"/>
      <c r="D2710" s="5"/>
    </row>
    <row r="2711">
      <c r="C2711" s="5"/>
      <c r="D2711" s="5"/>
    </row>
    <row r="2712">
      <c r="C2712" s="5"/>
      <c r="D2712" s="5"/>
    </row>
    <row r="2713">
      <c r="C2713" s="5"/>
      <c r="D2713" s="5"/>
    </row>
    <row r="2714">
      <c r="C2714" s="5"/>
      <c r="D2714" s="5"/>
    </row>
    <row r="2715">
      <c r="C2715" s="5"/>
      <c r="D2715" s="5"/>
    </row>
    <row r="2716">
      <c r="C2716" s="5"/>
      <c r="D2716" s="5"/>
    </row>
    <row r="2717">
      <c r="C2717" s="5"/>
      <c r="D2717" s="5"/>
    </row>
    <row r="2718">
      <c r="C2718" s="5"/>
      <c r="D2718" s="5"/>
    </row>
    <row r="2719">
      <c r="C2719" s="5"/>
      <c r="D2719" s="5"/>
    </row>
    <row r="2720">
      <c r="C2720" s="5"/>
      <c r="D2720" s="5"/>
    </row>
    <row r="2721">
      <c r="C2721" s="5"/>
      <c r="D2721" s="5"/>
    </row>
    <row r="2722">
      <c r="C2722" s="5"/>
      <c r="D2722" s="5"/>
    </row>
    <row r="2723">
      <c r="C2723" s="5"/>
      <c r="D2723" s="5"/>
    </row>
    <row r="2724">
      <c r="C2724" s="5"/>
      <c r="D2724" s="5"/>
    </row>
    <row r="2725">
      <c r="C2725" s="5"/>
      <c r="D2725" s="5"/>
    </row>
    <row r="2726">
      <c r="C2726" s="5"/>
      <c r="D2726" s="5"/>
    </row>
    <row r="2727">
      <c r="C2727" s="5"/>
      <c r="D2727" s="5"/>
    </row>
    <row r="2728">
      <c r="C2728" s="5"/>
      <c r="D2728" s="5"/>
    </row>
    <row r="2729">
      <c r="C2729" s="5"/>
      <c r="D2729" s="5"/>
    </row>
    <row r="2730">
      <c r="C2730" s="5"/>
      <c r="D2730" s="5"/>
    </row>
    <row r="2731">
      <c r="C2731" s="5"/>
      <c r="D2731" s="5"/>
    </row>
    <row r="2732">
      <c r="C2732" s="5"/>
      <c r="D2732" s="5"/>
    </row>
    <row r="2733">
      <c r="C2733" s="5"/>
      <c r="D2733" s="5"/>
    </row>
    <row r="2734">
      <c r="C2734" s="5"/>
      <c r="D2734" s="5"/>
    </row>
    <row r="2735">
      <c r="C2735" s="5"/>
      <c r="D2735" s="5"/>
    </row>
    <row r="2736">
      <c r="C2736" s="5"/>
      <c r="D2736" s="5"/>
    </row>
    <row r="2737">
      <c r="C2737" s="5"/>
      <c r="D2737" s="5"/>
    </row>
    <row r="2738">
      <c r="C2738" s="5"/>
      <c r="D2738" s="5"/>
    </row>
    <row r="2739">
      <c r="C2739" s="5"/>
      <c r="D2739" s="5"/>
    </row>
    <row r="2740">
      <c r="C2740" s="5"/>
      <c r="D2740" s="5"/>
    </row>
    <row r="2741">
      <c r="C2741" s="5"/>
      <c r="D2741" s="5"/>
    </row>
    <row r="2742">
      <c r="C2742" s="5"/>
      <c r="D2742" s="5"/>
    </row>
    <row r="2743">
      <c r="C2743" s="5"/>
      <c r="D2743" s="5"/>
    </row>
    <row r="2744">
      <c r="C2744" s="5"/>
      <c r="D2744" s="5"/>
    </row>
    <row r="2745">
      <c r="C2745" s="5"/>
      <c r="D2745" s="5"/>
    </row>
    <row r="2746">
      <c r="C2746" s="5"/>
      <c r="D2746" s="5"/>
    </row>
    <row r="2747">
      <c r="C2747" s="5"/>
      <c r="D2747" s="5"/>
    </row>
    <row r="2748">
      <c r="C2748" s="5"/>
      <c r="D2748" s="5"/>
    </row>
    <row r="2749">
      <c r="C2749" s="5"/>
      <c r="D2749" s="5"/>
    </row>
    <row r="2750">
      <c r="C2750" s="5"/>
      <c r="D2750" s="5"/>
    </row>
    <row r="2751">
      <c r="C2751" s="5"/>
      <c r="D2751" s="5"/>
    </row>
    <row r="2752">
      <c r="C2752" s="5"/>
      <c r="D2752" s="5"/>
    </row>
    <row r="2753">
      <c r="C2753" s="5"/>
      <c r="D2753" s="5"/>
    </row>
    <row r="2754">
      <c r="C2754" s="5"/>
      <c r="D2754" s="5"/>
    </row>
    <row r="2755">
      <c r="C2755" s="5"/>
      <c r="D2755" s="5"/>
    </row>
    <row r="2756">
      <c r="C2756" s="5"/>
      <c r="D2756" s="5"/>
    </row>
    <row r="2757">
      <c r="C2757" s="5"/>
      <c r="D2757" s="5"/>
    </row>
    <row r="2758">
      <c r="C2758" s="5"/>
      <c r="D2758" s="5"/>
    </row>
    <row r="2759">
      <c r="C2759" s="5"/>
      <c r="D2759" s="5"/>
    </row>
    <row r="2760">
      <c r="C2760" s="5"/>
      <c r="D2760" s="5"/>
    </row>
    <row r="2761">
      <c r="C2761" s="5"/>
      <c r="D2761" s="5"/>
    </row>
    <row r="2762">
      <c r="C2762" s="5"/>
      <c r="D2762" s="5"/>
    </row>
    <row r="2763">
      <c r="C2763" s="5"/>
      <c r="D2763" s="5"/>
    </row>
    <row r="2764">
      <c r="C2764" s="5"/>
      <c r="D2764" s="5"/>
    </row>
    <row r="2765">
      <c r="C2765" s="5"/>
      <c r="D2765" s="5"/>
    </row>
    <row r="2766">
      <c r="C2766" s="5"/>
      <c r="D2766" s="5"/>
    </row>
    <row r="2767">
      <c r="C2767" s="5"/>
      <c r="D2767" s="5"/>
    </row>
    <row r="2768">
      <c r="C2768" s="5"/>
      <c r="D2768" s="5"/>
    </row>
    <row r="2769">
      <c r="C2769" s="5"/>
      <c r="D2769" s="5"/>
    </row>
    <row r="2770">
      <c r="C2770" s="5"/>
      <c r="D2770" s="5"/>
    </row>
    <row r="2771">
      <c r="C2771" s="5"/>
      <c r="D2771" s="5"/>
    </row>
    <row r="2772">
      <c r="C2772" s="5"/>
      <c r="D2772" s="5"/>
    </row>
    <row r="2773">
      <c r="C2773" s="5"/>
      <c r="D2773" s="5"/>
    </row>
    <row r="2774">
      <c r="C2774" s="5"/>
      <c r="D2774" s="5"/>
    </row>
    <row r="2775">
      <c r="C2775" s="5"/>
      <c r="D2775" s="5"/>
    </row>
    <row r="2776">
      <c r="C2776" s="5"/>
      <c r="D2776" s="5"/>
    </row>
    <row r="2777">
      <c r="C2777" s="5"/>
      <c r="D2777" s="5"/>
    </row>
    <row r="2778">
      <c r="C2778" s="5"/>
      <c r="D2778" s="5"/>
    </row>
    <row r="2779">
      <c r="C2779" s="5"/>
      <c r="D2779" s="5"/>
    </row>
    <row r="2780">
      <c r="C2780" s="5"/>
      <c r="D2780" s="5"/>
    </row>
    <row r="2781">
      <c r="C2781" s="5"/>
      <c r="D2781" s="5"/>
    </row>
    <row r="2782">
      <c r="C2782" s="5"/>
      <c r="D2782" s="5"/>
    </row>
    <row r="2783">
      <c r="C2783" s="5"/>
      <c r="D2783" s="5"/>
    </row>
    <row r="2784">
      <c r="C2784" s="5"/>
      <c r="D2784" s="5"/>
    </row>
    <row r="2785">
      <c r="C2785" s="5"/>
      <c r="D2785" s="5"/>
    </row>
    <row r="2786">
      <c r="C2786" s="5"/>
      <c r="D2786" s="5"/>
    </row>
    <row r="2787">
      <c r="C2787" s="5"/>
      <c r="D2787" s="5"/>
    </row>
    <row r="2788">
      <c r="C2788" s="5"/>
      <c r="D2788" s="5"/>
    </row>
    <row r="2789">
      <c r="C2789" s="5"/>
      <c r="D2789" s="5"/>
    </row>
    <row r="2790">
      <c r="C2790" s="5"/>
      <c r="D2790" s="5"/>
    </row>
    <row r="2791">
      <c r="C2791" s="5"/>
      <c r="D2791" s="5"/>
    </row>
    <row r="2792">
      <c r="C2792" s="5"/>
      <c r="D2792" s="5"/>
    </row>
    <row r="2793">
      <c r="C2793" s="5"/>
      <c r="D2793" s="5"/>
    </row>
    <row r="2794">
      <c r="C2794" s="5"/>
      <c r="D2794" s="5"/>
    </row>
    <row r="2795">
      <c r="C2795" s="5"/>
      <c r="D2795" s="5"/>
    </row>
    <row r="2796">
      <c r="C2796" s="5"/>
      <c r="D2796" s="5"/>
    </row>
    <row r="2797">
      <c r="C2797" s="5"/>
      <c r="D2797" s="5"/>
    </row>
    <row r="2798">
      <c r="C2798" s="5"/>
      <c r="D2798" s="5"/>
    </row>
    <row r="2799">
      <c r="C2799" s="5"/>
      <c r="D2799" s="5"/>
    </row>
    <row r="2800">
      <c r="C2800" s="5"/>
      <c r="D2800" s="5"/>
    </row>
    <row r="2801">
      <c r="C2801" s="5"/>
      <c r="D2801" s="5"/>
    </row>
    <row r="2802">
      <c r="C2802" s="5"/>
      <c r="D2802" s="5"/>
    </row>
    <row r="2803">
      <c r="C2803" s="5"/>
      <c r="D2803" s="5"/>
    </row>
    <row r="2804">
      <c r="C2804" s="5"/>
      <c r="D2804" s="5"/>
    </row>
    <row r="2805">
      <c r="C2805" s="5"/>
      <c r="D2805" s="5"/>
    </row>
    <row r="2806">
      <c r="C2806" s="5"/>
      <c r="D2806" s="5"/>
    </row>
    <row r="2807">
      <c r="C2807" s="5"/>
      <c r="D2807" s="5"/>
    </row>
    <row r="2808">
      <c r="C2808" s="5"/>
      <c r="D2808" s="5"/>
    </row>
    <row r="2809">
      <c r="C2809" s="5"/>
      <c r="D2809" s="5"/>
    </row>
    <row r="2810">
      <c r="C2810" s="5"/>
      <c r="D2810" s="5"/>
    </row>
    <row r="2811">
      <c r="C2811" s="5"/>
      <c r="D2811" s="5"/>
    </row>
    <row r="2812">
      <c r="C2812" s="5"/>
      <c r="D2812" s="5"/>
    </row>
    <row r="2813">
      <c r="C2813" s="5"/>
      <c r="D2813" s="5"/>
    </row>
    <row r="2814">
      <c r="C2814" s="5"/>
      <c r="D2814" s="5"/>
    </row>
    <row r="2815">
      <c r="C2815" s="5"/>
      <c r="D2815" s="5"/>
    </row>
    <row r="2816">
      <c r="C2816" s="5"/>
      <c r="D2816" s="5"/>
    </row>
    <row r="2817">
      <c r="C2817" s="5"/>
      <c r="D2817" s="5"/>
    </row>
    <row r="2818">
      <c r="C2818" s="5"/>
      <c r="D2818" s="5"/>
    </row>
    <row r="2819">
      <c r="C2819" s="5"/>
      <c r="D2819" s="5"/>
    </row>
    <row r="2820">
      <c r="C2820" s="5"/>
      <c r="D2820" s="5"/>
    </row>
    <row r="2821">
      <c r="C2821" s="5"/>
      <c r="D2821" s="5"/>
    </row>
    <row r="2822">
      <c r="C2822" s="5"/>
      <c r="D2822" s="5"/>
    </row>
    <row r="2823">
      <c r="C2823" s="5"/>
      <c r="D2823" s="5"/>
    </row>
    <row r="2824">
      <c r="C2824" s="5"/>
      <c r="D2824" s="5"/>
    </row>
    <row r="2825">
      <c r="C2825" s="5"/>
      <c r="D2825" s="5"/>
    </row>
    <row r="2826">
      <c r="C2826" s="5"/>
      <c r="D2826" s="5"/>
    </row>
    <row r="2827">
      <c r="C2827" s="5"/>
      <c r="D2827" s="5"/>
    </row>
    <row r="2828">
      <c r="C2828" s="5"/>
      <c r="D2828" s="5"/>
    </row>
    <row r="2829">
      <c r="C2829" s="5"/>
      <c r="D2829" s="5"/>
    </row>
    <row r="2830">
      <c r="C2830" s="5"/>
      <c r="D2830" s="5"/>
    </row>
    <row r="2831">
      <c r="C2831" s="5"/>
      <c r="D2831" s="5"/>
    </row>
    <row r="2832">
      <c r="C2832" s="5"/>
      <c r="D2832" s="5"/>
    </row>
    <row r="2833">
      <c r="C2833" s="5"/>
      <c r="D2833" s="5"/>
    </row>
    <row r="2834">
      <c r="C2834" s="5"/>
      <c r="D2834" s="5"/>
    </row>
    <row r="2835">
      <c r="C2835" s="5"/>
      <c r="D2835" s="5"/>
    </row>
    <row r="2836">
      <c r="C2836" s="5"/>
      <c r="D2836" s="5"/>
    </row>
    <row r="2837">
      <c r="C2837" s="5"/>
      <c r="D2837" s="5"/>
    </row>
    <row r="2838">
      <c r="C2838" s="5"/>
      <c r="D2838" s="5"/>
    </row>
    <row r="2839">
      <c r="C2839" s="5"/>
      <c r="D2839" s="5"/>
    </row>
    <row r="2840">
      <c r="C2840" s="5"/>
      <c r="D2840" s="5"/>
    </row>
    <row r="2841">
      <c r="C2841" s="5"/>
      <c r="D2841" s="5"/>
    </row>
    <row r="2842">
      <c r="C2842" s="5"/>
      <c r="D2842" s="5"/>
    </row>
    <row r="2843">
      <c r="C2843" s="5"/>
      <c r="D2843" s="5"/>
    </row>
    <row r="2844">
      <c r="C2844" s="5"/>
      <c r="D2844" s="5"/>
    </row>
    <row r="2845">
      <c r="C2845" s="5"/>
      <c r="D2845" s="5"/>
    </row>
    <row r="2846">
      <c r="C2846" s="5"/>
      <c r="D2846" s="5"/>
    </row>
    <row r="2847">
      <c r="C2847" s="5"/>
      <c r="D2847" s="5"/>
    </row>
    <row r="2848">
      <c r="C2848" s="5"/>
      <c r="D2848" s="5"/>
    </row>
    <row r="2849">
      <c r="C2849" s="5"/>
      <c r="D2849" s="5"/>
    </row>
    <row r="2850">
      <c r="C2850" s="5"/>
      <c r="D2850" s="5"/>
    </row>
    <row r="2851">
      <c r="C2851" s="5"/>
      <c r="D2851" s="5"/>
    </row>
    <row r="2852">
      <c r="C2852" s="5"/>
      <c r="D2852" s="5"/>
    </row>
    <row r="2853">
      <c r="C2853" s="5"/>
      <c r="D2853" s="5"/>
    </row>
    <row r="2854">
      <c r="C2854" s="5"/>
      <c r="D2854" s="5"/>
    </row>
    <row r="2855">
      <c r="C2855" s="5"/>
      <c r="D2855" s="5"/>
    </row>
    <row r="2856">
      <c r="C2856" s="5"/>
      <c r="D2856" s="5"/>
    </row>
    <row r="2857">
      <c r="C2857" s="5"/>
      <c r="D2857" s="5"/>
    </row>
    <row r="2858">
      <c r="C2858" s="5"/>
      <c r="D2858" s="5"/>
    </row>
    <row r="2859">
      <c r="C2859" s="5"/>
      <c r="D2859" s="5"/>
    </row>
    <row r="2860">
      <c r="C2860" s="5"/>
      <c r="D2860" s="5"/>
    </row>
    <row r="2861">
      <c r="C2861" s="5"/>
      <c r="D2861" s="5"/>
    </row>
    <row r="2862">
      <c r="C2862" s="5"/>
      <c r="D2862" s="5"/>
    </row>
    <row r="2863">
      <c r="C2863" s="5"/>
      <c r="D2863" s="5"/>
    </row>
    <row r="2864">
      <c r="C2864" s="5"/>
      <c r="D2864" s="5"/>
    </row>
    <row r="2865">
      <c r="C2865" s="5"/>
      <c r="D2865" s="5"/>
    </row>
    <row r="2866">
      <c r="C2866" s="5"/>
      <c r="D2866" s="5"/>
    </row>
    <row r="2867">
      <c r="C2867" s="5"/>
      <c r="D2867" s="5"/>
    </row>
    <row r="2868">
      <c r="C2868" s="5"/>
      <c r="D2868" s="5"/>
    </row>
    <row r="2869">
      <c r="C2869" s="5"/>
      <c r="D2869" s="5"/>
    </row>
    <row r="2870">
      <c r="C2870" s="5"/>
      <c r="D2870" s="5"/>
    </row>
    <row r="2871">
      <c r="C2871" s="5"/>
      <c r="D2871" s="5"/>
    </row>
    <row r="2872">
      <c r="C2872" s="5"/>
      <c r="D2872" s="5"/>
    </row>
    <row r="2873">
      <c r="C2873" s="5"/>
      <c r="D2873" s="5"/>
    </row>
    <row r="2874">
      <c r="C2874" s="5"/>
      <c r="D2874" s="5"/>
    </row>
    <row r="2875">
      <c r="C2875" s="5"/>
      <c r="D2875" s="5"/>
    </row>
    <row r="2876">
      <c r="C2876" s="5"/>
      <c r="D2876" s="5"/>
    </row>
    <row r="2877">
      <c r="C2877" s="5"/>
      <c r="D2877" s="5"/>
    </row>
    <row r="2878">
      <c r="C2878" s="5"/>
      <c r="D2878" s="5"/>
    </row>
    <row r="2879">
      <c r="C2879" s="5"/>
      <c r="D2879" s="5"/>
    </row>
    <row r="2880">
      <c r="C2880" s="5"/>
      <c r="D2880" s="5"/>
    </row>
    <row r="2881">
      <c r="C2881" s="5"/>
      <c r="D2881" s="5"/>
    </row>
    <row r="2882">
      <c r="C2882" s="5"/>
      <c r="D2882" s="5"/>
    </row>
    <row r="2883">
      <c r="C2883" s="5"/>
      <c r="D2883" s="5"/>
    </row>
    <row r="2884">
      <c r="C2884" s="5"/>
      <c r="D2884" s="5"/>
    </row>
    <row r="2885">
      <c r="C2885" s="5"/>
      <c r="D2885" s="5"/>
    </row>
    <row r="2886">
      <c r="C2886" s="5"/>
      <c r="D2886" s="5"/>
    </row>
    <row r="2887">
      <c r="C2887" s="5"/>
      <c r="D2887" s="5"/>
    </row>
    <row r="2888">
      <c r="C2888" s="5"/>
      <c r="D2888" s="5"/>
    </row>
    <row r="2889">
      <c r="C2889" s="5"/>
      <c r="D2889" s="5"/>
    </row>
    <row r="2890">
      <c r="C2890" s="5"/>
      <c r="D2890" s="5"/>
    </row>
    <row r="2891">
      <c r="C2891" s="5"/>
      <c r="D2891" s="5"/>
    </row>
    <row r="2892">
      <c r="C2892" s="5"/>
      <c r="D2892" s="5"/>
    </row>
    <row r="2893">
      <c r="C2893" s="5"/>
      <c r="D2893" s="5"/>
    </row>
    <row r="2894">
      <c r="C2894" s="5"/>
      <c r="D2894" s="5"/>
    </row>
    <row r="2895">
      <c r="C2895" s="5"/>
      <c r="D2895" s="5"/>
    </row>
    <row r="2896">
      <c r="C2896" s="5"/>
      <c r="D2896" s="5"/>
    </row>
    <row r="2897">
      <c r="C2897" s="5"/>
      <c r="D2897" s="5"/>
    </row>
    <row r="2898">
      <c r="C2898" s="5"/>
      <c r="D2898" s="5"/>
    </row>
    <row r="2899">
      <c r="C2899" s="5"/>
      <c r="D2899" s="5"/>
    </row>
    <row r="2900">
      <c r="C2900" s="5"/>
      <c r="D2900" s="5"/>
    </row>
    <row r="2901">
      <c r="C2901" s="5"/>
      <c r="D2901" s="5"/>
    </row>
    <row r="2902">
      <c r="C2902" s="5"/>
      <c r="D2902" s="5"/>
    </row>
    <row r="2903">
      <c r="C2903" s="5"/>
      <c r="D2903" s="5"/>
    </row>
    <row r="2904">
      <c r="C2904" s="5"/>
      <c r="D2904" s="5"/>
    </row>
    <row r="2905">
      <c r="C2905" s="5"/>
      <c r="D2905" s="5"/>
    </row>
    <row r="2906">
      <c r="C2906" s="5"/>
      <c r="D2906" s="5"/>
    </row>
    <row r="2907">
      <c r="C2907" s="5"/>
      <c r="D2907" s="5"/>
    </row>
    <row r="2908">
      <c r="C2908" s="5"/>
      <c r="D2908" s="5"/>
    </row>
    <row r="2909">
      <c r="C2909" s="5"/>
      <c r="D2909" s="5"/>
    </row>
    <row r="2910">
      <c r="C2910" s="5"/>
      <c r="D2910" s="5"/>
    </row>
    <row r="2911">
      <c r="C2911" s="5"/>
      <c r="D2911" s="5"/>
    </row>
    <row r="2912">
      <c r="C2912" s="5"/>
      <c r="D2912" s="5"/>
    </row>
    <row r="2913">
      <c r="C2913" s="5"/>
      <c r="D2913" s="5"/>
    </row>
    <row r="2914">
      <c r="C2914" s="5"/>
      <c r="D2914" s="5"/>
    </row>
    <row r="2915">
      <c r="C2915" s="5"/>
      <c r="D2915" s="5"/>
    </row>
    <row r="2916">
      <c r="C2916" s="5"/>
      <c r="D2916" s="5"/>
    </row>
    <row r="2917">
      <c r="C2917" s="5"/>
      <c r="D2917" s="5"/>
    </row>
    <row r="2918">
      <c r="C2918" s="5"/>
      <c r="D2918" s="5"/>
    </row>
    <row r="2919">
      <c r="C2919" s="5"/>
      <c r="D2919" s="5"/>
    </row>
    <row r="2920">
      <c r="C2920" s="5"/>
      <c r="D2920" s="5"/>
    </row>
    <row r="2921">
      <c r="C2921" s="5"/>
      <c r="D2921" s="5"/>
    </row>
    <row r="2922">
      <c r="C2922" s="5"/>
      <c r="D2922" s="5"/>
    </row>
    <row r="2923">
      <c r="C2923" s="5"/>
      <c r="D2923" s="5"/>
    </row>
    <row r="2924">
      <c r="C2924" s="5"/>
      <c r="D2924" s="5"/>
    </row>
    <row r="2925">
      <c r="C2925" s="5"/>
      <c r="D2925" s="5"/>
    </row>
    <row r="2926">
      <c r="C2926" s="5"/>
      <c r="D2926" s="5"/>
    </row>
    <row r="2927">
      <c r="C2927" s="5"/>
      <c r="D2927" s="5"/>
    </row>
    <row r="2928">
      <c r="C2928" s="5"/>
      <c r="D2928" s="5"/>
    </row>
    <row r="2929">
      <c r="C2929" s="5"/>
      <c r="D2929" s="5"/>
    </row>
    <row r="2930">
      <c r="C2930" s="5"/>
      <c r="D2930" s="5"/>
    </row>
    <row r="2931">
      <c r="C2931" s="5"/>
      <c r="D2931" s="5"/>
    </row>
    <row r="2932">
      <c r="C2932" s="5"/>
      <c r="D2932" s="5"/>
    </row>
    <row r="2933">
      <c r="C2933" s="5"/>
      <c r="D2933" s="5"/>
    </row>
    <row r="2934">
      <c r="C2934" s="5"/>
      <c r="D2934" s="5"/>
    </row>
    <row r="2935">
      <c r="C2935" s="5"/>
      <c r="D2935" s="5"/>
    </row>
    <row r="2936">
      <c r="C2936" s="5"/>
      <c r="D2936" s="5"/>
    </row>
    <row r="2937">
      <c r="C2937" s="5"/>
      <c r="D2937" s="5"/>
    </row>
    <row r="2938">
      <c r="C2938" s="5"/>
      <c r="D2938" s="5"/>
    </row>
    <row r="2939">
      <c r="C2939" s="5"/>
      <c r="D2939" s="5"/>
    </row>
    <row r="2940">
      <c r="C2940" s="5"/>
      <c r="D2940" s="5"/>
    </row>
    <row r="2941">
      <c r="C2941" s="5"/>
      <c r="D2941" s="5"/>
    </row>
    <row r="2942">
      <c r="C2942" s="5"/>
      <c r="D2942" s="5"/>
    </row>
    <row r="2943">
      <c r="C2943" s="5"/>
      <c r="D2943" s="5"/>
    </row>
    <row r="2944">
      <c r="C2944" s="5"/>
      <c r="D2944" s="5"/>
    </row>
    <row r="2945">
      <c r="C2945" s="5"/>
      <c r="D2945" s="5"/>
    </row>
    <row r="2946">
      <c r="C2946" s="5"/>
      <c r="D2946" s="5"/>
    </row>
    <row r="2947">
      <c r="C2947" s="5"/>
      <c r="D2947" s="5"/>
    </row>
    <row r="2948">
      <c r="C2948" s="5"/>
      <c r="D2948" s="5"/>
    </row>
    <row r="2949">
      <c r="C2949" s="5"/>
      <c r="D2949" s="5"/>
    </row>
    <row r="2950">
      <c r="C2950" s="5"/>
      <c r="D2950" s="5"/>
    </row>
    <row r="2951">
      <c r="C2951" s="5"/>
      <c r="D2951" s="5"/>
    </row>
    <row r="2952">
      <c r="C2952" s="5"/>
      <c r="D2952" s="5"/>
    </row>
    <row r="2953">
      <c r="C2953" s="5"/>
      <c r="D2953" s="5"/>
    </row>
    <row r="2954">
      <c r="C2954" s="5"/>
      <c r="D2954" s="5"/>
    </row>
    <row r="2955">
      <c r="C2955" s="5"/>
      <c r="D2955" s="5"/>
    </row>
    <row r="2956">
      <c r="C2956" s="5"/>
      <c r="D2956" s="5"/>
    </row>
    <row r="2957">
      <c r="C2957" s="5"/>
      <c r="D2957" s="5"/>
    </row>
    <row r="2958">
      <c r="C2958" s="5"/>
      <c r="D2958" s="5"/>
    </row>
    <row r="2959">
      <c r="C2959" s="5"/>
      <c r="D2959" s="5"/>
    </row>
    <row r="2960">
      <c r="C2960" s="5"/>
      <c r="D2960" s="5"/>
    </row>
    <row r="2961">
      <c r="C2961" s="5"/>
      <c r="D2961" s="5"/>
    </row>
    <row r="2962">
      <c r="C2962" s="5"/>
      <c r="D2962" s="5"/>
    </row>
    <row r="2963">
      <c r="C2963" s="5"/>
      <c r="D2963" s="5"/>
    </row>
    <row r="2964">
      <c r="C2964" s="5"/>
      <c r="D2964" s="5"/>
    </row>
    <row r="2965">
      <c r="C2965" s="5"/>
      <c r="D2965" s="5"/>
    </row>
    <row r="2966">
      <c r="C2966" s="5"/>
      <c r="D2966" s="5"/>
    </row>
    <row r="2967">
      <c r="C2967" s="5"/>
      <c r="D2967" s="5"/>
    </row>
    <row r="2968">
      <c r="C2968" s="5"/>
      <c r="D2968" s="5"/>
    </row>
    <row r="2969">
      <c r="C2969" s="5"/>
      <c r="D2969" s="5"/>
    </row>
    <row r="2970">
      <c r="C2970" s="5"/>
      <c r="D2970" s="5"/>
    </row>
    <row r="2971">
      <c r="C2971" s="5"/>
      <c r="D2971" s="5"/>
    </row>
    <row r="2972">
      <c r="C2972" s="5"/>
      <c r="D2972" s="5"/>
    </row>
    <row r="2973">
      <c r="C2973" s="5"/>
      <c r="D2973" s="5"/>
    </row>
    <row r="2974">
      <c r="C2974" s="5"/>
      <c r="D2974" s="5"/>
    </row>
    <row r="2975">
      <c r="C2975" s="5"/>
      <c r="D2975" s="5"/>
    </row>
    <row r="2976">
      <c r="C2976" s="5"/>
      <c r="D2976" s="5"/>
    </row>
    <row r="2977">
      <c r="C2977" s="5"/>
      <c r="D2977" s="5"/>
    </row>
    <row r="2978">
      <c r="C2978" s="5"/>
      <c r="D2978" s="5"/>
    </row>
    <row r="2979">
      <c r="C2979" s="5"/>
      <c r="D2979" s="5"/>
    </row>
    <row r="2980">
      <c r="C2980" s="5"/>
      <c r="D2980" s="5"/>
    </row>
    <row r="2981">
      <c r="C2981" s="5"/>
      <c r="D2981" s="5"/>
    </row>
    <row r="2982">
      <c r="C2982" s="5"/>
      <c r="D2982" s="5"/>
    </row>
    <row r="2983">
      <c r="C2983" s="5"/>
      <c r="D2983" s="5"/>
    </row>
    <row r="2984">
      <c r="C2984" s="5"/>
      <c r="D2984" s="5"/>
    </row>
    <row r="2985">
      <c r="C2985" s="5"/>
      <c r="D2985" s="5"/>
    </row>
    <row r="2986">
      <c r="C2986" s="5"/>
      <c r="D2986" s="5"/>
    </row>
    <row r="2987">
      <c r="C2987" s="5"/>
      <c r="D2987" s="5"/>
    </row>
    <row r="2988">
      <c r="C2988" s="5"/>
      <c r="D2988" s="5"/>
    </row>
    <row r="2989">
      <c r="C2989" s="5"/>
      <c r="D2989" s="5"/>
    </row>
    <row r="2990">
      <c r="C2990" s="5"/>
      <c r="D2990" s="5"/>
    </row>
    <row r="2991">
      <c r="C2991" s="5"/>
      <c r="D2991" s="5"/>
    </row>
    <row r="2992">
      <c r="C2992" s="5"/>
      <c r="D2992" s="5"/>
    </row>
    <row r="2993">
      <c r="C2993" s="5"/>
      <c r="D2993" s="5"/>
    </row>
    <row r="2994">
      <c r="C2994" s="5"/>
      <c r="D2994" s="5"/>
    </row>
    <row r="2995">
      <c r="C2995" s="5"/>
      <c r="D2995" s="5"/>
    </row>
    <row r="2996">
      <c r="C2996" s="5"/>
      <c r="D2996" s="5"/>
    </row>
    <row r="2997">
      <c r="C2997" s="5"/>
      <c r="D2997" s="5"/>
    </row>
    <row r="2998">
      <c r="C2998" s="5"/>
      <c r="D2998" s="5"/>
    </row>
    <row r="2999">
      <c r="C2999" s="5"/>
      <c r="D2999" s="5"/>
    </row>
    <row r="3000">
      <c r="C3000" s="5"/>
      <c r="D3000" s="5"/>
    </row>
    <row r="3001">
      <c r="C3001" s="5"/>
      <c r="D3001" s="5"/>
    </row>
    <row r="3002">
      <c r="C3002" s="5"/>
      <c r="D3002" s="5"/>
    </row>
    <row r="3003">
      <c r="C3003" s="5"/>
      <c r="D3003" s="5"/>
    </row>
    <row r="3004">
      <c r="C3004" s="5"/>
      <c r="D3004" s="5"/>
    </row>
    <row r="3005">
      <c r="C3005" s="5"/>
      <c r="D3005" s="5"/>
    </row>
    <row r="3006">
      <c r="C3006" s="5"/>
      <c r="D3006" s="5"/>
    </row>
    <row r="3007">
      <c r="C3007" s="5"/>
      <c r="D3007" s="5"/>
    </row>
    <row r="3008">
      <c r="C3008" s="5"/>
      <c r="D3008" s="5"/>
    </row>
    <row r="3009">
      <c r="C3009" s="5"/>
      <c r="D3009" s="5"/>
    </row>
    <row r="3010">
      <c r="C3010" s="5"/>
      <c r="D3010" s="5"/>
    </row>
    <row r="3011">
      <c r="C3011" s="5"/>
      <c r="D3011" s="5"/>
    </row>
    <row r="3012">
      <c r="C3012" s="5"/>
      <c r="D3012" s="5"/>
    </row>
    <row r="3013">
      <c r="C3013" s="5"/>
      <c r="D3013" s="5"/>
    </row>
    <row r="3014">
      <c r="C3014" s="5"/>
      <c r="D3014" s="5"/>
    </row>
    <row r="3015">
      <c r="C3015" s="5"/>
      <c r="D3015" s="5"/>
    </row>
    <row r="3016">
      <c r="C3016" s="5"/>
      <c r="D3016" s="5"/>
    </row>
    <row r="3017">
      <c r="C3017" s="5"/>
      <c r="D3017" s="5"/>
    </row>
    <row r="3018">
      <c r="C3018" s="5"/>
      <c r="D3018" s="5"/>
    </row>
    <row r="3019">
      <c r="C3019" s="5"/>
      <c r="D3019" s="5"/>
    </row>
    <row r="3020">
      <c r="C3020" s="5"/>
      <c r="D3020" s="5"/>
    </row>
    <row r="3021">
      <c r="C3021" s="5"/>
      <c r="D3021" s="5"/>
    </row>
    <row r="3022">
      <c r="C3022" s="5"/>
      <c r="D3022" s="5"/>
    </row>
    <row r="3023">
      <c r="C3023" s="5"/>
      <c r="D3023" s="5"/>
    </row>
    <row r="3024">
      <c r="C3024" s="5"/>
      <c r="D3024" s="5"/>
    </row>
    <row r="3025">
      <c r="C3025" s="5"/>
      <c r="D3025" s="5"/>
    </row>
    <row r="3026">
      <c r="C3026" s="5"/>
      <c r="D3026" s="5"/>
    </row>
    <row r="3027">
      <c r="C3027" s="5"/>
      <c r="D3027" s="5"/>
    </row>
    <row r="3028">
      <c r="C3028" s="5"/>
      <c r="D3028" s="5"/>
    </row>
    <row r="3029">
      <c r="C3029" s="5"/>
      <c r="D3029" s="5"/>
    </row>
    <row r="3030">
      <c r="C3030" s="5"/>
      <c r="D3030" s="5"/>
    </row>
    <row r="3031">
      <c r="C3031" s="5"/>
      <c r="D3031" s="5"/>
    </row>
    <row r="3032">
      <c r="C3032" s="5"/>
      <c r="D3032" s="5"/>
    </row>
    <row r="3033">
      <c r="C3033" s="5"/>
      <c r="D3033" s="5"/>
    </row>
    <row r="3034">
      <c r="C3034" s="5"/>
      <c r="D3034" s="5"/>
    </row>
    <row r="3035">
      <c r="C3035" s="5"/>
      <c r="D3035" s="5"/>
    </row>
    <row r="3036">
      <c r="C3036" s="5"/>
      <c r="D3036" s="5"/>
    </row>
    <row r="3037">
      <c r="C3037" s="5"/>
      <c r="D3037" s="5"/>
    </row>
    <row r="3038">
      <c r="C3038" s="5"/>
      <c r="D3038" s="5"/>
    </row>
    <row r="3039">
      <c r="C3039" s="5"/>
      <c r="D3039" s="5"/>
    </row>
    <row r="3040">
      <c r="C3040" s="5"/>
      <c r="D3040" s="5"/>
    </row>
    <row r="3041">
      <c r="C3041" s="5"/>
      <c r="D3041" s="5"/>
    </row>
    <row r="3042">
      <c r="C3042" s="5"/>
      <c r="D3042" s="5"/>
    </row>
    <row r="3043">
      <c r="C3043" s="5"/>
      <c r="D3043" s="5"/>
    </row>
    <row r="3044">
      <c r="C3044" s="5"/>
      <c r="D3044" s="5"/>
    </row>
    <row r="3045">
      <c r="C3045" s="5"/>
      <c r="D3045" s="5"/>
    </row>
    <row r="3046">
      <c r="C3046" s="5"/>
      <c r="D3046" s="5"/>
    </row>
    <row r="3047">
      <c r="C3047" s="5"/>
      <c r="D3047" s="5"/>
    </row>
    <row r="3048">
      <c r="C3048" s="5"/>
      <c r="D3048" s="5"/>
    </row>
    <row r="3049">
      <c r="C3049" s="5"/>
      <c r="D3049" s="5"/>
    </row>
    <row r="3050">
      <c r="C3050" s="5"/>
      <c r="D3050" s="5"/>
    </row>
    <row r="3051">
      <c r="C3051" s="5"/>
      <c r="D3051" s="5"/>
    </row>
    <row r="3052">
      <c r="C3052" s="5"/>
      <c r="D3052" s="5"/>
    </row>
    <row r="3053">
      <c r="C3053" s="5"/>
      <c r="D3053" s="5"/>
    </row>
    <row r="3054">
      <c r="C3054" s="5"/>
      <c r="D3054" s="5"/>
    </row>
    <row r="3055">
      <c r="C3055" s="5"/>
      <c r="D3055" s="5"/>
    </row>
    <row r="3056">
      <c r="C3056" s="5"/>
      <c r="D3056" s="5"/>
    </row>
    <row r="3057">
      <c r="C3057" s="5"/>
      <c r="D3057" s="5"/>
    </row>
    <row r="3058">
      <c r="C3058" s="5"/>
      <c r="D3058" s="5"/>
    </row>
    <row r="3059">
      <c r="C3059" s="5"/>
      <c r="D3059" s="5"/>
    </row>
    <row r="3060">
      <c r="C3060" s="5"/>
      <c r="D3060" s="5"/>
    </row>
    <row r="3061">
      <c r="C3061" s="5"/>
      <c r="D3061" s="5"/>
    </row>
    <row r="3062">
      <c r="C3062" s="5"/>
      <c r="D3062" s="5"/>
    </row>
    <row r="3063">
      <c r="C3063" s="5"/>
      <c r="D3063" s="5"/>
    </row>
    <row r="3064">
      <c r="C3064" s="5"/>
      <c r="D3064" s="5"/>
    </row>
    <row r="3065">
      <c r="C3065" s="5"/>
      <c r="D3065" s="5"/>
    </row>
    <row r="3066">
      <c r="C3066" s="5"/>
      <c r="D3066" s="5"/>
    </row>
    <row r="3067">
      <c r="C3067" s="5"/>
      <c r="D3067" s="5"/>
    </row>
    <row r="3068">
      <c r="C3068" s="5"/>
      <c r="D3068" s="5"/>
    </row>
    <row r="3069">
      <c r="C3069" s="5"/>
      <c r="D3069" s="5"/>
    </row>
    <row r="3070">
      <c r="C3070" s="5"/>
      <c r="D3070" s="5"/>
    </row>
    <row r="3071">
      <c r="C3071" s="5"/>
      <c r="D3071" s="5"/>
    </row>
    <row r="3072">
      <c r="C3072" s="5"/>
      <c r="D3072" s="5"/>
    </row>
    <row r="3073">
      <c r="C3073" s="5"/>
      <c r="D3073" s="5"/>
    </row>
    <row r="3074">
      <c r="C3074" s="5"/>
      <c r="D3074" s="5"/>
    </row>
    <row r="3075">
      <c r="C3075" s="5"/>
      <c r="D3075" s="5"/>
    </row>
    <row r="3076">
      <c r="C3076" s="5"/>
      <c r="D3076" s="5"/>
    </row>
    <row r="3077">
      <c r="C3077" s="5"/>
      <c r="D3077" s="5"/>
    </row>
    <row r="3078">
      <c r="C3078" s="5"/>
      <c r="D3078" s="5"/>
    </row>
    <row r="3079">
      <c r="C3079" s="5"/>
      <c r="D3079" s="5"/>
    </row>
    <row r="3080">
      <c r="C3080" s="5"/>
      <c r="D3080" s="5"/>
    </row>
    <row r="3081">
      <c r="C3081" s="5"/>
      <c r="D3081" s="5"/>
    </row>
    <row r="3082">
      <c r="C3082" s="5"/>
      <c r="D3082" s="5"/>
    </row>
    <row r="3083">
      <c r="C3083" s="5"/>
      <c r="D3083" s="5"/>
    </row>
    <row r="3084">
      <c r="C3084" s="5"/>
      <c r="D3084" s="5"/>
    </row>
    <row r="3085">
      <c r="C3085" s="5"/>
      <c r="D3085" s="5"/>
    </row>
    <row r="3086">
      <c r="C3086" s="5"/>
      <c r="D3086" s="5"/>
    </row>
    <row r="3087">
      <c r="C3087" s="5"/>
      <c r="D3087" s="5"/>
    </row>
    <row r="3088">
      <c r="C3088" s="5"/>
      <c r="D3088" s="5"/>
    </row>
    <row r="3089">
      <c r="C3089" s="5"/>
      <c r="D3089" s="5"/>
    </row>
    <row r="3090">
      <c r="C3090" s="5"/>
      <c r="D3090" s="5"/>
    </row>
    <row r="3091">
      <c r="C3091" s="5"/>
      <c r="D3091" s="5"/>
    </row>
    <row r="3092">
      <c r="C3092" s="5"/>
      <c r="D3092" s="5"/>
    </row>
    <row r="3093">
      <c r="C3093" s="5"/>
      <c r="D3093" s="5"/>
    </row>
    <row r="3094">
      <c r="C3094" s="5"/>
      <c r="D3094" s="5"/>
    </row>
    <row r="3095">
      <c r="C3095" s="5"/>
      <c r="D3095" s="5"/>
    </row>
    <row r="3096">
      <c r="C3096" s="5"/>
      <c r="D3096" s="5"/>
    </row>
    <row r="3097">
      <c r="C3097" s="5"/>
      <c r="D3097" s="5"/>
    </row>
    <row r="3098">
      <c r="C3098" s="5"/>
      <c r="D3098" s="5"/>
    </row>
    <row r="3099">
      <c r="C3099" s="5"/>
      <c r="D3099" s="5"/>
    </row>
    <row r="3100">
      <c r="C3100" s="5"/>
      <c r="D3100" s="5"/>
    </row>
    <row r="3101">
      <c r="C3101" s="5"/>
      <c r="D3101" s="5"/>
    </row>
    <row r="3102">
      <c r="C3102" s="5"/>
      <c r="D3102" s="5"/>
    </row>
    <row r="3103">
      <c r="C3103" s="5"/>
      <c r="D3103" s="5"/>
    </row>
    <row r="3104">
      <c r="C3104" s="5"/>
      <c r="D3104" s="5"/>
    </row>
    <row r="3105">
      <c r="C3105" s="5"/>
      <c r="D3105" s="5"/>
    </row>
    <row r="3106">
      <c r="C3106" s="5"/>
      <c r="D3106" s="5"/>
    </row>
    <row r="3107">
      <c r="C3107" s="5"/>
      <c r="D3107" s="5"/>
    </row>
    <row r="3108">
      <c r="C3108" s="5"/>
      <c r="D3108" s="5"/>
    </row>
    <row r="3109">
      <c r="C3109" s="5"/>
      <c r="D3109" s="5"/>
    </row>
    <row r="3110">
      <c r="C3110" s="5"/>
      <c r="D3110" s="5"/>
    </row>
    <row r="3111">
      <c r="C3111" s="5"/>
      <c r="D3111" s="5"/>
    </row>
    <row r="3112">
      <c r="C3112" s="5"/>
      <c r="D3112" s="5"/>
    </row>
    <row r="3113">
      <c r="C3113" s="5"/>
      <c r="D3113" s="5"/>
    </row>
    <row r="3114">
      <c r="C3114" s="5"/>
      <c r="D3114" s="5"/>
    </row>
    <row r="3115">
      <c r="C3115" s="5"/>
      <c r="D3115" s="5"/>
    </row>
    <row r="3116">
      <c r="C3116" s="5"/>
      <c r="D3116" s="5"/>
    </row>
    <row r="3117">
      <c r="C3117" s="5"/>
      <c r="D3117" s="5"/>
    </row>
    <row r="3118">
      <c r="C3118" s="5"/>
      <c r="D3118" s="5"/>
    </row>
    <row r="3119">
      <c r="C3119" s="5"/>
      <c r="D3119" s="5"/>
    </row>
    <row r="3120">
      <c r="C3120" s="5"/>
      <c r="D3120" s="5"/>
    </row>
    <row r="3121">
      <c r="C3121" s="5"/>
      <c r="D3121" s="5"/>
    </row>
    <row r="3122">
      <c r="C3122" s="5"/>
      <c r="D3122" s="5"/>
    </row>
    <row r="3123">
      <c r="C3123" s="5"/>
      <c r="D3123" s="5"/>
    </row>
    <row r="3124">
      <c r="C3124" s="5"/>
      <c r="D3124" s="5"/>
    </row>
    <row r="3125">
      <c r="C3125" s="5"/>
      <c r="D3125" s="5"/>
    </row>
    <row r="3126">
      <c r="C3126" s="5"/>
      <c r="D3126" s="5"/>
    </row>
    <row r="3127">
      <c r="C3127" s="5"/>
      <c r="D3127" s="5"/>
    </row>
    <row r="3128">
      <c r="C3128" s="5"/>
      <c r="D3128" s="5"/>
    </row>
    <row r="3129">
      <c r="C3129" s="5"/>
      <c r="D3129" s="5"/>
    </row>
    <row r="3130">
      <c r="C3130" s="5"/>
      <c r="D3130" s="5"/>
    </row>
    <row r="3131">
      <c r="C3131" s="5"/>
      <c r="D3131" s="5"/>
    </row>
    <row r="3132">
      <c r="C3132" s="5"/>
      <c r="D3132" s="5"/>
    </row>
    <row r="3133">
      <c r="C3133" s="5"/>
      <c r="D3133" s="5"/>
    </row>
    <row r="3134">
      <c r="C3134" s="5"/>
      <c r="D3134" s="5"/>
    </row>
    <row r="3135">
      <c r="C3135" s="5"/>
      <c r="D3135" s="5"/>
    </row>
    <row r="3136">
      <c r="C3136" s="5"/>
      <c r="D3136" s="5"/>
    </row>
    <row r="3137">
      <c r="C3137" s="5"/>
      <c r="D3137" s="5"/>
    </row>
    <row r="3138">
      <c r="C3138" s="5"/>
      <c r="D3138" s="5"/>
    </row>
    <row r="3139">
      <c r="C3139" s="5"/>
      <c r="D3139" s="5"/>
    </row>
    <row r="3140">
      <c r="C3140" s="5"/>
      <c r="D3140" s="5"/>
    </row>
    <row r="3141">
      <c r="C3141" s="5"/>
      <c r="D3141" s="5"/>
    </row>
    <row r="3142">
      <c r="C3142" s="5"/>
      <c r="D3142" s="5"/>
    </row>
    <row r="3143">
      <c r="C3143" s="5"/>
      <c r="D3143" s="5"/>
    </row>
    <row r="3144">
      <c r="C3144" s="5"/>
      <c r="D3144" s="5"/>
    </row>
    <row r="3145">
      <c r="C3145" s="5"/>
      <c r="D3145" s="5"/>
    </row>
    <row r="3146">
      <c r="C3146" s="5"/>
      <c r="D3146" s="5"/>
    </row>
    <row r="3147">
      <c r="C3147" s="5"/>
      <c r="D3147" s="5"/>
    </row>
    <row r="3148">
      <c r="C3148" s="5"/>
      <c r="D3148" s="5"/>
    </row>
    <row r="3149">
      <c r="C3149" s="5"/>
      <c r="D3149" s="5"/>
    </row>
    <row r="3150">
      <c r="C3150" s="5"/>
      <c r="D3150" s="5"/>
    </row>
    <row r="3151">
      <c r="C3151" s="5"/>
      <c r="D3151" s="5"/>
    </row>
    <row r="3152">
      <c r="C3152" s="5"/>
      <c r="D3152" s="5"/>
    </row>
    <row r="3153">
      <c r="C3153" s="5"/>
      <c r="D3153" s="5"/>
    </row>
    <row r="3154">
      <c r="C3154" s="5"/>
      <c r="D3154" s="5"/>
    </row>
    <row r="3155">
      <c r="C3155" s="5"/>
      <c r="D3155" s="5"/>
    </row>
    <row r="3156">
      <c r="C3156" s="5"/>
      <c r="D3156" s="5"/>
    </row>
    <row r="3157">
      <c r="C3157" s="5"/>
      <c r="D3157" s="5"/>
    </row>
    <row r="3158">
      <c r="C3158" s="5"/>
      <c r="D3158" s="5"/>
    </row>
    <row r="3159">
      <c r="C3159" s="5"/>
      <c r="D3159" s="5"/>
    </row>
    <row r="3160">
      <c r="C3160" s="5"/>
      <c r="D3160" s="5"/>
    </row>
    <row r="3161">
      <c r="C3161" s="5"/>
      <c r="D3161" s="5"/>
    </row>
    <row r="3162">
      <c r="C3162" s="5"/>
      <c r="D3162" s="5"/>
    </row>
    <row r="3163">
      <c r="C3163" s="5"/>
      <c r="D3163" s="5"/>
    </row>
    <row r="3164">
      <c r="C3164" s="5"/>
      <c r="D3164" s="5"/>
    </row>
    <row r="3165">
      <c r="C3165" s="5"/>
      <c r="D3165" s="5"/>
    </row>
    <row r="3166">
      <c r="C3166" s="5"/>
      <c r="D3166" s="5"/>
    </row>
    <row r="3167">
      <c r="C3167" s="5"/>
      <c r="D3167" s="5"/>
    </row>
    <row r="3168">
      <c r="C3168" s="5"/>
      <c r="D3168" s="5"/>
    </row>
    <row r="3169">
      <c r="C3169" s="5"/>
      <c r="D3169" s="5"/>
    </row>
    <row r="3170">
      <c r="C3170" s="5"/>
      <c r="D3170" s="5"/>
    </row>
    <row r="3171">
      <c r="C3171" s="5"/>
      <c r="D3171" s="5"/>
    </row>
    <row r="3172">
      <c r="C3172" s="5"/>
      <c r="D3172" s="5"/>
    </row>
    <row r="3173">
      <c r="C3173" s="5"/>
      <c r="D3173" s="5"/>
    </row>
    <row r="3174">
      <c r="C3174" s="5"/>
      <c r="D3174" s="5"/>
    </row>
    <row r="3175">
      <c r="C3175" s="5"/>
      <c r="D3175" s="5"/>
    </row>
    <row r="3176">
      <c r="C3176" s="5"/>
      <c r="D3176" s="5"/>
    </row>
    <row r="3177">
      <c r="C3177" s="5"/>
      <c r="D3177" s="5"/>
    </row>
    <row r="3178">
      <c r="C3178" s="5"/>
      <c r="D3178" s="5"/>
    </row>
    <row r="3179">
      <c r="C3179" s="5"/>
      <c r="D3179" s="5"/>
    </row>
    <row r="3180">
      <c r="C3180" s="5"/>
      <c r="D3180" s="5"/>
    </row>
    <row r="3181">
      <c r="C3181" s="5"/>
      <c r="D3181" s="5"/>
    </row>
    <row r="3182">
      <c r="C3182" s="5"/>
      <c r="D3182" s="5"/>
    </row>
    <row r="3183">
      <c r="C3183" s="5"/>
      <c r="D3183" s="5"/>
    </row>
    <row r="3184">
      <c r="C3184" s="5"/>
      <c r="D3184" s="5"/>
    </row>
    <row r="3185">
      <c r="C3185" s="5"/>
      <c r="D3185" s="5"/>
    </row>
    <row r="3186">
      <c r="C3186" s="5"/>
      <c r="D3186" s="5"/>
    </row>
    <row r="3187">
      <c r="C3187" s="5"/>
      <c r="D3187" s="5"/>
    </row>
    <row r="3188">
      <c r="C3188" s="5"/>
      <c r="D3188" s="5"/>
    </row>
    <row r="3189">
      <c r="C3189" s="5"/>
      <c r="D3189" s="5"/>
    </row>
    <row r="3190">
      <c r="C3190" s="5"/>
      <c r="D3190" s="5"/>
    </row>
    <row r="3191">
      <c r="C3191" s="5"/>
      <c r="D3191" s="5"/>
    </row>
    <row r="3192">
      <c r="C3192" s="5"/>
      <c r="D3192" s="5"/>
    </row>
    <row r="3193">
      <c r="C3193" s="5"/>
      <c r="D3193" s="5"/>
    </row>
    <row r="3194">
      <c r="C3194" s="5"/>
      <c r="D3194" s="5"/>
    </row>
    <row r="3195">
      <c r="C3195" s="5"/>
      <c r="D3195" s="5"/>
    </row>
    <row r="3196">
      <c r="C3196" s="5"/>
      <c r="D3196" s="5"/>
    </row>
    <row r="3197">
      <c r="C3197" s="5"/>
      <c r="D3197" s="5"/>
    </row>
    <row r="3198">
      <c r="C3198" s="5"/>
      <c r="D3198" s="5"/>
    </row>
    <row r="3199">
      <c r="C3199" s="5"/>
      <c r="D3199" s="5"/>
    </row>
    <row r="3200">
      <c r="C3200" s="5"/>
      <c r="D3200" s="5"/>
    </row>
    <row r="3201">
      <c r="C3201" s="5"/>
      <c r="D3201" s="5"/>
    </row>
    <row r="3202">
      <c r="C3202" s="5"/>
      <c r="D3202" s="5"/>
    </row>
    <row r="3203">
      <c r="C3203" s="5"/>
      <c r="D3203" s="5"/>
    </row>
    <row r="3204">
      <c r="C3204" s="5"/>
      <c r="D3204" s="5"/>
    </row>
    <row r="3205">
      <c r="C3205" s="5"/>
      <c r="D3205" s="5"/>
    </row>
    <row r="3206">
      <c r="C3206" s="5"/>
      <c r="D3206" s="5"/>
    </row>
    <row r="3207">
      <c r="C3207" s="5"/>
      <c r="D3207" s="5"/>
    </row>
    <row r="3208">
      <c r="C3208" s="5"/>
      <c r="D3208" s="5"/>
    </row>
    <row r="3209">
      <c r="C3209" s="5"/>
      <c r="D3209" s="5"/>
    </row>
    <row r="3210">
      <c r="C3210" s="5"/>
      <c r="D3210" s="5"/>
    </row>
    <row r="3211">
      <c r="C3211" s="5"/>
      <c r="D3211" s="5"/>
    </row>
    <row r="3212">
      <c r="C3212" s="5"/>
      <c r="D3212" s="5"/>
    </row>
    <row r="3213">
      <c r="C3213" s="5"/>
      <c r="D3213" s="5"/>
    </row>
    <row r="3214">
      <c r="C3214" s="5"/>
      <c r="D3214" s="5"/>
    </row>
    <row r="3215">
      <c r="C3215" s="5"/>
      <c r="D3215" s="5"/>
    </row>
    <row r="3216">
      <c r="C3216" s="5"/>
      <c r="D3216" s="5"/>
    </row>
    <row r="3217">
      <c r="C3217" s="5"/>
      <c r="D3217" s="5"/>
    </row>
    <row r="3218">
      <c r="C3218" s="5"/>
      <c r="D3218" s="5"/>
    </row>
    <row r="3219">
      <c r="C3219" s="5"/>
      <c r="D3219" s="5"/>
    </row>
    <row r="3220">
      <c r="C3220" s="5"/>
      <c r="D3220" s="5"/>
    </row>
    <row r="3221">
      <c r="C3221" s="5"/>
      <c r="D3221" s="5"/>
    </row>
    <row r="3222">
      <c r="C3222" s="5"/>
      <c r="D3222" s="5"/>
    </row>
    <row r="3223">
      <c r="C3223" s="5"/>
      <c r="D3223" s="5"/>
    </row>
    <row r="3224">
      <c r="C3224" s="5"/>
      <c r="D3224" s="5"/>
    </row>
    <row r="3225">
      <c r="C3225" s="5"/>
      <c r="D3225" s="5"/>
    </row>
    <row r="3226">
      <c r="C3226" s="5"/>
      <c r="D3226" s="5"/>
    </row>
    <row r="3227">
      <c r="C3227" s="5"/>
      <c r="D3227" s="5"/>
    </row>
    <row r="3228">
      <c r="C3228" s="5"/>
      <c r="D3228" s="5"/>
    </row>
    <row r="3229">
      <c r="C3229" s="5"/>
      <c r="D3229" s="5"/>
    </row>
    <row r="3230">
      <c r="C3230" s="5"/>
      <c r="D3230" s="5"/>
    </row>
    <row r="3231">
      <c r="C3231" s="5"/>
      <c r="D3231" s="5"/>
    </row>
    <row r="3232">
      <c r="C3232" s="5"/>
      <c r="D3232" s="5"/>
    </row>
    <row r="3233">
      <c r="C3233" s="5"/>
      <c r="D3233" s="5"/>
    </row>
    <row r="3234">
      <c r="C3234" s="5"/>
      <c r="D3234" s="5"/>
    </row>
    <row r="3235">
      <c r="C3235" s="5"/>
      <c r="D3235" s="5"/>
    </row>
    <row r="3236">
      <c r="C3236" s="5"/>
      <c r="D3236" s="5"/>
    </row>
    <row r="3237">
      <c r="C3237" s="5"/>
      <c r="D3237" s="5"/>
    </row>
    <row r="3238">
      <c r="C3238" s="5"/>
      <c r="D3238" s="5"/>
    </row>
    <row r="3239">
      <c r="C3239" s="5"/>
      <c r="D3239" s="5"/>
    </row>
    <row r="3240">
      <c r="C3240" s="5"/>
      <c r="D3240" s="5"/>
    </row>
    <row r="3241">
      <c r="C3241" s="5"/>
      <c r="D3241" s="5"/>
    </row>
    <row r="3242">
      <c r="C3242" s="5"/>
      <c r="D3242" s="5"/>
    </row>
    <row r="3243">
      <c r="C3243" s="5"/>
      <c r="D3243" s="5"/>
    </row>
    <row r="3244">
      <c r="C3244" s="5"/>
      <c r="D3244" s="5"/>
    </row>
    <row r="3245">
      <c r="C3245" s="5"/>
      <c r="D3245" s="5"/>
    </row>
    <row r="3246">
      <c r="C3246" s="5"/>
      <c r="D3246" s="5"/>
    </row>
    <row r="3247">
      <c r="C3247" s="5"/>
      <c r="D3247" s="5"/>
    </row>
    <row r="3248">
      <c r="C3248" s="5"/>
      <c r="D3248" s="5"/>
    </row>
    <row r="3249">
      <c r="C3249" s="5"/>
      <c r="D3249" s="5"/>
    </row>
    <row r="3250">
      <c r="C3250" s="5"/>
      <c r="D3250" s="5"/>
    </row>
    <row r="3251">
      <c r="C3251" s="5"/>
      <c r="D3251" s="5"/>
    </row>
    <row r="3252">
      <c r="C3252" s="5"/>
      <c r="D3252" s="5"/>
    </row>
    <row r="3253">
      <c r="C3253" s="5"/>
      <c r="D3253" s="5"/>
    </row>
    <row r="3254">
      <c r="C3254" s="5"/>
      <c r="D3254" s="5"/>
    </row>
    <row r="3255">
      <c r="C3255" s="5"/>
      <c r="D3255" s="5"/>
    </row>
    <row r="3256">
      <c r="C3256" s="5"/>
      <c r="D3256" s="5"/>
    </row>
    <row r="3257">
      <c r="C3257" s="5"/>
      <c r="D3257" s="5"/>
    </row>
    <row r="3258">
      <c r="C3258" s="5"/>
      <c r="D3258" s="5"/>
    </row>
    <row r="3259">
      <c r="C3259" s="5"/>
      <c r="D3259" s="5"/>
    </row>
    <row r="3260">
      <c r="C3260" s="5"/>
      <c r="D3260" s="5"/>
    </row>
    <row r="3261">
      <c r="C3261" s="5"/>
      <c r="D3261" s="5"/>
    </row>
    <row r="3262">
      <c r="C3262" s="5"/>
      <c r="D3262" s="5"/>
    </row>
    <row r="3263">
      <c r="C3263" s="5"/>
      <c r="D3263" s="5"/>
    </row>
    <row r="3264">
      <c r="C3264" s="5"/>
      <c r="D3264" s="5"/>
    </row>
    <row r="3265">
      <c r="C3265" s="5"/>
      <c r="D3265" s="5"/>
    </row>
    <row r="3266">
      <c r="C3266" s="5"/>
      <c r="D3266" s="5"/>
    </row>
    <row r="3267">
      <c r="C3267" s="5"/>
      <c r="D3267" s="5"/>
    </row>
    <row r="3268">
      <c r="C3268" s="5"/>
      <c r="D3268" s="5"/>
    </row>
    <row r="3269">
      <c r="C3269" s="5"/>
      <c r="D3269" s="5"/>
    </row>
    <row r="3270">
      <c r="C3270" s="5"/>
      <c r="D3270" s="5"/>
    </row>
    <row r="3271">
      <c r="C3271" s="5"/>
      <c r="D3271" s="5"/>
    </row>
    <row r="3272">
      <c r="C3272" s="5"/>
      <c r="D3272" s="5"/>
    </row>
    <row r="3273">
      <c r="C3273" s="5"/>
      <c r="D3273" s="5"/>
    </row>
    <row r="3274">
      <c r="C3274" s="5"/>
      <c r="D3274" s="5"/>
    </row>
    <row r="3275">
      <c r="C3275" s="5"/>
      <c r="D3275" s="5"/>
    </row>
    <row r="3276">
      <c r="C3276" s="5"/>
      <c r="D3276" s="5"/>
    </row>
    <row r="3277">
      <c r="C3277" s="5"/>
      <c r="D3277" s="5"/>
    </row>
    <row r="3278">
      <c r="C3278" s="5"/>
      <c r="D3278" s="5"/>
    </row>
    <row r="3279">
      <c r="C3279" s="5"/>
      <c r="D3279" s="5"/>
    </row>
    <row r="3280">
      <c r="C3280" s="5"/>
      <c r="D3280" s="5"/>
    </row>
    <row r="3281">
      <c r="C3281" s="5"/>
      <c r="D3281" s="5"/>
    </row>
    <row r="3282">
      <c r="C3282" s="5"/>
      <c r="D3282" s="5"/>
    </row>
    <row r="3283">
      <c r="C3283" s="5"/>
      <c r="D3283" s="5"/>
    </row>
    <row r="3284">
      <c r="C3284" s="5"/>
      <c r="D3284" s="5"/>
    </row>
    <row r="3285">
      <c r="C3285" s="5"/>
      <c r="D3285" s="5"/>
    </row>
    <row r="3286">
      <c r="C3286" s="5"/>
      <c r="D3286" s="5"/>
    </row>
    <row r="3287">
      <c r="C3287" s="5"/>
      <c r="D3287" s="5"/>
    </row>
    <row r="3288">
      <c r="C3288" s="5"/>
      <c r="D3288" s="5"/>
    </row>
    <row r="3289">
      <c r="C3289" s="5"/>
      <c r="D3289" s="5"/>
    </row>
    <row r="3290">
      <c r="C3290" s="5"/>
      <c r="D3290" s="5"/>
    </row>
    <row r="3291">
      <c r="C3291" s="5"/>
      <c r="D3291" s="5"/>
    </row>
    <row r="3292">
      <c r="C3292" s="5"/>
      <c r="D3292" s="5"/>
    </row>
    <row r="3293">
      <c r="C3293" s="5"/>
      <c r="D3293" s="5"/>
    </row>
    <row r="3294">
      <c r="C3294" s="5"/>
      <c r="D3294" s="5"/>
    </row>
    <row r="3295">
      <c r="C3295" s="5"/>
      <c r="D3295" s="5"/>
    </row>
    <row r="3296">
      <c r="C3296" s="5"/>
      <c r="D3296" s="5"/>
    </row>
    <row r="3297">
      <c r="C3297" s="5"/>
      <c r="D3297" s="5"/>
    </row>
    <row r="3298">
      <c r="C3298" s="5"/>
      <c r="D3298" s="5"/>
    </row>
    <row r="3299">
      <c r="C3299" s="5"/>
      <c r="D3299" s="5"/>
    </row>
    <row r="3300">
      <c r="C3300" s="5"/>
      <c r="D3300" s="5"/>
    </row>
    <row r="3301">
      <c r="C3301" s="5"/>
      <c r="D3301" s="5"/>
    </row>
    <row r="3302">
      <c r="C3302" s="5"/>
      <c r="D3302" s="5"/>
    </row>
    <row r="3303">
      <c r="C3303" s="5"/>
      <c r="D3303" s="5"/>
    </row>
    <row r="3304">
      <c r="C3304" s="5"/>
      <c r="D3304" s="5"/>
    </row>
    <row r="3305">
      <c r="C3305" s="5"/>
      <c r="D3305" s="5"/>
    </row>
    <row r="3306">
      <c r="C3306" s="5"/>
      <c r="D3306" s="5"/>
    </row>
    <row r="3307">
      <c r="C3307" s="5"/>
      <c r="D3307" s="5"/>
    </row>
    <row r="3308">
      <c r="C3308" s="5"/>
      <c r="D3308" s="5"/>
    </row>
    <row r="3309">
      <c r="C3309" s="5"/>
      <c r="D3309" s="5"/>
    </row>
    <row r="3310">
      <c r="C3310" s="5"/>
      <c r="D3310" s="5"/>
    </row>
    <row r="3311">
      <c r="C3311" s="5"/>
      <c r="D3311" s="5"/>
    </row>
    <row r="3312">
      <c r="C3312" s="5"/>
      <c r="D3312" s="5"/>
    </row>
    <row r="3313">
      <c r="C3313" s="5"/>
      <c r="D3313" s="5"/>
    </row>
    <row r="3314">
      <c r="C3314" s="5"/>
      <c r="D3314" s="5"/>
    </row>
    <row r="3315">
      <c r="C3315" s="5"/>
      <c r="D3315" s="5"/>
    </row>
    <row r="3316">
      <c r="C3316" s="5"/>
      <c r="D3316" s="5"/>
    </row>
    <row r="3317">
      <c r="C3317" s="5"/>
      <c r="D3317" s="5"/>
    </row>
    <row r="3318">
      <c r="C3318" s="5"/>
      <c r="D3318" s="5"/>
    </row>
    <row r="3319">
      <c r="C3319" s="5"/>
      <c r="D3319" s="5"/>
    </row>
    <row r="3320">
      <c r="C3320" s="5"/>
      <c r="D3320" s="5"/>
    </row>
    <row r="3321">
      <c r="C3321" s="5"/>
      <c r="D3321" s="5"/>
    </row>
    <row r="3322">
      <c r="C3322" s="5"/>
      <c r="D3322" s="5"/>
    </row>
    <row r="3323">
      <c r="C3323" s="5"/>
      <c r="D3323" s="5"/>
    </row>
    <row r="3324">
      <c r="C3324" s="5"/>
      <c r="D3324" s="5"/>
    </row>
    <row r="3325">
      <c r="C3325" s="5"/>
      <c r="D3325" s="5"/>
    </row>
    <row r="3326">
      <c r="C3326" s="5"/>
      <c r="D3326" s="5"/>
    </row>
    <row r="3327">
      <c r="C3327" s="5"/>
      <c r="D3327" s="5"/>
    </row>
    <row r="3328">
      <c r="C3328" s="5"/>
      <c r="D3328" s="5"/>
    </row>
    <row r="3329">
      <c r="C3329" s="5"/>
      <c r="D3329" s="5"/>
    </row>
    <row r="3330">
      <c r="C3330" s="5"/>
      <c r="D3330" s="5"/>
    </row>
    <row r="3331">
      <c r="C3331" s="5"/>
      <c r="D3331" s="5"/>
    </row>
    <row r="3332">
      <c r="C3332" s="5"/>
      <c r="D3332" s="5"/>
    </row>
    <row r="3333">
      <c r="C3333" s="5"/>
      <c r="D3333" s="5"/>
    </row>
    <row r="3334">
      <c r="C3334" s="5"/>
      <c r="D3334" s="5"/>
    </row>
    <row r="3335">
      <c r="C3335" s="5"/>
      <c r="D3335" s="5"/>
    </row>
    <row r="3336">
      <c r="C3336" s="5"/>
      <c r="D3336" s="5"/>
    </row>
    <row r="3337">
      <c r="C3337" s="5"/>
      <c r="D3337" s="5"/>
    </row>
    <row r="3338">
      <c r="C3338" s="5"/>
      <c r="D3338" s="5"/>
    </row>
    <row r="3339">
      <c r="C3339" s="5"/>
      <c r="D3339" s="5"/>
    </row>
    <row r="3340">
      <c r="C3340" s="5"/>
      <c r="D3340" s="5"/>
    </row>
    <row r="3341">
      <c r="C3341" s="5"/>
      <c r="D3341" s="5"/>
    </row>
    <row r="3342">
      <c r="C3342" s="5"/>
      <c r="D3342" s="5"/>
    </row>
    <row r="3343">
      <c r="C3343" s="5"/>
      <c r="D3343" s="5"/>
    </row>
    <row r="3344">
      <c r="C3344" s="5"/>
      <c r="D3344" s="5"/>
    </row>
    <row r="3345">
      <c r="C3345" s="5"/>
      <c r="D3345" s="5"/>
    </row>
    <row r="3346">
      <c r="C3346" s="5"/>
      <c r="D3346" s="5"/>
    </row>
    <row r="3347">
      <c r="C3347" s="5"/>
      <c r="D3347" s="5"/>
    </row>
    <row r="3348">
      <c r="C3348" s="5"/>
      <c r="D3348" s="5"/>
    </row>
    <row r="3349">
      <c r="C3349" s="5"/>
      <c r="D3349" s="5"/>
    </row>
    <row r="3350">
      <c r="C3350" s="5"/>
      <c r="D3350" s="5"/>
    </row>
    <row r="3351">
      <c r="C3351" s="5"/>
      <c r="D3351" s="5"/>
    </row>
    <row r="3352">
      <c r="C3352" s="5"/>
      <c r="D3352" s="5"/>
    </row>
    <row r="3353">
      <c r="C3353" s="5"/>
      <c r="D3353" s="5"/>
    </row>
    <row r="3354">
      <c r="C3354" s="5"/>
      <c r="D3354" s="5"/>
    </row>
    <row r="3355">
      <c r="C3355" s="5"/>
      <c r="D3355" s="5"/>
    </row>
    <row r="3356">
      <c r="C3356" s="5"/>
      <c r="D3356" s="5"/>
    </row>
    <row r="3357">
      <c r="C3357" s="5"/>
      <c r="D3357" s="5"/>
    </row>
    <row r="3358">
      <c r="C3358" s="5"/>
      <c r="D3358" s="5"/>
    </row>
    <row r="3359">
      <c r="C3359" s="5"/>
      <c r="D3359" s="5"/>
    </row>
    <row r="3360">
      <c r="C3360" s="5"/>
      <c r="D3360" s="5"/>
    </row>
    <row r="3361">
      <c r="C3361" s="5"/>
      <c r="D3361" s="5"/>
    </row>
    <row r="3362">
      <c r="C3362" s="5"/>
      <c r="D3362" s="5"/>
    </row>
    <row r="3363">
      <c r="C3363" s="5"/>
      <c r="D3363" s="5"/>
    </row>
    <row r="3364">
      <c r="C3364" s="5"/>
      <c r="D3364" s="5"/>
    </row>
    <row r="3365">
      <c r="C3365" s="5"/>
      <c r="D3365" s="5"/>
    </row>
    <row r="3366">
      <c r="C3366" s="5"/>
      <c r="D3366" s="5"/>
    </row>
    <row r="3367">
      <c r="C3367" s="5"/>
      <c r="D3367" s="5"/>
    </row>
    <row r="3368">
      <c r="C3368" s="5"/>
      <c r="D3368" s="5"/>
    </row>
    <row r="3369">
      <c r="C3369" s="5"/>
      <c r="D3369" s="5"/>
    </row>
    <row r="3370">
      <c r="C3370" s="5"/>
      <c r="D3370" s="5"/>
    </row>
    <row r="3371">
      <c r="C3371" s="5"/>
      <c r="D3371" s="5"/>
    </row>
    <row r="3372">
      <c r="C3372" s="5"/>
      <c r="D3372" s="5"/>
    </row>
    <row r="3373">
      <c r="C3373" s="5"/>
      <c r="D3373" s="5"/>
    </row>
    <row r="3374">
      <c r="C3374" s="5"/>
      <c r="D3374" s="5"/>
    </row>
    <row r="3375">
      <c r="C3375" s="5"/>
      <c r="D3375" s="5"/>
    </row>
    <row r="3376">
      <c r="C3376" s="5"/>
      <c r="D3376" s="5"/>
    </row>
    <row r="3377">
      <c r="C3377" s="5"/>
      <c r="D3377" s="5"/>
    </row>
    <row r="3378">
      <c r="C3378" s="5"/>
      <c r="D3378" s="5"/>
    </row>
    <row r="3379">
      <c r="C3379" s="5"/>
      <c r="D3379" s="5"/>
    </row>
    <row r="3380">
      <c r="C3380" s="5"/>
      <c r="D3380" s="5"/>
    </row>
    <row r="3381">
      <c r="C3381" s="5"/>
      <c r="D3381" s="5"/>
    </row>
    <row r="3382">
      <c r="C3382" s="5"/>
      <c r="D3382" s="5"/>
    </row>
    <row r="3383">
      <c r="C3383" s="5"/>
      <c r="D3383" s="5"/>
    </row>
    <row r="3384">
      <c r="C3384" s="5"/>
      <c r="D3384" s="5"/>
    </row>
    <row r="3385">
      <c r="C3385" s="5"/>
      <c r="D3385" s="5"/>
    </row>
    <row r="3386">
      <c r="C3386" s="5"/>
      <c r="D3386" s="5"/>
    </row>
    <row r="3387">
      <c r="C3387" s="5"/>
      <c r="D3387" s="5"/>
    </row>
    <row r="3388">
      <c r="C3388" s="5"/>
      <c r="D3388" s="5"/>
    </row>
    <row r="3389">
      <c r="C3389" s="5"/>
      <c r="D3389" s="5"/>
    </row>
    <row r="3390">
      <c r="C3390" s="5"/>
      <c r="D3390" s="5"/>
    </row>
    <row r="3391">
      <c r="C3391" s="5"/>
      <c r="D3391" s="5"/>
    </row>
    <row r="3392">
      <c r="C3392" s="5"/>
      <c r="D3392" s="5"/>
    </row>
    <row r="3393">
      <c r="C3393" s="5"/>
      <c r="D3393" s="5"/>
    </row>
    <row r="3394">
      <c r="C3394" s="5"/>
      <c r="D3394" s="5"/>
    </row>
    <row r="3395">
      <c r="C3395" s="5"/>
      <c r="D3395" s="5"/>
    </row>
    <row r="3396">
      <c r="C3396" s="5"/>
      <c r="D3396" s="5"/>
    </row>
    <row r="3397">
      <c r="C3397" s="5"/>
      <c r="D3397" s="5"/>
    </row>
    <row r="3398">
      <c r="C3398" s="5"/>
      <c r="D3398" s="5"/>
    </row>
    <row r="3399">
      <c r="C3399" s="5"/>
      <c r="D3399" s="5"/>
    </row>
    <row r="3400">
      <c r="C3400" s="5"/>
      <c r="D3400" s="5"/>
    </row>
    <row r="3401">
      <c r="C3401" s="5"/>
      <c r="D3401" s="5"/>
    </row>
    <row r="3402">
      <c r="C3402" s="5"/>
      <c r="D3402" s="5"/>
    </row>
    <row r="3403">
      <c r="C3403" s="5"/>
      <c r="D3403" s="5"/>
    </row>
    <row r="3404">
      <c r="C3404" s="5"/>
      <c r="D3404" s="5"/>
    </row>
    <row r="3405">
      <c r="C3405" s="5"/>
      <c r="D3405" s="5"/>
    </row>
    <row r="3406">
      <c r="C3406" s="5"/>
      <c r="D3406" s="5"/>
    </row>
    <row r="3407">
      <c r="C3407" s="5"/>
      <c r="D3407" s="5"/>
    </row>
    <row r="3408">
      <c r="C3408" s="5"/>
      <c r="D3408" s="5"/>
    </row>
    <row r="3409">
      <c r="C3409" s="5"/>
      <c r="D3409" s="5"/>
    </row>
    <row r="3410">
      <c r="C3410" s="5"/>
      <c r="D3410" s="5"/>
    </row>
    <row r="3411">
      <c r="C3411" s="5"/>
      <c r="D3411" s="5"/>
    </row>
    <row r="3412">
      <c r="C3412" s="5"/>
      <c r="D3412" s="5"/>
    </row>
    <row r="3413">
      <c r="C3413" s="5"/>
      <c r="D3413" s="5"/>
    </row>
    <row r="3414">
      <c r="C3414" s="5"/>
      <c r="D3414" s="5"/>
    </row>
    <row r="3415">
      <c r="C3415" s="5"/>
      <c r="D3415" s="5"/>
    </row>
    <row r="3416">
      <c r="C3416" s="5"/>
      <c r="D3416" s="5"/>
    </row>
    <row r="3417">
      <c r="C3417" s="5"/>
      <c r="D3417" s="5"/>
    </row>
    <row r="3418">
      <c r="C3418" s="5"/>
      <c r="D3418" s="5"/>
    </row>
    <row r="3419">
      <c r="C3419" s="5"/>
      <c r="D3419" s="5"/>
    </row>
    <row r="3420">
      <c r="C3420" s="5"/>
      <c r="D3420" s="5"/>
    </row>
    <row r="3421">
      <c r="C3421" s="5"/>
      <c r="D3421" s="5"/>
    </row>
    <row r="3422">
      <c r="C3422" s="5"/>
      <c r="D3422" s="5"/>
    </row>
    <row r="3423">
      <c r="C3423" s="5"/>
      <c r="D3423" s="5"/>
    </row>
    <row r="3424">
      <c r="C3424" s="5"/>
      <c r="D3424" s="5"/>
    </row>
    <row r="3425">
      <c r="C3425" s="5"/>
      <c r="D3425" s="5"/>
    </row>
    <row r="3426">
      <c r="C3426" s="5"/>
      <c r="D3426" s="5"/>
    </row>
    <row r="3427">
      <c r="C3427" s="5"/>
      <c r="D3427" s="5"/>
    </row>
    <row r="3428">
      <c r="C3428" s="5"/>
      <c r="D3428" s="5"/>
    </row>
    <row r="3429">
      <c r="C3429" s="5"/>
      <c r="D3429" s="5"/>
    </row>
    <row r="3430">
      <c r="C3430" s="5"/>
      <c r="D3430" s="5"/>
    </row>
    <row r="3431">
      <c r="C3431" s="5"/>
      <c r="D3431" s="5"/>
    </row>
    <row r="3432">
      <c r="C3432" s="5"/>
      <c r="D3432" s="5"/>
    </row>
    <row r="3433">
      <c r="C3433" s="5"/>
      <c r="D3433" s="5"/>
    </row>
    <row r="3434">
      <c r="C3434" s="5"/>
      <c r="D3434" s="5"/>
    </row>
    <row r="3435">
      <c r="C3435" s="5"/>
      <c r="D3435" s="5"/>
    </row>
    <row r="3436">
      <c r="C3436" s="5"/>
      <c r="D3436" s="5"/>
    </row>
    <row r="3437">
      <c r="C3437" s="5"/>
      <c r="D3437" s="5"/>
    </row>
    <row r="3438">
      <c r="C3438" s="5"/>
      <c r="D3438" s="5"/>
    </row>
    <row r="3439">
      <c r="C3439" s="5"/>
      <c r="D3439" s="5"/>
    </row>
    <row r="3440">
      <c r="C3440" s="5"/>
      <c r="D3440" s="5"/>
    </row>
    <row r="3441">
      <c r="C3441" s="5"/>
      <c r="D3441" s="5"/>
    </row>
    <row r="3442">
      <c r="C3442" s="5"/>
      <c r="D3442" s="5"/>
    </row>
    <row r="3443">
      <c r="C3443" s="5"/>
      <c r="D3443" s="5"/>
    </row>
    <row r="3444">
      <c r="C3444" s="5"/>
      <c r="D3444" s="5"/>
    </row>
    <row r="3445">
      <c r="C3445" s="5"/>
      <c r="D3445" s="5"/>
    </row>
    <row r="3446">
      <c r="C3446" s="5"/>
      <c r="D3446" s="5"/>
    </row>
    <row r="3447">
      <c r="C3447" s="5"/>
      <c r="D3447" s="5"/>
    </row>
    <row r="3448">
      <c r="C3448" s="5"/>
      <c r="D3448" s="5"/>
    </row>
    <row r="3449">
      <c r="C3449" s="5"/>
      <c r="D3449" s="5"/>
    </row>
    <row r="3450">
      <c r="C3450" s="5"/>
      <c r="D3450" s="5"/>
    </row>
    <row r="3451">
      <c r="C3451" s="5"/>
      <c r="D3451" s="5"/>
    </row>
    <row r="3452">
      <c r="C3452" s="5"/>
      <c r="D3452" s="5"/>
    </row>
    <row r="3453">
      <c r="C3453" s="5"/>
      <c r="D3453" s="5"/>
    </row>
    <row r="3454">
      <c r="C3454" s="5"/>
      <c r="D3454" s="5"/>
    </row>
    <row r="3455">
      <c r="C3455" s="5"/>
      <c r="D3455" s="5"/>
    </row>
    <row r="3456">
      <c r="C3456" s="5"/>
      <c r="D3456" s="5"/>
    </row>
    <row r="3457">
      <c r="C3457" s="5"/>
      <c r="D3457" s="5"/>
    </row>
    <row r="3458">
      <c r="C3458" s="5"/>
      <c r="D3458" s="5"/>
    </row>
    <row r="3459">
      <c r="C3459" s="5"/>
      <c r="D3459" s="5"/>
    </row>
    <row r="3460">
      <c r="C3460" s="5"/>
      <c r="D3460" s="5"/>
    </row>
    <row r="3461">
      <c r="C3461" s="5"/>
      <c r="D3461" s="5"/>
    </row>
    <row r="3462">
      <c r="C3462" s="5"/>
      <c r="D3462" s="5"/>
    </row>
    <row r="3463">
      <c r="C3463" s="5"/>
      <c r="D3463" s="5"/>
    </row>
    <row r="3464">
      <c r="C3464" s="5"/>
      <c r="D3464" s="5"/>
    </row>
    <row r="3465">
      <c r="C3465" s="5"/>
      <c r="D3465" s="5"/>
    </row>
    <row r="3466">
      <c r="C3466" s="5"/>
      <c r="D3466" s="5"/>
    </row>
    <row r="3467">
      <c r="C3467" s="5"/>
      <c r="D3467" s="5"/>
    </row>
    <row r="3468">
      <c r="C3468" s="5"/>
      <c r="D3468" s="5"/>
    </row>
    <row r="3469">
      <c r="C3469" s="5"/>
      <c r="D3469" s="5"/>
    </row>
    <row r="3470">
      <c r="C3470" s="5"/>
      <c r="D3470" s="5"/>
    </row>
    <row r="3471">
      <c r="C3471" s="5"/>
      <c r="D3471" s="5"/>
    </row>
    <row r="3472">
      <c r="C3472" s="5"/>
      <c r="D3472" s="5"/>
    </row>
    <row r="3473">
      <c r="C3473" s="5"/>
      <c r="D3473" s="5"/>
    </row>
    <row r="3474">
      <c r="C3474" s="5"/>
      <c r="D3474" s="5"/>
    </row>
    <row r="3475">
      <c r="C3475" s="5"/>
      <c r="D3475" s="5"/>
    </row>
    <row r="3476">
      <c r="C3476" s="5"/>
      <c r="D3476" s="5"/>
    </row>
    <row r="3477">
      <c r="C3477" s="5"/>
      <c r="D3477" s="5"/>
    </row>
    <row r="3478">
      <c r="C3478" s="5"/>
      <c r="D3478" s="5"/>
    </row>
    <row r="3479">
      <c r="C3479" s="5"/>
      <c r="D3479" s="5"/>
    </row>
    <row r="3480">
      <c r="C3480" s="5"/>
      <c r="D3480" s="5"/>
    </row>
    <row r="3481">
      <c r="C3481" s="5"/>
      <c r="D3481" s="5"/>
    </row>
    <row r="3482">
      <c r="C3482" s="5"/>
      <c r="D3482" s="5"/>
    </row>
    <row r="3483">
      <c r="C3483" s="5"/>
      <c r="D3483" s="5"/>
    </row>
    <row r="3484">
      <c r="C3484" s="5"/>
      <c r="D3484" s="5"/>
    </row>
    <row r="3485">
      <c r="C3485" s="5"/>
      <c r="D3485" s="5"/>
    </row>
    <row r="3486">
      <c r="C3486" s="5"/>
      <c r="D3486" s="5"/>
    </row>
    <row r="3487">
      <c r="C3487" s="5"/>
      <c r="D3487" s="5"/>
    </row>
    <row r="3488">
      <c r="C3488" s="5"/>
      <c r="D3488" s="5"/>
    </row>
    <row r="3489">
      <c r="C3489" s="5"/>
      <c r="D3489" s="5"/>
    </row>
    <row r="3490">
      <c r="C3490" s="5"/>
      <c r="D3490" s="5"/>
    </row>
    <row r="3491">
      <c r="C3491" s="5"/>
      <c r="D3491" s="5"/>
    </row>
    <row r="3492">
      <c r="C3492" s="5"/>
      <c r="D3492" s="5"/>
    </row>
    <row r="3493">
      <c r="C3493" s="5"/>
      <c r="D3493" s="5"/>
    </row>
    <row r="3494">
      <c r="C3494" s="5"/>
      <c r="D3494" s="5"/>
    </row>
    <row r="3495">
      <c r="C3495" s="5"/>
      <c r="D3495" s="5"/>
    </row>
    <row r="3496">
      <c r="C3496" s="5"/>
      <c r="D3496" s="5"/>
    </row>
    <row r="3497">
      <c r="C3497" s="5"/>
      <c r="D3497" s="5"/>
    </row>
    <row r="3498">
      <c r="C3498" s="5"/>
      <c r="D3498" s="5"/>
    </row>
    <row r="3499">
      <c r="C3499" s="5"/>
      <c r="D3499" s="5"/>
    </row>
    <row r="3500">
      <c r="C3500" s="5"/>
      <c r="D3500" s="5"/>
    </row>
    <row r="3501">
      <c r="C3501" s="5"/>
      <c r="D3501" s="5"/>
    </row>
    <row r="3502">
      <c r="C3502" s="5"/>
      <c r="D3502" s="5"/>
    </row>
    <row r="3503">
      <c r="C3503" s="5"/>
      <c r="D3503" s="5"/>
    </row>
    <row r="3504">
      <c r="C3504" s="5"/>
      <c r="D3504" s="5"/>
    </row>
    <row r="3505">
      <c r="C3505" s="5"/>
      <c r="D3505" s="5"/>
    </row>
    <row r="3506">
      <c r="C3506" s="5"/>
      <c r="D3506" s="5"/>
    </row>
    <row r="3507">
      <c r="C3507" s="5"/>
      <c r="D3507" s="5"/>
    </row>
    <row r="3508">
      <c r="C3508" s="5"/>
      <c r="D3508" s="5"/>
    </row>
    <row r="3509">
      <c r="C3509" s="5"/>
      <c r="D3509" s="5"/>
    </row>
    <row r="3510">
      <c r="C3510" s="5"/>
      <c r="D3510" s="5"/>
    </row>
    <row r="3511">
      <c r="C3511" s="5"/>
      <c r="D3511" s="5"/>
    </row>
    <row r="3512">
      <c r="C3512" s="5"/>
      <c r="D3512" s="5"/>
    </row>
    <row r="3513">
      <c r="C3513" s="5"/>
      <c r="D3513" s="5"/>
    </row>
    <row r="3514">
      <c r="C3514" s="5"/>
      <c r="D3514" s="5"/>
    </row>
    <row r="3515">
      <c r="C3515" s="5"/>
      <c r="D3515" s="5"/>
    </row>
    <row r="3516">
      <c r="C3516" s="5"/>
      <c r="D3516" s="5"/>
    </row>
    <row r="3517">
      <c r="C3517" s="5"/>
      <c r="D3517" s="5"/>
    </row>
    <row r="3518">
      <c r="C3518" s="5"/>
      <c r="D3518" s="5"/>
    </row>
    <row r="3519">
      <c r="C3519" s="5"/>
      <c r="D3519" s="5"/>
    </row>
    <row r="3520">
      <c r="C3520" s="5"/>
      <c r="D3520" s="5"/>
    </row>
    <row r="3521">
      <c r="C3521" s="5"/>
      <c r="D3521" s="5"/>
    </row>
    <row r="3522">
      <c r="C3522" s="5"/>
      <c r="D3522" s="5"/>
    </row>
    <row r="3523">
      <c r="C3523" s="5"/>
      <c r="D3523" s="5"/>
    </row>
    <row r="3524">
      <c r="C3524" s="5"/>
      <c r="D3524" s="5"/>
    </row>
    <row r="3525">
      <c r="C3525" s="5"/>
      <c r="D3525" s="5"/>
    </row>
    <row r="3526">
      <c r="C3526" s="5"/>
      <c r="D3526" s="5"/>
    </row>
    <row r="3527">
      <c r="C3527" s="5"/>
      <c r="D3527" s="5"/>
    </row>
    <row r="3528">
      <c r="C3528" s="5"/>
      <c r="D3528" s="5"/>
    </row>
    <row r="3529">
      <c r="C3529" s="5"/>
      <c r="D3529" s="5"/>
    </row>
    <row r="3530">
      <c r="C3530" s="5"/>
      <c r="D3530" s="5"/>
    </row>
    <row r="3531">
      <c r="C3531" s="5"/>
      <c r="D3531" s="5"/>
    </row>
    <row r="3532">
      <c r="C3532" s="5"/>
      <c r="D3532" s="5"/>
    </row>
    <row r="3533">
      <c r="C3533" s="5"/>
      <c r="D3533" s="5"/>
    </row>
    <row r="3534">
      <c r="C3534" s="5"/>
      <c r="D3534" s="5"/>
    </row>
    <row r="3535">
      <c r="C3535" s="5"/>
      <c r="D3535" s="5"/>
    </row>
    <row r="3536">
      <c r="C3536" s="5"/>
      <c r="D3536" s="5"/>
    </row>
    <row r="3537">
      <c r="C3537" s="5"/>
      <c r="D3537" s="5"/>
    </row>
    <row r="3538">
      <c r="C3538" s="5"/>
      <c r="D3538" s="5"/>
    </row>
    <row r="3539">
      <c r="C3539" s="5"/>
      <c r="D3539" s="5"/>
    </row>
    <row r="3540">
      <c r="C3540" s="5"/>
      <c r="D3540" s="5"/>
    </row>
    <row r="3541">
      <c r="C3541" s="5"/>
      <c r="D3541" s="5"/>
    </row>
    <row r="3542">
      <c r="C3542" s="5"/>
      <c r="D3542" s="5"/>
    </row>
    <row r="3543">
      <c r="C3543" s="5"/>
      <c r="D3543" s="5"/>
    </row>
    <row r="3544">
      <c r="C3544" s="5"/>
      <c r="D3544" s="5"/>
    </row>
    <row r="3545">
      <c r="C3545" s="5"/>
      <c r="D3545" s="5"/>
    </row>
    <row r="3546">
      <c r="C3546" s="5"/>
      <c r="D3546" s="5"/>
    </row>
    <row r="3547">
      <c r="C3547" s="5"/>
      <c r="D3547" s="5"/>
    </row>
    <row r="3548">
      <c r="C3548" s="5"/>
      <c r="D3548" s="5"/>
    </row>
    <row r="3549">
      <c r="C3549" s="5"/>
      <c r="D3549" s="5"/>
    </row>
    <row r="3550">
      <c r="C3550" s="5"/>
      <c r="D3550" s="5"/>
    </row>
    <row r="3551">
      <c r="C3551" s="5"/>
      <c r="D3551" s="5"/>
    </row>
    <row r="3552">
      <c r="C3552" s="5"/>
      <c r="D3552" s="5"/>
    </row>
    <row r="3553">
      <c r="C3553" s="5"/>
      <c r="D3553" s="5"/>
    </row>
    <row r="3554">
      <c r="C3554" s="5"/>
      <c r="D3554" s="5"/>
    </row>
    <row r="3555">
      <c r="C3555" s="5"/>
      <c r="D3555" s="5"/>
    </row>
    <row r="3556">
      <c r="C3556" s="5"/>
      <c r="D3556" s="5"/>
    </row>
    <row r="3557">
      <c r="C3557" s="5"/>
      <c r="D3557" s="5"/>
    </row>
    <row r="3558">
      <c r="C3558" s="5"/>
      <c r="D3558" s="5"/>
    </row>
    <row r="3559">
      <c r="C3559" s="5"/>
      <c r="D3559" s="5"/>
    </row>
    <row r="3560">
      <c r="C3560" s="5"/>
      <c r="D3560" s="5"/>
    </row>
    <row r="3561">
      <c r="C3561" s="5"/>
      <c r="D3561" s="5"/>
    </row>
    <row r="3562">
      <c r="C3562" s="5"/>
      <c r="D3562" s="5"/>
    </row>
    <row r="3563">
      <c r="C3563" s="5"/>
      <c r="D3563" s="5"/>
    </row>
    <row r="3564">
      <c r="C3564" s="5"/>
      <c r="D3564" s="5"/>
    </row>
    <row r="3565">
      <c r="C3565" s="5"/>
      <c r="D3565" s="5"/>
    </row>
    <row r="3566">
      <c r="C3566" s="5"/>
      <c r="D3566" s="5"/>
    </row>
    <row r="3567">
      <c r="C3567" s="5"/>
      <c r="D3567" s="5"/>
    </row>
    <row r="3568">
      <c r="C3568" s="5"/>
      <c r="D3568" s="5"/>
    </row>
    <row r="3569">
      <c r="C3569" s="5"/>
      <c r="D3569" s="5"/>
    </row>
    <row r="3570">
      <c r="C3570" s="5"/>
      <c r="D3570" s="5"/>
    </row>
    <row r="3571">
      <c r="C3571" s="5"/>
      <c r="D3571" s="5"/>
    </row>
    <row r="3572">
      <c r="C3572" s="5"/>
      <c r="D3572" s="5"/>
    </row>
    <row r="3573">
      <c r="C3573" s="5"/>
      <c r="D3573" s="5"/>
    </row>
    <row r="3574">
      <c r="C3574" s="5"/>
      <c r="D3574" s="5"/>
    </row>
    <row r="3575">
      <c r="C3575" s="5"/>
      <c r="D3575" s="5"/>
    </row>
    <row r="3576">
      <c r="C3576" s="5"/>
      <c r="D3576" s="5"/>
    </row>
    <row r="3577">
      <c r="C3577" s="5"/>
      <c r="D3577" s="5"/>
    </row>
    <row r="3578">
      <c r="C3578" s="5"/>
      <c r="D3578" s="5"/>
    </row>
    <row r="3579">
      <c r="C3579" s="5"/>
      <c r="D3579" s="5"/>
    </row>
    <row r="3580">
      <c r="C3580" s="5"/>
      <c r="D3580" s="5"/>
    </row>
    <row r="3581">
      <c r="C3581" s="5"/>
      <c r="D3581" s="5"/>
    </row>
    <row r="3582">
      <c r="C3582" s="5"/>
      <c r="D3582" s="5"/>
    </row>
    <row r="3583">
      <c r="C3583" s="5"/>
      <c r="D3583" s="5"/>
    </row>
    <row r="3584">
      <c r="C3584" s="5"/>
      <c r="D3584" s="5"/>
    </row>
    <row r="3585">
      <c r="C3585" s="5"/>
      <c r="D3585" s="5"/>
    </row>
    <row r="3586">
      <c r="C3586" s="5"/>
      <c r="D3586" s="5"/>
    </row>
    <row r="3587">
      <c r="C3587" s="5"/>
      <c r="D3587" s="5"/>
    </row>
    <row r="3588">
      <c r="C3588" s="5"/>
      <c r="D3588" s="5"/>
    </row>
    <row r="3589">
      <c r="C3589" s="5"/>
      <c r="D3589" s="5"/>
    </row>
    <row r="3590">
      <c r="C3590" s="5"/>
      <c r="D3590" s="5"/>
    </row>
    <row r="3591">
      <c r="C3591" s="5"/>
      <c r="D3591" s="5"/>
    </row>
    <row r="3592">
      <c r="C3592" s="5"/>
      <c r="D3592" s="5"/>
    </row>
    <row r="3593">
      <c r="C3593" s="5"/>
      <c r="D3593" s="5"/>
    </row>
    <row r="3594">
      <c r="C3594" s="5"/>
      <c r="D3594" s="5"/>
    </row>
    <row r="3595">
      <c r="C3595" s="5"/>
      <c r="D3595" s="5"/>
    </row>
    <row r="3596">
      <c r="C3596" s="5"/>
      <c r="D3596" s="5"/>
    </row>
    <row r="3597">
      <c r="C3597" s="5"/>
      <c r="D3597" s="5"/>
    </row>
    <row r="3598">
      <c r="C3598" s="5"/>
      <c r="D3598" s="5"/>
    </row>
    <row r="3599">
      <c r="C3599" s="5"/>
      <c r="D3599" s="5"/>
    </row>
    <row r="3600">
      <c r="C3600" s="5"/>
      <c r="D3600" s="5"/>
    </row>
    <row r="3601">
      <c r="C3601" s="5"/>
      <c r="D3601" s="5"/>
    </row>
    <row r="3602">
      <c r="C3602" s="5"/>
      <c r="D3602" s="5"/>
    </row>
    <row r="3603">
      <c r="C3603" s="5"/>
      <c r="D3603" s="5"/>
    </row>
    <row r="3604">
      <c r="C3604" s="5"/>
      <c r="D3604" s="5"/>
    </row>
    <row r="3605">
      <c r="C3605" s="5"/>
      <c r="D3605" s="5"/>
    </row>
    <row r="3606">
      <c r="C3606" s="5"/>
      <c r="D3606" s="5"/>
    </row>
    <row r="3607">
      <c r="C3607" s="5"/>
      <c r="D3607" s="5"/>
    </row>
    <row r="3608">
      <c r="C3608" s="5"/>
      <c r="D3608" s="5"/>
    </row>
    <row r="3609">
      <c r="C3609" s="5"/>
      <c r="D3609" s="5"/>
    </row>
    <row r="3610">
      <c r="C3610" s="5"/>
      <c r="D3610" s="5"/>
    </row>
    <row r="3611">
      <c r="C3611" s="5"/>
      <c r="D3611" s="5"/>
    </row>
    <row r="3612">
      <c r="C3612" s="5"/>
      <c r="D3612" s="5"/>
    </row>
    <row r="3613">
      <c r="C3613" s="5"/>
      <c r="D3613" s="5"/>
    </row>
    <row r="3614">
      <c r="C3614" s="5"/>
      <c r="D3614" s="5"/>
    </row>
    <row r="3615">
      <c r="C3615" s="5"/>
      <c r="D3615" s="5"/>
    </row>
    <row r="3616">
      <c r="C3616" s="5"/>
      <c r="D3616" s="5"/>
    </row>
    <row r="3617">
      <c r="C3617" s="5"/>
      <c r="D3617" s="5"/>
    </row>
    <row r="3618">
      <c r="C3618" s="5"/>
      <c r="D3618" s="5"/>
    </row>
    <row r="3619">
      <c r="C3619" s="5"/>
      <c r="D3619" s="5"/>
    </row>
    <row r="3620">
      <c r="C3620" s="5"/>
      <c r="D3620" s="5"/>
    </row>
    <row r="3621">
      <c r="C3621" s="5"/>
      <c r="D3621" s="5"/>
    </row>
    <row r="3622">
      <c r="C3622" s="5"/>
      <c r="D3622" s="5"/>
    </row>
    <row r="3623">
      <c r="C3623" s="5"/>
      <c r="D3623" s="5"/>
    </row>
    <row r="3624">
      <c r="C3624" s="5"/>
      <c r="D3624" s="5"/>
    </row>
    <row r="3625">
      <c r="C3625" s="5"/>
      <c r="D3625" s="5"/>
    </row>
    <row r="3626">
      <c r="C3626" s="5"/>
      <c r="D3626" s="5"/>
    </row>
    <row r="3627">
      <c r="C3627" s="5"/>
      <c r="D3627" s="5"/>
    </row>
    <row r="3628">
      <c r="C3628" s="5"/>
      <c r="D3628" s="5"/>
    </row>
    <row r="3629">
      <c r="C3629" s="5"/>
      <c r="D3629" s="5"/>
    </row>
    <row r="3630">
      <c r="C3630" s="5"/>
      <c r="D3630" s="5"/>
    </row>
    <row r="3631">
      <c r="C3631" s="5"/>
      <c r="D3631" s="5"/>
    </row>
    <row r="3632">
      <c r="C3632" s="5"/>
      <c r="D3632" s="5"/>
    </row>
    <row r="3633">
      <c r="C3633" s="5"/>
      <c r="D3633" s="5"/>
    </row>
    <row r="3634">
      <c r="C3634" s="5"/>
      <c r="D3634" s="5"/>
    </row>
    <row r="3635">
      <c r="C3635" s="5"/>
      <c r="D3635" s="5"/>
    </row>
    <row r="3636">
      <c r="C3636" s="5"/>
      <c r="D3636" s="5"/>
    </row>
    <row r="3637">
      <c r="C3637" s="5"/>
      <c r="D3637" s="5"/>
    </row>
    <row r="3638">
      <c r="C3638" s="5"/>
      <c r="D3638" s="5"/>
    </row>
    <row r="3639">
      <c r="C3639" s="5"/>
      <c r="D3639" s="5"/>
    </row>
    <row r="3640">
      <c r="C3640" s="5"/>
      <c r="D3640" s="5"/>
    </row>
    <row r="3641">
      <c r="C3641" s="5"/>
      <c r="D3641" s="5"/>
    </row>
    <row r="3642">
      <c r="C3642" s="5"/>
      <c r="D3642" s="5"/>
    </row>
    <row r="3643">
      <c r="C3643" s="5"/>
      <c r="D3643" s="5"/>
    </row>
    <row r="3644">
      <c r="C3644" s="5"/>
      <c r="D3644" s="5"/>
    </row>
    <row r="3645">
      <c r="C3645" s="5"/>
      <c r="D3645" s="5"/>
    </row>
    <row r="3646">
      <c r="C3646" s="5"/>
      <c r="D3646" s="5"/>
    </row>
    <row r="3647">
      <c r="C3647" s="5"/>
      <c r="D3647" s="5"/>
    </row>
    <row r="3648">
      <c r="C3648" s="5"/>
      <c r="D3648" s="5"/>
    </row>
    <row r="3649">
      <c r="C3649" s="5"/>
      <c r="D3649" s="5"/>
    </row>
    <row r="3650">
      <c r="C3650" s="5"/>
      <c r="D3650" s="5"/>
    </row>
    <row r="3651">
      <c r="C3651" s="5"/>
      <c r="D3651" s="5"/>
    </row>
    <row r="3652">
      <c r="C3652" s="5"/>
      <c r="D3652" s="5"/>
    </row>
    <row r="3653">
      <c r="C3653" s="5"/>
      <c r="D3653" s="5"/>
    </row>
    <row r="3654">
      <c r="C3654" s="5"/>
      <c r="D3654" s="5"/>
    </row>
    <row r="3655">
      <c r="C3655" s="5"/>
      <c r="D3655" s="5"/>
    </row>
    <row r="3656">
      <c r="C3656" s="5"/>
      <c r="D3656" s="5"/>
    </row>
    <row r="3657">
      <c r="C3657" s="5"/>
      <c r="D3657" s="5"/>
    </row>
    <row r="3658">
      <c r="C3658" s="5"/>
      <c r="D3658" s="5"/>
    </row>
    <row r="3659">
      <c r="C3659" s="5"/>
      <c r="D3659" s="5"/>
    </row>
    <row r="3660">
      <c r="C3660" s="5"/>
      <c r="D3660" s="5"/>
    </row>
    <row r="3661">
      <c r="C3661" s="5"/>
      <c r="D3661" s="5"/>
    </row>
    <row r="3662">
      <c r="C3662" s="5"/>
      <c r="D3662" s="5"/>
    </row>
    <row r="3663">
      <c r="C3663" s="5"/>
      <c r="D3663" s="5"/>
    </row>
    <row r="3664">
      <c r="C3664" s="5"/>
      <c r="D3664" s="5"/>
    </row>
    <row r="3665">
      <c r="C3665" s="5"/>
      <c r="D3665" s="5"/>
    </row>
    <row r="3666">
      <c r="C3666" s="5"/>
      <c r="D3666" s="5"/>
    </row>
    <row r="3667">
      <c r="C3667" s="5"/>
      <c r="D3667" s="5"/>
    </row>
    <row r="3668">
      <c r="C3668" s="5"/>
      <c r="D3668" s="5"/>
    </row>
    <row r="3669">
      <c r="C3669" s="5"/>
      <c r="D3669" s="5"/>
    </row>
    <row r="3670">
      <c r="C3670" s="5"/>
      <c r="D3670" s="5"/>
    </row>
    <row r="3671">
      <c r="C3671" s="5"/>
      <c r="D3671" s="5"/>
    </row>
    <row r="3672">
      <c r="C3672" s="5"/>
      <c r="D3672" s="5"/>
    </row>
    <row r="3673">
      <c r="C3673" s="5"/>
      <c r="D3673" s="5"/>
    </row>
    <row r="3674">
      <c r="C3674" s="5"/>
      <c r="D3674" s="5"/>
    </row>
    <row r="3675">
      <c r="C3675" s="5"/>
      <c r="D3675" s="5"/>
    </row>
    <row r="3676">
      <c r="C3676" s="5"/>
      <c r="D3676" s="5"/>
    </row>
    <row r="3677">
      <c r="C3677" s="5"/>
      <c r="D3677" s="5"/>
    </row>
    <row r="3678">
      <c r="C3678" s="5"/>
      <c r="D3678" s="5"/>
    </row>
    <row r="3679">
      <c r="C3679" s="5"/>
      <c r="D3679" s="5"/>
    </row>
    <row r="3680">
      <c r="C3680" s="5"/>
      <c r="D3680" s="5"/>
    </row>
    <row r="3681">
      <c r="C3681" s="5"/>
      <c r="D3681" s="5"/>
    </row>
    <row r="3682">
      <c r="C3682" s="5"/>
      <c r="D3682" s="5"/>
    </row>
    <row r="3683">
      <c r="C3683" s="5"/>
      <c r="D3683" s="5"/>
    </row>
    <row r="3684">
      <c r="C3684" s="5"/>
      <c r="D3684" s="5"/>
    </row>
    <row r="3685">
      <c r="C3685" s="5"/>
      <c r="D3685" s="5"/>
    </row>
    <row r="3686">
      <c r="C3686" s="5"/>
      <c r="D3686" s="5"/>
    </row>
    <row r="3687">
      <c r="C3687" s="5"/>
      <c r="D3687" s="5"/>
    </row>
    <row r="3688">
      <c r="C3688" s="5"/>
      <c r="D3688" s="5"/>
    </row>
    <row r="3689">
      <c r="C3689" s="5"/>
      <c r="D3689" s="5"/>
    </row>
    <row r="3690">
      <c r="C3690" s="5"/>
      <c r="D3690" s="5"/>
    </row>
    <row r="3691">
      <c r="C3691" s="5"/>
      <c r="D3691" s="5"/>
    </row>
    <row r="3692">
      <c r="C3692" s="5"/>
      <c r="D3692" s="5"/>
    </row>
    <row r="3693">
      <c r="C3693" s="5"/>
      <c r="D3693" s="5"/>
    </row>
    <row r="3694">
      <c r="C3694" s="5"/>
      <c r="D3694" s="5"/>
    </row>
    <row r="3695">
      <c r="C3695" s="5"/>
      <c r="D3695" s="5"/>
    </row>
    <row r="3696">
      <c r="C3696" s="5"/>
      <c r="D3696" s="5"/>
    </row>
    <row r="3697">
      <c r="C3697" s="5"/>
      <c r="D3697" s="5"/>
    </row>
    <row r="3698">
      <c r="C3698" s="5"/>
      <c r="D3698" s="5"/>
    </row>
    <row r="3699">
      <c r="C3699" s="5"/>
      <c r="D3699" s="5"/>
    </row>
    <row r="3700">
      <c r="C3700" s="5"/>
      <c r="D3700" s="5"/>
    </row>
    <row r="3701">
      <c r="C3701" s="5"/>
      <c r="D3701" s="5"/>
    </row>
    <row r="3702">
      <c r="C3702" s="5"/>
      <c r="D3702" s="5"/>
    </row>
    <row r="3703">
      <c r="C3703" s="5"/>
      <c r="D3703" s="5"/>
    </row>
    <row r="3704">
      <c r="C3704" s="5"/>
      <c r="D3704" s="5"/>
    </row>
    <row r="3705">
      <c r="C3705" s="5"/>
      <c r="D3705" s="5"/>
    </row>
    <row r="3706">
      <c r="C3706" s="5"/>
      <c r="D3706" s="5"/>
    </row>
    <row r="3707">
      <c r="C3707" s="5"/>
      <c r="D3707" s="5"/>
    </row>
    <row r="3708">
      <c r="C3708" s="5"/>
      <c r="D3708" s="5"/>
    </row>
    <row r="3709">
      <c r="C3709" s="5"/>
      <c r="D3709" s="5"/>
    </row>
    <row r="3710">
      <c r="C3710" s="5"/>
      <c r="D3710" s="5"/>
    </row>
    <row r="3711">
      <c r="C3711" s="5"/>
      <c r="D3711" s="5"/>
    </row>
    <row r="3712">
      <c r="C3712" s="5"/>
      <c r="D3712" s="5"/>
    </row>
    <row r="3713">
      <c r="C3713" s="5"/>
      <c r="D3713" s="5"/>
    </row>
    <row r="3714">
      <c r="C3714" s="5"/>
      <c r="D3714" s="5"/>
    </row>
    <row r="3715">
      <c r="C3715" s="5"/>
      <c r="D3715" s="5"/>
    </row>
    <row r="3716">
      <c r="C3716" s="5"/>
      <c r="D3716" s="5"/>
    </row>
    <row r="3717">
      <c r="C3717" s="5"/>
      <c r="D3717" s="5"/>
    </row>
    <row r="3718">
      <c r="C3718" s="5"/>
      <c r="D3718" s="5"/>
    </row>
    <row r="3719">
      <c r="C3719" s="5"/>
      <c r="D3719" s="5"/>
    </row>
    <row r="3720">
      <c r="C3720" s="5"/>
      <c r="D3720" s="5"/>
    </row>
    <row r="3721">
      <c r="C3721" s="5"/>
      <c r="D3721" s="5"/>
    </row>
    <row r="3722">
      <c r="C3722" s="5"/>
      <c r="D3722" s="5"/>
    </row>
    <row r="3723">
      <c r="C3723" s="5"/>
      <c r="D3723" s="5"/>
    </row>
    <row r="3724">
      <c r="C3724" s="5"/>
      <c r="D3724" s="5"/>
    </row>
    <row r="3725">
      <c r="C3725" s="5"/>
      <c r="D3725" s="5"/>
    </row>
    <row r="3726">
      <c r="C3726" s="5"/>
      <c r="D3726" s="5"/>
    </row>
    <row r="3727">
      <c r="C3727" s="5"/>
      <c r="D3727" s="5"/>
    </row>
    <row r="3728">
      <c r="C3728" s="5"/>
      <c r="D3728" s="5"/>
    </row>
    <row r="3729">
      <c r="C3729" s="5"/>
      <c r="D3729" s="5"/>
    </row>
    <row r="3730">
      <c r="C3730" s="5"/>
      <c r="D3730" s="5"/>
    </row>
    <row r="3731">
      <c r="C3731" s="5"/>
      <c r="D3731" s="5"/>
    </row>
    <row r="3732">
      <c r="C3732" s="5"/>
      <c r="D3732" s="5"/>
    </row>
    <row r="3733">
      <c r="C3733" s="5"/>
      <c r="D3733" s="5"/>
    </row>
    <row r="3734">
      <c r="C3734" s="5"/>
      <c r="D3734" s="5"/>
    </row>
    <row r="3735">
      <c r="C3735" s="5"/>
      <c r="D3735" s="5"/>
    </row>
    <row r="3736">
      <c r="C3736" s="5"/>
      <c r="D3736" s="5"/>
    </row>
    <row r="3737">
      <c r="C3737" s="5"/>
      <c r="D3737" s="5"/>
    </row>
    <row r="3738">
      <c r="C3738" s="5"/>
      <c r="D3738" s="5"/>
    </row>
    <row r="3739">
      <c r="C3739" s="5"/>
      <c r="D3739" s="5"/>
    </row>
    <row r="3740">
      <c r="C3740" s="5"/>
      <c r="D3740" s="5"/>
    </row>
    <row r="3741">
      <c r="C3741" s="5"/>
      <c r="D3741" s="5"/>
    </row>
    <row r="3742">
      <c r="C3742" s="5"/>
      <c r="D3742" s="5"/>
    </row>
    <row r="3743">
      <c r="C3743" s="5"/>
      <c r="D3743" s="5"/>
    </row>
    <row r="3744">
      <c r="C3744" s="5"/>
      <c r="D3744" s="5"/>
    </row>
    <row r="3745">
      <c r="C3745" s="5"/>
      <c r="D3745" s="5"/>
    </row>
    <row r="3746">
      <c r="C3746" s="5"/>
      <c r="D3746" s="5"/>
    </row>
    <row r="3747">
      <c r="C3747" s="5"/>
      <c r="D3747" s="5"/>
    </row>
    <row r="3748">
      <c r="C3748" s="5"/>
      <c r="D3748" s="5"/>
    </row>
    <row r="3749">
      <c r="C3749" s="5"/>
      <c r="D3749" s="5"/>
    </row>
    <row r="3750">
      <c r="C3750" s="5"/>
      <c r="D3750" s="5"/>
    </row>
    <row r="3751">
      <c r="C3751" s="5"/>
      <c r="D3751" s="5"/>
    </row>
    <row r="3752">
      <c r="C3752" s="5"/>
      <c r="D3752" s="5"/>
    </row>
    <row r="3753">
      <c r="C3753" s="5"/>
      <c r="D3753" s="5"/>
    </row>
    <row r="3754">
      <c r="C3754" s="5"/>
      <c r="D3754" s="5"/>
    </row>
    <row r="3755">
      <c r="C3755" s="5"/>
      <c r="D3755" s="5"/>
    </row>
    <row r="3756">
      <c r="C3756" s="5"/>
      <c r="D3756" s="5"/>
    </row>
    <row r="3757">
      <c r="C3757" s="5"/>
      <c r="D3757" s="5"/>
    </row>
    <row r="3758">
      <c r="C3758" s="5"/>
      <c r="D3758" s="5"/>
    </row>
    <row r="3759">
      <c r="C3759" s="5"/>
      <c r="D3759" s="5"/>
    </row>
    <row r="3760">
      <c r="C3760" s="5"/>
      <c r="D3760" s="5"/>
    </row>
    <row r="3761">
      <c r="C3761" s="5"/>
      <c r="D3761" s="5"/>
    </row>
    <row r="3762">
      <c r="C3762" s="5"/>
      <c r="D3762" s="5"/>
    </row>
    <row r="3763">
      <c r="C3763" s="5"/>
      <c r="D3763" s="5"/>
    </row>
    <row r="3764">
      <c r="C3764" s="5"/>
      <c r="D3764" s="5"/>
    </row>
    <row r="3765">
      <c r="C3765" s="5"/>
      <c r="D3765" s="5"/>
    </row>
    <row r="3766">
      <c r="C3766" s="5"/>
      <c r="D3766" s="5"/>
    </row>
    <row r="3767">
      <c r="C3767" s="5"/>
      <c r="D3767" s="5"/>
    </row>
    <row r="3768">
      <c r="C3768" s="5"/>
      <c r="D3768" s="5"/>
    </row>
    <row r="3769">
      <c r="C3769" s="5"/>
      <c r="D3769" s="5"/>
    </row>
    <row r="3770">
      <c r="C3770" s="5"/>
      <c r="D3770" s="5"/>
    </row>
    <row r="3771">
      <c r="C3771" s="5"/>
      <c r="D3771" s="5"/>
    </row>
    <row r="3772">
      <c r="C3772" s="5"/>
      <c r="D3772" s="5"/>
    </row>
    <row r="3773">
      <c r="C3773" s="5"/>
      <c r="D3773" s="5"/>
    </row>
    <row r="3774">
      <c r="C3774" s="5"/>
      <c r="D3774" s="5"/>
    </row>
    <row r="3775">
      <c r="C3775" s="5"/>
      <c r="D3775" s="5"/>
    </row>
    <row r="3776">
      <c r="C3776" s="5"/>
      <c r="D3776" s="5"/>
    </row>
    <row r="3777">
      <c r="C3777" s="5"/>
      <c r="D3777" s="5"/>
    </row>
    <row r="3778">
      <c r="C3778" s="5"/>
      <c r="D3778" s="5"/>
    </row>
    <row r="3779">
      <c r="C3779" s="5"/>
      <c r="D3779" s="5"/>
    </row>
    <row r="3780">
      <c r="C3780" s="5"/>
      <c r="D3780" s="5"/>
    </row>
    <row r="3781">
      <c r="C3781" s="5"/>
      <c r="D3781" s="5"/>
    </row>
    <row r="3782">
      <c r="C3782" s="5"/>
      <c r="D3782" s="5"/>
    </row>
    <row r="3783">
      <c r="C3783" s="5"/>
      <c r="D3783" s="5"/>
    </row>
    <row r="3784">
      <c r="C3784" s="5"/>
      <c r="D3784" s="5"/>
    </row>
    <row r="3785">
      <c r="C3785" s="5"/>
      <c r="D3785" s="5"/>
    </row>
    <row r="3786">
      <c r="C3786" s="5"/>
      <c r="D3786" s="5"/>
    </row>
    <row r="3787">
      <c r="C3787" s="5"/>
      <c r="D3787" s="5"/>
    </row>
    <row r="3788">
      <c r="C3788" s="5"/>
      <c r="D3788" s="5"/>
    </row>
    <row r="3789">
      <c r="C3789" s="5"/>
      <c r="D3789" s="5"/>
    </row>
    <row r="3790">
      <c r="C3790" s="5"/>
      <c r="D3790" s="5"/>
    </row>
    <row r="3791">
      <c r="C3791" s="5"/>
      <c r="D3791" s="5"/>
    </row>
    <row r="3792">
      <c r="C3792" s="5"/>
      <c r="D3792" s="5"/>
    </row>
    <row r="3793">
      <c r="C3793" s="5"/>
      <c r="D3793" s="5"/>
    </row>
    <row r="3794">
      <c r="C3794" s="5"/>
      <c r="D3794" s="5"/>
    </row>
    <row r="3795">
      <c r="C3795" s="5"/>
      <c r="D3795" s="5"/>
    </row>
    <row r="3796">
      <c r="C3796" s="5"/>
      <c r="D3796" s="5"/>
    </row>
    <row r="3797">
      <c r="C3797" s="5"/>
      <c r="D3797" s="5"/>
    </row>
    <row r="3798">
      <c r="C3798" s="5"/>
      <c r="D3798" s="5"/>
    </row>
    <row r="3799">
      <c r="C3799" s="5"/>
      <c r="D3799" s="5"/>
    </row>
    <row r="3800">
      <c r="C3800" s="5"/>
      <c r="D3800" s="5"/>
    </row>
    <row r="3801">
      <c r="C3801" s="5"/>
      <c r="D3801" s="5"/>
    </row>
    <row r="3802">
      <c r="C3802" s="5"/>
      <c r="D3802" s="5"/>
    </row>
    <row r="3803">
      <c r="C3803" s="5"/>
      <c r="D3803" s="5"/>
    </row>
    <row r="3804">
      <c r="C3804" s="5"/>
      <c r="D3804" s="5"/>
    </row>
    <row r="3805">
      <c r="C3805" s="5"/>
      <c r="D3805" s="5"/>
    </row>
    <row r="3806">
      <c r="C3806" s="5"/>
      <c r="D3806" s="5"/>
    </row>
    <row r="3807">
      <c r="C3807" s="5"/>
      <c r="D3807" s="5"/>
    </row>
    <row r="3808">
      <c r="C3808" s="5"/>
      <c r="D3808" s="5"/>
    </row>
    <row r="3809">
      <c r="C3809" s="5"/>
      <c r="D3809" s="5"/>
    </row>
    <row r="3810">
      <c r="C3810" s="5"/>
      <c r="D3810" s="5"/>
    </row>
    <row r="3811">
      <c r="C3811" s="5"/>
      <c r="D3811" s="5"/>
    </row>
    <row r="3812">
      <c r="C3812" s="5"/>
      <c r="D3812" s="5"/>
    </row>
    <row r="3813">
      <c r="C3813" s="5"/>
      <c r="D3813" s="5"/>
    </row>
    <row r="3814">
      <c r="C3814" s="5"/>
      <c r="D3814" s="5"/>
    </row>
    <row r="3815">
      <c r="C3815" s="5"/>
      <c r="D3815" s="5"/>
    </row>
    <row r="3816">
      <c r="C3816" s="5"/>
      <c r="D3816" s="5"/>
    </row>
    <row r="3817">
      <c r="C3817" s="5"/>
      <c r="D3817" s="5"/>
    </row>
    <row r="3818">
      <c r="C3818" s="5"/>
      <c r="D3818" s="5"/>
    </row>
    <row r="3819">
      <c r="C3819" s="5"/>
      <c r="D3819" s="5"/>
    </row>
    <row r="3820">
      <c r="C3820" s="5"/>
      <c r="D3820" s="5"/>
    </row>
    <row r="3821">
      <c r="C3821" s="5"/>
      <c r="D3821" s="5"/>
    </row>
    <row r="3822">
      <c r="C3822" s="5"/>
      <c r="D3822" s="5"/>
    </row>
    <row r="3823">
      <c r="C3823" s="5"/>
      <c r="D3823" s="5"/>
    </row>
    <row r="3824">
      <c r="C3824" s="5"/>
      <c r="D3824" s="5"/>
    </row>
    <row r="3825">
      <c r="C3825" s="5"/>
      <c r="D3825" s="5"/>
    </row>
    <row r="3826">
      <c r="C3826" s="5"/>
      <c r="D3826" s="5"/>
    </row>
    <row r="3827">
      <c r="C3827" s="5"/>
      <c r="D3827" s="5"/>
    </row>
    <row r="3828">
      <c r="C3828" s="5"/>
      <c r="D3828" s="5"/>
    </row>
    <row r="3829">
      <c r="C3829" s="5"/>
      <c r="D3829" s="5"/>
    </row>
    <row r="3830">
      <c r="C3830" s="5"/>
      <c r="D3830" s="5"/>
    </row>
    <row r="3831">
      <c r="C3831" s="5"/>
      <c r="D3831" s="5"/>
    </row>
    <row r="3832">
      <c r="C3832" s="5"/>
      <c r="D3832" s="5"/>
    </row>
    <row r="3833">
      <c r="C3833" s="5"/>
      <c r="D3833" s="5"/>
    </row>
    <row r="3834">
      <c r="C3834" s="5"/>
      <c r="D3834" s="5"/>
    </row>
    <row r="3835">
      <c r="C3835" s="5"/>
      <c r="D3835" s="5"/>
    </row>
    <row r="3836">
      <c r="C3836" s="5"/>
      <c r="D3836" s="5"/>
    </row>
    <row r="3837">
      <c r="C3837" s="5"/>
      <c r="D3837" s="5"/>
    </row>
    <row r="3838">
      <c r="C3838" s="5"/>
      <c r="D3838" s="5"/>
    </row>
    <row r="3839">
      <c r="C3839" s="5"/>
      <c r="D3839" s="5"/>
    </row>
    <row r="3840">
      <c r="C3840" s="5"/>
      <c r="D3840" s="5"/>
    </row>
    <row r="3841">
      <c r="C3841" s="5"/>
      <c r="D3841" s="5"/>
    </row>
    <row r="3842">
      <c r="C3842" s="5"/>
      <c r="D3842" s="5"/>
    </row>
    <row r="3843">
      <c r="C3843" s="5"/>
      <c r="D3843" s="5"/>
    </row>
    <row r="3844">
      <c r="C3844" s="5"/>
      <c r="D3844" s="5"/>
    </row>
    <row r="3845">
      <c r="C3845" s="5"/>
      <c r="D3845" s="5"/>
    </row>
    <row r="3846">
      <c r="C3846" s="5"/>
      <c r="D3846" s="5"/>
    </row>
    <row r="3847">
      <c r="C3847" s="5"/>
      <c r="D3847" s="5"/>
    </row>
    <row r="3848">
      <c r="C3848" s="5"/>
      <c r="D3848" s="5"/>
    </row>
    <row r="3849">
      <c r="C3849" s="5"/>
      <c r="D3849" s="5"/>
    </row>
    <row r="3850">
      <c r="C3850" s="5"/>
      <c r="D3850" s="5"/>
    </row>
    <row r="3851">
      <c r="C3851" s="5"/>
      <c r="D3851" s="5"/>
    </row>
    <row r="3852">
      <c r="C3852" s="5"/>
      <c r="D3852" s="5"/>
    </row>
    <row r="3853">
      <c r="C3853" s="5"/>
      <c r="D3853" s="5"/>
    </row>
    <row r="3854">
      <c r="C3854" s="5"/>
      <c r="D3854" s="5"/>
    </row>
    <row r="3855">
      <c r="C3855" s="5"/>
      <c r="D3855" s="5"/>
    </row>
    <row r="3856">
      <c r="C3856" s="5"/>
      <c r="D3856" s="5"/>
    </row>
    <row r="3857">
      <c r="C3857" s="5"/>
      <c r="D3857" s="5"/>
    </row>
    <row r="3858">
      <c r="C3858" s="5"/>
      <c r="D3858" s="5"/>
    </row>
    <row r="3859">
      <c r="C3859" s="5"/>
      <c r="D3859" s="5"/>
    </row>
    <row r="3860">
      <c r="C3860" s="5"/>
      <c r="D3860" s="5"/>
    </row>
    <row r="3861">
      <c r="C3861" s="5"/>
      <c r="D3861" s="5"/>
    </row>
    <row r="3862">
      <c r="C3862" s="5"/>
      <c r="D3862" s="5"/>
    </row>
    <row r="3863">
      <c r="C3863" s="5"/>
      <c r="D3863" s="5"/>
    </row>
    <row r="3864">
      <c r="C3864" s="5"/>
      <c r="D3864" s="5"/>
    </row>
    <row r="3865">
      <c r="C3865" s="5"/>
      <c r="D3865" s="5"/>
    </row>
    <row r="3866">
      <c r="C3866" s="5"/>
      <c r="D3866" s="5"/>
    </row>
    <row r="3867">
      <c r="C3867" s="5"/>
      <c r="D3867" s="5"/>
    </row>
    <row r="3868">
      <c r="C3868" s="5"/>
      <c r="D3868" s="5"/>
    </row>
    <row r="3869">
      <c r="C3869" s="5"/>
      <c r="D3869" s="5"/>
    </row>
    <row r="3870">
      <c r="C3870" s="5"/>
      <c r="D3870" s="5"/>
    </row>
    <row r="3871">
      <c r="C3871" s="5"/>
      <c r="D3871" s="5"/>
    </row>
    <row r="3872">
      <c r="C3872" s="5"/>
      <c r="D3872" s="5"/>
    </row>
    <row r="3873">
      <c r="C3873" s="5"/>
      <c r="D3873" s="5"/>
    </row>
    <row r="3874">
      <c r="C3874" s="5"/>
      <c r="D3874" s="5"/>
    </row>
    <row r="3875">
      <c r="C3875" s="5"/>
      <c r="D3875" s="5"/>
    </row>
    <row r="3876">
      <c r="C3876" s="5"/>
      <c r="D3876" s="5"/>
    </row>
    <row r="3877">
      <c r="C3877" s="5"/>
      <c r="D3877" s="5"/>
    </row>
    <row r="3878">
      <c r="C3878" s="5"/>
      <c r="D3878" s="5"/>
    </row>
    <row r="3879">
      <c r="C3879" s="5"/>
      <c r="D3879" s="5"/>
    </row>
    <row r="3880">
      <c r="C3880" s="5"/>
      <c r="D3880" s="5"/>
    </row>
    <row r="3881">
      <c r="C3881" s="5"/>
      <c r="D3881" s="5"/>
    </row>
    <row r="3882">
      <c r="C3882" s="5"/>
      <c r="D3882" s="5"/>
    </row>
    <row r="3883">
      <c r="C3883" s="5"/>
      <c r="D3883" s="5"/>
    </row>
    <row r="3884">
      <c r="C3884" s="5"/>
      <c r="D3884" s="5"/>
    </row>
    <row r="3885">
      <c r="C3885" s="5"/>
      <c r="D3885" s="5"/>
    </row>
    <row r="3886">
      <c r="C3886" s="5"/>
      <c r="D3886" s="5"/>
    </row>
    <row r="3887">
      <c r="C3887" s="5"/>
      <c r="D3887" s="5"/>
    </row>
    <row r="3888">
      <c r="C3888" s="5"/>
      <c r="D3888" s="5"/>
    </row>
    <row r="3889">
      <c r="C3889" s="5"/>
      <c r="D3889" s="5"/>
    </row>
    <row r="3890">
      <c r="C3890" s="5"/>
      <c r="D3890" s="5"/>
    </row>
    <row r="3891">
      <c r="C3891" s="5"/>
      <c r="D3891" s="5"/>
    </row>
    <row r="3892">
      <c r="C3892" s="5"/>
      <c r="D3892" s="5"/>
    </row>
    <row r="3893">
      <c r="C3893" s="5"/>
      <c r="D3893" s="5"/>
    </row>
    <row r="3894">
      <c r="C3894" s="5"/>
      <c r="D3894" s="5"/>
    </row>
    <row r="3895">
      <c r="C3895" s="5"/>
      <c r="D3895" s="5"/>
    </row>
    <row r="3896">
      <c r="C3896" s="5"/>
      <c r="D3896" s="5"/>
    </row>
    <row r="3897">
      <c r="C3897" s="5"/>
      <c r="D3897" s="5"/>
    </row>
    <row r="3898">
      <c r="C3898" s="5"/>
      <c r="D3898" s="5"/>
    </row>
    <row r="3899">
      <c r="C3899" s="5"/>
      <c r="D3899" s="5"/>
    </row>
    <row r="3900">
      <c r="C3900" s="5"/>
      <c r="D3900" s="5"/>
    </row>
    <row r="3901">
      <c r="C3901" s="5"/>
      <c r="D3901" s="5"/>
    </row>
    <row r="3902">
      <c r="C3902" s="5"/>
      <c r="D3902" s="5"/>
    </row>
    <row r="3903">
      <c r="C3903" s="5"/>
      <c r="D3903" s="5"/>
    </row>
    <row r="3904">
      <c r="C3904" s="5"/>
      <c r="D3904" s="5"/>
    </row>
    <row r="3905">
      <c r="C3905" s="5"/>
      <c r="D3905" s="5"/>
    </row>
    <row r="3906">
      <c r="C3906" s="5"/>
      <c r="D3906" s="5"/>
    </row>
    <row r="3907">
      <c r="C3907" s="5"/>
      <c r="D3907" s="5"/>
    </row>
    <row r="3908">
      <c r="C3908" s="5"/>
      <c r="D3908" s="5"/>
    </row>
    <row r="3909">
      <c r="C3909" s="5"/>
      <c r="D3909" s="5"/>
    </row>
    <row r="3910">
      <c r="C3910" s="5"/>
      <c r="D3910" s="5"/>
    </row>
    <row r="3911">
      <c r="C3911" s="5"/>
      <c r="D3911" s="5"/>
    </row>
    <row r="3912">
      <c r="C3912" s="5"/>
      <c r="D3912" s="5"/>
    </row>
    <row r="3913">
      <c r="C3913" s="5"/>
      <c r="D3913" s="5"/>
    </row>
    <row r="3914">
      <c r="C3914" s="5"/>
      <c r="D3914" s="5"/>
    </row>
    <row r="3915">
      <c r="C3915" s="5"/>
      <c r="D3915" s="5"/>
    </row>
    <row r="3916">
      <c r="C3916" s="5"/>
      <c r="D3916" s="5"/>
    </row>
    <row r="3917">
      <c r="C3917" s="5"/>
      <c r="D3917" s="5"/>
    </row>
    <row r="3918">
      <c r="C3918" s="5"/>
      <c r="D3918" s="5"/>
    </row>
    <row r="3919">
      <c r="C3919" s="5"/>
      <c r="D3919" s="5"/>
    </row>
    <row r="3920">
      <c r="C3920" s="5"/>
      <c r="D3920" s="5"/>
    </row>
    <row r="3921">
      <c r="C3921" s="5"/>
      <c r="D3921" s="5"/>
    </row>
    <row r="3922">
      <c r="C3922" s="5"/>
      <c r="D3922" s="5"/>
    </row>
    <row r="3923">
      <c r="C3923" s="5"/>
      <c r="D3923" s="5"/>
    </row>
    <row r="3924">
      <c r="C3924" s="5"/>
      <c r="D3924" s="5"/>
    </row>
    <row r="3925">
      <c r="C3925" s="5"/>
      <c r="D3925" s="5"/>
    </row>
    <row r="3926">
      <c r="C3926" s="5"/>
      <c r="D3926" s="5"/>
    </row>
    <row r="3927">
      <c r="C3927" s="5"/>
      <c r="D3927" s="5"/>
    </row>
    <row r="3928">
      <c r="C3928" s="5"/>
      <c r="D3928" s="5"/>
    </row>
    <row r="3929">
      <c r="C3929" s="5"/>
      <c r="D3929" s="5"/>
    </row>
    <row r="3930">
      <c r="C3930" s="5"/>
      <c r="D3930" s="5"/>
    </row>
    <row r="3931">
      <c r="C3931" s="5"/>
      <c r="D3931" s="5"/>
    </row>
    <row r="3932">
      <c r="C3932" s="5"/>
      <c r="D3932" s="5"/>
    </row>
    <row r="3933">
      <c r="C3933" s="5"/>
      <c r="D3933" s="5"/>
    </row>
    <row r="3934">
      <c r="C3934" s="5"/>
      <c r="D3934" s="5"/>
    </row>
    <row r="3935">
      <c r="C3935" s="5"/>
      <c r="D3935" s="5"/>
    </row>
    <row r="3936">
      <c r="C3936" s="5"/>
      <c r="D3936" s="5"/>
    </row>
    <row r="3937">
      <c r="C3937" s="5"/>
      <c r="D3937" s="5"/>
    </row>
    <row r="3938">
      <c r="C3938" s="5"/>
      <c r="D3938" s="5"/>
    </row>
    <row r="3939">
      <c r="C3939" s="5"/>
      <c r="D3939" s="5"/>
    </row>
    <row r="3940">
      <c r="C3940" s="5"/>
      <c r="D3940" s="5"/>
    </row>
    <row r="3941">
      <c r="C3941" s="5"/>
      <c r="D3941" s="5"/>
    </row>
    <row r="3942">
      <c r="C3942" s="5"/>
      <c r="D3942" s="5"/>
    </row>
    <row r="3943">
      <c r="C3943" s="5"/>
      <c r="D3943" s="5"/>
    </row>
    <row r="3944">
      <c r="C3944" s="5"/>
      <c r="D3944" s="5"/>
    </row>
    <row r="3945">
      <c r="C3945" s="5"/>
      <c r="D3945" s="5"/>
    </row>
    <row r="3946">
      <c r="C3946" s="5"/>
      <c r="D3946" s="5"/>
    </row>
    <row r="3947">
      <c r="C3947" s="5"/>
      <c r="D3947" s="5"/>
    </row>
    <row r="3948">
      <c r="C3948" s="5"/>
      <c r="D3948" s="5"/>
    </row>
    <row r="3949">
      <c r="C3949" s="5"/>
      <c r="D3949" s="5"/>
    </row>
    <row r="3950">
      <c r="C3950" s="5"/>
      <c r="D3950" s="5"/>
    </row>
    <row r="3951">
      <c r="C3951" s="5"/>
      <c r="D3951" s="5"/>
    </row>
    <row r="3952">
      <c r="C3952" s="5"/>
      <c r="D3952" s="5"/>
    </row>
    <row r="3953">
      <c r="C3953" s="5"/>
      <c r="D3953" s="5"/>
    </row>
    <row r="3954">
      <c r="C3954" s="5"/>
      <c r="D3954" s="5"/>
    </row>
    <row r="3955">
      <c r="C3955" s="5"/>
      <c r="D3955" s="5"/>
    </row>
    <row r="3956">
      <c r="C3956" s="5"/>
      <c r="D3956" s="5"/>
    </row>
    <row r="3957">
      <c r="C3957" s="5"/>
      <c r="D3957" s="5"/>
    </row>
    <row r="3958">
      <c r="C3958" s="5"/>
      <c r="D3958" s="5"/>
    </row>
    <row r="3959">
      <c r="C3959" s="5"/>
      <c r="D3959" s="5"/>
    </row>
    <row r="3960">
      <c r="C3960" s="5"/>
      <c r="D3960" s="5"/>
    </row>
    <row r="3961">
      <c r="C3961" s="5"/>
      <c r="D3961" s="5"/>
    </row>
    <row r="3962">
      <c r="C3962" s="5"/>
      <c r="D3962" s="5"/>
    </row>
    <row r="3963">
      <c r="C3963" s="5"/>
      <c r="D3963" s="5"/>
    </row>
    <row r="3964">
      <c r="C3964" s="5"/>
      <c r="D3964" s="5"/>
    </row>
    <row r="3965">
      <c r="C3965" s="5"/>
      <c r="D3965" s="5"/>
    </row>
    <row r="3966">
      <c r="C3966" s="5"/>
      <c r="D3966" s="5"/>
    </row>
    <row r="3967">
      <c r="C3967" s="5"/>
      <c r="D3967" s="5"/>
    </row>
    <row r="3968">
      <c r="C3968" s="5"/>
      <c r="D3968" s="5"/>
    </row>
    <row r="3969">
      <c r="C3969" s="5"/>
      <c r="D3969" s="5"/>
    </row>
    <row r="3970">
      <c r="C3970" s="5"/>
      <c r="D3970" s="5"/>
    </row>
    <row r="3971">
      <c r="C3971" s="5"/>
      <c r="D3971" s="5"/>
    </row>
    <row r="3972">
      <c r="C3972" s="5"/>
      <c r="D3972" s="5"/>
    </row>
    <row r="3973">
      <c r="C3973" s="5"/>
      <c r="D3973" s="5"/>
    </row>
    <row r="3974">
      <c r="C3974" s="5"/>
      <c r="D3974" s="5"/>
    </row>
    <row r="3975">
      <c r="C3975" s="5"/>
      <c r="D3975" s="5"/>
    </row>
    <row r="3976">
      <c r="C3976" s="5"/>
      <c r="D3976" s="5"/>
    </row>
    <row r="3977">
      <c r="C3977" s="5"/>
      <c r="D3977" s="5"/>
    </row>
    <row r="3978">
      <c r="C3978" s="5"/>
      <c r="D3978" s="5"/>
    </row>
    <row r="3979">
      <c r="C3979" s="5"/>
      <c r="D3979" s="5"/>
    </row>
    <row r="3980">
      <c r="C3980" s="5"/>
      <c r="D3980" s="5"/>
    </row>
    <row r="3981">
      <c r="C3981" s="5"/>
      <c r="D3981" s="5"/>
    </row>
    <row r="3982">
      <c r="C3982" s="5"/>
      <c r="D3982" s="5"/>
    </row>
    <row r="3983">
      <c r="C3983" s="5"/>
      <c r="D3983" s="5"/>
    </row>
    <row r="3984">
      <c r="C3984" s="5"/>
      <c r="D3984" s="5"/>
    </row>
    <row r="3985">
      <c r="C3985" s="5"/>
      <c r="D3985" s="5"/>
    </row>
    <row r="3986">
      <c r="C3986" s="5"/>
      <c r="D3986" s="5"/>
    </row>
    <row r="3987">
      <c r="C3987" s="5"/>
      <c r="D3987" s="5"/>
    </row>
    <row r="3988">
      <c r="C3988" s="5"/>
      <c r="D3988" s="5"/>
    </row>
    <row r="3989">
      <c r="C3989" s="5"/>
      <c r="D3989" s="5"/>
    </row>
    <row r="3990">
      <c r="C3990" s="5"/>
      <c r="D3990" s="5"/>
    </row>
    <row r="3991">
      <c r="C3991" s="5"/>
      <c r="D3991" s="5"/>
    </row>
    <row r="3992">
      <c r="C3992" s="5"/>
      <c r="D3992" s="5"/>
    </row>
    <row r="3993">
      <c r="C3993" s="5"/>
      <c r="D3993" s="5"/>
    </row>
    <row r="3994">
      <c r="C3994" s="5"/>
      <c r="D3994" s="5"/>
    </row>
    <row r="3995">
      <c r="C3995" s="5"/>
      <c r="D3995" s="5"/>
    </row>
    <row r="3996">
      <c r="C3996" s="5"/>
      <c r="D3996" s="5"/>
    </row>
    <row r="3997">
      <c r="C3997" s="5"/>
      <c r="D3997" s="5"/>
    </row>
    <row r="3998">
      <c r="C3998" s="5"/>
      <c r="D3998" s="5"/>
    </row>
    <row r="3999">
      <c r="C3999" s="5"/>
      <c r="D3999" s="5"/>
    </row>
    <row r="4000">
      <c r="C4000" s="5"/>
      <c r="D4000" s="5"/>
    </row>
    <row r="4001">
      <c r="C4001" s="5"/>
      <c r="D4001" s="5"/>
    </row>
    <row r="4002">
      <c r="C4002" s="5"/>
      <c r="D4002" s="5"/>
    </row>
    <row r="4003">
      <c r="C4003" s="5"/>
      <c r="D4003" s="5"/>
    </row>
    <row r="4004">
      <c r="C4004" s="5"/>
      <c r="D4004" s="5"/>
    </row>
    <row r="4005">
      <c r="C4005" s="5"/>
      <c r="D4005" s="5"/>
    </row>
    <row r="4006">
      <c r="C4006" s="5"/>
      <c r="D4006" s="5"/>
    </row>
    <row r="4007">
      <c r="C4007" s="5"/>
      <c r="D4007" s="5"/>
    </row>
    <row r="4008">
      <c r="C4008" s="5"/>
      <c r="D4008" s="5"/>
    </row>
    <row r="4009">
      <c r="C4009" s="5"/>
      <c r="D4009" s="5"/>
    </row>
    <row r="4010">
      <c r="C4010" s="5"/>
      <c r="D4010" s="5"/>
    </row>
    <row r="4011">
      <c r="C4011" s="5"/>
      <c r="D4011" s="5"/>
    </row>
    <row r="4012">
      <c r="C4012" s="5"/>
      <c r="D4012" s="5"/>
    </row>
    <row r="4013">
      <c r="C4013" s="5"/>
      <c r="D4013" s="5"/>
    </row>
    <row r="4014">
      <c r="C4014" s="5"/>
      <c r="D4014" s="5"/>
    </row>
    <row r="4015">
      <c r="C4015" s="5"/>
      <c r="D4015" s="5"/>
    </row>
    <row r="4016">
      <c r="C4016" s="5"/>
      <c r="D4016" s="5"/>
    </row>
    <row r="4017">
      <c r="C4017" s="5"/>
      <c r="D4017" s="5"/>
    </row>
    <row r="4018">
      <c r="C4018" s="5"/>
      <c r="D4018" s="5"/>
    </row>
    <row r="4019">
      <c r="C4019" s="5"/>
      <c r="D4019" s="5"/>
    </row>
    <row r="4020">
      <c r="C4020" s="5"/>
      <c r="D4020" s="5"/>
    </row>
    <row r="4021">
      <c r="C4021" s="5"/>
      <c r="D4021" s="5"/>
    </row>
    <row r="4022">
      <c r="C4022" s="5"/>
      <c r="D4022" s="5"/>
    </row>
    <row r="4023">
      <c r="C4023" s="5"/>
      <c r="D4023" s="5"/>
    </row>
    <row r="4024">
      <c r="C4024" s="5"/>
      <c r="D4024" s="5"/>
    </row>
    <row r="4025">
      <c r="C4025" s="5"/>
      <c r="D4025" s="5"/>
    </row>
    <row r="4026">
      <c r="C4026" s="5"/>
      <c r="D4026" s="5"/>
    </row>
    <row r="4027">
      <c r="C4027" s="5"/>
      <c r="D4027" s="5"/>
    </row>
    <row r="4028">
      <c r="C4028" s="5"/>
      <c r="D4028" s="5"/>
    </row>
    <row r="4029">
      <c r="C4029" s="5"/>
      <c r="D4029" s="5"/>
    </row>
    <row r="4030">
      <c r="C4030" s="5"/>
      <c r="D4030" s="5"/>
    </row>
    <row r="4031">
      <c r="C4031" s="5"/>
      <c r="D4031" s="5"/>
    </row>
    <row r="4032">
      <c r="C4032" s="5"/>
      <c r="D4032" s="5"/>
    </row>
    <row r="4033">
      <c r="C4033" s="5"/>
      <c r="D4033" s="5"/>
    </row>
    <row r="4034">
      <c r="C4034" s="5"/>
      <c r="D4034" s="5"/>
    </row>
    <row r="4035">
      <c r="C4035" s="5"/>
      <c r="D4035" s="5"/>
    </row>
    <row r="4036">
      <c r="C4036" s="5"/>
      <c r="D4036" s="5"/>
    </row>
    <row r="4037">
      <c r="C4037" s="5"/>
      <c r="D4037" s="5"/>
    </row>
    <row r="4038">
      <c r="C4038" s="5"/>
      <c r="D4038" s="5"/>
    </row>
    <row r="4039">
      <c r="C4039" s="5"/>
      <c r="D4039" s="5"/>
    </row>
    <row r="4040">
      <c r="C4040" s="5"/>
      <c r="D4040" s="5"/>
    </row>
    <row r="4041">
      <c r="C4041" s="5"/>
      <c r="D4041" s="5"/>
    </row>
    <row r="4042">
      <c r="C4042" s="5"/>
      <c r="D4042" s="5"/>
    </row>
    <row r="4043">
      <c r="C4043" s="5"/>
      <c r="D4043" s="5"/>
    </row>
    <row r="4044">
      <c r="C4044" s="5"/>
      <c r="D4044" s="5"/>
    </row>
    <row r="4045">
      <c r="C4045" s="5"/>
      <c r="D4045" s="5"/>
    </row>
    <row r="4046">
      <c r="C4046" s="5"/>
      <c r="D4046" s="5"/>
    </row>
    <row r="4047">
      <c r="C4047" s="5"/>
      <c r="D4047" s="5"/>
    </row>
    <row r="4048">
      <c r="C4048" s="5"/>
      <c r="D4048" s="5"/>
    </row>
    <row r="4049">
      <c r="C4049" s="5"/>
      <c r="D4049" s="5"/>
    </row>
    <row r="4050">
      <c r="C4050" s="5"/>
      <c r="D4050" s="5"/>
    </row>
    <row r="4051">
      <c r="C4051" s="5"/>
      <c r="D4051" s="5"/>
    </row>
    <row r="4052">
      <c r="C4052" s="5"/>
      <c r="D4052" s="5"/>
    </row>
    <row r="4053">
      <c r="C4053" s="5"/>
      <c r="D4053" s="5"/>
    </row>
    <row r="4054">
      <c r="C4054" s="5"/>
      <c r="D4054" s="5"/>
    </row>
    <row r="4055">
      <c r="C4055" s="5"/>
      <c r="D4055" s="5"/>
    </row>
    <row r="4056">
      <c r="C4056" s="5"/>
      <c r="D4056" s="5"/>
    </row>
    <row r="4057">
      <c r="C4057" s="5"/>
      <c r="D4057" s="5"/>
    </row>
    <row r="4058">
      <c r="C4058" s="5"/>
      <c r="D4058" s="5"/>
    </row>
    <row r="4059">
      <c r="C4059" s="5"/>
      <c r="D4059" s="5"/>
    </row>
    <row r="4060">
      <c r="C4060" s="5"/>
      <c r="D4060" s="5"/>
    </row>
    <row r="4061">
      <c r="C4061" s="5"/>
      <c r="D4061" s="5"/>
    </row>
    <row r="4062">
      <c r="C4062" s="5"/>
      <c r="D4062" s="5"/>
    </row>
    <row r="4063">
      <c r="C4063" s="5"/>
      <c r="D4063" s="5"/>
    </row>
    <row r="4064">
      <c r="C4064" s="5"/>
      <c r="D4064" s="5"/>
    </row>
    <row r="4065">
      <c r="C4065" s="5"/>
      <c r="D4065" s="5"/>
    </row>
    <row r="4066">
      <c r="C4066" s="5"/>
      <c r="D4066" s="5"/>
    </row>
    <row r="4067">
      <c r="C4067" s="5"/>
      <c r="D4067" s="5"/>
    </row>
    <row r="4068">
      <c r="C4068" s="5"/>
      <c r="D4068" s="5"/>
    </row>
    <row r="4069">
      <c r="C4069" s="5"/>
      <c r="D4069" s="5"/>
    </row>
    <row r="4070">
      <c r="C4070" s="5"/>
      <c r="D4070" s="5"/>
    </row>
    <row r="4071">
      <c r="C4071" s="5"/>
      <c r="D4071" s="5"/>
    </row>
    <row r="4072">
      <c r="C4072" s="5"/>
      <c r="D4072" s="5"/>
    </row>
    <row r="4073">
      <c r="C4073" s="5"/>
      <c r="D4073" s="5"/>
    </row>
    <row r="4074">
      <c r="C4074" s="5"/>
      <c r="D4074" s="5"/>
    </row>
    <row r="4075">
      <c r="C4075" s="5"/>
      <c r="D4075" s="5"/>
    </row>
    <row r="4076">
      <c r="C4076" s="5"/>
      <c r="D4076" s="5"/>
    </row>
    <row r="4077">
      <c r="C4077" s="5"/>
      <c r="D4077" s="5"/>
    </row>
    <row r="4078">
      <c r="C4078" s="5"/>
      <c r="D4078" s="5"/>
    </row>
    <row r="4079">
      <c r="C4079" s="5"/>
      <c r="D4079" s="5"/>
    </row>
    <row r="4080">
      <c r="C4080" s="5"/>
      <c r="D4080" s="5"/>
    </row>
    <row r="4081">
      <c r="C4081" s="5"/>
      <c r="D4081" s="5"/>
    </row>
    <row r="4082">
      <c r="C4082" s="5"/>
      <c r="D4082" s="5"/>
    </row>
    <row r="4083">
      <c r="C4083" s="5"/>
      <c r="D4083" s="5"/>
    </row>
    <row r="4084">
      <c r="C4084" s="5"/>
      <c r="D4084" s="5"/>
    </row>
    <row r="4085">
      <c r="C4085" s="5"/>
      <c r="D4085" s="5"/>
    </row>
    <row r="4086">
      <c r="C4086" s="5"/>
      <c r="D4086" s="5"/>
    </row>
    <row r="4087">
      <c r="C4087" s="5"/>
      <c r="D4087" s="5"/>
    </row>
    <row r="4088">
      <c r="C4088" s="5"/>
      <c r="D4088" s="5"/>
    </row>
    <row r="4089">
      <c r="C4089" s="5"/>
      <c r="D4089" s="5"/>
    </row>
    <row r="4090">
      <c r="C4090" s="5"/>
      <c r="D4090" s="5"/>
    </row>
    <row r="4091">
      <c r="C4091" s="5"/>
      <c r="D4091" s="5"/>
    </row>
    <row r="4092">
      <c r="C4092" s="5"/>
      <c r="D4092" s="5"/>
    </row>
    <row r="4093">
      <c r="C4093" s="5"/>
      <c r="D4093" s="5"/>
    </row>
    <row r="4094">
      <c r="C4094" s="5"/>
      <c r="D4094" s="5"/>
    </row>
    <row r="4095">
      <c r="C4095" s="5"/>
      <c r="D4095" s="5"/>
    </row>
    <row r="4096">
      <c r="C4096" s="5"/>
      <c r="D4096" s="5"/>
    </row>
    <row r="4097">
      <c r="C4097" s="5"/>
      <c r="D4097" s="5"/>
    </row>
    <row r="4098">
      <c r="C4098" s="5"/>
      <c r="D4098" s="5"/>
    </row>
    <row r="4099">
      <c r="C4099" s="5"/>
      <c r="D4099" s="5"/>
    </row>
    <row r="4100">
      <c r="C4100" s="5"/>
      <c r="D4100" s="5"/>
    </row>
    <row r="4101">
      <c r="C4101" s="5"/>
      <c r="D4101" s="5"/>
    </row>
    <row r="4102">
      <c r="C4102" s="5"/>
      <c r="D4102" s="5"/>
    </row>
    <row r="4103">
      <c r="C4103" s="5"/>
      <c r="D4103" s="5"/>
    </row>
    <row r="4104">
      <c r="C4104" s="5"/>
      <c r="D4104" s="5"/>
    </row>
    <row r="4105">
      <c r="C4105" s="5"/>
      <c r="D4105" s="5"/>
    </row>
    <row r="4106">
      <c r="C4106" s="5"/>
      <c r="D4106" s="5"/>
    </row>
    <row r="4107">
      <c r="C4107" s="5"/>
      <c r="D4107" s="5"/>
    </row>
    <row r="4108">
      <c r="C4108" s="5"/>
      <c r="D4108" s="5"/>
    </row>
    <row r="4109">
      <c r="C4109" s="5"/>
      <c r="D4109" s="5"/>
    </row>
    <row r="4110">
      <c r="C4110" s="5"/>
      <c r="D4110" s="5"/>
    </row>
    <row r="4111">
      <c r="C4111" s="5"/>
      <c r="D4111" s="5"/>
    </row>
    <row r="4112">
      <c r="C4112" s="5"/>
      <c r="D4112" s="5"/>
    </row>
    <row r="4113">
      <c r="C4113" s="5"/>
      <c r="D4113" s="5"/>
    </row>
    <row r="4114">
      <c r="C4114" s="5"/>
      <c r="D4114" s="5"/>
    </row>
    <row r="4115">
      <c r="C4115" s="5"/>
      <c r="D4115" s="5"/>
    </row>
    <row r="4116">
      <c r="C4116" s="5"/>
      <c r="D4116" s="5"/>
    </row>
    <row r="4117">
      <c r="C4117" s="5"/>
      <c r="D4117" s="5"/>
    </row>
    <row r="4118">
      <c r="C4118" s="5"/>
      <c r="D4118" s="5"/>
    </row>
    <row r="4119">
      <c r="C4119" s="5"/>
      <c r="D4119" s="5"/>
    </row>
    <row r="4120">
      <c r="C4120" s="5"/>
      <c r="D4120" s="5"/>
    </row>
    <row r="4121">
      <c r="C4121" s="5"/>
      <c r="D4121" s="5"/>
    </row>
    <row r="4122">
      <c r="C4122" s="5"/>
      <c r="D4122" s="5"/>
    </row>
    <row r="4123">
      <c r="C4123" s="5"/>
      <c r="D4123" s="5"/>
    </row>
    <row r="4124">
      <c r="C4124" s="5"/>
      <c r="D4124" s="5"/>
    </row>
    <row r="4125">
      <c r="C4125" s="5"/>
      <c r="D4125" s="5"/>
    </row>
    <row r="4126">
      <c r="C4126" s="5"/>
      <c r="D4126" s="5"/>
    </row>
    <row r="4127">
      <c r="C4127" s="5"/>
      <c r="D4127" s="5"/>
    </row>
    <row r="4128">
      <c r="C4128" s="5"/>
      <c r="D4128" s="5"/>
    </row>
    <row r="4129">
      <c r="C4129" s="5"/>
      <c r="D4129" s="5"/>
    </row>
    <row r="4130">
      <c r="C4130" s="5"/>
      <c r="D4130" s="5"/>
    </row>
    <row r="4131">
      <c r="C4131" s="5"/>
      <c r="D4131" s="5"/>
    </row>
    <row r="4132">
      <c r="C4132" s="5"/>
      <c r="D4132" s="5"/>
    </row>
    <row r="4133">
      <c r="C4133" s="5"/>
      <c r="D4133" s="5"/>
    </row>
    <row r="4134">
      <c r="C4134" s="5"/>
      <c r="D4134" s="5"/>
    </row>
    <row r="4135">
      <c r="C4135" s="5"/>
      <c r="D4135" s="5"/>
    </row>
    <row r="4136">
      <c r="C4136" s="5"/>
      <c r="D4136" s="5"/>
    </row>
    <row r="4137">
      <c r="C4137" s="5"/>
      <c r="D4137" s="5"/>
    </row>
    <row r="4138">
      <c r="C4138" s="5"/>
      <c r="D4138" s="5"/>
    </row>
    <row r="4139">
      <c r="C4139" s="5"/>
      <c r="D4139" s="5"/>
    </row>
    <row r="4140">
      <c r="C4140" s="5"/>
      <c r="D4140" s="5"/>
    </row>
    <row r="4141">
      <c r="C4141" s="5"/>
      <c r="D4141" s="5"/>
    </row>
    <row r="4142">
      <c r="C4142" s="5"/>
      <c r="D4142" s="5"/>
    </row>
    <row r="4143">
      <c r="C4143" s="5"/>
      <c r="D4143" s="5"/>
    </row>
    <row r="4144">
      <c r="C4144" s="5"/>
      <c r="D4144" s="5"/>
    </row>
    <row r="4145">
      <c r="C4145" s="5"/>
      <c r="D4145" s="5"/>
    </row>
    <row r="4146">
      <c r="C4146" s="5"/>
      <c r="D4146" s="5"/>
    </row>
    <row r="4147">
      <c r="C4147" s="5"/>
      <c r="D4147" s="5"/>
    </row>
    <row r="4148">
      <c r="C4148" s="5"/>
      <c r="D4148" s="5"/>
    </row>
    <row r="4149">
      <c r="C4149" s="5"/>
      <c r="D4149" s="5"/>
    </row>
    <row r="4150">
      <c r="C4150" s="5"/>
      <c r="D4150" s="5"/>
    </row>
    <row r="4151">
      <c r="C4151" s="5"/>
      <c r="D4151" s="5"/>
    </row>
    <row r="4152">
      <c r="C4152" s="5"/>
      <c r="D4152" s="5"/>
    </row>
    <row r="4153">
      <c r="C4153" s="5"/>
      <c r="D4153" s="5"/>
    </row>
    <row r="4154">
      <c r="C4154" s="5"/>
      <c r="D4154" s="5"/>
    </row>
    <row r="4155">
      <c r="C4155" s="5"/>
      <c r="D4155" s="5"/>
    </row>
    <row r="4156">
      <c r="C4156" s="5"/>
      <c r="D4156" s="5"/>
    </row>
    <row r="4157">
      <c r="C4157" s="5"/>
      <c r="D4157" s="5"/>
    </row>
    <row r="4158">
      <c r="C4158" s="5"/>
      <c r="D4158" s="5"/>
    </row>
    <row r="4159">
      <c r="C4159" s="5"/>
      <c r="D4159" s="5"/>
    </row>
    <row r="4160">
      <c r="C4160" s="5"/>
      <c r="D4160" s="5"/>
    </row>
    <row r="4161">
      <c r="C4161" s="5"/>
      <c r="D4161" s="5"/>
    </row>
    <row r="4162">
      <c r="C4162" s="5"/>
      <c r="D4162" s="5"/>
    </row>
    <row r="4163">
      <c r="C4163" s="5"/>
      <c r="D4163" s="5"/>
    </row>
    <row r="4164">
      <c r="C4164" s="5"/>
      <c r="D4164" s="5"/>
    </row>
    <row r="4165">
      <c r="C4165" s="5"/>
      <c r="D4165" s="5"/>
    </row>
    <row r="4166">
      <c r="C4166" s="5"/>
      <c r="D4166" s="5"/>
    </row>
    <row r="4167">
      <c r="C4167" s="5"/>
      <c r="D4167" s="5"/>
    </row>
    <row r="4168">
      <c r="C4168" s="5"/>
      <c r="D4168" s="5"/>
    </row>
    <row r="4169">
      <c r="C4169" s="5"/>
      <c r="D4169" s="5"/>
    </row>
    <row r="4170">
      <c r="C4170" s="5"/>
      <c r="D4170" s="5"/>
    </row>
    <row r="4171">
      <c r="C4171" s="5"/>
      <c r="D4171" s="5"/>
    </row>
    <row r="4172">
      <c r="C4172" s="5"/>
      <c r="D4172" s="5"/>
    </row>
    <row r="4173">
      <c r="C4173" s="5"/>
      <c r="D4173" s="5"/>
    </row>
    <row r="4174">
      <c r="C4174" s="5"/>
      <c r="D4174" s="5"/>
    </row>
    <row r="4175">
      <c r="C4175" s="5"/>
      <c r="D4175" s="5"/>
    </row>
    <row r="4176">
      <c r="C4176" s="5"/>
      <c r="D4176" s="5"/>
    </row>
    <row r="4177">
      <c r="C4177" s="5"/>
      <c r="D4177" s="5"/>
    </row>
    <row r="4178">
      <c r="C4178" s="5"/>
      <c r="D4178" s="5"/>
    </row>
    <row r="4179">
      <c r="C4179" s="5"/>
      <c r="D4179" s="5"/>
    </row>
    <row r="4180">
      <c r="C4180" s="5"/>
      <c r="D4180" s="5"/>
    </row>
    <row r="4181">
      <c r="C4181" s="5"/>
      <c r="D4181" s="5"/>
    </row>
    <row r="4182">
      <c r="C4182" s="5"/>
      <c r="D4182" s="5"/>
    </row>
    <row r="4183">
      <c r="C4183" s="5"/>
      <c r="D4183" s="5"/>
    </row>
    <row r="4184">
      <c r="C4184" s="5"/>
      <c r="D4184" s="5"/>
    </row>
    <row r="4185">
      <c r="C4185" s="5"/>
      <c r="D4185" s="5"/>
    </row>
    <row r="4186">
      <c r="C4186" s="5"/>
      <c r="D4186" s="5"/>
    </row>
    <row r="4187">
      <c r="C4187" s="5"/>
      <c r="D4187" s="5"/>
    </row>
    <row r="4188">
      <c r="C4188" s="5"/>
      <c r="D4188" s="5"/>
    </row>
    <row r="4189">
      <c r="C4189" s="5"/>
      <c r="D4189" s="5"/>
    </row>
    <row r="4190">
      <c r="C4190" s="5"/>
      <c r="D4190" s="5"/>
    </row>
    <row r="4191">
      <c r="C4191" s="5"/>
      <c r="D4191" s="5"/>
    </row>
    <row r="4192">
      <c r="C4192" s="5"/>
      <c r="D4192" s="5"/>
    </row>
    <row r="4193">
      <c r="C4193" s="5"/>
      <c r="D4193" s="5"/>
    </row>
    <row r="4194">
      <c r="C4194" s="5"/>
      <c r="D4194" s="5"/>
    </row>
    <row r="4195">
      <c r="C4195" s="5"/>
      <c r="D4195" s="5"/>
    </row>
    <row r="4196">
      <c r="C4196" s="5"/>
      <c r="D4196" s="5"/>
    </row>
    <row r="4197">
      <c r="C4197" s="5"/>
      <c r="D4197" s="5"/>
    </row>
    <row r="4198">
      <c r="C4198" s="5"/>
      <c r="D4198" s="5"/>
    </row>
    <row r="4199">
      <c r="C4199" s="5"/>
      <c r="D4199" s="5"/>
    </row>
    <row r="4200">
      <c r="C4200" s="5"/>
      <c r="D4200" s="5"/>
    </row>
    <row r="4201">
      <c r="C4201" s="5"/>
      <c r="D4201" s="5"/>
    </row>
    <row r="4202">
      <c r="C4202" s="5"/>
      <c r="D4202" s="5"/>
    </row>
    <row r="4203">
      <c r="C4203" s="5"/>
      <c r="D4203" s="5"/>
    </row>
    <row r="4204">
      <c r="C4204" s="5"/>
      <c r="D4204" s="5"/>
    </row>
    <row r="4205">
      <c r="C4205" s="5"/>
      <c r="D4205" s="5"/>
    </row>
    <row r="4206">
      <c r="C4206" s="5"/>
      <c r="D4206" s="5"/>
    </row>
    <row r="4207">
      <c r="C4207" s="5"/>
      <c r="D4207" s="5"/>
    </row>
    <row r="4208">
      <c r="C4208" s="5"/>
      <c r="D4208" s="5"/>
    </row>
    <row r="4209">
      <c r="C4209" s="5"/>
      <c r="D4209" s="5"/>
    </row>
    <row r="4210">
      <c r="C4210" s="5"/>
      <c r="D4210" s="5"/>
    </row>
    <row r="4211">
      <c r="C4211" s="5"/>
      <c r="D4211" s="5"/>
    </row>
    <row r="4212">
      <c r="C4212" s="5"/>
      <c r="D4212" s="5"/>
    </row>
    <row r="4213">
      <c r="C4213" s="5"/>
      <c r="D4213" s="5"/>
    </row>
    <row r="4214">
      <c r="C4214" s="5"/>
      <c r="D4214" s="5"/>
    </row>
    <row r="4215">
      <c r="C4215" s="5"/>
      <c r="D4215" s="5"/>
    </row>
    <row r="4216">
      <c r="C4216" s="5"/>
      <c r="D4216" s="5"/>
    </row>
    <row r="4217">
      <c r="C4217" s="5"/>
      <c r="D4217" s="5"/>
    </row>
    <row r="4218">
      <c r="C4218" s="5"/>
      <c r="D4218" s="5"/>
    </row>
    <row r="4219">
      <c r="C4219" s="5"/>
      <c r="D4219" s="5"/>
    </row>
    <row r="4220">
      <c r="C4220" s="5"/>
      <c r="D4220" s="5"/>
    </row>
    <row r="4221">
      <c r="C4221" s="5"/>
      <c r="D4221" s="5"/>
    </row>
    <row r="4222">
      <c r="C4222" s="5"/>
      <c r="D4222" s="5"/>
    </row>
    <row r="4223">
      <c r="C4223" s="5"/>
      <c r="D4223" s="5"/>
    </row>
    <row r="4224">
      <c r="C4224" s="5"/>
      <c r="D4224" s="5"/>
    </row>
    <row r="4225">
      <c r="C4225" s="5"/>
      <c r="D4225" s="5"/>
    </row>
    <row r="4226">
      <c r="C4226" s="5"/>
      <c r="D4226" s="5"/>
    </row>
    <row r="4227">
      <c r="C4227" s="5"/>
      <c r="D4227" s="5"/>
    </row>
    <row r="4228">
      <c r="C4228" s="5"/>
      <c r="D4228" s="5"/>
    </row>
    <row r="4229">
      <c r="C4229" s="5"/>
      <c r="D4229" s="5"/>
    </row>
    <row r="4230">
      <c r="C4230" s="5"/>
      <c r="D4230" s="5"/>
    </row>
    <row r="4231">
      <c r="C4231" s="5"/>
      <c r="D4231" s="5"/>
    </row>
    <row r="4232">
      <c r="C4232" s="5"/>
      <c r="D4232" s="5"/>
    </row>
    <row r="4233">
      <c r="C4233" s="5"/>
      <c r="D4233" s="5"/>
    </row>
    <row r="4234">
      <c r="C4234" s="5"/>
      <c r="D4234" s="5"/>
    </row>
    <row r="4235">
      <c r="C4235" s="5"/>
      <c r="D4235" s="5"/>
    </row>
    <row r="4236">
      <c r="C4236" s="5"/>
      <c r="D4236" s="5"/>
    </row>
    <row r="4237">
      <c r="C4237" s="5"/>
      <c r="D4237" s="5"/>
    </row>
    <row r="4238">
      <c r="C4238" s="5"/>
      <c r="D4238" s="5"/>
    </row>
    <row r="4239">
      <c r="C4239" s="5"/>
      <c r="D4239" s="5"/>
    </row>
    <row r="4240">
      <c r="C4240" s="5"/>
      <c r="D4240" s="5"/>
    </row>
    <row r="4241">
      <c r="C4241" s="5"/>
      <c r="D4241" s="5"/>
    </row>
    <row r="4242">
      <c r="C4242" s="5"/>
      <c r="D4242" s="5"/>
    </row>
    <row r="4243">
      <c r="C4243" s="5"/>
      <c r="D4243" s="5"/>
    </row>
    <row r="4244">
      <c r="C4244" s="5"/>
      <c r="D4244" s="5"/>
    </row>
    <row r="4245">
      <c r="C4245" s="5"/>
      <c r="D4245" s="5"/>
    </row>
    <row r="4246">
      <c r="C4246" s="5"/>
      <c r="D4246" s="5"/>
    </row>
    <row r="4247">
      <c r="C4247" s="5"/>
      <c r="D4247" s="5"/>
    </row>
    <row r="4248">
      <c r="C4248" s="5"/>
      <c r="D4248" s="5"/>
    </row>
    <row r="4249">
      <c r="C4249" s="5"/>
      <c r="D4249" s="5"/>
    </row>
    <row r="4250">
      <c r="C4250" s="5"/>
      <c r="D4250" s="5"/>
    </row>
    <row r="4251">
      <c r="C4251" s="5"/>
      <c r="D4251" s="5"/>
    </row>
    <row r="4252">
      <c r="C4252" s="5"/>
      <c r="D4252" s="5"/>
    </row>
    <row r="4253">
      <c r="C4253" s="5"/>
      <c r="D4253" s="5"/>
    </row>
    <row r="4254">
      <c r="C4254" s="5"/>
      <c r="D4254" s="5"/>
    </row>
    <row r="4255">
      <c r="C4255" s="5"/>
      <c r="D4255" s="5"/>
    </row>
    <row r="4256">
      <c r="C4256" s="5"/>
      <c r="D4256" s="5"/>
    </row>
    <row r="4257">
      <c r="C4257" s="5"/>
      <c r="D4257" s="5"/>
    </row>
    <row r="4258">
      <c r="C4258" s="5"/>
      <c r="D4258" s="5"/>
    </row>
    <row r="4259">
      <c r="C4259" s="5"/>
      <c r="D4259" s="5"/>
    </row>
    <row r="4260">
      <c r="C4260" s="5"/>
      <c r="D4260" s="5"/>
    </row>
    <row r="4261">
      <c r="C4261" s="5"/>
      <c r="D4261" s="5"/>
    </row>
    <row r="4262">
      <c r="C4262" s="5"/>
      <c r="D4262" s="5"/>
    </row>
    <row r="4263">
      <c r="C4263" s="5"/>
      <c r="D4263" s="5"/>
    </row>
    <row r="4264">
      <c r="C4264" s="5"/>
      <c r="D4264" s="5"/>
    </row>
    <row r="4265">
      <c r="C4265" s="5"/>
      <c r="D4265" s="5"/>
    </row>
    <row r="4266">
      <c r="C4266" s="5"/>
      <c r="D4266" s="5"/>
    </row>
    <row r="4267">
      <c r="C4267" s="5"/>
      <c r="D4267" s="5"/>
    </row>
    <row r="4268">
      <c r="C4268" s="5"/>
      <c r="D4268" s="5"/>
    </row>
    <row r="4269">
      <c r="C4269" s="5"/>
      <c r="D4269" s="5"/>
    </row>
    <row r="4270">
      <c r="C4270" s="5"/>
      <c r="D4270" s="5"/>
    </row>
    <row r="4271">
      <c r="C4271" s="5"/>
      <c r="D4271" s="5"/>
    </row>
    <row r="4272">
      <c r="C4272" s="5"/>
      <c r="D4272" s="5"/>
    </row>
    <row r="4273">
      <c r="C4273" s="5"/>
      <c r="D4273" s="5"/>
    </row>
    <row r="4274">
      <c r="C4274" s="5"/>
      <c r="D4274" s="5"/>
    </row>
    <row r="4275">
      <c r="C4275" s="5"/>
      <c r="D4275" s="5"/>
    </row>
    <row r="4276">
      <c r="C4276" s="5"/>
      <c r="D4276" s="5"/>
    </row>
    <row r="4277">
      <c r="C4277" s="5"/>
      <c r="D4277" s="5"/>
    </row>
    <row r="4278">
      <c r="C4278" s="5"/>
      <c r="D4278" s="5"/>
    </row>
    <row r="4279">
      <c r="C4279" s="5"/>
      <c r="D4279" s="5"/>
    </row>
    <row r="4280">
      <c r="C4280" s="5"/>
      <c r="D4280" s="5"/>
    </row>
    <row r="4281">
      <c r="C4281" s="5"/>
      <c r="D4281" s="5"/>
    </row>
    <row r="4282">
      <c r="C4282" s="5"/>
      <c r="D4282" s="5"/>
    </row>
    <row r="4283">
      <c r="C4283" s="5"/>
      <c r="D4283" s="5"/>
    </row>
    <row r="4284">
      <c r="C4284" s="5"/>
      <c r="D4284" s="5"/>
    </row>
    <row r="4285">
      <c r="C4285" s="5"/>
      <c r="D4285" s="5"/>
    </row>
    <row r="4286">
      <c r="C4286" s="5"/>
      <c r="D4286" s="5"/>
    </row>
    <row r="4287">
      <c r="C4287" s="5"/>
      <c r="D4287" s="5"/>
    </row>
    <row r="4288">
      <c r="C4288" s="5"/>
      <c r="D4288" s="5"/>
    </row>
    <row r="4289">
      <c r="C4289" s="5"/>
      <c r="D4289" s="5"/>
    </row>
    <row r="4290">
      <c r="C4290" s="5"/>
      <c r="D4290" s="5"/>
    </row>
    <row r="4291">
      <c r="C4291" s="5"/>
      <c r="D4291" s="5"/>
    </row>
    <row r="4292">
      <c r="C4292" s="5"/>
      <c r="D4292" s="5"/>
    </row>
    <row r="4293">
      <c r="C4293" s="5"/>
      <c r="D4293" s="5"/>
    </row>
    <row r="4294">
      <c r="C4294" s="5"/>
      <c r="D4294" s="5"/>
    </row>
    <row r="4295">
      <c r="C4295" s="5"/>
      <c r="D4295" s="5"/>
    </row>
    <row r="4296">
      <c r="C4296" s="5"/>
      <c r="D4296" s="5"/>
    </row>
    <row r="4297">
      <c r="C4297" s="5"/>
      <c r="D4297" s="5"/>
    </row>
    <row r="4298">
      <c r="C4298" s="5"/>
      <c r="D4298" s="5"/>
    </row>
    <row r="4299">
      <c r="C4299" s="5"/>
      <c r="D4299" s="5"/>
    </row>
    <row r="4300">
      <c r="C4300" s="5"/>
      <c r="D4300" s="5"/>
    </row>
    <row r="4301">
      <c r="C4301" s="5"/>
      <c r="D4301" s="5"/>
    </row>
    <row r="4302">
      <c r="C4302" s="5"/>
      <c r="D4302" s="5"/>
    </row>
    <row r="4303">
      <c r="C4303" s="5"/>
      <c r="D4303" s="5"/>
    </row>
    <row r="4304">
      <c r="C4304" s="5"/>
      <c r="D4304" s="5"/>
    </row>
    <row r="4305">
      <c r="C4305" s="5"/>
      <c r="D4305" s="5"/>
    </row>
    <row r="4306">
      <c r="C4306" s="5"/>
      <c r="D4306" s="5"/>
    </row>
    <row r="4307">
      <c r="C4307" s="5"/>
      <c r="D4307" s="5"/>
    </row>
    <row r="4308">
      <c r="C4308" s="5"/>
      <c r="D4308" s="5"/>
    </row>
    <row r="4309">
      <c r="C4309" s="5"/>
      <c r="D4309" s="5"/>
    </row>
    <row r="4310">
      <c r="C4310" s="5"/>
      <c r="D4310" s="5"/>
    </row>
    <row r="4311">
      <c r="C4311" s="5"/>
      <c r="D4311" s="5"/>
    </row>
    <row r="4312">
      <c r="C4312" s="5"/>
      <c r="D4312" s="5"/>
    </row>
    <row r="4313">
      <c r="C4313" s="5"/>
      <c r="D4313" s="5"/>
    </row>
    <row r="4314">
      <c r="C4314" s="5"/>
      <c r="D4314" s="5"/>
    </row>
    <row r="4315">
      <c r="C4315" s="5"/>
      <c r="D4315" s="5"/>
    </row>
    <row r="4316">
      <c r="C4316" s="5"/>
      <c r="D4316" s="5"/>
    </row>
    <row r="4317">
      <c r="C4317" s="5"/>
      <c r="D4317" s="5"/>
    </row>
    <row r="4318">
      <c r="C4318" s="5"/>
      <c r="D4318" s="5"/>
    </row>
    <row r="4319">
      <c r="C4319" s="5"/>
      <c r="D4319" s="5"/>
    </row>
    <row r="4320">
      <c r="C4320" s="5"/>
      <c r="D4320" s="5"/>
    </row>
    <row r="4321">
      <c r="C4321" s="5"/>
      <c r="D4321" s="5"/>
    </row>
    <row r="4322">
      <c r="C4322" s="5"/>
      <c r="D4322" s="5"/>
    </row>
    <row r="4323">
      <c r="C4323" s="5"/>
      <c r="D4323" s="5"/>
    </row>
    <row r="4324">
      <c r="C4324" s="5"/>
      <c r="D4324" s="5"/>
    </row>
    <row r="4325">
      <c r="C4325" s="5"/>
      <c r="D4325" s="5"/>
    </row>
    <row r="4326">
      <c r="C4326" s="5"/>
      <c r="D4326" s="5"/>
    </row>
    <row r="4327">
      <c r="C4327" s="5"/>
      <c r="D4327" s="5"/>
    </row>
    <row r="4328">
      <c r="C4328" s="5"/>
      <c r="D4328" s="5"/>
    </row>
    <row r="4329">
      <c r="C4329" s="5"/>
      <c r="D4329" s="5"/>
    </row>
    <row r="4330">
      <c r="C4330" s="5"/>
      <c r="D4330" s="5"/>
    </row>
    <row r="4331">
      <c r="C4331" s="5"/>
      <c r="D4331" s="5"/>
    </row>
    <row r="4332">
      <c r="C4332" s="5"/>
      <c r="D4332" s="5"/>
    </row>
    <row r="4333">
      <c r="C4333" s="5"/>
      <c r="D4333" s="5"/>
    </row>
    <row r="4334">
      <c r="C4334" s="5"/>
      <c r="D4334" s="5"/>
    </row>
    <row r="4335">
      <c r="C4335" s="5"/>
      <c r="D4335" s="5"/>
    </row>
    <row r="4336">
      <c r="C4336" s="5"/>
      <c r="D4336" s="5"/>
    </row>
    <row r="4337">
      <c r="C4337" s="5"/>
      <c r="D4337" s="5"/>
    </row>
    <row r="4338">
      <c r="C4338" s="5"/>
      <c r="D4338" s="5"/>
    </row>
    <row r="4339">
      <c r="C4339" s="5"/>
      <c r="D4339" s="5"/>
    </row>
    <row r="4340">
      <c r="C4340" s="5"/>
      <c r="D4340" s="5"/>
    </row>
    <row r="4341">
      <c r="C4341" s="5"/>
      <c r="D4341" s="5"/>
    </row>
    <row r="4342">
      <c r="C4342" s="5"/>
      <c r="D4342" s="5"/>
    </row>
    <row r="4343">
      <c r="C4343" s="5"/>
      <c r="D4343" s="5"/>
    </row>
    <row r="4344">
      <c r="C4344" s="5"/>
      <c r="D4344" s="5"/>
    </row>
    <row r="4345">
      <c r="C4345" s="5"/>
      <c r="D4345" s="5"/>
    </row>
    <row r="4346">
      <c r="C4346" s="5"/>
      <c r="D4346" s="5"/>
    </row>
    <row r="4347">
      <c r="C4347" s="5"/>
      <c r="D4347" s="5"/>
    </row>
    <row r="4348">
      <c r="C4348" s="5"/>
      <c r="D4348" s="5"/>
    </row>
    <row r="4349">
      <c r="C4349" s="5"/>
      <c r="D4349" s="5"/>
    </row>
    <row r="4350">
      <c r="C4350" s="5"/>
      <c r="D4350" s="5"/>
    </row>
    <row r="4351">
      <c r="C4351" s="5"/>
      <c r="D4351" s="5"/>
    </row>
    <row r="4352">
      <c r="C4352" s="5"/>
      <c r="D4352" s="5"/>
    </row>
    <row r="4353">
      <c r="C4353" s="5"/>
      <c r="D4353" s="5"/>
    </row>
    <row r="4354">
      <c r="C4354" s="5"/>
      <c r="D4354" s="5"/>
    </row>
    <row r="4355">
      <c r="C4355" s="5"/>
      <c r="D4355" s="5"/>
    </row>
    <row r="4356">
      <c r="C4356" s="5"/>
      <c r="D4356" s="5"/>
    </row>
    <row r="4357">
      <c r="C4357" s="5"/>
      <c r="D4357" s="5"/>
    </row>
    <row r="4358">
      <c r="C4358" s="5"/>
      <c r="D4358" s="5"/>
    </row>
    <row r="4359">
      <c r="C4359" s="5"/>
      <c r="D4359" s="5"/>
    </row>
    <row r="4360">
      <c r="C4360" s="5"/>
      <c r="D4360" s="5"/>
    </row>
    <row r="4361">
      <c r="C4361" s="5"/>
      <c r="D4361" s="5"/>
    </row>
    <row r="4362">
      <c r="C4362" s="5"/>
      <c r="D4362" s="5"/>
    </row>
    <row r="4363">
      <c r="C4363" s="5"/>
      <c r="D4363" s="5"/>
    </row>
    <row r="4364">
      <c r="C4364" s="5"/>
      <c r="D4364" s="5"/>
    </row>
    <row r="4365">
      <c r="C4365" s="5"/>
      <c r="D4365" s="5"/>
    </row>
    <row r="4366">
      <c r="C4366" s="5"/>
      <c r="D4366" s="5"/>
    </row>
    <row r="4367">
      <c r="C4367" s="5"/>
      <c r="D4367" s="5"/>
    </row>
    <row r="4368">
      <c r="C4368" s="5"/>
      <c r="D4368" s="5"/>
    </row>
    <row r="4369">
      <c r="C4369" s="5"/>
      <c r="D4369" s="5"/>
    </row>
    <row r="4370">
      <c r="C4370" s="5"/>
      <c r="D4370" s="5"/>
    </row>
    <row r="4371">
      <c r="C4371" s="5"/>
      <c r="D4371" s="5"/>
    </row>
    <row r="4372">
      <c r="C4372" s="5"/>
      <c r="D4372" s="5"/>
    </row>
    <row r="4373">
      <c r="C4373" s="5"/>
      <c r="D4373" s="5"/>
    </row>
    <row r="4374">
      <c r="C4374" s="5"/>
      <c r="D4374" s="5"/>
    </row>
    <row r="4375">
      <c r="C4375" s="5"/>
      <c r="D4375" s="5"/>
    </row>
    <row r="4376">
      <c r="C4376" s="5"/>
      <c r="D4376" s="5"/>
    </row>
    <row r="4377">
      <c r="C4377" s="5"/>
      <c r="D4377" s="5"/>
    </row>
    <row r="4378">
      <c r="C4378" s="5"/>
      <c r="D4378" s="5"/>
    </row>
    <row r="4379">
      <c r="C4379" s="5"/>
      <c r="D4379" s="5"/>
    </row>
    <row r="4380">
      <c r="C4380" s="5"/>
      <c r="D4380" s="5"/>
    </row>
    <row r="4381">
      <c r="C4381" s="5"/>
      <c r="D4381" s="5"/>
    </row>
    <row r="4382">
      <c r="C4382" s="5"/>
      <c r="D4382" s="5"/>
    </row>
    <row r="4383">
      <c r="C4383" s="5"/>
      <c r="D4383" s="5"/>
    </row>
    <row r="4384">
      <c r="C4384" s="5"/>
      <c r="D4384" s="5"/>
    </row>
    <row r="4385">
      <c r="C4385" s="5"/>
      <c r="D4385" s="5"/>
    </row>
    <row r="4386">
      <c r="C4386" s="5"/>
      <c r="D4386" s="5"/>
    </row>
    <row r="4387">
      <c r="C4387" s="5"/>
      <c r="D4387" s="5"/>
    </row>
    <row r="4388">
      <c r="C4388" s="5"/>
      <c r="D4388" s="5"/>
    </row>
    <row r="4389">
      <c r="C4389" s="5"/>
      <c r="D4389" s="5"/>
    </row>
    <row r="4390">
      <c r="C4390" s="5"/>
      <c r="D4390" s="5"/>
    </row>
    <row r="4391">
      <c r="C4391" s="5"/>
      <c r="D4391" s="5"/>
    </row>
    <row r="4392">
      <c r="C4392" s="5"/>
      <c r="D4392" s="5"/>
    </row>
    <row r="4393">
      <c r="C4393" s="5"/>
      <c r="D4393" s="5"/>
    </row>
    <row r="4394">
      <c r="C4394" s="5"/>
      <c r="D4394" s="5"/>
    </row>
    <row r="4395">
      <c r="C4395" s="5"/>
      <c r="D4395" s="5"/>
    </row>
    <row r="4396">
      <c r="C4396" s="5"/>
      <c r="D4396" s="5"/>
    </row>
    <row r="4397">
      <c r="C4397" s="5"/>
      <c r="D4397" s="5"/>
    </row>
    <row r="4398">
      <c r="C4398" s="5"/>
      <c r="D4398" s="5"/>
    </row>
    <row r="4399">
      <c r="C4399" s="5"/>
      <c r="D4399" s="5"/>
    </row>
    <row r="4400">
      <c r="C4400" s="5"/>
      <c r="D4400" s="5"/>
    </row>
    <row r="4401">
      <c r="C4401" s="5"/>
      <c r="D4401" s="5"/>
    </row>
    <row r="4402">
      <c r="C4402" s="5"/>
      <c r="D4402" s="5"/>
    </row>
    <row r="4403">
      <c r="C4403" s="5"/>
      <c r="D4403" s="5"/>
    </row>
    <row r="4404">
      <c r="C4404" s="5"/>
      <c r="D4404" s="5"/>
    </row>
    <row r="4405">
      <c r="C4405" s="5"/>
      <c r="D4405" s="5"/>
    </row>
    <row r="4406">
      <c r="C4406" s="5"/>
      <c r="D4406" s="5"/>
    </row>
    <row r="4407">
      <c r="C4407" s="5"/>
      <c r="D4407" s="5"/>
    </row>
    <row r="4408">
      <c r="C4408" s="5"/>
      <c r="D4408" s="5"/>
    </row>
    <row r="4409">
      <c r="C4409" s="5"/>
      <c r="D4409" s="5"/>
    </row>
    <row r="4410">
      <c r="C4410" s="5"/>
      <c r="D4410" s="5"/>
    </row>
    <row r="4411">
      <c r="C4411" s="5"/>
      <c r="D4411" s="5"/>
    </row>
    <row r="4412">
      <c r="C4412" s="5"/>
      <c r="D4412" s="5"/>
    </row>
    <row r="4413">
      <c r="C4413" s="5"/>
      <c r="D4413" s="5"/>
    </row>
    <row r="4414">
      <c r="C4414" s="5"/>
      <c r="D4414" s="5"/>
    </row>
    <row r="4415">
      <c r="C4415" s="5"/>
      <c r="D4415" s="5"/>
    </row>
    <row r="4416">
      <c r="C4416" s="5"/>
      <c r="D4416" s="5"/>
    </row>
    <row r="4417">
      <c r="C4417" s="5"/>
      <c r="D4417" s="5"/>
    </row>
    <row r="4418">
      <c r="C4418" s="5"/>
      <c r="D4418" s="5"/>
    </row>
    <row r="4419">
      <c r="C4419" s="5"/>
      <c r="D4419" s="5"/>
    </row>
    <row r="4420">
      <c r="C4420" s="5"/>
      <c r="D4420" s="5"/>
    </row>
    <row r="4421">
      <c r="C4421" s="5"/>
      <c r="D4421" s="5"/>
    </row>
    <row r="4422">
      <c r="C4422" s="5"/>
      <c r="D4422" s="5"/>
    </row>
    <row r="4423">
      <c r="C4423" s="5"/>
      <c r="D4423" s="5"/>
    </row>
    <row r="4424">
      <c r="C4424" s="5"/>
      <c r="D4424" s="5"/>
    </row>
    <row r="4425">
      <c r="C4425" s="5"/>
      <c r="D4425" s="5"/>
    </row>
    <row r="4426">
      <c r="C4426" s="5"/>
      <c r="D4426" s="5"/>
    </row>
    <row r="4427">
      <c r="C4427" s="5"/>
      <c r="D4427" s="5"/>
    </row>
    <row r="4428">
      <c r="C4428" s="5"/>
      <c r="D4428" s="5"/>
    </row>
    <row r="4429">
      <c r="C4429" s="5"/>
      <c r="D4429" s="5"/>
    </row>
    <row r="4430">
      <c r="C4430" s="5"/>
      <c r="D4430" s="5"/>
    </row>
    <row r="4431">
      <c r="C4431" s="5"/>
      <c r="D4431" s="5"/>
    </row>
    <row r="4432">
      <c r="C4432" s="5"/>
      <c r="D4432" s="5"/>
    </row>
    <row r="4433">
      <c r="C4433" s="5"/>
      <c r="D4433" s="5"/>
    </row>
    <row r="4434">
      <c r="C4434" s="5"/>
      <c r="D4434" s="5"/>
    </row>
    <row r="4435">
      <c r="C4435" s="5"/>
      <c r="D4435" s="5"/>
    </row>
    <row r="4436">
      <c r="C4436" s="5"/>
      <c r="D4436" s="5"/>
    </row>
    <row r="4437">
      <c r="C4437" s="5"/>
      <c r="D4437" s="5"/>
    </row>
    <row r="4438">
      <c r="C4438" s="5"/>
      <c r="D4438" s="5"/>
    </row>
    <row r="4439">
      <c r="C4439" s="5"/>
      <c r="D4439" s="5"/>
    </row>
    <row r="4440">
      <c r="C4440" s="5"/>
      <c r="D4440" s="5"/>
    </row>
    <row r="4441">
      <c r="C4441" s="5"/>
      <c r="D4441" s="5"/>
    </row>
    <row r="4442">
      <c r="C4442" s="5"/>
      <c r="D4442" s="5"/>
    </row>
    <row r="4443">
      <c r="C4443" s="5"/>
      <c r="D4443" s="5"/>
    </row>
    <row r="4444">
      <c r="C4444" s="5"/>
      <c r="D4444" s="5"/>
    </row>
    <row r="4445">
      <c r="C4445" s="5"/>
      <c r="D4445" s="5"/>
    </row>
    <row r="4446">
      <c r="C4446" s="5"/>
      <c r="D4446" s="5"/>
    </row>
    <row r="4447">
      <c r="C4447" s="5"/>
      <c r="D4447" s="5"/>
    </row>
    <row r="4448">
      <c r="C4448" s="5"/>
      <c r="D4448" s="5"/>
    </row>
    <row r="4449">
      <c r="C4449" s="5"/>
      <c r="D4449" s="5"/>
    </row>
    <row r="4450">
      <c r="C4450" s="5"/>
      <c r="D4450" s="5"/>
    </row>
    <row r="4451">
      <c r="C4451" s="5"/>
      <c r="D4451" s="5"/>
    </row>
    <row r="4452">
      <c r="C4452" s="5"/>
      <c r="D4452" s="5"/>
    </row>
    <row r="4453">
      <c r="C4453" s="5"/>
      <c r="D4453" s="5"/>
    </row>
    <row r="4454">
      <c r="C4454" s="5"/>
      <c r="D4454" s="5"/>
    </row>
    <row r="4455">
      <c r="C4455" s="5"/>
      <c r="D4455" s="5"/>
    </row>
    <row r="4456">
      <c r="C4456" s="5"/>
      <c r="D4456" s="5"/>
    </row>
    <row r="4457">
      <c r="C4457" s="5"/>
      <c r="D4457" s="5"/>
    </row>
    <row r="4458">
      <c r="C4458" s="5"/>
      <c r="D4458" s="5"/>
    </row>
    <row r="4459">
      <c r="C4459" s="5"/>
      <c r="D4459" s="5"/>
    </row>
    <row r="4460">
      <c r="C4460" s="5"/>
      <c r="D4460" s="5"/>
    </row>
    <row r="4461">
      <c r="C4461" s="5"/>
      <c r="D4461" s="5"/>
    </row>
    <row r="4462">
      <c r="C4462" s="5"/>
      <c r="D4462" s="5"/>
    </row>
    <row r="4463">
      <c r="C4463" s="5"/>
      <c r="D4463" s="5"/>
    </row>
    <row r="4464">
      <c r="C4464" s="5"/>
      <c r="D4464" s="5"/>
    </row>
    <row r="4465">
      <c r="C4465" s="5"/>
      <c r="D4465" s="5"/>
    </row>
    <row r="4466">
      <c r="C4466" s="5"/>
      <c r="D4466" s="5"/>
    </row>
    <row r="4467">
      <c r="C4467" s="5"/>
      <c r="D4467" s="5"/>
    </row>
    <row r="4468">
      <c r="C4468" s="5"/>
      <c r="D4468" s="5"/>
    </row>
    <row r="4469">
      <c r="C4469" s="5"/>
      <c r="D4469" s="5"/>
    </row>
    <row r="4470">
      <c r="C4470" s="5"/>
      <c r="D4470" s="5"/>
    </row>
    <row r="4471">
      <c r="C4471" s="5"/>
      <c r="D4471" s="5"/>
    </row>
    <row r="4472">
      <c r="C4472" s="5"/>
      <c r="D4472" s="5"/>
    </row>
    <row r="4473">
      <c r="C4473" s="5"/>
      <c r="D4473" s="5"/>
    </row>
    <row r="4474">
      <c r="C4474" s="5"/>
      <c r="D4474" s="5"/>
    </row>
    <row r="4475">
      <c r="C4475" s="5"/>
      <c r="D4475" s="5"/>
    </row>
    <row r="4476">
      <c r="C4476" s="5"/>
      <c r="D4476" s="5"/>
    </row>
    <row r="4477">
      <c r="C4477" s="5"/>
      <c r="D4477" s="5"/>
    </row>
    <row r="4478">
      <c r="C4478" s="5"/>
      <c r="D4478" s="5"/>
    </row>
    <row r="4479">
      <c r="C4479" s="5"/>
      <c r="D4479" s="5"/>
    </row>
    <row r="4480">
      <c r="C4480" s="5"/>
      <c r="D4480" s="5"/>
    </row>
    <row r="4481">
      <c r="C4481" s="5"/>
      <c r="D4481" s="5"/>
    </row>
    <row r="4482">
      <c r="C4482" s="5"/>
      <c r="D4482" s="5"/>
    </row>
    <row r="4483">
      <c r="C4483" s="5"/>
      <c r="D4483" s="5"/>
    </row>
    <row r="4484">
      <c r="C4484" s="5"/>
      <c r="D4484" s="5"/>
    </row>
    <row r="4485">
      <c r="C4485" s="5"/>
      <c r="D4485" s="5"/>
    </row>
    <row r="4486">
      <c r="C4486" s="5"/>
      <c r="D4486" s="5"/>
    </row>
    <row r="4487">
      <c r="C4487" s="5"/>
      <c r="D4487" s="5"/>
    </row>
    <row r="4488">
      <c r="C4488" s="5"/>
      <c r="D4488" s="5"/>
    </row>
    <row r="4489">
      <c r="C4489" s="5"/>
      <c r="D4489" s="5"/>
    </row>
    <row r="4490">
      <c r="C4490" s="5"/>
      <c r="D4490" s="5"/>
    </row>
    <row r="4491">
      <c r="C4491" s="5"/>
      <c r="D4491" s="5"/>
    </row>
    <row r="4492">
      <c r="C4492" s="5"/>
      <c r="D4492" s="5"/>
    </row>
    <row r="4493">
      <c r="C4493" s="5"/>
      <c r="D4493" s="5"/>
    </row>
    <row r="4494">
      <c r="C4494" s="5"/>
      <c r="D4494" s="5"/>
    </row>
    <row r="4495">
      <c r="C4495" s="5"/>
      <c r="D4495" s="5"/>
    </row>
    <row r="4496">
      <c r="C4496" s="5"/>
      <c r="D4496" s="5"/>
    </row>
    <row r="4497">
      <c r="C4497" s="5"/>
      <c r="D4497" s="5"/>
    </row>
    <row r="4498">
      <c r="C4498" s="5"/>
      <c r="D4498" s="5"/>
    </row>
    <row r="4499">
      <c r="C4499" s="5"/>
      <c r="D4499" s="5"/>
    </row>
    <row r="4500">
      <c r="C4500" s="5"/>
      <c r="D4500" s="5"/>
    </row>
    <row r="4501">
      <c r="C4501" s="5"/>
      <c r="D4501" s="5"/>
    </row>
    <row r="4502">
      <c r="C4502" s="5"/>
      <c r="D4502" s="5"/>
    </row>
    <row r="4503">
      <c r="C4503" s="5"/>
      <c r="D4503" s="5"/>
    </row>
    <row r="4504">
      <c r="C4504" s="5"/>
      <c r="D4504" s="5"/>
    </row>
    <row r="4505">
      <c r="C4505" s="5"/>
      <c r="D4505" s="5"/>
    </row>
    <row r="4506">
      <c r="C4506" s="5"/>
      <c r="D4506" s="5"/>
    </row>
    <row r="4507">
      <c r="C4507" s="5"/>
      <c r="D4507" s="5"/>
    </row>
    <row r="4508">
      <c r="C4508" s="5"/>
      <c r="D4508" s="5"/>
    </row>
    <row r="4509">
      <c r="C4509" s="5"/>
      <c r="D4509" s="5"/>
    </row>
    <row r="4510">
      <c r="C4510" s="5"/>
      <c r="D4510" s="5"/>
    </row>
    <row r="4511">
      <c r="C4511" s="5"/>
      <c r="D4511" s="5"/>
    </row>
    <row r="4512">
      <c r="C4512" s="5"/>
      <c r="D4512" s="5"/>
    </row>
    <row r="4513">
      <c r="C4513" s="5"/>
      <c r="D4513" s="5"/>
    </row>
    <row r="4514">
      <c r="C4514" s="5"/>
      <c r="D4514" s="5"/>
    </row>
    <row r="4515">
      <c r="C4515" s="5"/>
      <c r="D4515" s="5"/>
    </row>
    <row r="4516">
      <c r="C4516" s="5"/>
      <c r="D4516" s="5"/>
    </row>
    <row r="4517">
      <c r="C4517" s="5"/>
      <c r="D4517" s="5"/>
    </row>
    <row r="4518">
      <c r="C4518" s="5"/>
      <c r="D4518" s="5"/>
    </row>
    <row r="4519">
      <c r="C4519" s="5"/>
      <c r="D4519" s="5"/>
    </row>
    <row r="4520">
      <c r="C4520" s="5"/>
      <c r="D4520" s="5"/>
    </row>
    <row r="4521">
      <c r="C4521" s="5"/>
      <c r="D4521" s="5"/>
    </row>
    <row r="4522">
      <c r="C4522" s="5"/>
      <c r="D4522" s="5"/>
    </row>
    <row r="4523">
      <c r="C4523" s="5"/>
      <c r="D4523" s="5"/>
    </row>
    <row r="4524">
      <c r="C4524" s="5"/>
      <c r="D4524" s="5"/>
    </row>
    <row r="4525">
      <c r="C4525" s="5"/>
      <c r="D4525" s="5"/>
    </row>
    <row r="4526">
      <c r="C4526" s="5"/>
      <c r="D4526" s="5"/>
    </row>
    <row r="4527">
      <c r="C4527" s="5"/>
      <c r="D4527" s="5"/>
    </row>
    <row r="4528">
      <c r="C4528" s="5"/>
      <c r="D4528" s="5"/>
    </row>
    <row r="4529">
      <c r="C4529" s="5"/>
      <c r="D4529" s="5"/>
    </row>
    <row r="4530">
      <c r="C4530" s="5"/>
      <c r="D4530" s="5"/>
    </row>
    <row r="4531">
      <c r="C4531" s="5"/>
      <c r="D4531" s="5"/>
    </row>
    <row r="4532">
      <c r="C4532" s="5"/>
      <c r="D4532" s="5"/>
    </row>
    <row r="4533">
      <c r="C4533" s="5"/>
      <c r="D4533" s="5"/>
    </row>
    <row r="4534">
      <c r="C4534" s="5"/>
      <c r="D4534" s="5"/>
    </row>
    <row r="4535">
      <c r="C4535" s="5"/>
      <c r="D4535" s="5"/>
    </row>
    <row r="4536">
      <c r="C4536" s="5"/>
      <c r="D4536" s="5"/>
    </row>
    <row r="4537">
      <c r="C4537" s="5"/>
      <c r="D4537" s="5"/>
    </row>
    <row r="4538">
      <c r="C4538" s="5"/>
      <c r="D4538" s="5"/>
    </row>
    <row r="4539">
      <c r="C4539" s="5"/>
      <c r="D4539" s="5"/>
    </row>
    <row r="4540">
      <c r="C4540" s="5"/>
      <c r="D4540" s="5"/>
    </row>
    <row r="4541">
      <c r="C4541" s="5"/>
      <c r="D4541" s="5"/>
    </row>
    <row r="4542">
      <c r="C4542" s="5"/>
      <c r="D4542" s="5"/>
    </row>
    <row r="4543">
      <c r="C4543" s="5"/>
      <c r="D4543" s="5"/>
    </row>
    <row r="4544">
      <c r="C4544" s="5"/>
      <c r="D4544" s="5"/>
    </row>
    <row r="4545">
      <c r="C4545" s="5"/>
      <c r="D4545" s="5"/>
    </row>
    <row r="4546">
      <c r="C4546" s="5"/>
      <c r="D4546" s="5"/>
    </row>
    <row r="4547">
      <c r="C4547" s="5"/>
      <c r="D4547" s="5"/>
    </row>
    <row r="4548">
      <c r="C4548" s="5"/>
      <c r="D4548" s="5"/>
    </row>
    <row r="4549">
      <c r="C4549" s="5"/>
      <c r="D4549" s="5"/>
    </row>
    <row r="4550">
      <c r="C4550" s="5"/>
      <c r="D4550" s="5"/>
    </row>
    <row r="4551">
      <c r="C4551" s="5"/>
      <c r="D4551" s="5"/>
    </row>
    <row r="4552">
      <c r="C4552" s="5"/>
      <c r="D4552" s="5"/>
    </row>
    <row r="4553">
      <c r="C4553" s="5"/>
      <c r="D4553" s="5"/>
    </row>
    <row r="4554">
      <c r="C4554" s="5"/>
      <c r="D4554" s="5"/>
    </row>
    <row r="4555">
      <c r="C4555" s="5"/>
      <c r="D4555" s="5"/>
    </row>
    <row r="4556">
      <c r="C4556" s="5"/>
      <c r="D4556" s="5"/>
    </row>
    <row r="4557">
      <c r="C4557" s="5"/>
      <c r="D4557" s="5"/>
    </row>
    <row r="4558">
      <c r="C4558" s="5"/>
      <c r="D4558" s="5"/>
    </row>
    <row r="4559">
      <c r="C4559" s="5"/>
      <c r="D4559" s="5"/>
    </row>
    <row r="4560">
      <c r="C4560" s="5"/>
      <c r="D4560" s="5"/>
    </row>
    <row r="4561">
      <c r="C4561" s="5"/>
      <c r="D4561" s="5"/>
    </row>
    <row r="4562">
      <c r="C4562" s="5"/>
      <c r="D4562" s="5"/>
    </row>
    <row r="4563">
      <c r="C4563" s="5"/>
      <c r="D4563" s="5"/>
    </row>
    <row r="4564">
      <c r="C4564" s="5"/>
      <c r="D4564" s="5"/>
    </row>
    <row r="4565">
      <c r="C4565" s="5"/>
      <c r="D4565" s="5"/>
    </row>
    <row r="4566">
      <c r="C4566" s="5"/>
      <c r="D4566" s="5"/>
    </row>
    <row r="4567">
      <c r="C4567" s="5"/>
      <c r="D4567" s="5"/>
    </row>
    <row r="4568">
      <c r="C4568" s="5"/>
      <c r="D4568" s="5"/>
    </row>
    <row r="4569">
      <c r="C4569" s="5"/>
      <c r="D4569" s="5"/>
    </row>
    <row r="4570">
      <c r="C4570" s="5"/>
      <c r="D4570" s="5"/>
    </row>
    <row r="4571">
      <c r="C4571" s="5"/>
      <c r="D4571" s="5"/>
    </row>
    <row r="4572">
      <c r="C4572" s="5"/>
      <c r="D4572" s="5"/>
    </row>
    <row r="4573">
      <c r="C4573" s="5"/>
      <c r="D4573" s="5"/>
    </row>
    <row r="4574">
      <c r="C4574" s="5"/>
      <c r="D4574" s="5"/>
    </row>
    <row r="4575">
      <c r="C4575" s="5"/>
      <c r="D4575" s="5"/>
    </row>
    <row r="4576">
      <c r="C4576" s="5"/>
      <c r="D4576" s="5"/>
    </row>
    <row r="4577">
      <c r="C4577" s="5"/>
      <c r="D4577" s="5"/>
    </row>
    <row r="4578">
      <c r="C4578" s="5"/>
      <c r="D4578" s="5"/>
    </row>
    <row r="4579">
      <c r="C4579" s="5"/>
      <c r="D4579" s="5"/>
    </row>
    <row r="4580">
      <c r="C4580" s="5"/>
      <c r="D4580" s="5"/>
    </row>
    <row r="4581">
      <c r="C4581" s="5"/>
      <c r="D4581" s="5"/>
    </row>
    <row r="4582">
      <c r="C4582" s="5"/>
      <c r="D4582" s="5"/>
    </row>
    <row r="4583">
      <c r="C4583" s="5"/>
      <c r="D4583" s="5"/>
    </row>
    <row r="4584">
      <c r="C4584" s="5"/>
      <c r="D4584" s="5"/>
    </row>
    <row r="4585">
      <c r="C4585" s="5"/>
      <c r="D4585" s="5"/>
    </row>
    <row r="4586">
      <c r="C4586" s="5"/>
      <c r="D4586" s="5"/>
    </row>
    <row r="4587">
      <c r="C4587" s="5"/>
      <c r="D4587" s="5"/>
    </row>
    <row r="4588">
      <c r="C4588" s="5"/>
      <c r="D4588" s="5"/>
    </row>
    <row r="4589">
      <c r="C4589" s="5"/>
      <c r="D4589" s="5"/>
    </row>
    <row r="4590">
      <c r="C4590" s="5"/>
      <c r="D4590" s="5"/>
    </row>
    <row r="4591">
      <c r="C4591" s="5"/>
      <c r="D4591" s="5"/>
    </row>
    <row r="4592">
      <c r="C4592" s="5"/>
      <c r="D4592" s="5"/>
    </row>
    <row r="4593">
      <c r="C4593" s="5"/>
      <c r="D4593" s="5"/>
    </row>
    <row r="4594">
      <c r="C4594" s="5"/>
      <c r="D4594" s="5"/>
    </row>
    <row r="4595">
      <c r="C4595" s="5"/>
      <c r="D4595" s="5"/>
    </row>
    <row r="4596">
      <c r="C4596" s="5"/>
      <c r="D4596" s="5"/>
    </row>
    <row r="4597">
      <c r="C4597" s="5"/>
      <c r="D4597" s="5"/>
    </row>
    <row r="4598">
      <c r="C4598" s="5"/>
      <c r="D4598" s="5"/>
    </row>
    <row r="4599">
      <c r="C4599" s="5"/>
      <c r="D4599" s="5"/>
    </row>
    <row r="4600">
      <c r="C4600" s="5"/>
      <c r="D4600" s="5"/>
    </row>
    <row r="4601">
      <c r="C4601" s="5"/>
      <c r="D4601" s="5"/>
    </row>
    <row r="4602">
      <c r="C4602" s="5"/>
      <c r="D4602" s="5"/>
    </row>
    <row r="4603">
      <c r="C4603" s="5"/>
      <c r="D4603" s="5"/>
    </row>
    <row r="4604">
      <c r="C4604" s="5"/>
      <c r="D4604" s="5"/>
    </row>
    <row r="4605">
      <c r="C4605" s="5"/>
      <c r="D4605" s="5"/>
    </row>
    <row r="4606">
      <c r="C4606" s="5"/>
      <c r="D4606" s="5"/>
    </row>
    <row r="4607">
      <c r="C4607" s="5"/>
      <c r="D4607" s="5"/>
    </row>
    <row r="4608">
      <c r="C4608" s="5"/>
      <c r="D4608" s="5"/>
    </row>
    <row r="4609">
      <c r="C4609" s="5"/>
      <c r="D4609" s="5"/>
    </row>
    <row r="4610">
      <c r="C4610" s="5"/>
      <c r="D4610" s="5"/>
    </row>
    <row r="4611">
      <c r="C4611" s="5"/>
      <c r="D4611" s="5"/>
    </row>
    <row r="4612">
      <c r="C4612" s="5"/>
      <c r="D4612" s="5"/>
    </row>
    <row r="4613">
      <c r="C4613" s="5"/>
      <c r="D4613" s="5"/>
    </row>
    <row r="4614">
      <c r="C4614" s="5"/>
      <c r="D4614" s="5"/>
    </row>
    <row r="4615">
      <c r="C4615" s="5"/>
      <c r="D4615" s="5"/>
    </row>
    <row r="4616">
      <c r="C4616" s="5"/>
      <c r="D4616" s="5"/>
    </row>
    <row r="4617">
      <c r="C4617" s="5"/>
      <c r="D4617" s="5"/>
    </row>
    <row r="4618">
      <c r="C4618" s="5"/>
      <c r="D4618" s="5"/>
    </row>
    <row r="4619">
      <c r="C4619" s="5"/>
      <c r="D4619" s="5"/>
    </row>
    <row r="4620">
      <c r="C4620" s="5"/>
      <c r="D4620" s="5"/>
    </row>
    <row r="4621">
      <c r="C4621" s="5"/>
      <c r="D4621" s="5"/>
    </row>
    <row r="4622">
      <c r="C4622" s="5"/>
      <c r="D4622" s="5"/>
    </row>
    <row r="4623">
      <c r="C4623" s="5"/>
      <c r="D4623" s="5"/>
    </row>
    <row r="4624">
      <c r="C4624" s="5"/>
      <c r="D4624" s="5"/>
    </row>
    <row r="4625">
      <c r="C4625" s="5"/>
      <c r="D4625" s="5"/>
    </row>
    <row r="4626">
      <c r="C4626" s="5"/>
      <c r="D4626" s="5"/>
    </row>
    <row r="4627">
      <c r="C4627" s="5"/>
      <c r="D4627" s="5"/>
    </row>
    <row r="4628">
      <c r="C4628" s="5"/>
      <c r="D4628" s="5"/>
    </row>
    <row r="4629">
      <c r="C4629" s="5"/>
      <c r="D4629" s="5"/>
    </row>
    <row r="4630">
      <c r="C4630" s="5"/>
      <c r="D4630" s="5"/>
    </row>
    <row r="4631">
      <c r="C4631" s="5"/>
      <c r="D4631" s="5"/>
    </row>
    <row r="4632">
      <c r="C4632" s="5"/>
      <c r="D4632" s="5"/>
    </row>
    <row r="4633">
      <c r="C4633" s="5"/>
      <c r="D4633" s="5"/>
    </row>
    <row r="4634">
      <c r="C4634" s="5"/>
      <c r="D4634" s="5"/>
    </row>
    <row r="4635">
      <c r="C4635" s="5"/>
      <c r="D4635" s="5"/>
    </row>
    <row r="4636">
      <c r="C4636" s="5"/>
      <c r="D4636" s="5"/>
    </row>
    <row r="4637">
      <c r="C4637" s="5"/>
      <c r="D4637" s="5"/>
    </row>
    <row r="4638">
      <c r="C4638" s="5"/>
      <c r="D4638" s="5"/>
    </row>
    <row r="4639">
      <c r="C4639" s="5"/>
      <c r="D4639" s="5"/>
    </row>
    <row r="4640">
      <c r="C4640" s="5"/>
      <c r="D4640" s="5"/>
    </row>
    <row r="4641">
      <c r="C4641" s="5"/>
      <c r="D4641" s="5"/>
    </row>
    <row r="4642">
      <c r="C4642" s="5"/>
      <c r="D4642" s="5"/>
    </row>
    <row r="4643">
      <c r="C4643" s="5"/>
      <c r="D4643" s="5"/>
    </row>
    <row r="4644">
      <c r="C4644" s="5"/>
      <c r="D4644" s="5"/>
    </row>
    <row r="4645">
      <c r="C4645" s="5"/>
      <c r="D4645" s="5"/>
    </row>
    <row r="4646">
      <c r="C4646" s="5"/>
      <c r="D4646" s="5"/>
    </row>
    <row r="4647">
      <c r="C4647" s="5"/>
      <c r="D4647" s="5"/>
    </row>
    <row r="4648">
      <c r="C4648" s="5"/>
      <c r="D4648" s="5"/>
    </row>
    <row r="4649">
      <c r="C4649" s="5"/>
      <c r="D4649" s="5"/>
    </row>
    <row r="4650">
      <c r="C4650" s="5"/>
      <c r="D4650" s="5"/>
    </row>
    <row r="4651">
      <c r="C4651" s="5"/>
      <c r="D4651" s="5"/>
    </row>
    <row r="4652">
      <c r="C4652" s="5"/>
      <c r="D4652" s="5"/>
    </row>
    <row r="4653">
      <c r="C4653" s="5"/>
      <c r="D4653" s="5"/>
    </row>
    <row r="4654">
      <c r="C4654" s="5"/>
      <c r="D4654" s="5"/>
    </row>
    <row r="4655">
      <c r="C4655" s="5"/>
      <c r="D4655" s="5"/>
    </row>
    <row r="4656">
      <c r="C4656" s="5"/>
      <c r="D4656" s="5"/>
    </row>
    <row r="4657">
      <c r="C4657" s="5"/>
      <c r="D4657" s="5"/>
    </row>
    <row r="4658">
      <c r="C4658" s="5"/>
      <c r="D4658" s="5"/>
    </row>
    <row r="4659">
      <c r="C4659" s="5"/>
      <c r="D4659" s="5"/>
    </row>
    <row r="4660">
      <c r="C4660" s="5"/>
      <c r="D4660" s="5"/>
    </row>
    <row r="4661">
      <c r="C4661" s="5"/>
      <c r="D4661" s="5"/>
    </row>
    <row r="4662">
      <c r="C4662" s="5"/>
      <c r="D4662" s="5"/>
    </row>
    <row r="4663">
      <c r="C4663" s="5"/>
      <c r="D4663" s="5"/>
    </row>
    <row r="4664">
      <c r="C4664" s="5"/>
      <c r="D4664" s="5"/>
    </row>
    <row r="4665">
      <c r="C4665" s="5"/>
      <c r="D4665" s="5"/>
    </row>
    <row r="4666">
      <c r="C4666" s="5"/>
      <c r="D4666" s="5"/>
    </row>
    <row r="4667">
      <c r="C4667" s="5"/>
      <c r="D4667" s="5"/>
    </row>
    <row r="4668">
      <c r="C4668" s="5"/>
      <c r="D4668" s="5"/>
    </row>
    <row r="4669">
      <c r="C4669" s="5"/>
      <c r="D4669" s="5"/>
    </row>
    <row r="4670">
      <c r="C4670" s="5"/>
      <c r="D4670" s="5"/>
    </row>
    <row r="4671">
      <c r="C4671" s="5"/>
      <c r="D4671" s="5"/>
    </row>
    <row r="4672">
      <c r="C4672" s="5"/>
      <c r="D4672" s="5"/>
    </row>
    <row r="4673">
      <c r="C4673" s="5"/>
      <c r="D4673" s="5"/>
    </row>
    <row r="4674">
      <c r="C4674" s="5"/>
      <c r="D4674" s="5"/>
    </row>
    <row r="4675">
      <c r="C4675" s="5"/>
      <c r="D4675" s="5"/>
    </row>
    <row r="4676">
      <c r="C4676" s="5"/>
      <c r="D4676" s="5"/>
    </row>
    <row r="4677">
      <c r="C4677" s="5"/>
      <c r="D4677" s="5"/>
    </row>
    <row r="4678">
      <c r="C4678" s="5"/>
      <c r="D4678" s="5"/>
    </row>
    <row r="4679">
      <c r="C4679" s="5"/>
      <c r="D4679" s="5"/>
    </row>
    <row r="4680">
      <c r="C4680" s="5"/>
      <c r="D4680" s="5"/>
    </row>
    <row r="4681">
      <c r="C4681" s="5"/>
      <c r="D4681" s="5"/>
    </row>
    <row r="4682">
      <c r="C4682" s="5"/>
      <c r="D4682" s="5"/>
    </row>
    <row r="4683">
      <c r="C4683" s="5"/>
      <c r="D4683" s="5"/>
    </row>
    <row r="4684">
      <c r="C4684" s="5"/>
      <c r="D4684" s="5"/>
    </row>
    <row r="4685">
      <c r="C4685" s="5"/>
      <c r="D4685" s="5"/>
    </row>
    <row r="4686">
      <c r="C4686" s="5"/>
      <c r="D4686" s="5"/>
    </row>
    <row r="4687">
      <c r="C4687" s="5"/>
      <c r="D4687" s="5"/>
    </row>
    <row r="4688">
      <c r="C4688" s="5"/>
      <c r="D4688" s="5"/>
    </row>
    <row r="4689">
      <c r="C4689" s="5"/>
      <c r="D4689" s="5"/>
    </row>
    <row r="4690">
      <c r="C4690" s="5"/>
      <c r="D4690" s="5"/>
    </row>
    <row r="4691">
      <c r="C4691" s="5"/>
      <c r="D4691" s="5"/>
    </row>
    <row r="4692">
      <c r="C4692" s="5"/>
      <c r="D4692" s="5"/>
    </row>
    <row r="4693">
      <c r="C4693" s="5"/>
      <c r="D4693" s="5"/>
    </row>
    <row r="4694">
      <c r="C4694" s="5"/>
      <c r="D4694" s="5"/>
    </row>
    <row r="4695">
      <c r="C4695" s="5"/>
      <c r="D4695" s="5"/>
    </row>
    <row r="4696">
      <c r="C4696" s="5"/>
      <c r="D4696" s="5"/>
    </row>
    <row r="4697">
      <c r="C4697" s="5"/>
      <c r="D4697" s="5"/>
    </row>
    <row r="4698">
      <c r="C4698" s="5"/>
      <c r="D4698" s="5"/>
    </row>
    <row r="4699">
      <c r="C4699" s="5"/>
      <c r="D4699" s="5"/>
    </row>
    <row r="4700">
      <c r="C4700" s="5"/>
      <c r="D4700" s="5"/>
    </row>
    <row r="4701">
      <c r="C4701" s="5"/>
      <c r="D4701" s="5"/>
    </row>
    <row r="4702">
      <c r="C4702" s="5"/>
      <c r="D4702" s="5"/>
    </row>
    <row r="4703">
      <c r="C4703" s="5"/>
      <c r="D4703" s="5"/>
    </row>
    <row r="4704">
      <c r="C4704" s="5"/>
      <c r="D4704" s="5"/>
    </row>
    <row r="4705">
      <c r="C4705" s="5"/>
      <c r="D4705" s="5"/>
    </row>
    <row r="4706">
      <c r="C4706" s="5"/>
      <c r="D4706" s="5"/>
    </row>
    <row r="4707">
      <c r="C4707" s="5"/>
      <c r="D4707" s="5"/>
    </row>
    <row r="4708">
      <c r="C4708" s="5"/>
      <c r="D4708" s="5"/>
    </row>
    <row r="4709">
      <c r="C4709" s="5"/>
      <c r="D4709" s="5"/>
    </row>
    <row r="4710">
      <c r="C4710" s="5"/>
      <c r="D4710" s="5"/>
    </row>
    <row r="4711">
      <c r="C4711" s="5"/>
      <c r="D4711" s="5"/>
    </row>
    <row r="4712">
      <c r="C4712" s="5"/>
      <c r="D4712" s="5"/>
    </row>
    <row r="4713">
      <c r="C4713" s="5"/>
      <c r="D4713" s="5"/>
    </row>
    <row r="4714">
      <c r="C4714" s="5"/>
      <c r="D4714" s="5"/>
    </row>
    <row r="4715">
      <c r="C4715" s="5"/>
      <c r="D4715" s="5"/>
    </row>
    <row r="4716">
      <c r="C4716" s="5"/>
      <c r="D4716" s="5"/>
    </row>
    <row r="4717">
      <c r="C4717" s="5"/>
      <c r="D4717" s="5"/>
    </row>
    <row r="4718">
      <c r="C4718" s="5"/>
      <c r="D4718" s="5"/>
    </row>
    <row r="4719">
      <c r="C4719" s="5"/>
      <c r="D4719" s="5"/>
    </row>
    <row r="4720">
      <c r="C4720" s="5"/>
      <c r="D4720" s="5"/>
    </row>
    <row r="4721">
      <c r="C4721" s="5"/>
      <c r="D4721" s="5"/>
    </row>
    <row r="4722">
      <c r="C4722" s="5"/>
      <c r="D4722" s="5"/>
    </row>
    <row r="4723">
      <c r="C4723" s="5"/>
      <c r="D4723" s="5"/>
    </row>
    <row r="4724">
      <c r="C4724" s="5"/>
      <c r="D4724" s="5"/>
    </row>
    <row r="4725">
      <c r="C4725" s="5"/>
      <c r="D4725" s="5"/>
    </row>
    <row r="4726">
      <c r="C4726" s="5"/>
      <c r="D4726" s="5"/>
    </row>
    <row r="4727">
      <c r="C4727" s="5"/>
      <c r="D4727" s="5"/>
    </row>
    <row r="4728">
      <c r="C4728" s="5"/>
      <c r="D4728" s="5"/>
    </row>
    <row r="4729">
      <c r="C4729" s="5"/>
      <c r="D4729" s="5"/>
    </row>
    <row r="4730">
      <c r="C4730" s="5"/>
      <c r="D4730" s="5"/>
    </row>
    <row r="4731">
      <c r="C4731" s="5"/>
      <c r="D4731" s="5"/>
    </row>
    <row r="4732">
      <c r="C4732" s="5"/>
      <c r="D4732" s="5"/>
    </row>
    <row r="4733">
      <c r="C4733" s="5"/>
      <c r="D4733" s="5"/>
    </row>
    <row r="4734">
      <c r="C4734" s="5"/>
      <c r="D4734" s="5"/>
    </row>
    <row r="4735">
      <c r="C4735" s="5"/>
      <c r="D4735" s="5"/>
    </row>
    <row r="4736">
      <c r="C4736" s="5"/>
      <c r="D4736" s="5"/>
    </row>
    <row r="4737">
      <c r="C4737" s="5"/>
      <c r="D4737" s="5"/>
    </row>
    <row r="4738">
      <c r="C4738" s="5"/>
      <c r="D4738" s="5"/>
    </row>
    <row r="4739">
      <c r="C4739" s="5"/>
      <c r="D4739" s="5"/>
    </row>
    <row r="4740">
      <c r="C4740" s="5"/>
      <c r="D4740" s="5"/>
    </row>
    <row r="4741">
      <c r="C4741" s="5"/>
      <c r="D4741" s="5"/>
    </row>
    <row r="4742">
      <c r="C4742" s="5"/>
      <c r="D4742" s="5"/>
    </row>
    <row r="4743">
      <c r="C4743" s="5"/>
      <c r="D4743" s="5"/>
    </row>
    <row r="4744">
      <c r="C4744" s="5"/>
      <c r="D4744" s="5"/>
    </row>
    <row r="4745">
      <c r="C4745" s="5"/>
      <c r="D4745" s="5"/>
    </row>
    <row r="4746">
      <c r="C4746" s="5"/>
      <c r="D4746" s="5"/>
    </row>
    <row r="4747">
      <c r="C4747" s="5"/>
      <c r="D4747" s="5"/>
    </row>
    <row r="4748">
      <c r="C4748" s="5"/>
      <c r="D4748" s="5"/>
    </row>
    <row r="4749">
      <c r="C4749" s="5"/>
      <c r="D4749" s="5"/>
    </row>
    <row r="4750">
      <c r="C4750" s="5"/>
      <c r="D4750" s="5"/>
    </row>
    <row r="4751">
      <c r="C4751" s="5"/>
      <c r="D4751" s="5"/>
    </row>
    <row r="4752">
      <c r="C4752" s="5"/>
      <c r="D4752" s="5"/>
    </row>
    <row r="4753">
      <c r="C4753" s="5"/>
      <c r="D4753" s="5"/>
    </row>
    <row r="4754">
      <c r="C4754" s="5"/>
      <c r="D4754" s="5"/>
    </row>
    <row r="4755">
      <c r="C4755" s="5"/>
      <c r="D4755" s="5"/>
    </row>
    <row r="4756">
      <c r="C4756" s="5"/>
      <c r="D4756" s="5"/>
    </row>
    <row r="4757">
      <c r="C4757" s="5"/>
      <c r="D4757" s="5"/>
    </row>
    <row r="4758">
      <c r="C4758" s="5"/>
      <c r="D4758" s="5"/>
    </row>
    <row r="4759">
      <c r="C4759" s="5"/>
      <c r="D4759" s="5"/>
    </row>
    <row r="4760">
      <c r="C4760" s="5"/>
      <c r="D4760" s="5"/>
    </row>
    <row r="4761">
      <c r="C4761" s="5"/>
      <c r="D4761" s="5"/>
    </row>
    <row r="4762">
      <c r="C4762" s="5"/>
      <c r="D4762" s="5"/>
    </row>
    <row r="4763">
      <c r="C4763" s="5"/>
      <c r="D4763" s="5"/>
    </row>
    <row r="4764">
      <c r="C4764" s="5"/>
      <c r="D4764" s="5"/>
    </row>
    <row r="4765">
      <c r="C4765" s="5"/>
      <c r="D4765" s="5"/>
    </row>
    <row r="4766">
      <c r="C4766" s="5"/>
      <c r="D4766" s="5"/>
    </row>
    <row r="4767">
      <c r="C4767" s="5"/>
      <c r="D4767" s="5"/>
    </row>
    <row r="4768">
      <c r="C4768" s="5"/>
      <c r="D4768" s="5"/>
    </row>
    <row r="4769">
      <c r="C4769" s="5"/>
      <c r="D4769" s="5"/>
    </row>
    <row r="4770">
      <c r="C4770" s="5"/>
      <c r="D4770" s="5"/>
    </row>
    <row r="4771">
      <c r="C4771" s="5"/>
      <c r="D4771" s="5"/>
    </row>
    <row r="4772">
      <c r="C4772" s="5"/>
      <c r="D4772" s="5"/>
    </row>
    <row r="4773">
      <c r="C4773" s="5"/>
      <c r="D4773" s="5"/>
    </row>
    <row r="4774">
      <c r="C4774" s="5"/>
      <c r="D4774" s="5"/>
    </row>
    <row r="4775">
      <c r="C4775" s="5"/>
      <c r="D4775" s="5"/>
    </row>
    <row r="4776">
      <c r="C4776" s="5"/>
      <c r="D4776" s="5"/>
    </row>
    <row r="4777">
      <c r="C4777" s="5"/>
      <c r="D4777" s="5"/>
    </row>
    <row r="4778">
      <c r="C4778" s="5"/>
      <c r="D4778" s="5"/>
    </row>
    <row r="4779">
      <c r="C4779" s="5"/>
      <c r="D4779" s="5"/>
    </row>
    <row r="4780">
      <c r="C4780" s="5"/>
      <c r="D4780" s="5"/>
    </row>
    <row r="4781">
      <c r="C4781" s="5"/>
      <c r="D4781" s="5"/>
    </row>
    <row r="4782">
      <c r="C4782" s="5"/>
      <c r="D4782" s="5"/>
    </row>
    <row r="4783">
      <c r="C4783" s="5"/>
      <c r="D4783" s="5"/>
    </row>
    <row r="4784">
      <c r="C4784" s="5"/>
      <c r="D4784" s="5"/>
    </row>
    <row r="4785">
      <c r="C4785" s="5"/>
      <c r="D4785" s="5"/>
    </row>
    <row r="4786">
      <c r="C4786" s="5"/>
      <c r="D4786" s="5"/>
    </row>
    <row r="4787">
      <c r="C4787" s="5"/>
      <c r="D4787" s="5"/>
    </row>
    <row r="4788">
      <c r="C4788" s="5"/>
      <c r="D4788" s="5"/>
    </row>
    <row r="4789">
      <c r="C4789" s="5"/>
      <c r="D4789" s="5"/>
    </row>
    <row r="4790">
      <c r="C4790" s="5"/>
      <c r="D4790" s="5"/>
    </row>
    <row r="4791">
      <c r="C4791" s="5"/>
      <c r="D4791" s="5"/>
    </row>
    <row r="4792">
      <c r="C4792" s="5"/>
      <c r="D4792" s="5"/>
    </row>
    <row r="4793">
      <c r="C4793" s="5"/>
      <c r="D4793" s="5"/>
    </row>
    <row r="4794">
      <c r="C4794" s="5"/>
      <c r="D4794" s="5"/>
    </row>
    <row r="4795">
      <c r="C4795" s="5"/>
      <c r="D4795" s="5"/>
    </row>
    <row r="4796">
      <c r="C4796" s="5"/>
      <c r="D4796" s="5"/>
    </row>
    <row r="4797">
      <c r="C4797" s="5"/>
      <c r="D4797" s="5"/>
    </row>
    <row r="4798">
      <c r="C4798" s="5"/>
      <c r="D4798" s="5"/>
    </row>
    <row r="4799">
      <c r="C4799" s="5"/>
      <c r="D4799" s="5"/>
    </row>
    <row r="4800">
      <c r="C4800" s="5"/>
      <c r="D4800" s="5"/>
    </row>
    <row r="4801">
      <c r="C4801" s="5"/>
      <c r="D4801" s="5"/>
    </row>
    <row r="4802">
      <c r="C4802" s="5"/>
      <c r="D4802" s="5"/>
    </row>
    <row r="4803">
      <c r="C4803" s="5"/>
      <c r="D4803" s="5"/>
    </row>
    <row r="4804">
      <c r="C4804" s="5"/>
      <c r="D4804" s="5"/>
    </row>
    <row r="4805">
      <c r="C4805" s="5"/>
      <c r="D4805" s="5"/>
    </row>
    <row r="4806">
      <c r="C4806" s="5"/>
      <c r="D4806" s="5"/>
    </row>
    <row r="4807">
      <c r="C4807" s="5"/>
      <c r="D4807" s="5"/>
    </row>
    <row r="4808">
      <c r="C4808" s="5"/>
      <c r="D4808" s="5"/>
    </row>
    <row r="4809">
      <c r="C4809" s="5"/>
      <c r="D4809" s="5"/>
    </row>
    <row r="4810">
      <c r="C4810" s="5"/>
      <c r="D4810" s="5"/>
    </row>
    <row r="4811">
      <c r="C4811" s="5"/>
      <c r="D4811" s="5"/>
    </row>
    <row r="4812">
      <c r="C4812" s="5"/>
      <c r="D4812" s="5"/>
    </row>
    <row r="4813">
      <c r="C4813" s="5"/>
      <c r="D4813" s="5"/>
    </row>
    <row r="4814">
      <c r="C4814" s="5"/>
      <c r="D4814" s="5"/>
    </row>
    <row r="4815">
      <c r="C4815" s="5"/>
      <c r="D4815" s="5"/>
    </row>
    <row r="4816">
      <c r="C4816" s="5"/>
      <c r="D4816" s="5"/>
    </row>
    <row r="4817">
      <c r="C4817" s="5"/>
      <c r="D4817" s="5"/>
    </row>
    <row r="4818">
      <c r="C4818" s="5"/>
      <c r="D4818" s="5"/>
    </row>
    <row r="4819">
      <c r="C4819" s="5"/>
      <c r="D4819" s="5"/>
    </row>
    <row r="4820">
      <c r="C4820" s="5"/>
      <c r="D4820" s="5"/>
    </row>
    <row r="4821">
      <c r="C4821" s="5"/>
      <c r="D4821" s="5"/>
    </row>
    <row r="4822">
      <c r="C4822" s="5"/>
      <c r="D4822" s="5"/>
    </row>
    <row r="4823">
      <c r="C4823" s="5"/>
      <c r="D4823" s="5"/>
    </row>
    <row r="4824">
      <c r="C4824" s="5"/>
      <c r="D4824" s="5"/>
    </row>
    <row r="4825">
      <c r="C4825" s="5"/>
      <c r="D4825" s="5"/>
    </row>
    <row r="4826">
      <c r="C4826" s="5"/>
      <c r="D4826" s="5"/>
    </row>
    <row r="4827">
      <c r="C4827" s="5"/>
      <c r="D4827" s="5"/>
    </row>
    <row r="4828">
      <c r="C4828" s="5"/>
      <c r="D4828" s="5"/>
    </row>
    <row r="4829">
      <c r="C4829" s="5"/>
      <c r="D4829" s="5"/>
    </row>
    <row r="4830">
      <c r="C4830" s="5"/>
      <c r="D4830" s="5"/>
    </row>
    <row r="4831">
      <c r="C4831" s="5"/>
      <c r="D4831" s="5"/>
    </row>
    <row r="4832">
      <c r="C4832" s="5"/>
      <c r="D4832" s="5"/>
    </row>
    <row r="4833">
      <c r="C4833" s="5"/>
      <c r="D4833" s="5"/>
    </row>
    <row r="4834">
      <c r="C4834" s="5"/>
      <c r="D4834" s="5"/>
    </row>
    <row r="4835">
      <c r="C4835" s="5"/>
      <c r="D4835" s="5"/>
    </row>
    <row r="4836">
      <c r="C4836" s="5"/>
      <c r="D4836" s="5"/>
    </row>
    <row r="4837">
      <c r="C4837" s="5"/>
      <c r="D4837" s="5"/>
    </row>
    <row r="4838">
      <c r="C4838" s="5"/>
      <c r="D4838" s="5"/>
    </row>
    <row r="4839">
      <c r="C4839" s="5"/>
      <c r="D4839" s="5"/>
    </row>
    <row r="4840">
      <c r="C4840" s="5"/>
      <c r="D4840" s="5"/>
    </row>
    <row r="4841">
      <c r="C4841" s="5"/>
      <c r="D4841" s="5"/>
    </row>
    <row r="4842">
      <c r="C4842" s="5"/>
      <c r="D4842" s="5"/>
    </row>
    <row r="4843">
      <c r="C4843" s="5"/>
      <c r="D4843" s="5"/>
    </row>
    <row r="4844">
      <c r="C4844" s="5"/>
      <c r="D4844" s="5"/>
    </row>
    <row r="4845">
      <c r="C4845" s="5"/>
      <c r="D4845" s="5"/>
    </row>
    <row r="4846">
      <c r="C4846" s="5"/>
      <c r="D4846" s="5"/>
    </row>
    <row r="4847">
      <c r="C4847" s="5"/>
      <c r="D4847" s="5"/>
    </row>
    <row r="4848">
      <c r="C4848" s="5"/>
      <c r="D4848" s="5"/>
    </row>
    <row r="4849">
      <c r="C4849" s="5"/>
      <c r="D4849" s="5"/>
    </row>
    <row r="4850">
      <c r="C4850" s="5"/>
      <c r="D4850" s="5"/>
    </row>
    <row r="4851">
      <c r="C4851" s="5"/>
      <c r="D4851" s="5"/>
    </row>
    <row r="4852">
      <c r="C4852" s="5"/>
      <c r="D4852" s="5"/>
    </row>
    <row r="4853">
      <c r="C4853" s="5"/>
      <c r="D4853" s="5"/>
    </row>
    <row r="4854">
      <c r="C4854" s="5"/>
      <c r="D4854" s="5"/>
    </row>
    <row r="4855">
      <c r="C4855" s="5"/>
      <c r="D4855" s="5"/>
    </row>
    <row r="4856">
      <c r="C4856" s="5"/>
      <c r="D4856" s="5"/>
    </row>
    <row r="4857">
      <c r="C4857" s="5"/>
      <c r="D4857" s="5"/>
    </row>
    <row r="4858">
      <c r="C4858" s="5"/>
      <c r="D4858" s="5"/>
    </row>
    <row r="4859">
      <c r="C4859" s="5"/>
      <c r="D4859" s="5"/>
    </row>
    <row r="4860">
      <c r="C4860" s="5"/>
      <c r="D4860" s="5"/>
    </row>
    <row r="4861">
      <c r="C4861" s="5"/>
      <c r="D4861" s="5"/>
    </row>
    <row r="4862">
      <c r="C4862" s="5"/>
      <c r="D4862" s="5"/>
    </row>
    <row r="4863">
      <c r="C4863" s="5"/>
      <c r="D4863" s="5"/>
    </row>
    <row r="4864">
      <c r="C4864" s="5"/>
      <c r="D4864" s="5"/>
    </row>
    <row r="4865">
      <c r="C4865" s="5"/>
      <c r="D4865" s="5"/>
    </row>
    <row r="4866">
      <c r="C4866" s="5"/>
      <c r="D4866" s="5"/>
    </row>
    <row r="4867">
      <c r="C4867" s="5"/>
      <c r="D4867" s="5"/>
    </row>
    <row r="4868">
      <c r="C4868" s="5"/>
      <c r="D4868" s="5"/>
    </row>
    <row r="4869">
      <c r="C4869" s="5"/>
      <c r="D4869" s="5"/>
    </row>
    <row r="4870">
      <c r="C4870" s="5"/>
      <c r="D4870" s="5"/>
    </row>
    <row r="4871">
      <c r="C4871" s="5"/>
      <c r="D4871" s="5"/>
    </row>
    <row r="4872">
      <c r="C4872" s="5"/>
      <c r="D4872" s="5"/>
    </row>
    <row r="4873">
      <c r="C4873" s="5"/>
      <c r="D4873" s="5"/>
    </row>
    <row r="4874">
      <c r="C4874" s="5"/>
      <c r="D4874" s="5"/>
    </row>
    <row r="4875">
      <c r="C4875" s="5"/>
      <c r="D4875" s="5"/>
    </row>
    <row r="4876">
      <c r="C4876" s="5"/>
      <c r="D4876" s="5"/>
    </row>
    <row r="4877">
      <c r="C4877" s="5"/>
      <c r="D4877" s="5"/>
    </row>
    <row r="4878">
      <c r="C4878" s="5"/>
      <c r="D4878" s="5"/>
    </row>
    <row r="4879">
      <c r="C4879" s="5"/>
      <c r="D4879" s="5"/>
    </row>
    <row r="4880">
      <c r="C4880" s="5"/>
      <c r="D4880" s="5"/>
    </row>
    <row r="4881">
      <c r="C4881" s="5"/>
      <c r="D4881" s="5"/>
    </row>
    <row r="4882">
      <c r="C4882" s="5"/>
      <c r="D4882" s="5"/>
    </row>
    <row r="4883">
      <c r="C4883" s="5"/>
      <c r="D4883" s="5"/>
    </row>
    <row r="4884">
      <c r="C4884" s="5"/>
      <c r="D4884" s="5"/>
    </row>
    <row r="4885">
      <c r="C4885" s="5"/>
      <c r="D4885" s="5"/>
    </row>
    <row r="4886">
      <c r="C4886" s="5"/>
      <c r="D4886" s="5"/>
    </row>
    <row r="4887">
      <c r="C4887" s="5"/>
      <c r="D4887" s="5"/>
    </row>
    <row r="4888">
      <c r="C4888" s="5"/>
      <c r="D4888" s="5"/>
    </row>
    <row r="4889">
      <c r="C4889" s="5"/>
      <c r="D4889" s="5"/>
    </row>
    <row r="4890">
      <c r="C4890" s="5"/>
      <c r="D4890" s="5"/>
    </row>
    <row r="4891">
      <c r="C4891" s="5"/>
      <c r="D4891" s="5"/>
    </row>
    <row r="4892">
      <c r="C4892" s="5"/>
      <c r="D4892" s="5"/>
    </row>
    <row r="4893">
      <c r="C4893" s="5"/>
      <c r="D4893" s="5"/>
    </row>
    <row r="4894">
      <c r="C4894" s="5"/>
      <c r="D4894" s="5"/>
    </row>
    <row r="4895">
      <c r="C4895" s="5"/>
      <c r="D4895" s="5"/>
    </row>
    <row r="4896">
      <c r="C4896" s="5"/>
      <c r="D4896" s="5"/>
    </row>
    <row r="4897">
      <c r="C4897" s="5"/>
      <c r="D4897" s="5"/>
    </row>
    <row r="4898">
      <c r="C4898" s="5"/>
      <c r="D4898" s="5"/>
    </row>
    <row r="4899">
      <c r="C4899" s="5"/>
      <c r="D4899" s="5"/>
    </row>
    <row r="4900">
      <c r="C4900" s="5"/>
      <c r="D4900" s="5"/>
    </row>
    <row r="4901">
      <c r="C4901" s="5"/>
      <c r="D4901" s="5"/>
    </row>
    <row r="4902">
      <c r="C4902" s="5"/>
      <c r="D4902" s="5"/>
    </row>
    <row r="4903">
      <c r="C4903" s="5"/>
      <c r="D4903" s="5"/>
    </row>
    <row r="4904">
      <c r="C4904" s="5"/>
      <c r="D4904" s="5"/>
    </row>
    <row r="4905">
      <c r="C4905" s="5"/>
      <c r="D4905" s="5"/>
    </row>
    <row r="4906">
      <c r="C4906" s="5"/>
      <c r="D4906" s="5"/>
    </row>
    <row r="4907">
      <c r="C4907" s="5"/>
      <c r="D4907" s="5"/>
    </row>
    <row r="4908">
      <c r="C4908" s="5"/>
      <c r="D4908" s="5"/>
    </row>
    <row r="4909">
      <c r="C4909" s="5"/>
      <c r="D4909" s="5"/>
    </row>
    <row r="4910">
      <c r="C4910" s="5"/>
      <c r="D4910" s="5"/>
    </row>
    <row r="4911">
      <c r="C4911" s="5"/>
      <c r="D4911" s="5"/>
    </row>
    <row r="4912">
      <c r="C4912" s="5"/>
      <c r="D4912" s="5"/>
    </row>
    <row r="4913">
      <c r="C4913" s="5"/>
      <c r="D4913" s="5"/>
    </row>
    <row r="4914">
      <c r="C4914" s="5"/>
      <c r="D4914" s="5"/>
    </row>
    <row r="4915">
      <c r="C4915" s="5"/>
      <c r="D4915" s="5"/>
    </row>
    <row r="4916">
      <c r="C4916" s="5"/>
      <c r="D4916" s="5"/>
    </row>
    <row r="4917">
      <c r="C4917" s="5"/>
      <c r="D4917" s="5"/>
    </row>
    <row r="4918">
      <c r="C4918" s="5"/>
      <c r="D4918" s="5"/>
    </row>
    <row r="4919">
      <c r="C4919" s="5"/>
      <c r="D4919" s="5"/>
    </row>
    <row r="4920">
      <c r="C4920" s="5"/>
      <c r="D4920" s="5"/>
    </row>
    <row r="4921">
      <c r="C4921" s="5"/>
      <c r="D4921" s="5"/>
    </row>
    <row r="4922">
      <c r="C4922" s="5"/>
      <c r="D4922" s="5"/>
    </row>
    <row r="4923">
      <c r="C4923" s="5"/>
      <c r="D4923" s="5"/>
    </row>
    <row r="4924">
      <c r="C4924" s="5"/>
      <c r="D4924" s="5"/>
    </row>
    <row r="4925">
      <c r="C4925" s="5"/>
      <c r="D4925" s="5"/>
    </row>
    <row r="4926">
      <c r="C4926" s="5"/>
      <c r="D4926" s="5"/>
    </row>
    <row r="4927">
      <c r="C4927" s="5"/>
      <c r="D4927" s="5"/>
    </row>
    <row r="4928">
      <c r="C4928" s="5"/>
      <c r="D4928" s="5"/>
    </row>
    <row r="4929">
      <c r="C4929" s="5"/>
      <c r="D4929" s="5"/>
    </row>
    <row r="4930">
      <c r="C4930" s="5"/>
      <c r="D4930" s="5"/>
    </row>
    <row r="4931">
      <c r="C4931" s="5"/>
      <c r="D4931" s="5"/>
    </row>
    <row r="4932">
      <c r="C4932" s="5"/>
      <c r="D4932" s="5"/>
    </row>
    <row r="4933">
      <c r="C4933" s="5"/>
      <c r="D4933" s="5"/>
    </row>
    <row r="4934">
      <c r="C4934" s="5"/>
      <c r="D4934" s="5"/>
    </row>
    <row r="4935">
      <c r="C4935" s="5"/>
      <c r="D4935" s="5"/>
    </row>
    <row r="4936">
      <c r="C4936" s="5"/>
      <c r="D4936" s="5"/>
    </row>
    <row r="4937">
      <c r="C4937" s="5"/>
      <c r="D4937" s="5"/>
    </row>
    <row r="4938">
      <c r="C4938" s="5"/>
      <c r="D4938" s="5"/>
    </row>
    <row r="4939">
      <c r="C4939" s="5"/>
      <c r="D4939" s="5"/>
    </row>
    <row r="4940">
      <c r="C4940" s="5"/>
      <c r="D4940" s="5"/>
    </row>
    <row r="4941">
      <c r="C4941" s="5"/>
      <c r="D4941" s="5"/>
    </row>
    <row r="4942">
      <c r="C4942" s="5"/>
      <c r="D4942" s="5"/>
    </row>
    <row r="4943">
      <c r="C4943" s="5"/>
      <c r="D4943" s="5"/>
    </row>
    <row r="4944">
      <c r="C4944" s="5"/>
      <c r="D4944" s="5"/>
    </row>
    <row r="4945">
      <c r="C4945" s="5"/>
      <c r="D4945" s="5"/>
    </row>
    <row r="4946">
      <c r="C4946" s="5"/>
      <c r="D4946" s="5"/>
    </row>
    <row r="4947">
      <c r="C4947" s="5"/>
      <c r="D4947" s="5"/>
    </row>
    <row r="4948">
      <c r="C4948" s="5"/>
      <c r="D4948" s="5"/>
    </row>
    <row r="4949">
      <c r="C4949" s="5"/>
      <c r="D4949" s="5"/>
    </row>
    <row r="4950">
      <c r="C4950" s="5"/>
      <c r="D4950" s="5"/>
    </row>
    <row r="4951">
      <c r="C4951" s="5"/>
      <c r="D4951" s="5"/>
    </row>
    <row r="4952">
      <c r="C4952" s="5"/>
      <c r="D4952" s="5"/>
    </row>
    <row r="4953">
      <c r="C4953" s="5"/>
      <c r="D4953" s="5"/>
    </row>
    <row r="4954">
      <c r="C4954" s="5"/>
      <c r="D4954" s="5"/>
    </row>
    <row r="4955">
      <c r="C4955" s="5"/>
      <c r="D4955" s="5"/>
    </row>
    <row r="4956">
      <c r="C4956" s="5"/>
      <c r="D4956" s="5"/>
    </row>
    <row r="4957">
      <c r="C4957" s="5"/>
      <c r="D4957" s="5"/>
    </row>
    <row r="4958">
      <c r="C4958" s="5"/>
      <c r="D4958" s="5"/>
    </row>
    <row r="4959">
      <c r="C4959" s="5"/>
      <c r="D4959" s="5"/>
    </row>
    <row r="4960">
      <c r="C4960" s="5"/>
      <c r="D4960" s="5"/>
    </row>
    <row r="4961">
      <c r="C4961" s="5"/>
      <c r="D4961" s="5"/>
    </row>
    <row r="4962">
      <c r="C4962" s="5"/>
      <c r="D4962" s="5"/>
    </row>
    <row r="4963">
      <c r="C4963" s="5"/>
      <c r="D4963" s="5"/>
    </row>
    <row r="4964">
      <c r="C4964" s="5"/>
      <c r="D4964" s="5"/>
    </row>
    <row r="4965">
      <c r="C4965" s="5"/>
      <c r="D4965" s="5"/>
    </row>
    <row r="4966">
      <c r="C4966" s="5"/>
      <c r="D4966" s="5"/>
    </row>
    <row r="4967">
      <c r="C4967" s="5"/>
      <c r="D4967" s="5"/>
    </row>
    <row r="4968">
      <c r="C4968" s="5"/>
      <c r="D4968" s="5"/>
    </row>
    <row r="4969">
      <c r="C4969" s="5"/>
      <c r="D4969" s="5"/>
    </row>
    <row r="4970">
      <c r="C4970" s="5"/>
      <c r="D4970" s="5"/>
    </row>
    <row r="4971">
      <c r="C4971" s="5"/>
      <c r="D4971" s="5"/>
    </row>
    <row r="4972">
      <c r="C4972" s="5"/>
      <c r="D4972" s="5"/>
    </row>
    <row r="4973">
      <c r="C4973" s="5"/>
      <c r="D4973" s="5"/>
    </row>
    <row r="4974">
      <c r="C4974" s="5"/>
      <c r="D4974" s="5"/>
    </row>
    <row r="4975">
      <c r="C4975" s="5"/>
      <c r="D4975" s="5"/>
    </row>
    <row r="4976">
      <c r="C4976" s="5"/>
      <c r="D4976" s="5"/>
    </row>
    <row r="4977">
      <c r="C4977" s="5"/>
      <c r="D4977" s="5"/>
    </row>
    <row r="4978">
      <c r="C4978" s="5"/>
      <c r="D4978" s="5"/>
    </row>
    <row r="4979">
      <c r="C4979" s="5"/>
      <c r="D4979" s="5"/>
    </row>
    <row r="4980">
      <c r="C4980" s="5"/>
      <c r="D4980" s="5"/>
    </row>
    <row r="4981">
      <c r="C4981" s="5"/>
      <c r="D4981" s="5"/>
    </row>
    <row r="4982">
      <c r="C4982" s="5"/>
      <c r="D4982" s="5"/>
    </row>
    <row r="4983">
      <c r="C4983" s="5"/>
      <c r="D4983" s="5"/>
    </row>
    <row r="4984">
      <c r="C4984" s="5"/>
      <c r="D4984" s="5"/>
    </row>
    <row r="4985">
      <c r="C4985" s="5"/>
      <c r="D4985" s="5"/>
    </row>
    <row r="4986">
      <c r="C4986" s="5"/>
      <c r="D4986" s="5"/>
    </row>
    <row r="4987">
      <c r="C4987" s="5"/>
      <c r="D4987" s="5"/>
    </row>
    <row r="4988">
      <c r="C4988" s="5"/>
      <c r="D4988" s="5"/>
    </row>
    <row r="4989">
      <c r="C4989" s="5"/>
      <c r="D4989" s="5"/>
    </row>
    <row r="4990">
      <c r="C4990" s="5"/>
      <c r="D4990" s="5"/>
    </row>
    <row r="4991">
      <c r="C4991" s="5"/>
      <c r="D4991" s="5"/>
    </row>
    <row r="4992">
      <c r="C4992" s="5"/>
      <c r="D4992" s="5"/>
    </row>
    <row r="4993">
      <c r="C4993" s="5"/>
      <c r="D4993" s="5"/>
    </row>
    <row r="4994">
      <c r="C4994" s="5"/>
      <c r="D4994" s="5"/>
    </row>
    <row r="4995">
      <c r="C4995" s="5"/>
      <c r="D4995" s="5"/>
    </row>
    <row r="4996">
      <c r="C4996" s="5"/>
      <c r="D4996" s="5"/>
    </row>
    <row r="4997">
      <c r="C4997" s="5"/>
      <c r="D4997" s="5"/>
    </row>
    <row r="4998">
      <c r="C4998" s="5"/>
      <c r="D4998" s="5"/>
    </row>
    <row r="4999">
      <c r="C4999" s="5"/>
      <c r="D4999" s="5"/>
    </row>
    <row r="5000">
      <c r="C5000" s="5"/>
      <c r="D5000" s="5"/>
    </row>
    <row r="5001">
      <c r="C5001" s="5"/>
      <c r="D5001" s="5"/>
    </row>
    <row r="5002">
      <c r="C5002" s="5"/>
      <c r="D5002" s="5"/>
    </row>
    <row r="5003">
      <c r="C5003" s="5"/>
      <c r="D5003" s="5"/>
    </row>
    <row r="5004">
      <c r="C5004" s="5"/>
      <c r="D5004" s="5"/>
    </row>
    <row r="5005">
      <c r="C5005" s="5"/>
      <c r="D5005" s="5"/>
    </row>
    <row r="5006">
      <c r="C5006" s="5"/>
      <c r="D5006" s="5"/>
    </row>
    <row r="5007">
      <c r="C5007" s="5"/>
      <c r="D5007" s="5"/>
    </row>
    <row r="5008">
      <c r="C5008" s="5"/>
      <c r="D5008" s="5"/>
    </row>
    <row r="5009">
      <c r="C5009" s="5"/>
      <c r="D5009" s="5"/>
    </row>
    <row r="5010">
      <c r="C5010" s="5"/>
      <c r="D5010" s="5"/>
    </row>
    <row r="5011">
      <c r="C5011" s="5"/>
      <c r="D5011" s="5"/>
    </row>
    <row r="5012">
      <c r="C5012" s="5"/>
      <c r="D5012" s="5"/>
    </row>
    <row r="5013">
      <c r="C5013" s="5"/>
      <c r="D5013" s="5"/>
    </row>
    <row r="5014">
      <c r="C5014" s="5"/>
      <c r="D5014" s="5"/>
    </row>
    <row r="5015">
      <c r="C5015" s="5"/>
      <c r="D5015" s="5"/>
    </row>
    <row r="5016">
      <c r="C5016" s="5"/>
      <c r="D5016" s="5"/>
    </row>
    <row r="5017">
      <c r="C5017" s="5"/>
      <c r="D5017" s="5"/>
    </row>
    <row r="5018">
      <c r="C5018" s="5"/>
      <c r="D5018" s="5"/>
    </row>
    <row r="5019">
      <c r="C5019" s="5"/>
      <c r="D5019" s="5"/>
    </row>
    <row r="5020">
      <c r="C5020" s="5"/>
      <c r="D5020" s="5"/>
    </row>
    <row r="5021">
      <c r="C5021" s="5"/>
      <c r="D5021" s="5"/>
    </row>
    <row r="5022">
      <c r="C5022" s="5"/>
      <c r="D5022" s="5"/>
    </row>
    <row r="5023">
      <c r="C5023" s="5"/>
      <c r="D5023" s="5"/>
    </row>
    <row r="5024">
      <c r="C5024" s="5"/>
      <c r="D5024" s="5"/>
    </row>
    <row r="5025">
      <c r="C5025" s="5"/>
      <c r="D5025" s="5"/>
    </row>
    <row r="5026">
      <c r="C5026" s="5"/>
      <c r="D5026" s="5"/>
    </row>
    <row r="5027">
      <c r="C5027" s="5"/>
      <c r="D5027" s="5"/>
    </row>
    <row r="5028">
      <c r="C5028" s="5"/>
      <c r="D5028" s="5"/>
    </row>
    <row r="5029">
      <c r="C5029" s="5"/>
      <c r="D5029" s="5"/>
    </row>
    <row r="5030">
      <c r="C5030" s="5"/>
      <c r="D5030" s="5"/>
    </row>
    <row r="5031">
      <c r="C5031" s="5"/>
      <c r="D5031" s="5"/>
    </row>
    <row r="5032">
      <c r="C5032" s="5"/>
      <c r="D5032" s="5"/>
    </row>
    <row r="5033">
      <c r="C5033" s="5"/>
      <c r="D5033" s="5"/>
    </row>
    <row r="5034">
      <c r="C5034" s="5"/>
      <c r="D5034" s="5"/>
    </row>
    <row r="5035">
      <c r="C5035" s="5"/>
      <c r="D5035" s="5"/>
    </row>
    <row r="5036">
      <c r="C5036" s="5"/>
      <c r="D5036" s="5"/>
    </row>
    <row r="5037">
      <c r="C5037" s="5"/>
      <c r="D5037" s="5"/>
    </row>
    <row r="5038">
      <c r="C5038" s="5"/>
      <c r="D5038" s="5"/>
    </row>
    <row r="5039">
      <c r="C5039" s="5"/>
      <c r="D5039" s="5"/>
    </row>
    <row r="5040">
      <c r="C5040" s="5"/>
      <c r="D5040" s="5"/>
    </row>
    <row r="5041">
      <c r="C5041" s="5"/>
      <c r="D5041" s="5"/>
    </row>
    <row r="5042">
      <c r="C5042" s="5"/>
      <c r="D5042" s="5"/>
    </row>
    <row r="5043">
      <c r="C5043" s="5"/>
      <c r="D5043" s="5"/>
    </row>
    <row r="5044">
      <c r="C5044" s="5"/>
      <c r="D5044" s="5"/>
    </row>
    <row r="5045">
      <c r="C5045" s="5"/>
      <c r="D5045" s="5"/>
    </row>
    <row r="5046">
      <c r="C5046" s="5"/>
      <c r="D5046" s="5"/>
    </row>
    <row r="5047">
      <c r="C5047" s="5"/>
      <c r="D5047" s="5"/>
    </row>
    <row r="5048">
      <c r="C5048" s="5"/>
      <c r="D5048" s="5"/>
    </row>
    <row r="5049">
      <c r="C5049" s="5"/>
      <c r="D5049" s="5"/>
    </row>
    <row r="5050">
      <c r="C5050" s="5"/>
      <c r="D5050" s="5"/>
    </row>
    <row r="5051">
      <c r="C5051" s="5"/>
      <c r="D5051" s="5"/>
    </row>
    <row r="5052">
      <c r="C5052" s="5"/>
      <c r="D5052" s="5"/>
    </row>
    <row r="5053">
      <c r="C5053" s="5"/>
      <c r="D5053" s="5"/>
    </row>
    <row r="5054">
      <c r="C5054" s="5"/>
      <c r="D5054" s="5"/>
    </row>
    <row r="5055">
      <c r="C5055" s="5"/>
      <c r="D5055" s="5"/>
    </row>
    <row r="5056">
      <c r="C5056" s="5"/>
      <c r="D5056" s="5"/>
    </row>
    <row r="5057">
      <c r="C5057" s="5"/>
      <c r="D5057" s="5"/>
    </row>
    <row r="5058">
      <c r="C5058" s="5"/>
      <c r="D5058" s="5"/>
    </row>
    <row r="5059">
      <c r="C5059" s="5"/>
      <c r="D5059" s="5"/>
    </row>
    <row r="5060">
      <c r="C5060" s="5"/>
      <c r="D5060" s="5"/>
    </row>
    <row r="5061">
      <c r="C5061" s="5"/>
      <c r="D5061" s="5"/>
    </row>
    <row r="5062">
      <c r="C5062" s="5"/>
      <c r="D5062" s="5"/>
    </row>
    <row r="5063">
      <c r="C5063" s="5"/>
      <c r="D5063" s="5"/>
    </row>
    <row r="5064">
      <c r="C5064" s="5"/>
      <c r="D5064" s="5"/>
    </row>
    <row r="5065">
      <c r="C5065" s="5"/>
      <c r="D5065" s="5"/>
    </row>
    <row r="5066">
      <c r="C5066" s="5"/>
      <c r="D5066" s="5"/>
    </row>
    <row r="5067">
      <c r="C5067" s="5"/>
      <c r="D5067" s="5"/>
    </row>
    <row r="5068">
      <c r="C5068" s="5"/>
      <c r="D5068" s="5"/>
    </row>
    <row r="5069">
      <c r="C5069" s="5"/>
      <c r="D5069" s="5"/>
    </row>
    <row r="5070">
      <c r="C5070" s="5"/>
      <c r="D5070" s="5"/>
    </row>
    <row r="5071">
      <c r="C5071" s="5"/>
      <c r="D5071" s="5"/>
    </row>
    <row r="5072">
      <c r="C5072" s="5"/>
      <c r="D5072" s="5"/>
    </row>
    <row r="5073">
      <c r="C5073" s="5"/>
      <c r="D5073" s="5"/>
    </row>
    <row r="5074">
      <c r="C5074" s="5"/>
      <c r="D5074" s="5"/>
    </row>
    <row r="5075">
      <c r="C5075" s="5"/>
      <c r="D5075" s="5"/>
    </row>
    <row r="5076">
      <c r="C5076" s="5"/>
      <c r="D5076" s="5"/>
    </row>
    <row r="5077">
      <c r="C5077" s="5"/>
      <c r="D5077" s="5"/>
    </row>
    <row r="5078">
      <c r="C5078" s="5"/>
      <c r="D5078" s="5"/>
    </row>
    <row r="5079">
      <c r="C5079" s="5"/>
      <c r="D5079" s="5"/>
    </row>
    <row r="5080">
      <c r="C5080" s="5"/>
      <c r="D5080" s="5"/>
    </row>
    <row r="5081">
      <c r="C5081" s="5"/>
      <c r="D5081" s="5"/>
    </row>
    <row r="5082">
      <c r="C5082" s="5"/>
      <c r="D5082" s="5"/>
    </row>
    <row r="5083">
      <c r="C5083" s="5"/>
      <c r="D5083" s="5"/>
    </row>
    <row r="5084">
      <c r="C5084" s="5"/>
      <c r="D5084" s="5"/>
    </row>
    <row r="5085">
      <c r="C5085" s="5"/>
      <c r="D5085" s="5"/>
    </row>
    <row r="5086">
      <c r="C5086" s="5"/>
      <c r="D5086" s="5"/>
    </row>
    <row r="5087">
      <c r="C5087" s="5"/>
      <c r="D5087" s="5"/>
    </row>
    <row r="5088">
      <c r="C5088" s="5"/>
      <c r="D5088" s="5"/>
    </row>
    <row r="5089">
      <c r="C5089" s="5"/>
      <c r="D5089" s="5"/>
    </row>
    <row r="5090">
      <c r="C5090" s="5"/>
      <c r="D5090" s="5"/>
    </row>
    <row r="5091">
      <c r="C5091" s="5"/>
      <c r="D5091" s="5"/>
    </row>
    <row r="5092">
      <c r="C5092" s="5"/>
      <c r="D5092" s="5"/>
    </row>
    <row r="5093">
      <c r="C5093" s="5"/>
      <c r="D5093" s="5"/>
    </row>
    <row r="5094">
      <c r="C5094" s="5"/>
      <c r="D5094" s="5"/>
    </row>
    <row r="5095">
      <c r="C5095" s="5"/>
      <c r="D5095" s="5"/>
    </row>
    <row r="5096">
      <c r="C5096" s="5"/>
      <c r="D5096" s="5"/>
    </row>
    <row r="5097">
      <c r="C5097" s="5"/>
      <c r="D5097" s="5"/>
    </row>
    <row r="5098">
      <c r="C5098" s="5"/>
      <c r="D5098" s="5"/>
    </row>
    <row r="5099">
      <c r="C5099" s="5"/>
      <c r="D5099" s="5"/>
    </row>
    <row r="5100">
      <c r="C5100" s="5"/>
      <c r="D5100" s="5"/>
    </row>
    <row r="5101">
      <c r="C5101" s="5"/>
      <c r="D5101" s="5"/>
    </row>
    <row r="5102">
      <c r="C5102" s="5"/>
      <c r="D5102" s="5"/>
    </row>
    <row r="5103">
      <c r="C5103" s="5"/>
      <c r="D5103" s="5"/>
    </row>
    <row r="5104">
      <c r="C5104" s="5"/>
      <c r="D5104" s="5"/>
    </row>
    <row r="5105">
      <c r="C5105" s="5"/>
      <c r="D5105" s="5"/>
    </row>
    <row r="5106">
      <c r="C5106" s="5"/>
      <c r="D5106" s="5"/>
    </row>
    <row r="5107">
      <c r="C5107" s="5"/>
      <c r="D5107" s="5"/>
    </row>
    <row r="5108">
      <c r="C5108" s="5"/>
      <c r="D5108" s="5"/>
    </row>
    <row r="5109">
      <c r="C5109" s="5"/>
      <c r="D5109" s="5"/>
    </row>
    <row r="5110">
      <c r="C5110" s="5"/>
      <c r="D5110" s="5"/>
    </row>
    <row r="5111">
      <c r="C5111" s="5"/>
      <c r="D5111" s="5"/>
    </row>
    <row r="5112">
      <c r="C5112" s="5"/>
      <c r="D5112" s="5"/>
    </row>
    <row r="5113">
      <c r="C5113" s="5"/>
      <c r="D5113" s="5"/>
    </row>
    <row r="5114">
      <c r="C5114" s="5"/>
      <c r="D5114" s="5"/>
    </row>
    <row r="5115">
      <c r="C5115" s="5"/>
      <c r="D5115" s="5"/>
    </row>
    <row r="5116">
      <c r="C5116" s="5"/>
      <c r="D5116" s="5"/>
    </row>
    <row r="5117">
      <c r="C5117" s="5"/>
      <c r="D5117" s="5"/>
    </row>
    <row r="5118">
      <c r="C5118" s="5"/>
      <c r="D5118" s="5"/>
    </row>
    <row r="5119">
      <c r="C5119" s="5"/>
      <c r="D5119" s="5"/>
    </row>
    <row r="5120">
      <c r="C5120" s="5"/>
      <c r="D5120" s="5"/>
    </row>
    <row r="5121">
      <c r="C5121" s="5"/>
      <c r="D5121" s="5"/>
    </row>
    <row r="5122">
      <c r="C5122" s="5"/>
      <c r="D5122" s="5"/>
    </row>
    <row r="5123">
      <c r="C5123" s="5"/>
      <c r="D5123" s="5"/>
    </row>
    <row r="5124">
      <c r="C5124" s="5"/>
      <c r="D5124" s="5"/>
    </row>
    <row r="5125">
      <c r="C5125" s="5"/>
      <c r="D5125" s="5"/>
    </row>
    <row r="5126">
      <c r="C5126" s="5"/>
      <c r="D5126" s="5"/>
    </row>
    <row r="5127">
      <c r="C5127" s="5"/>
      <c r="D5127" s="5"/>
    </row>
    <row r="5128">
      <c r="C5128" s="5"/>
      <c r="D5128" s="5"/>
    </row>
    <row r="5129">
      <c r="C5129" s="5"/>
      <c r="D5129" s="5"/>
    </row>
    <row r="5130">
      <c r="C5130" s="5"/>
      <c r="D5130" s="5"/>
    </row>
    <row r="5131">
      <c r="C5131" s="5"/>
      <c r="D5131" s="5"/>
    </row>
    <row r="5132">
      <c r="C5132" s="5"/>
      <c r="D5132" s="5"/>
    </row>
    <row r="5133">
      <c r="C5133" s="5"/>
      <c r="D5133" s="5"/>
    </row>
    <row r="5134">
      <c r="C5134" s="5"/>
      <c r="D5134" s="5"/>
    </row>
    <row r="5135">
      <c r="C5135" s="5"/>
      <c r="D5135" s="5"/>
    </row>
    <row r="5136">
      <c r="C5136" s="5"/>
      <c r="D5136" s="5"/>
    </row>
    <row r="5137">
      <c r="C5137" s="5"/>
      <c r="D5137" s="5"/>
    </row>
    <row r="5138">
      <c r="C5138" s="5"/>
      <c r="D5138" s="5"/>
    </row>
    <row r="5139">
      <c r="C5139" s="5"/>
      <c r="D5139" s="5"/>
    </row>
    <row r="5140">
      <c r="C5140" s="5"/>
      <c r="D5140" s="5"/>
    </row>
    <row r="5141">
      <c r="C5141" s="5"/>
      <c r="D5141" s="5"/>
    </row>
    <row r="5142">
      <c r="C5142" s="5"/>
      <c r="D5142" s="5"/>
    </row>
    <row r="5143">
      <c r="C5143" s="5"/>
      <c r="D5143" s="5"/>
    </row>
    <row r="5144">
      <c r="C5144" s="5"/>
      <c r="D5144" s="5"/>
    </row>
    <row r="5145">
      <c r="C5145" s="5"/>
      <c r="D5145" s="5"/>
    </row>
    <row r="5146">
      <c r="C5146" s="5"/>
      <c r="D5146" s="5"/>
    </row>
    <row r="5147">
      <c r="C5147" s="5"/>
      <c r="D5147" s="5"/>
    </row>
    <row r="5148">
      <c r="C5148" s="5"/>
      <c r="D5148" s="5"/>
    </row>
    <row r="5149">
      <c r="C5149" s="5"/>
      <c r="D5149" s="5"/>
    </row>
    <row r="5150">
      <c r="C5150" s="5"/>
      <c r="D5150" s="5"/>
    </row>
    <row r="5151">
      <c r="C5151" s="5"/>
      <c r="D5151" s="5"/>
    </row>
    <row r="5152">
      <c r="C5152" s="5"/>
      <c r="D5152" s="5"/>
    </row>
    <row r="5153">
      <c r="C5153" s="5"/>
      <c r="D5153" s="5"/>
    </row>
    <row r="5154">
      <c r="C5154" s="5"/>
      <c r="D5154" s="5"/>
    </row>
    <row r="5155">
      <c r="C5155" s="5"/>
      <c r="D5155" s="5"/>
    </row>
    <row r="5156">
      <c r="C5156" s="5"/>
      <c r="D5156" s="5"/>
    </row>
    <row r="5157">
      <c r="C5157" s="5"/>
      <c r="D5157" s="5"/>
    </row>
    <row r="5158">
      <c r="C5158" s="5"/>
      <c r="D5158" s="5"/>
    </row>
    <row r="5159">
      <c r="C5159" s="5"/>
      <c r="D5159" s="5"/>
    </row>
    <row r="5160">
      <c r="C5160" s="5"/>
      <c r="D5160" s="5"/>
    </row>
    <row r="5161">
      <c r="C5161" s="5"/>
      <c r="D5161" s="5"/>
    </row>
    <row r="5162">
      <c r="C5162" s="5"/>
      <c r="D5162" s="5"/>
    </row>
    <row r="5163">
      <c r="C5163" s="5"/>
      <c r="D5163" s="5"/>
    </row>
    <row r="5164">
      <c r="C5164" s="5"/>
      <c r="D5164" s="5"/>
    </row>
    <row r="5165">
      <c r="C5165" s="5"/>
      <c r="D5165" s="5"/>
    </row>
    <row r="5166">
      <c r="C5166" s="5"/>
      <c r="D5166" s="5"/>
    </row>
    <row r="5167">
      <c r="C5167" s="5"/>
      <c r="D5167" s="5"/>
    </row>
    <row r="5168">
      <c r="C5168" s="5"/>
      <c r="D5168" s="5"/>
    </row>
    <row r="5169">
      <c r="C5169" s="5"/>
      <c r="D5169" s="5"/>
    </row>
    <row r="5170">
      <c r="C5170" s="5"/>
      <c r="D5170" s="5"/>
    </row>
    <row r="5171">
      <c r="C5171" s="5"/>
      <c r="D5171" s="5"/>
    </row>
    <row r="5172">
      <c r="C5172" s="5"/>
      <c r="D5172" s="5"/>
    </row>
    <row r="5173">
      <c r="C5173" s="5"/>
      <c r="D5173" s="5"/>
    </row>
    <row r="5174">
      <c r="C5174" s="5"/>
      <c r="D5174" s="5"/>
    </row>
    <row r="5175">
      <c r="C5175" s="5"/>
      <c r="D5175" s="5"/>
    </row>
    <row r="5176">
      <c r="C5176" s="5"/>
      <c r="D5176" s="5"/>
    </row>
    <row r="5177">
      <c r="C5177" s="5"/>
      <c r="D5177" s="5"/>
    </row>
    <row r="5178">
      <c r="C5178" s="5"/>
      <c r="D5178" s="5"/>
    </row>
    <row r="5179">
      <c r="C5179" s="5"/>
      <c r="D5179" s="5"/>
    </row>
    <row r="5180">
      <c r="C5180" s="5"/>
      <c r="D5180" s="5"/>
    </row>
    <row r="5181">
      <c r="C5181" s="5"/>
      <c r="D5181" s="5"/>
    </row>
    <row r="5182">
      <c r="C5182" s="5"/>
      <c r="D5182" s="5"/>
    </row>
    <row r="5183">
      <c r="C5183" s="5"/>
      <c r="D5183" s="5"/>
    </row>
    <row r="5184">
      <c r="C5184" s="5"/>
      <c r="D5184" s="5"/>
    </row>
    <row r="5185">
      <c r="C5185" s="5"/>
      <c r="D5185" s="5"/>
    </row>
    <row r="5186">
      <c r="C5186" s="5"/>
      <c r="D5186" s="5"/>
    </row>
    <row r="5187">
      <c r="C5187" s="5"/>
      <c r="D5187" s="5"/>
    </row>
    <row r="5188">
      <c r="C5188" s="5"/>
      <c r="D5188" s="5"/>
    </row>
    <row r="5189">
      <c r="C5189" s="5"/>
      <c r="D5189" s="5"/>
    </row>
    <row r="5190">
      <c r="C5190" s="5"/>
      <c r="D5190" s="5"/>
    </row>
    <row r="5191">
      <c r="C5191" s="5"/>
      <c r="D5191" s="5"/>
    </row>
    <row r="5192">
      <c r="C5192" s="5"/>
      <c r="D5192" s="5"/>
    </row>
    <row r="5193">
      <c r="C5193" s="5"/>
      <c r="D5193" s="5"/>
    </row>
    <row r="5194">
      <c r="C5194" s="5"/>
      <c r="D5194" s="5"/>
    </row>
    <row r="5195">
      <c r="C5195" s="5"/>
      <c r="D5195" s="5"/>
    </row>
    <row r="5196">
      <c r="C5196" s="5"/>
      <c r="D5196" s="5"/>
    </row>
    <row r="5197">
      <c r="C5197" s="5"/>
      <c r="D5197" s="5"/>
    </row>
    <row r="5198">
      <c r="C5198" s="5"/>
      <c r="D5198" s="5"/>
    </row>
    <row r="5199">
      <c r="C5199" s="5"/>
      <c r="D5199" s="5"/>
    </row>
    <row r="5200">
      <c r="C5200" s="5"/>
      <c r="D5200" s="5"/>
    </row>
    <row r="5201">
      <c r="C5201" s="5"/>
      <c r="D5201" s="5"/>
    </row>
    <row r="5202">
      <c r="C5202" s="5"/>
      <c r="D5202" s="5"/>
    </row>
    <row r="5203">
      <c r="C5203" s="5"/>
      <c r="D5203" s="5"/>
    </row>
    <row r="5204">
      <c r="C5204" s="5"/>
      <c r="D5204" s="5"/>
    </row>
    <row r="5205">
      <c r="C5205" s="5"/>
      <c r="D5205" s="5"/>
    </row>
    <row r="5206">
      <c r="C5206" s="5"/>
      <c r="D5206" s="5"/>
    </row>
    <row r="5207">
      <c r="C5207" s="5"/>
      <c r="D5207" s="5"/>
    </row>
    <row r="5208">
      <c r="C5208" s="5"/>
      <c r="D5208" s="5"/>
    </row>
    <row r="5209">
      <c r="C5209" s="5"/>
      <c r="D5209" s="5"/>
    </row>
    <row r="5210">
      <c r="C5210" s="5"/>
      <c r="D5210" s="5"/>
    </row>
    <row r="5211">
      <c r="C5211" s="5"/>
      <c r="D5211" s="5"/>
    </row>
    <row r="5212">
      <c r="C5212" s="5"/>
      <c r="D5212" s="5"/>
    </row>
    <row r="5213">
      <c r="C5213" s="5"/>
      <c r="D5213" s="5"/>
    </row>
    <row r="5214">
      <c r="C5214" s="5"/>
      <c r="D5214" s="5"/>
    </row>
    <row r="5215">
      <c r="C5215" s="5"/>
      <c r="D5215" s="5"/>
    </row>
    <row r="5216">
      <c r="C5216" s="5"/>
      <c r="D5216" s="5"/>
    </row>
    <row r="5217">
      <c r="C5217" s="5"/>
      <c r="D5217" s="5"/>
    </row>
    <row r="5218">
      <c r="C5218" s="5"/>
      <c r="D5218" s="5"/>
    </row>
    <row r="5219">
      <c r="C5219" s="5"/>
      <c r="D5219" s="5"/>
    </row>
    <row r="5220">
      <c r="C5220" s="5"/>
      <c r="D5220" s="5"/>
    </row>
    <row r="5221">
      <c r="C5221" s="5"/>
      <c r="D5221" s="5"/>
    </row>
    <row r="5222">
      <c r="C5222" s="5"/>
      <c r="D5222" s="5"/>
    </row>
    <row r="5223">
      <c r="C5223" s="5"/>
      <c r="D5223" s="5"/>
    </row>
    <row r="5224">
      <c r="C5224" s="5"/>
      <c r="D5224" s="5"/>
    </row>
    <row r="5225">
      <c r="C5225" s="5"/>
      <c r="D5225" s="5"/>
    </row>
    <row r="5226">
      <c r="C5226" s="5"/>
      <c r="D5226" s="5"/>
    </row>
    <row r="5227">
      <c r="C5227" s="5"/>
      <c r="D5227" s="5"/>
    </row>
    <row r="5228">
      <c r="C5228" s="5"/>
      <c r="D5228" s="5"/>
    </row>
    <row r="5229">
      <c r="C5229" s="5"/>
      <c r="D5229" s="5"/>
    </row>
    <row r="5230">
      <c r="C5230" s="5"/>
      <c r="D5230" s="5"/>
    </row>
    <row r="5231">
      <c r="C5231" s="5"/>
      <c r="D5231" s="5"/>
    </row>
    <row r="5232">
      <c r="C5232" s="5"/>
      <c r="D5232" s="5"/>
    </row>
    <row r="5233">
      <c r="C5233" s="5"/>
      <c r="D5233" s="5"/>
    </row>
    <row r="5234">
      <c r="C5234" s="5"/>
      <c r="D5234" s="5"/>
    </row>
    <row r="5235">
      <c r="C5235" s="5"/>
      <c r="D5235" s="5"/>
    </row>
    <row r="5236">
      <c r="C5236" s="5"/>
      <c r="D5236" s="5"/>
    </row>
    <row r="5237">
      <c r="C5237" s="5"/>
      <c r="D5237" s="5"/>
    </row>
    <row r="5238">
      <c r="C5238" s="5"/>
      <c r="D5238" s="5"/>
    </row>
    <row r="5239">
      <c r="C5239" s="5"/>
      <c r="D5239" s="5"/>
    </row>
    <row r="5240">
      <c r="C5240" s="5"/>
      <c r="D5240" s="5"/>
    </row>
    <row r="5241">
      <c r="C5241" s="5"/>
      <c r="D5241" s="5"/>
    </row>
    <row r="5242">
      <c r="C5242" s="5"/>
      <c r="D5242" s="5"/>
    </row>
    <row r="5243">
      <c r="C5243" s="5"/>
      <c r="D5243" s="5"/>
    </row>
    <row r="5244">
      <c r="C5244" s="5"/>
      <c r="D5244" s="5"/>
    </row>
    <row r="5245">
      <c r="C5245" s="5"/>
      <c r="D5245" s="5"/>
    </row>
    <row r="5246">
      <c r="C5246" s="5"/>
      <c r="D5246" s="5"/>
    </row>
    <row r="5247">
      <c r="C5247" s="5"/>
      <c r="D5247" s="5"/>
    </row>
    <row r="5248">
      <c r="C5248" s="5"/>
      <c r="D5248" s="5"/>
    </row>
    <row r="5249">
      <c r="C5249" s="5"/>
      <c r="D5249" s="5"/>
    </row>
    <row r="5250">
      <c r="C5250" s="5"/>
      <c r="D5250" s="5"/>
    </row>
    <row r="5251">
      <c r="C5251" s="5"/>
      <c r="D5251" s="5"/>
    </row>
    <row r="5252">
      <c r="C5252" s="5"/>
      <c r="D5252" s="5"/>
    </row>
    <row r="5253">
      <c r="C5253" s="5"/>
      <c r="D5253" s="5"/>
    </row>
    <row r="5254">
      <c r="C5254" s="5"/>
      <c r="D5254" s="5"/>
    </row>
    <row r="5255">
      <c r="C5255" s="5"/>
      <c r="D5255" s="5"/>
    </row>
    <row r="5256">
      <c r="C5256" s="5"/>
      <c r="D5256" s="5"/>
    </row>
    <row r="5257">
      <c r="C5257" s="5"/>
      <c r="D5257" s="5"/>
    </row>
    <row r="5258">
      <c r="C5258" s="5"/>
      <c r="D5258" s="5"/>
    </row>
    <row r="5259">
      <c r="C5259" s="5"/>
      <c r="D5259" s="5"/>
    </row>
    <row r="5260">
      <c r="C5260" s="5"/>
      <c r="D5260" s="5"/>
    </row>
    <row r="5261">
      <c r="C5261" s="5"/>
      <c r="D5261" s="5"/>
    </row>
    <row r="5262">
      <c r="C5262" s="5"/>
      <c r="D5262" s="5"/>
    </row>
    <row r="5263">
      <c r="C5263" s="5"/>
      <c r="D5263" s="5"/>
    </row>
    <row r="5264">
      <c r="C5264" s="5"/>
      <c r="D5264" s="5"/>
    </row>
    <row r="5265">
      <c r="C5265" s="5"/>
      <c r="D5265" s="5"/>
    </row>
    <row r="5266">
      <c r="C5266" s="5"/>
      <c r="D5266" s="5"/>
    </row>
    <row r="5267">
      <c r="C5267" s="5"/>
      <c r="D5267" s="5"/>
    </row>
    <row r="5268">
      <c r="C5268" s="5"/>
      <c r="D5268" s="5"/>
    </row>
    <row r="5269">
      <c r="C5269" s="5"/>
      <c r="D5269" s="5"/>
    </row>
    <row r="5270">
      <c r="C5270" s="5"/>
      <c r="D5270" s="5"/>
    </row>
    <row r="5271">
      <c r="C5271" s="5"/>
      <c r="D5271" s="5"/>
    </row>
    <row r="5272">
      <c r="C5272" s="5"/>
      <c r="D5272" s="5"/>
    </row>
    <row r="5273">
      <c r="C5273" s="5"/>
      <c r="D5273" s="5"/>
    </row>
    <row r="5274">
      <c r="C5274" s="5"/>
      <c r="D5274" s="5"/>
    </row>
    <row r="5275">
      <c r="C5275" s="5"/>
      <c r="D5275" s="5"/>
    </row>
    <row r="5276">
      <c r="C5276" s="5"/>
      <c r="D5276" s="5"/>
    </row>
    <row r="5277">
      <c r="C5277" s="5"/>
      <c r="D5277" s="5"/>
    </row>
    <row r="5278">
      <c r="C5278" s="5"/>
      <c r="D5278" s="5"/>
    </row>
    <row r="5279">
      <c r="C5279" s="5"/>
      <c r="D5279" s="5"/>
    </row>
    <row r="5280">
      <c r="C5280" s="5"/>
      <c r="D5280" s="5"/>
    </row>
    <row r="5281">
      <c r="C5281" s="5"/>
      <c r="D5281" s="5"/>
    </row>
    <row r="5282">
      <c r="C5282" s="5"/>
      <c r="D5282" s="5"/>
    </row>
    <row r="5283">
      <c r="C5283" s="5"/>
      <c r="D5283" s="5"/>
    </row>
    <row r="5284">
      <c r="C5284" s="5"/>
      <c r="D5284" s="5"/>
    </row>
    <row r="5285">
      <c r="C5285" s="5"/>
      <c r="D5285" s="5"/>
    </row>
    <row r="5286">
      <c r="C5286" s="5"/>
      <c r="D5286" s="5"/>
    </row>
    <row r="5287">
      <c r="C5287" s="5"/>
      <c r="D5287" s="5"/>
    </row>
    <row r="5288">
      <c r="C5288" s="5"/>
      <c r="D5288" s="5"/>
    </row>
    <row r="5289">
      <c r="C5289" s="5"/>
      <c r="D5289" s="5"/>
    </row>
    <row r="5290">
      <c r="C5290" s="5"/>
      <c r="D5290" s="5"/>
    </row>
    <row r="5291">
      <c r="C5291" s="5"/>
      <c r="D5291" s="5"/>
    </row>
    <row r="5292">
      <c r="C5292" s="5"/>
      <c r="D5292" s="5"/>
    </row>
    <row r="5293">
      <c r="C5293" s="5"/>
      <c r="D5293" s="5"/>
    </row>
    <row r="5294">
      <c r="C5294" s="5"/>
      <c r="D5294" s="5"/>
    </row>
    <row r="5295">
      <c r="C5295" s="5"/>
      <c r="D5295" s="5"/>
    </row>
    <row r="5296">
      <c r="C5296" s="5"/>
      <c r="D5296" s="5"/>
    </row>
    <row r="5297">
      <c r="C5297" s="5"/>
      <c r="D5297" s="5"/>
    </row>
    <row r="5298">
      <c r="C5298" s="5"/>
      <c r="D5298" s="5"/>
    </row>
    <row r="5299">
      <c r="C5299" s="5"/>
      <c r="D5299" s="5"/>
    </row>
    <row r="5300">
      <c r="C5300" s="5"/>
      <c r="D5300" s="5"/>
    </row>
    <row r="5301">
      <c r="C5301" s="5"/>
      <c r="D5301" s="5"/>
    </row>
    <row r="5302">
      <c r="C5302" s="5"/>
      <c r="D5302" s="5"/>
    </row>
    <row r="5303">
      <c r="C5303" s="5"/>
      <c r="D5303" s="5"/>
    </row>
    <row r="5304">
      <c r="C5304" s="5"/>
      <c r="D5304" s="5"/>
    </row>
    <row r="5305">
      <c r="C5305" s="5"/>
      <c r="D5305" s="5"/>
    </row>
    <row r="5306">
      <c r="C5306" s="5"/>
      <c r="D5306" s="5"/>
    </row>
    <row r="5307">
      <c r="C5307" s="5"/>
      <c r="D5307" s="5"/>
    </row>
    <row r="5308">
      <c r="C5308" s="5"/>
      <c r="D5308" s="5"/>
    </row>
    <row r="5309">
      <c r="C5309" s="5"/>
      <c r="D5309" s="5"/>
    </row>
    <row r="5310">
      <c r="C5310" s="5"/>
      <c r="D5310" s="5"/>
    </row>
    <row r="5311">
      <c r="C5311" s="5"/>
      <c r="D5311" s="5"/>
    </row>
    <row r="5312">
      <c r="C5312" s="5"/>
      <c r="D5312" s="5"/>
    </row>
    <row r="5313">
      <c r="C5313" s="5"/>
      <c r="D5313" s="5"/>
    </row>
    <row r="5314">
      <c r="C5314" s="5"/>
      <c r="D5314" s="5"/>
    </row>
    <row r="5315">
      <c r="C5315" s="5"/>
      <c r="D5315" s="5"/>
    </row>
    <row r="5316">
      <c r="C5316" s="5"/>
      <c r="D5316" s="5"/>
    </row>
    <row r="5317">
      <c r="C5317" s="5"/>
      <c r="D5317" s="5"/>
    </row>
    <row r="5318">
      <c r="C5318" s="5"/>
      <c r="D5318" s="5"/>
    </row>
    <row r="5319">
      <c r="C5319" s="5"/>
      <c r="D5319" s="5"/>
    </row>
    <row r="5320">
      <c r="C5320" s="5"/>
      <c r="D5320" s="5"/>
    </row>
    <row r="5321">
      <c r="C5321" s="5"/>
      <c r="D5321" s="5"/>
    </row>
    <row r="5322">
      <c r="C5322" s="5"/>
      <c r="D5322" s="5"/>
    </row>
    <row r="5323">
      <c r="C5323" s="5"/>
      <c r="D5323" s="5"/>
    </row>
    <row r="5324">
      <c r="C5324" s="5"/>
      <c r="D5324" s="5"/>
    </row>
    <row r="5325">
      <c r="C5325" s="5"/>
      <c r="D5325" s="5"/>
    </row>
    <row r="5326">
      <c r="C5326" s="5"/>
      <c r="D5326" s="5"/>
    </row>
    <row r="5327">
      <c r="C5327" s="5"/>
      <c r="D5327" s="5"/>
    </row>
    <row r="5328">
      <c r="C5328" s="5"/>
      <c r="D5328" s="5"/>
    </row>
    <row r="5329">
      <c r="C5329" s="5"/>
      <c r="D5329" s="5"/>
    </row>
    <row r="5330">
      <c r="C5330" s="5"/>
      <c r="D5330" s="5"/>
    </row>
    <row r="5331">
      <c r="C5331" s="5"/>
      <c r="D5331" s="5"/>
    </row>
    <row r="5332">
      <c r="C5332" s="5"/>
      <c r="D5332" s="5"/>
    </row>
    <row r="5333">
      <c r="C5333" s="5"/>
      <c r="D5333" s="5"/>
    </row>
    <row r="5334">
      <c r="C5334" s="5"/>
      <c r="D5334" s="5"/>
    </row>
    <row r="5335">
      <c r="C5335" s="5"/>
      <c r="D5335" s="5"/>
    </row>
    <row r="5336">
      <c r="C5336" s="5"/>
      <c r="D5336" s="5"/>
    </row>
    <row r="5337">
      <c r="C5337" s="5"/>
      <c r="D5337" s="5"/>
    </row>
    <row r="5338">
      <c r="C5338" s="5"/>
      <c r="D5338" s="5"/>
    </row>
    <row r="5339">
      <c r="C5339" s="5"/>
      <c r="D5339" s="5"/>
    </row>
    <row r="5340">
      <c r="C5340" s="5"/>
      <c r="D5340" s="5"/>
    </row>
    <row r="5341">
      <c r="C5341" s="5"/>
      <c r="D5341" s="5"/>
    </row>
    <row r="5342">
      <c r="C5342" s="5"/>
      <c r="D5342" s="5"/>
    </row>
    <row r="5343">
      <c r="C5343" s="5"/>
      <c r="D5343" s="5"/>
    </row>
    <row r="5344">
      <c r="C5344" s="5"/>
      <c r="D5344" s="5"/>
    </row>
    <row r="5345">
      <c r="C5345" s="5"/>
      <c r="D5345" s="5"/>
    </row>
    <row r="5346">
      <c r="C5346" s="5"/>
      <c r="D5346" s="5"/>
    </row>
    <row r="5347">
      <c r="C5347" s="5"/>
      <c r="D5347" s="5"/>
    </row>
    <row r="5348">
      <c r="C5348" s="5"/>
      <c r="D5348" s="5"/>
    </row>
    <row r="5349">
      <c r="C5349" s="5"/>
      <c r="D5349" s="5"/>
    </row>
    <row r="5350">
      <c r="C5350" s="5"/>
      <c r="D5350" s="5"/>
    </row>
    <row r="5351">
      <c r="C5351" s="5"/>
      <c r="D5351" s="5"/>
    </row>
    <row r="5352">
      <c r="C5352" s="5"/>
      <c r="D5352" s="5"/>
    </row>
    <row r="5353">
      <c r="C5353" s="5"/>
      <c r="D5353" s="5"/>
    </row>
    <row r="5354">
      <c r="C5354" s="5"/>
      <c r="D5354" s="5"/>
    </row>
    <row r="5355">
      <c r="C5355" s="5"/>
      <c r="D5355" s="5"/>
    </row>
    <row r="5356">
      <c r="C5356" s="5"/>
      <c r="D5356" s="5"/>
    </row>
    <row r="5357">
      <c r="C5357" s="5"/>
      <c r="D5357" s="5"/>
    </row>
    <row r="5358">
      <c r="C5358" s="5"/>
      <c r="D5358" s="5"/>
    </row>
    <row r="5359">
      <c r="C5359" s="5"/>
      <c r="D5359" s="5"/>
    </row>
    <row r="5360">
      <c r="C5360" s="5"/>
      <c r="D5360" s="5"/>
    </row>
    <row r="5361">
      <c r="C5361" s="5"/>
      <c r="D5361" s="5"/>
    </row>
    <row r="5362">
      <c r="C5362" s="5"/>
      <c r="D5362" s="5"/>
    </row>
    <row r="5363">
      <c r="C5363" s="5"/>
      <c r="D5363" s="5"/>
    </row>
    <row r="5364">
      <c r="C5364" s="5"/>
      <c r="D5364" s="5"/>
    </row>
    <row r="5365">
      <c r="C5365" s="5"/>
      <c r="D5365" s="5"/>
    </row>
    <row r="5366">
      <c r="C5366" s="5"/>
      <c r="D5366" s="5"/>
    </row>
    <row r="5367">
      <c r="C5367" s="5"/>
      <c r="D5367" s="5"/>
    </row>
    <row r="5368">
      <c r="C5368" s="5"/>
      <c r="D5368" s="5"/>
    </row>
    <row r="5369">
      <c r="C5369" s="5"/>
      <c r="D5369" s="5"/>
    </row>
    <row r="5370">
      <c r="C5370" s="5"/>
      <c r="D5370" s="5"/>
    </row>
    <row r="5371">
      <c r="C5371" s="5"/>
      <c r="D5371" s="5"/>
    </row>
    <row r="5372">
      <c r="C5372" s="5"/>
      <c r="D5372" s="5"/>
    </row>
    <row r="5373">
      <c r="C5373" s="5"/>
      <c r="D5373" s="5"/>
    </row>
    <row r="5374">
      <c r="C5374" s="5"/>
      <c r="D5374" s="5"/>
    </row>
    <row r="5375">
      <c r="C5375" s="5"/>
      <c r="D5375" s="5"/>
    </row>
    <row r="5376">
      <c r="C5376" s="5"/>
      <c r="D5376" s="5"/>
    </row>
    <row r="5377">
      <c r="C5377" s="5"/>
      <c r="D5377" s="5"/>
    </row>
    <row r="5378">
      <c r="C5378" s="5"/>
      <c r="D5378" s="5"/>
    </row>
    <row r="5379">
      <c r="C5379" s="5"/>
      <c r="D5379" s="5"/>
    </row>
    <row r="5380">
      <c r="C5380" s="5"/>
      <c r="D5380" s="5"/>
    </row>
    <row r="5381">
      <c r="C5381" s="5"/>
      <c r="D5381" s="5"/>
    </row>
    <row r="5382">
      <c r="C5382" s="5"/>
      <c r="D5382" s="5"/>
    </row>
    <row r="5383">
      <c r="C5383" s="5"/>
      <c r="D5383" s="5"/>
    </row>
    <row r="5384">
      <c r="C5384" s="5"/>
      <c r="D5384" s="5"/>
    </row>
    <row r="5385">
      <c r="C5385" s="5"/>
      <c r="D5385" s="5"/>
    </row>
    <row r="5386">
      <c r="C5386" s="5"/>
      <c r="D5386" s="5"/>
    </row>
    <row r="5387">
      <c r="C5387" s="5"/>
      <c r="D5387" s="5"/>
    </row>
    <row r="5388">
      <c r="C5388" s="5"/>
      <c r="D5388" s="5"/>
    </row>
    <row r="5389">
      <c r="C5389" s="5"/>
      <c r="D5389" s="5"/>
    </row>
    <row r="5390">
      <c r="C5390" s="5"/>
      <c r="D5390" s="5"/>
    </row>
    <row r="5391">
      <c r="C5391" s="5"/>
      <c r="D5391" s="5"/>
    </row>
    <row r="5392">
      <c r="C5392" s="5"/>
      <c r="D5392" s="5"/>
    </row>
    <row r="5393">
      <c r="C5393" s="5"/>
      <c r="D5393" s="5"/>
    </row>
    <row r="5394">
      <c r="C5394" s="5"/>
      <c r="D5394" s="5"/>
    </row>
    <row r="5395">
      <c r="C5395" s="5"/>
      <c r="D5395" s="5"/>
    </row>
    <row r="5396">
      <c r="C5396" s="5"/>
      <c r="D5396" s="5"/>
    </row>
    <row r="5397">
      <c r="C5397" s="5"/>
      <c r="D5397" s="5"/>
    </row>
    <row r="5398">
      <c r="C5398" s="5"/>
      <c r="D5398" s="5"/>
    </row>
    <row r="5399">
      <c r="C5399" s="5"/>
      <c r="D5399" s="5"/>
    </row>
    <row r="5400">
      <c r="C5400" s="5"/>
      <c r="D5400" s="5"/>
    </row>
    <row r="5401">
      <c r="C5401" s="5"/>
      <c r="D5401" s="5"/>
    </row>
    <row r="5402">
      <c r="C5402" s="5"/>
      <c r="D5402" s="5"/>
    </row>
    <row r="5403">
      <c r="C5403" s="5"/>
      <c r="D5403" s="5"/>
    </row>
    <row r="5404">
      <c r="C5404" s="5"/>
      <c r="D5404" s="5"/>
    </row>
    <row r="5405">
      <c r="C5405" s="5"/>
      <c r="D5405" s="5"/>
    </row>
    <row r="5406">
      <c r="C5406" s="5"/>
      <c r="D5406" s="5"/>
    </row>
    <row r="5407">
      <c r="C5407" s="5"/>
      <c r="D5407" s="5"/>
    </row>
    <row r="5408">
      <c r="C5408" s="5"/>
      <c r="D5408" s="5"/>
    </row>
    <row r="5409">
      <c r="C5409" s="5"/>
      <c r="D5409" s="5"/>
    </row>
    <row r="5410">
      <c r="C5410" s="5"/>
      <c r="D5410" s="5"/>
    </row>
    <row r="5411">
      <c r="C5411" s="5"/>
      <c r="D5411" s="5"/>
    </row>
    <row r="5412">
      <c r="C5412" s="5"/>
      <c r="D5412" s="5"/>
    </row>
    <row r="5413">
      <c r="C5413" s="5"/>
      <c r="D5413" s="5"/>
    </row>
    <row r="5414">
      <c r="C5414" s="5"/>
      <c r="D5414" s="5"/>
    </row>
    <row r="5415">
      <c r="C5415" s="5"/>
      <c r="D5415" s="5"/>
    </row>
    <row r="5416">
      <c r="C5416" s="5"/>
      <c r="D5416" s="5"/>
    </row>
    <row r="5417">
      <c r="C5417" s="5"/>
      <c r="D5417" s="5"/>
    </row>
    <row r="5418">
      <c r="C5418" s="5"/>
      <c r="D5418" s="5"/>
    </row>
    <row r="5419">
      <c r="C5419" s="5"/>
      <c r="D5419" s="5"/>
    </row>
    <row r="5420">
      <c r="C5420" s="5"/>
      <c r="D5420" s="5"/>
    </row>
    <row r="5421">
      <c r="C5421" s="5"/>
      <c r="D5421" s="5"/>
    </row>
    <row r="5422">
      <c r="C5422" s="5"/>
      <c r="D5422" s="5"/>
    </row>
    <row r="5423">
      <c r="C5423" s="5"/>
      <c r="D5423" s="5"/>
    </row>
    <row r="5424">
      <c r="C5424" s="5"/>
      <c r="D5424" s="5"/>
    </row>
    <row r="5425">
      <c r="C5425" s="5"/>
      <c r="D5425" s="5"/>
    </row>
    <row r="5426">
      <c r="C5426" s="5"/>
      <c r="D5426" s="5"/>
    </row>
    <row r="5427">
      <c r="C5427" s="5"/>
      <c r="D5427" s="5"/>
    </row>
    <row r="5428">
      <c r="C5428" s="5"/>
      <c r="D5428" s="5"/>
    </row>
    <row r="5429">
      <c r="C5429" s="5"/>
      <c r="D5429" s="5"/>
    </row>
    <row r="5430">
      <c r="C5430" s="5"/>
      <c r="D5430" s="5"/>
    </row>
    <row r="5431">
      <c r="C5431" s="5"/>
      <c r="D5431" s="5"/>
    </row>
    <row r="5432">
      <c r="C5432" s="5"/>
      <c r="D5432" s="5"/>
    </row>
    <row r="5433">
      <c r="C5433" s="5"/>
      <c r="D5433" s="5"/>
    </row>
    <row r="5434">
      <c r="C5434" s="5"/>
      <c r="D5434" s="5"/>
    </row>
    <row r="5435">
      <c r="C5435" s="5"/>
      <c r="D5435" s="5"/>
    </row>
    <row r="5436">
      <c r="C5436" s="5"/>
      <c r="D5436" s="5"/>
    </row>
    <row r="5437">
      <c r="C5437" s="5"/>
      <c r="D5437" s="5"/>
    </row>
    <row r="5438">
      <c r="C5438" s="5"/>
      <c r="D5438" s="5"/>
    </row>
    <row r="5439">
      <c r="C5439" s="5"/>
      <c r="D5439" s="5"/>
    </row>
    <row r="5440">
      <c r="C5440" s="5"/>
      <c r="D5440" s="5"/>
    </row>
    <row r="5441">
      <c r="C5441" s="5"/>
      <c r="D5441" s="5"/>
    </row>
    <row r="5442">
      <c r="C5442" s="5"/>
      <c r="D5442" s="5"/>
    </row>
    <row r="5443">
      <c r="C5443" s="5"/>
      <c r="D5443" s="5"/>
    </row>
    <row r="5444">
      <c r="C5444" s="5"/>
      <c r="D5444" s="5"/>
    </row>
    <row r="5445">
      <c r="C5445" s="5"/>
      <c r="D5445" s="5"/>
    </row>
    <row r="5446">
      <c r="C5446" s="5"/>
      <c r="D5446" s="5"/>
    </row>
    <row r="5447">
      <c r="C5447" s="5"/>
      <c r="D5447" s="5"/>
    </row>
    <row r="5448">
      <c r="C5448" s="5"/>
      <c r="D5448" s="5"/>
    </row>
    <row r="5449">
      <c r="C5449" s="5"/>
      <c r="D5449" s="5"/>
    </row>
    <row r="5450">
      <c r="C5450" s="5"/>
      <c r="D5450" s="5"/>
    </row>
    <row r="5451">
      <c r="C5451" s="5"/>
      <c r="D5451" s="5"/>
    </row>
    <row r="5452">
      <c r="C5452" s="5"/>
      <c r="D5452" s="5"/>
    </row>
    <row r="5453">
      <c r="C5453" s="5"/>
      <c r="D5453" s="5"/>
    </row>
    <row r="5454">
      <c r="C5454" s="5"/>
      <c r="D5454" s="5"/>
    </row>
    <row r="5455">
      <c r="C5455" s="5"/>
      <c r="D5455" s="5"/>
    </row>
    <row r="5456">
      <c r="C5456" s="5"/>
      <c r="D5456" s="5"/>
    </row>
    <row r="5457">
      <c r="C5457" s="5"/>
      <c r="D5457" s="5"/>
    </row>
    <row r="5458">
      <c r="C5458" s="5"/>
      <c r="D5458" s="5"/>
    </row>
    <row r="5459">
      <c r="C5459" s="5"/>
      <c r="D5459" s="5"/>
    </row>
    <row r="5460">
      <c r="C5460" s="5"/>
      <c r="D5460" s="5"/>
    </row>
    <row r="5461">
      <c r="C5461" s="5"/>
      <c r="D5461" s="5"/>
    </row>
    <row r="5462">
      <c r="C5462" s="5"/>
      <c r="D5462" s="5"/>
    </row>
    <row r="5463">
      <c r="C5463" s="5"/>
      <c r="D5463" s="5"/>
    </row>
    <row r="5464">
      <c r="C5464" s="5"/>
      <c r="D5464" s="5"/>
    </row>
    <row r="5465">
      <c r="C5465" s="5"/>
      <c r="D5465" s="5"/>
    </row>
    <row r="5466">
      <c r="C5466" s="5"/>
      <c r="D5466" s="5"/>
    </row>
    <row r="5467">
      <c r="C5467" s="5"/>
      <c r="D5467" s="5"/>
    </row>
    <row r="5468">
      <c r="C5468" s="5"/>
      <c r="D5468" s="5"/>
    </row>
    <row r="5469">
      <c r="C5469" s="5"/>
      <c r="D5469" s="5"/>
    </row>
    <row r="5470">
      <c r="C5470" s="5"/>
      <c r="D5470" s="5"/>
    </row>
    <row r="5471">
      <c r="C5471" s="5"/>
      <c r="D5471" s="5"/>
    </row>
    <row r="5472">
      <c r="C5472" s="5"/>
      <c r="D5472" s="5"/>
    </row>
    <row r="5473">
      <c r="C5473" s="5"/>
      <c r="D5473" s="5"/>
    </row>
    <row r="5474">
      <c r="C5474" s="5"/>
      <c r="D5474" s="5"/>
    </row>
    <row r="5475">
      <c r="C5475" s="5"/>
      <c r="D5475" s="5"/>
    </row>
    <row r="5476">
      <c r="C5476" s="5"/>
      <c r="D5476" s="5"/>
    </row>
    <row r="5477">
      <c r="C5477" s="5"/>
      <c r="D5477" s="5"/>
    </row>
    <row r="5478">
      <c r="C5478" s="5"/>
      <c r="D5478" s="5"/>
    </row>
    <row r="5479">
      <c r="C5479" s="5"/>
      <c r="D5479" s="5"/>
    </row>
    <row r="5480">
      <c r="C5480" s="5"/>
      <c r="D5480" s="5"/>
    </row>
    <row r="5481">
      <c r="C5481" s="5"/>
      <c r="D5481" s="5"/>
    </row>
    <row r="5482">
      <c r="C5482" s="5"/>
      <c r="D5482" s="5"/>
    </row>
    <row r="5483">
      <c r="C5483" s="5"/>
      <c r="D5483" s="5"/>
    </row>
    <row r="5484">
      <c r="C5484" s="5"/>
      <c r="D5484" s="5"/>
    </row>
    <row r="5485">
      <c r="C5485" s="5"/>
      <c r="D5485" s="5"/>
    </row>
    <row r="5486">
      <c r="C5486" s="5"/>
      <c r="D5486" s="5"/>
    </row>
    <row r="5487">
      <c r="C5487" s="5"/>
      <c r="D5487" s="5"/>
    </row>
    <row r="5488">
      <c r="C5488" s="5"/>
      <c r="D5488" s="5"/>
    </row>
    <row r="5489">
      <c r="C5489" s="5"/>
      <c r="D5489" s="5"/>
    </row>
    <row r="5490">
      <c r="C5490" s="5"/>
      <c r="D5490" s="5"/>
    </row>
    <row r="5491">
      <c r="C5491" s="5"/>
      <c r="D5491" s="5"/>
    </row>
    <row r="5492">
      <c r="C5492" s="5"/>
      <c r="D5492" s="5"/>
    </row>
    <row r="5493">
      <c r="C5493" s="5"/>
      <c r="D5493" s="5"/>
    </row>
    <row r="5494">
      <c r="C5494" s="5"/>
      <c r="D5494" s="5"/>
    </row>
    <row r="5495">
      <c r="C5495" s="5"/>
      <c r="D5495" s="5"/>
    </row>
    <row r="5496">
      <c r="C5496" s="5"/>
      <c r="D5496" s="5"/>
    </row>
    <row r="5497">
      <c r="C5497" s="5"/>
      <c r="D5497" s="5"/>
    </row>
    <row r="5498">
      <c r="C5498" s="5"/>
      <c r="D5498" s="5"/>
    </row>
    <row r="5499">
      <c r="C5499" s="5"/>
      <c r="D5499" s="5"/>
    </row>
    <row r="5500">
      <c r="C5500" s="5"/>
      <c r="D5500" s="5"/>
    </row>
    <row r="5501">
      <c r="C5501" s="5"/>
      <c r="D5501" s="5"/>
    </row>
    <row r="5502">
      <c r="C5502" s="5"/>
      <c r="D5502" s="5"/>
    </row>
    <row r="5503">
      <c r="C5503" s="5"/>
      <c r="D5503" s="5"/>
    </row>
    <row r="5504">
      <c r="C5504" s="5"/>
      <c r="D5504" s="5"/>
    </row>
    <row r="5505">
      <c r="C5505" s="5"/>
      <c r="D5505" s="5"/>
    </row>
    <row r="5506">
      <c r="C5506" s="5"/>
      <c r="D5506" s="5"/>
    </row>
    <row r="5507">
      <c r="C5507" s="5"/>
      <c r="D5507" s="5"/>
    </row>
    <row r="5508">
      <c r="C5508" s="5"/>
      <c r="D5508" s="5"/>
    </row>
    <row r="5509">
      <c r="C5509" s="5"/>
      <c r="D5509" s="5"/>
    </row>
    <row r="5510">
      <c r="C5510" s="5"/>
      <c r="D5510" s="5"/>
    </row>
    <row r="5511">
      <c r="C5511" s="5"/>
      <c r="D5511" s="5"/>
    </row>
    <row r="5512">
      <c r="C5512" s="5"/>
      <c r="D5512" s="5"/>
    </row>
    <row r="5513">
      <c r="C5513" s="5"/>
      <c r="D5513" s="5"/>
    </row>
    <row r="5514">
      <c r="C5514" s="5"/>
      <c r="D5514" s="5"/>
    </row>
    <row r="5515">
      <c r="C5515" s="5"/>
      <c r="D5515" s="5"/>
    </row>
    <row r="5516">
      <c r="C5516" s="5"/>
      <c r="D5516" s="5"/>
    </row>
    <row r="5517">
      <c r="C5517" s="5"/>
      <c r="D5517" s="5"/>
    </row>
    <row r="5518">
      <c r="C5518" s="5"/>
      <c r="D5518" s="5"/>
    </row>
    <row r="5519">
      <c r="C5519" s="5"/>
      <c r="D5519" s="5"/>
    </row>
    <row r="5520">
      <c r="C5520" s="5"/>
      <c r="D5520" s="5"/>
    </row>
    <row r="5521">
      <c r="C5521" s="5"/>
      <c r="D5521" s="5"/>
    </row>
    <row r="5522">
      <c r="C5522" s="5"/>
      <c r="D5522" s="5"/>
    </row>
    <row r="5523">
      <c r="C5523" s="5"/>
      <c r="D5523" s="5"/>
    </row>
    <row r="5524">
      <c r="C5524" s="5"/>
      <c r="D5524" s="5"/>
    </row>
    <row r="5525">
      <c r="C5525" s="5"/>
      <c r="D5525" s="5"/>
    </row>
    <row r="5526">
      <c r="C5526" s="5"/>
      <c r="D5526" s="5"/>
    </row>
    <row r="5527">
      <c r="C5527" s="5"/>
      <c r="D5527" s="5"/>
    </row>
    <row r="5528">
      <c r="C5528" s="5"/>
      <c r="D5528" s="5"/>
    </row>
    <row r="5529">
      <c r="C5529" s="5"/>
      <c r="D5529" s="5"/>
    </row>
    <row r="5530">
      <c r="C5530" s="5"/>
      <c r="D5530" s="5"/>
    </row>
    <row r="5531">
      <c r="C5531" s="5"/>
      <c r="D5531" s="5"/>
    </row>
    <row r="5532">
      <c r="C5532" s="5"/>
      <c r="D5532" s="5"/>
    </row>
    <row r="5533">
      <c r="C5533" s="5"/>
      <c r="D5533" s="5"/>
    </row>
    <row r="5534">
      <c r="C5534" s="5"/>
      <c r="D5534" s="5"/>
    </row>
    <row r="5535">
      <c r="C5535" s="5"/>
      <c r="D5535" s="5"/>
    </row>
    <row r="5536">
      <c r="C5536" s="5"/>
      <c r="D5536" s="5"/>
    </row>
    <row r="5537">
      <c r="C5537" s="5"/>
      <c r="D5537" s="5"/>
    </row>
    <row r="5538">
      <c r="C5538" s="5"/>
      <c r="D5538" s="5"/>
    </row>
    <row r="5539">
      <c r="C5539" s="5"/>
      <c r="D5539" s="5"/>
    </row>
    <row r="5540">
      <c r="C5540" s="5"/>
      <c r="D5540" s="5"/>
    </row>
    <row r="5541">
      <c r="C5541" s="5"/>
      <c r="D5541" s="5"/>
    </row>
    <row r="5542">
      <c r="C5542" s="5"/>
      <c r="D5542" s="5"/>
    </row>
    <row r="5543">
      <c r="C5543" s="5"/>
      <c r="D5543" s="5"/>
    </row>
    <row r="5544">
      <c r="C5544" s="5"/>
      <c r="D5544" s="5"/>
    </row>
    <row r="5545">
      <c r="C5545" s="5"/>
      <c r="D5545" s="5"/>
    </row>
    <row r="5546">
      <c r="C5546" s="5"/>
      <c r="D5546" s="5"/>
    </row>
    <row r="5547">
      <c r="C5547" s="5"/>
      <c r="D5547" s="5"/>
    </row>
    <row r="5548">
      <c r="C5548" s="5"/>
      <c r="D5548" s="5"/>
    </row>
    <row r="5549">
      <c r="C5549" s="5"/>
      <c r="D5549" s="5"/>
    </row>
    <row r="5550">
      <c r="C5550" s="5"/>
      <c r="D5550" s="5"/>
    </row>
    <row r="5551">
      <c r="C5551" s="5"/>
      <c r="D5551" s="5"/>
    </row>
    <row r="5552">
      <c r="C5552" s="5"/>
      <c r="D5552" s="5"/>
    </row>
    <row r="5553">
      <c r="C5553" s="5"/>
      <c r="D5553" s="5"/>
    </row>
    <row r="5554">
      <c r="C5554" s="5"/>
      <c r="D5554" s="5"/>
    </row>
    <row r="5555">
      <c r="C5555" s="5"/>
      <c r="D5555" s="5"/>
    </row>
    <row r="5556">
      <c r="C5556" s="5"/>
      <c r="D5556" s="5"/>
    </row>
    <row r="5557">
      <c r="C5557" s="5"/>
      <c r="D5557" s="5"/>
    </row>
    <row r="5558">
      <c r="C5558" s="5"/>
      <c r="D5558" s="5"/>
    </row>
    <row r="5559">
      <c r="C5559" s="5"/>
      <c r="D5559" s="5"/>
    </row>
    <row r="5560">
      <c r="C5560" s="5"/>
      <c r="D5560" s="5"/>
    </row>
    <row r="5561">
      <c r="C5561" s="5"/>
      <c r="D5561" s="5"/>
    </row>
    <row r="5562">
      <c r="C5562" s="5"/>
      <c r="D5562" s="5"/>
    </row>
    <row r="5563">
      <c r="C5563" s="5"/>
      <c r="D5563" s="5"/>
    </row>
    <row r="5564">
      <c r="C5564" s="5"/>
      <c r="D5564" s="5"/>
    </row>
    <row r="5565">
      <c r="C5565" s="5"/>
      <c r="D5565" s="5"/>
    </row>
    <row r="5566">
      <c r="C5566" s="5"/>
      <c r="D5566" s="5"/>
    </row>
    <row r="5567">
      <c r="C5567" s="5"/>
      <c r="D5567" s="5"/>
    </row>
    <row r="5568">
      <c r="C5568" s="5"/>
      <c r="D5568" s="5"/>
    </row>
    <row r="5569">
      <c r="C5569" s="5"/>
      <c r="D5569" s="5"/>
    </row>
    <row r="5570">
      <c r="C5570" s="5"/>
      <c r="D5570" s="5"/>
    </row>
    <row r="5571">
      <c r="C5571" s="5"/>
      <c r="D5571" s="5"/>
    </row>
    <row r="5572">
      <c r="C5572" s="5"/>
      <c r="D5572" s="5"/>
    </row>
    <row r="5573">
      <c r="C5573" s="5"/>
      <c r="D5573" s="5"/>
    </row>
    <row r="5574">
      <c r="C5574" s="5"/>
      <c r="D5574" s="5"/>
    </row>
    <row r="5575">
      <c r="C5575" s="5"/>
      <c r="D5575" s="5"/>
    </row>
    <row r="5576">
      <c r="C5576" s="5"/>
      <c r="D5576" s="5"/>
    </row>
    <row r="5577">
      <c r="C5577" s="5"/>
      <c r="D5577" s="5"/>
    </row>
    <row r="5578">
      <c r="C5578" s="5"/>
      <c r="D5578" s="5"/>
    </row>
    <row r="5579">
      <c r="C5579" s="5"/>
      <c r="D5579" s="5"/>
    </row>
    <row r="5580">
      <c r="C5580" s="5"/>
      <c r="D5580" s="5"/>
    </row>
    <row r="5581">
      <c r="C5581" s="5"/>
      <c r="D5581" s="5"/>
    </row>
    <row r="5582">
      <c r="C5582" s="5"/>
      <c r="D5582" s="5"/>
    </row>
    <row r="5583">
      <c r="C5583" s="5"/>
      <c r="D5583" s="5"/>
    </row>
    <row r="5584">
      <c r="C5584" s="5"/>
      <c r="D5584" s="5"/>
    </row>
    <row r="5585">
      <c r="C5585" s="5"/>
      <c r="D5585" s="5"/>
    </row>
    <row r="5586">
      <c r="C5586" s="5"/>
      <c r="D5586" s="5"/>
    </row>
    <row r="5587">
      <c r="C5587" s="5"/>
      <c r="D5587" s="5"/>
    </row>
    <row r="5588">
      <c r="C5588" s="5"/>
      <c r="D5588" s="5"/>
    </row>
    <row r="5589">
      <c r="C5589" s="5"/>
      <c r="D5589" s="5"/>
    </row>
    <row r="5590">
      <c r="C5590" s="5"/>
      <c r="D5590" s="5"/>
    </row>
    <row r="5591">
      <c r="C5591" s="5"/>
      <c r="D5591" s="5"/>
    </row>
    <row r="5592">
      <c r="C5592" s="5"/>
      <c r="D5592" s="5"/>
    </row>
    <row r="5593">
      <c r="C5593" s="5"/>
      <c r="D5593" s="5"/>
    </row>
    <row r="5594">
      <c r="C5594" s="5"/>
      <c r="D5594" s="5"/>
    </row>
    <row r="5595">
      <c r="C5595" s="5"/>
      <c r="D5595" s="5"/>
    </row>
    <row r="5596">
      <c r="C5596" s="5"/>
      <c r="D5596" s="5"/>
    </row>
    <row r="5597">
      <c r="C5597" s="5"/>
      <c r="D5597" s="5"/>
    </row>
    <row r="5598">
      <c r="C5598" s="5"/>
      <c r="D5598" s="5"/>
    </row>
    <row r="5599">
      <c r="C5599" s="5"/>
      <c r="D5599" s="5"/>
    </row>
    <row r="5600">
      <c r="C5600" s="5"/>
      <c r="D5600" s="5"/>
    </row>
    <row r="5601">
      <c r="C5601" s="5"/>
      <c r="D5601" s="5"/>
    </row>
    <row r="5602">
      <c r="C5602" s="5"/>
      <c r="D5602" s="5"/>
    </row>
    <row r="5603">
      <c r="C5603" s="5"/>
      <c r="D5603" s="5"/>
    </row>
    <row r="5604">
      <c r="C5604" s="5"/>
      <c r="D5604" s="5"/>
    </row>
    <row r="5605">
      <c r="C5605" s="5"/>
      <c r="D5605" s="5"/>
    </row>
    <row r="5606">
      <c r="C5606" s="5"/>
      <c r="D5606" s="5"/>
    </row>
    <row r="5607">
      <c r="C5607" s="5"/>
      <c r="D5607" s="5"/>
    </row>
    <row r="5608">
      <c r="C5608" s="5"/>
      <c r="D5608" s="5"/>
    </row>
    <row r="5609">
      <c r="C5609" s="5"/>
      <c r="D5609" s="5"/>
    </row>
    <row r="5610">
      <c r="C5610" s="5"/>
      <c r="D5610" s="5"/>
    </row>
    <row r="5611">
      <c r="C5611" s="5"/>
      <c r="D5611" s="5"/>
    </row>
    <row r="5612">
      <c r="C5612" s="5"/>
      <c r="D5612" s="5"/>
    </row>
    <row r="5613">
      <c r="C5613" s="5"/>
      <c r="D5613" s="5"/>
    </row>
    <row r="5614">
      <c r="C5614" s="5"/>
      <c r="D5614" s="5"/>
    </row>
    <row r="5615">
      <c r="C5615" s="5"/>
      <c r="D5615" s="5"/>
    </row>
    <row r="5616">
      <c r="C5616" s="5"/>
      <c r="D5616" s="5"/>
    </row>
    <row r="5617">
      <c r="C5617" s="5"/>
      <c r="D5617" s="5"/>
    </row>
    <row r="5618">
      <c r="C5618" s="5"/>
      <c r="D5618" s="5"/>
    </row>
    <row r="5619">
      <c r="C5619" s="5"/>
      <c r="D5619" s="5"/>
    </row>
    <row r="5620">
      <c r="C5620" s="5"/>
      <c r="D5620" s="5"/>
    </row>
    <row r="5621">
      <c r="C5621" s="5"/>
      <c r="D5621" s="5"/>
    </row>
    <row r="5622">
      <c r="C5622" s="5"/>
      <c r="D5622" s="5"/>
    </row>
    <row r="5623">
      <c r="C5623" s="5"/>
      <c r="D5623" s="5"/>
    </row>
    <row r="5624">
      <c r="C5624" s="5"/>
      <c r="D5624" s="5"/>
    </row>
    <row r="5625">
      <c r="C5625" s="5"/>
      <c r="D5625" s="5"/>
    </row>
    <row r="5626">
      <c r="C5626" s="5"/>
      <c r="D5626" s="5"/>
    </row>
    <row r="5627">
      <c r="C5627" s="5"/>
      <c r="D5627" s="5"/>
    </row>
    <row r="5628">
      <c r="C5628" s="5"/>
      <c r="D5628" s="5"/>
    </row>
    <row r="5629">
      <c r="C5629" s="5"/>
      <c r="D5629" s="5"/>
    </row>
    <row r="5630">
      <c r="C5630" s="5"/>
      <c r="D5630" s="5"/>
    </row>
    <row r="5631">
      <c r="C5631" s="5"/>
      <c r="D5631" s="5"/>
    </row>
    <row r="5632">
      <c r="C5632" s="5"/>
      <c r="D5632" s="5"/>
    </row>
    <row r="5633">
      <c r="C5633" s="5"/>
      <c r="D5633" s="5"/>
    </row>
    <row r="5634">
      <c r="C5634" s="5"/>
      <c r="D5634" s="5"/>
    </row>
    <row r="5635">
      <c r="C5635" s="5"/>
      <c r="D5635" s="5"/>
    </row>
    <row r="5636">
      <c r="C5636" s="5"/>
      <c r="D5636" s="5"/>
    </row>
    <row r="5637">
      <c r="C5637" s="5"/>
      <c r="D5637" s="5"/>
    </row>
    <row r="5638">
      <c r="C5638" s="5"/>
      <c r="D5638" s="5"/>
    </row>
    <row r="5639">
      <c r="C5639" s="5"/>
      <c r="D5639" s="5"/>
    </row>
    <row r="5640">
      <c r="C5640" s="5"/>
      <c r="D5640" s="5"/>
    </row>
    <row r="5641">
      <c r="C5641" s="5"/>
      <c r="D5641" s="5"/>
    </row>
    <row r="5642">
      <c r="C5642" s="5"/>
      <c r="D5642" s="5"/>
    </row>
    <row r="5643">
      <c r="C5643" s="5"/>
      <c r="D5643" s="5"/>
    </row>
    <row r="5644">
      <c r="C5644" s="5"/>
      <c r="D5644" s="5"/>
    </row>
    <row r="5645">
      <c r="C5645" s="5"/>
      <c r="D5645" s="5"/>
    </row>
    <row r="5646">
      <c r="C5646" s="5"/>
      <c r="D5646" s="5"/>
    </row>
    <row r="5647">
      <c r="C5647" s="5"/>
      <c r="D5647" s="5"/>
    </row>
    <row r="5648">
      <c r="C5648" s="5"/>
      <c r="D5648" s="5"/>
    </row>
    <row r="5649">
      <c r="C5649" s="5"/>
      <c r="D5649" s="5"/>
    </row>
    <row r="5650">
      <c r="C5650" s="5"/>
      <c r="D5650" s="5"/>
    </row>
    <row r="5651">
      <c r="C5651" s="5"/>
      <c r="D5651" s="5"/>
    </row>
    <row r="5652">
      <c r="C5652" s="5"/>
      <c r="D5652" s="5"/>
    </row>
    <row r="5653">
      <c r="C5653" s="5"/>
      <c r="D5653" s="5"/>
    </row>
    <row r="5654">
      <c r="C5654" s="5"/>
      <c r="D5654" s="5"/>
    </row>
    <row r="5655">
      <c r="C5655" s="5"/>
      <c r="D5655" s="5"/>
    </row>
    <row r="5656">
      <c r="C5656" s="5"/>
      <c r="D5656" s="5"/>
    </row>
    <row r="5657">
      <c r="C5657" s="5"/>
      <c r="D5657" s="5"/>
    </row>
    <row r="5658">
      <c r="C5658" s="5"/>
      <c r="D5658" s="5"/>
    </row>
    <row r="5659">
      <c r="C5659" s="5"/>
      <c r="D5659" s="5"/>
    </row>
    <row r="5660">
      <c r="C5660" s="5"/>
      <c r="D5660" s="5"/>
    </row>
    <row r="5661">
      <c r="C5661" s="5"/>
      <c r="D5661" s="5"/>
    </row>
    <row r="5662">
      <c r="C5662" s="5"/>
      <c r="D5662" s="5"/>
    </row>
    <row r="5663">
      <c r="C5663" s="5"/>
      <c r="D5663" s="5"/>
    </row>
    <row r="5664">
      <c r="C5664" s="5"/>
      <c r="D5664" s="5"/>
    </row>
    <row r="5665">
      <c r="C5665" s="5"/>
      <c r="D5665" s="5"/>
    </row>
    <row r="5666">
      <c r="C5666" s="5"/>
      <c r="D5666" s="5"/>
    </row>
    <row r="5667">
      <c r="C5667" s="5"/>
      <c r="D5667" s="5"/>
    </row>
    <row r="5668">
      <c r="C5668" s="5"/>
      <c r="D5668" s="5"/>
    </row>
    <row r="5669">
      <c r="C5669" s="5"/>
      <c r="D5669" s="5"/>
    </row>
    <row r="5670">
      <c r="C5670" s="5"/>
      <c r="D5670" s="5"/>
    </row>
    <row r="5671">
      <c r="C5671" s="5"/>
      <c r="D5671" s="5"/>
    </row>
    <row r="5672">
      <c r="C5672" s="5"/>
      <c r="D5672" s="5"/>
    </row>
    <row r="5673">
      <c r="C5673" s="5"/>
      <c r="D5673" s="5"/>
    </row>
    <row r="5674">
      <c r="C5674" s="5"/>
      <c r="D5674" s="5"/>
    </row>
    <row r="5675">
      <c r="C5675" s="5"/>
      <c r="D5675" s="5"/>
    </row>
    <row r="5676">
      <c r="C5676" s="5"/>
      <c r="D5676" s="5"/>
    </row>
    <row r="5677">
      <c r="C5677" s="5"/>
      <c r="D5677" s="5"/>
    </row>
    <row r="5678">
      <c r="C5678" s="5"/>
      <c r="D5678" s="5"/>
    </row>
    <row r="5679">
      <c r="C5679" s="5"/>
      <c r="D5679" s="5"/>
    </row>
    <row r="5680">
      <c r="C5680" s="5"/>
      <c r="D5680" s="5"/>
    </row>
    <row r="5681">
      <c r="C5681" s="5"/>
      <c r="D5681" s="5"/>
    </row>
    <row r="5682">
      <c r="C5682" s="5"/>
      <c r="D5682" s="5"/>
    </row>
    <row r="5683">
      <c r="C5683" s="5"/>
      <c r="D5683" s="5"/>
    </row>
    <row r="5684">
      <c r="C5684" s="5"/>
      <c r="D5684" s="5"/>
    </row>
    <row r="5685">
      <c r="C5685" s="5"/>
      <c r="D5685" s="5"/>
    </row>
    <row r="5686">
      <c r="C5686" s="5"/>
      <c r="D5686" s="5"/>
    </row>
    <row r="5687">
      <c r="C5687" s="5"/>
      <c r="D5687" s="5"/>
    </row>
    <row r="5688">
      <c r="C5688" s="5"/>
      <c r="D5688" s="5"/>
    </row>
    <row r="5689">
      <c r="C5689" s="5"/>
      <c r="D5689" s="5"/>
    </row>
    <row r="5690">
      <c r="C5690" s="5"/>
      <c r="D5690" s="5"/>
    </row>
    <row r="5691">
      <c r="C5691" s="5"/>
      <c r="D5691" s="5"/>
    </row>
    <row r="5692">
      <c r="C5692" s="5"/>
      <c r="D5692" s="5"/>
    </row>
    <row r="5693">
      <c r="C5693" s="5"/>
      <c r="D5693" s="5"/>
    </row>
    <row r="5694">
      <c r="C5694" s="5"/>
      <c r="D5694" s="5"/>
    </row>
    <row r="5695">
      <c r="C5695" s="5"/>
      <c r="D5695" s="5"/>
    </row>
    <row r="5696">
      <c r="C5696" s="5"/>
      <c r="D5696" s="5"/>
    </row>
    <row r="5697">
      <c r="C5697" s="5"/>
      <c r="D5697" s="5"/>
    </row>
    <row r="5698">
      <c r="C5698" s="5"/>
      <c r="D5698" s="5"/>
    </row>
    <row r="5699">
      <c r="C5699" s="5"/>
      <c r="D5699" s="5"/>
    </row>
    <row r="5700">
      <c r="C5700" s="5"/>
      <c r="D5700" s="5"/>
    </row>
    <row r="5701">
      <c r="C5701" s="5"/>
      <c r="D5701" s="5"/>
    </row>
    <row r="5702">
      <c r="C5702" s="5"/>
      <c r="D5702" s="5"/>
    </row>
    <row r="5703">
      <c r="C5703" s="5"/>
      <c r="D5703" s="5"/>
    </row>
    <row r="5704">
      <c r="C5704" s="5"/>
      <c r="D5704" s="5"/>
    </row>
    <row r="5705">
      <c r="C5705" s="5"/>
      <c r="D5705" s="5"/>
    </row>
    <row r="5706">
      <c r="C5706" s="5"/>
      <c r="D5706" s="5"/>
    </row>
    <row r="5707">
      <c r="C5707" s="5"/>
      <c r="D5707" s="5"/>
    </row>
    <row r="5708">
      <c r="C5708" s="5"/>
      <c r="D5708" s="5"/>
    </row>
    <row r="5709">
      <c r="C5709" s="5"/>
      <c r="D5709" s="5"/>
    </row>
    <row r="5710">
      <c r="C5710" s="5"/>
      <c r="D5710" s="5"/>
    </row>
    <row r="5711">
      <c r="C5711" s="5"/>
      <c r="D5711" s="5"/>
    </row>
    <row r="5712">
      <c r="C5712" s="5"/>
      <c r="D5712" s="5"/>
    </row>
    <row r="5713">
      <c r="C5713" s="5"/>
      <c r="D5713" s="5"/>
    </row>
    <row r="5714">
      <c r="C5714" s="5"/>
      <c r="D5714" s="5"/>
    </row>
    <row r="5715">
      <c r="C5715" s="5"/>
      <c r="D5715" s="5"/>
    </row>
    <row r="5716">
      <c r="C5716" s="5"/>
      <c r="D5716" s="5"/>
    </row>
    <row r="5717">
      <c r="C5717" s="5"/>
      <c r="D5717" s="5"/>
    </row>
    <row r="5718">
      <c r="C5718" s="5"/>
      <c r="D5718" s="5"/>
    </row>
    <row r="5719">
      <c r="C5719" s="5"/>
      <c r="D5719" s="5"/>
    </row>
    <row r="5720">
      <c r="C5720" s="5"/>
      <c r="D5720" s="5"/>
    </row>
    <row r="5721">
      <c r="C5721" s="5"/>
      <c r="D5721" s="5"/>
    </row>
    <row r="5722">
      <c r="C5722" s="5"/>
      <c r="D5722" s="5"/>
    </row>
    <row r="5723">
      <c r="C5723" s="5"/>
      <c r="D5723" s="5"/>
    </row>
    <row r="5724">
      <c r="C5724" s="5"/>
      <c r="D5724" s="5"/>
    </row>
    <row r="5725">
      <c r="C5725" s="5"/>
      <c r="D5725" s="5"/>
    </row>
    <row r="5726">
      <c r="C5726" s="5"/>
      <c r="D5726" s="5"/>
    </row>
    <row r="5727">
      <c r="C5727" s="5"/>
      <c r="D5727" s="5"/>
    </row>
    <row r="5728">
      <c r="C5728" s="5"/>
      <c r="D5728" s="5"/>
    </row>
    <row r="5729">
      <c r="C5729" s="5"/>
      <c r="D5729" s="5"/>
    </row>
    <row r="5730">
      <c r="C5730" s="5"/>
      <c r="D5730" s="5"/>
    </row>
    <row r="5731">
      <c r="C5731" s="5"/>
      <c r="D5731" s="5"/>
    </row>
    <row r="5732">
      <c r="C5732" s="5"/>
      <c r="D5732" s="5"/>
    </row>
    <row r="5733">
      <c r="C5733" s="5"/>
      <c r="D5733" s="5"/>
    </row>
    <row r="5734">
      <c r="C5734" s="5"/>
      <c r="D5734" s="5"/>
    </row>
    <row r="5735">
      <c r="C5735" s="5"/>
      <c r="D5735" s="5"/>
    </row>
    <row r="5736">
      <c r="C5736" s="5"/>
      <c r="D5736" s="5"/>
    </row>
    <row r="5737">
      <c r="C5737" s="5"/>
      <c r="D5737" s="5"/>
    </row>
    <row r="5738">
      <c r="C5738" s="5"/>
      <c r="D5738" s="5"/>
    </row>
    <row r="5739">
      <c r="C5739" s="5"/>
      <c r="D5739" s="5"/>
    </row>
    <row r="5740">
      <c r="C5740" s="5"/>
      <c r="D5740" s="5"/>
    </row>
    <row r="5741">
      <c r="C5741" s="5"/>
      <c r="D5741" s="5"/>
    </row>
    <row r="5742">
      <c r="C5742" s="5"/>
      <c r="D5742" s="5"/>
    </row>
    <row r="5743">
      <c r="C5743" s="5"/>
      <c r="D5743" s="5"/>
    </row>
    <row r="5744">
      <c r="C5744" s="5"/>
      <c r="D5744" s="5"/>
    </row>
    <row r="5745">
      <c r="C5745" s="5"/>
      <c r="D5745" s="5"/>
    </row>
    <row r="5746">
      <c r="C5746" s="5"/>
      <c r="D5746" s="5"/>
    </row>
    <row r="5747">
      <c r="C5747" s="5"/>
      <c r="D5747" s="5"/>
    </row>
    <row r="5748">
      <c r="C5748" s="5"/>
      <c r="D5748" s="5"/>
    </row>
    <row r="5749">
      <c r="C5749" s="5"/>
      <c r="D5749" s="5"/>
    </row>
    <row r="5750">
      <c r="C5750" s="5"/>
      <c r="D5750" s="5"/>
    </row>
    <row r="5751">
      <c r="C5751" s="5"/>
      <c r="D5751" s="5"/>
    </row>
    <row r="5752">
      <c r="C5752" s="5"/>
      <c r="D5752" s="5"/>
    </row>
    <row r="5753">
      <c r="C5753" s="5"/>
      <c r="D5753" s="5"/>
    </row>
    <row r="5754">
      <c r="C5754" s="5"/>
      <c r="D5754" s="5"/>
    </row>
    <row r="5755">
      <c r="C5755" s="5"/>
      <c r="D5755" s="5"/>
    </row>
    <row r="5756">
      <c r="C5756" s="5"/>
      <c r="D5756" s="5"/>
    </row>
    <row r="5757">
      <c r="C5757" s="5"/>
      <c r="D5757" s="5"/>
    </row>
    <row r="5758">
      <c r="C5758" s="5"/>
      <c r="D5758" s="5"/>
    </row>
    <row r="5759">
      <c r="C5759" s="5"/>
      <c r="D5759" s="5"/>
    </row>
    <row r="5760">
      <c r="C5760" s="5"/>
      <c r="D5760" s="5"/>
    </row>
    <row r="5761">
      <c r="C5761" s="5"/>
      <c r="D5761" s="5"/>
    </row>
    <row r="5762">
      <c r="C5762" s="5"/>
      <c r="D5762" s="5"/>
    </row>
    <row r="5763">
      <c r="C5763" s="5"/>
      <c r="D5763" s="5"/>
    </row>
    <row r="5764">
      <c r="C5764" s="5"/>
      <c r="D5764" s="5"/>
    </row>
    <row r="5765">
      <c r="C5765" s="5"/>
      <c r="D5765" s="5"/>
    </row>
    <row r="5766">
      <c r="C5766" s="5"/>
      <c r="D5766" s="5"/>
    </row>
    <row r="5767">
      <c r="C5767" s="5"/>
      <c r="D5767" s="5"/>
    </row>
    <row r="5768">
      <c r="C5768" s="5"/>
      <c r="D5768" s="5"/>
    </row>
    <row r="5769">
      <c r="C5769" s="5"/>
      <c r="D5769" s="5"/>
    </row>
    <row r="5770">
      <c r="C5770" s="5"/>
      <c r="D5770" s="5"/>
    </row>
    <row r="5771">
      <c r="C5771" s="5"/>
      <c r="D5771" s="5"/>
    </row>
    <row r="5772">
      <c r="C5772" s="5"/>
      <c r="D5772" s="5"/>
    </row>
    <row r="5773">
      <c r="C5773" s="5"/>
      <c r="D5773" s="5"/>
    </row>
    <row r="5774">
      <c r="C5774" s="5"/>
      <c r="D5774" s="5"/>
    </row>
    <row r="5775">
      <c r="C5775" s="5"/>
      <c r="D5775" s="5"/>
    </row>
    <row r="5776">
      <c r="C5776" s="5"/>
      <c r="D5776" s="5"/>
    </row>
    <row r="5777">
      <c r="C5777" s="5"/>
      <c r="D5777" s="5"/>
    </row>
    <row r="5778">
      <c r="C5778" s="5"/>
      <c r="D5778" s="5"/>
    </row>
    <row r="5779">
      <c r="C5779" s="5"/>
      <c r="D5779" s="5"/>
    </row>
    <row r="5780">
      <c r="C5780" s="5"/>
      <c r="D5780" s="5"/>
    </row>
    <row r="5781">
      <c r="C5781" s="5"/>
      <c r="D5781" s="5"/>
    </row>
    <row r="5782">
      <c r="C5782" s="5"/>
      <c r="D5782" s="5"/>
    </row>
    <row r="5783">
      <c r="C5783" s="5"/>
      <c r="D5783" s="5"/>
    </row>
    <row r="5784">
      <c r="C5784" s="5"/>
      <c r="D5784" s="5"/>
    </row>
    <row r="5785">
      <c r="C5785" s="5"/>
      <c r="D5785" s="5"/>
    </row>
    <row r="5786">
      <c r="C5786" s="5"/>
      <c r="D5786" s="5"/>
    </row>
    <row r="5787">
      <c r="C5787" s="5"/>
      <c r="D5787" s="5"/>
    </row>
    <row r="5788">
      <c r="C5788" s="5"/>
      <c r="D5788" s="5"/>
    </row>
    <row r="5789">
      <c r="C5789" s="5"/>
      <c r="D5789" s="5"/>
    </row>
    <row r="5790">
      <c r="C5790" s="5"/>
      <c r="D5790" s="5"/>
    </row>
    <row r="5791">
      <c r="C5791" s="5"/>
      <c r="D5791" s="5"/>
    </row>
    <row r="5792">
      <c r="C5792" s="5"/>
      <c r="D5792" s="5"/>
    </row>
    <row r="5793">
      <c r="C5793" s="5"/>
      <c r="D5793" s="5"/>
    </row>
    <row r="5794">
      <c r="C5794" s="5"/>
      <c r="D5794" s="5"/>
    </row>
    <row r="5795">
      <c r="C5795" s="5"/>
      <c r="D5795" s="5"/>
    </row>
    <row r="5796">
      <c r="C5796" s="5"/>
      <c r="D5796" s="5"/>
    </row>
    <row r="5797">
      <c r="C5797" s="5"/>
      <c r="D5797" s="5"/>
    </row>
    <row r="5798">
      <c r="C5798" s="5"/>
      <c r="D5798" s="5"/>
    </row>
    <row r="5799">
      <c r="C5799" s="5"/>
      <c r="D5799" s="5"/>
    </row>
    <row r="5800">
      <c r="C5800" s="5"/>
      <c r="D5800" s="5"/>
    </row>
    <row r="5801">
      <c r="C5801" s="5"/>
      <c r="D5801" s="5"/>
    </row>
    <row r="5802">
      <c r="C5802" s="5"/>
      <c r="D5802" s="5"/>
    </row>
    <row r="5803">
      <c r="C5803" s="5"/>
      <c r="D5803" s="5"/>
    </row>
    <row r="5804">
      <c r="C5804" s="5"/>
      <c r="D5804" s="5"/>
    </row>
    <row r="5805">
      <c r="C5805" s="5"/>
      <c r="D5805" s="5"/>
    </row>
    <row r="5806">
      <c r="C5806" s="5"/>
      <c r="D5806" s="5"/>
    </row>
    <row r="5807">
      <c r="C5807" s="5"/>
      <c r="D5807" s="5"/>
    </row>
    <row r="5808">
      <c r="C5808" s="5"/>
      <c r="D5808" s="5"/>
    </row>
    <row r="5809">
      <c r="C5809" s="5"/>
      <c r="D5809" s="5"/>
    </row>
    <row r="5810">
      <c r="C5810" s="5"/>
      <c r="D5810" s="5"/>
    </row>
    <row r="5811">
      <c r="C5811" s="5"/>
      <c r="D5811" s="5"/>
    </row>
    <row r="5812">
      <c r="C5812" s="5"/>
      <c r="D5812" s="5"/>
    </row>
    <row r="5813">
      <c r="C5813" s="5"/>
      <c r="D5813" s="5"/>
    </row>
    <row r="5814">
      <c r="C5814" s="5"/>
      <c r="D5814" s="5"/>
    </row>
    <row r="5815">
      <c r="C5815" s="5"/>
      <c r="D5815" s="5"/>
    </row>
    <row r="5816">
      <c r="C5816" s="5"/>
      <c r="D5816" s="5"/>
    </row>
    <row r="5817">
      <c r="C5817" s="5"/>
      <c r="D5817" s="5"/>
    </row>
    <row r="5818">
      <c r="C5818" s="5"/>
      <c r="D5818" s="5"/>
    </row>
    <row r="5819">
      <c r="C5819" s="5"/>
      <c r="D5819" s="5"/>
    </row>
    <row r="5820">
      <c r="C5820" s="5"/>
      <c r="D5820" s="5"/>
    </row>
    <row r="5821">
      <c r="C5821" s="5"/>
      <c r="D5821" s="5"/>
    </row>
    <row r="5822">
      <c r="C5822" s="5"/>
      <c r="D5822" s="5"/>
    </row>
    <row r="5823">
      <c r="C5823" s="5"/>
      <c r="D5823" s="5"/>
    </row>
    <row r="5824">
      <c r="C5824" s="5"/>
      <c r="D5824" s="5"/>
    </row>
    <row r="5825">
      <c r="C5825" s="5"/>
      <c r="D5825" s="5"/>
    </row>
    <row r="5826">
      <c r="C5826" s="5"/>
      <c r="D5826" s="5"/>
    </row>
    <row r="5827">
      <c r="C5827" s="5"/>
      <c r="D5827" s="5"/>
    </row>
    <row r="5828">
      <c r="C5828" s="5"/>
      <c r="D5828" s="5"/>
    </row>
    <row r="5829">
      <c r="C5829" s="5"/>
      <c r="D5829" s="5"/>
    </row>
    <row r="5830">
      <c r="C5830" s="5"/>
      <c r="D5830" s="5"/>
    </row>
    <row r="5831">
      <c r="C5831" s="5"/>
      <c r="D5831" s="5"/>
    </row>
    <row r="5832">
      <c r="C5832" s="5"/>
      <c r="D5832" s="5"/>
    </row>
    <row r="5833">
      <c r="C5833" s="5"/>
      <c r="D5833" s="5"/>
    </row>
    <row r="5834">
      <c r="C5834" s="5"/>
      <c r="D5834" s="5"/>
    </row>
    <row r="5835">
      <c r="C5835" s="5"/>
      <c r="D5835" s="5"/>
    </row>
    <row r="5836">
      <c r="C5836" s="5"/>
      <c r="D5836" s="5"/>
    </row>
    <row r="5837">
      <c r="C5837" s="5"/>
      <c r="D5837" s="5"/>
    </row>
    <row r="5838">
      <c r="C5838" s="5"/>
      <c r="D5838" s="5"/>
    </row>
    <row r="5839">
      <c r="C5839" s="5"/>
      <c r="D5839" s="5"/>
    </row>
    <row r="5840">
      <c r="C5840" s="5"/>
      <c r="D5840" s="5"/>
    </row>
    <row r="5841">
      <c r="C5841" s="5"/>
      <c r="D5841" s="5"/>
    </row>
    <row r="5842">
      <c r="C5842" s="5"/>
      <c r="D5842" s="5"/>
    </row>
    <row r="5843">
      <c r="C5843" s="5"/>
      <c r="D5843" s="5"/>
    </row>
    <row r="5844">
      <c r="C5844" s="5"/>
      <c r="D5844" s="5"/>
    </row>
    <row r="5845">
      <c r="C5845" s="5"/>
      <c r="D5845" s="5"/>
    </row>
    <row r="5846">
      <c r="C5846" s="5"/>
      <c r="D5846" s="5"/>
    </row>
    <row r="5847">
      <c r="C5847" s="5"/>
      <c r="D5847" s="5"/>
    </row>
    <row r="5848">
      <c r="C5848" s="5"/>
      <c r="D5848" s="5"/>
    </row>
    <row r="5849">
      <c r="C5849" s="5"/>
      <c r="D5849" s="5"/>
    </row>
    <row r="5850">
      <c r="C5850" s="5"/>
      <c r="D5850" s="5"/>
    </row>
    <row r="5851">
      <c r="C5851" s="5"/>
      <c r="D5851" s="5"/>
    </row>
    <row r="5852">
      <c r="C5852" s="5"/>
      <c r="D5852" s="5"/>
    </row>
    <row r="5853">
      <c r="C5853" s="5"/>
      <c r="D5853" s="5"/>
    </row>
    <row r="5854">
      <c r="C5854" s="5"/>
      <c r="D5854" s="5"/>
    </row>
    <row r="5855">
      <c r="C5855" s="5"/>
      <c r="D5855" s="5"/>
    </row>
    <row r="5856">
      <c r="C5856" s="5"/>
      <c r="D5856" s="5"/>
    </row>
    <row r="5857">
      <c r="C5857" s="5"/>
      <c r="D5857" s="5"/>
    </row>
    <row r="5858">
      <c r="C5858" s="5"/>
      <c r="D5858" s="5"/>
    </row>
    <row r="5859">
      <c r="C5859" s="5"/>
      <c r="D5859" s="5"/>
    </row>
    <row r="5860">
      <c r="C5860" s="5"/>
      <c r="D5860" s="5"/>
    </row>
    <row r="5861">
      <c r="C5861" s="5"/>
      <c r="D5861" s="5"/>
    </row>
    <row r="5862">
      <c r="C5862" s="5"/>
      <c r="D5862" s="5"/>
    </row>
    <row r="5863">
      <c r="C5863" s="5"/>
      <c r="D5863" s="5"/>
    </row>
    <row r="5864">
      <c r="C5864" s="5"/>
      <c r="D5864" s="5"/>
    </row>
    <row r="5865">
      <c r="C5865" s="5"/>
      <c r="D5865" s="5"/>
    </row>
    <row r="5866">
      <c r="C5866" s="5"/>
      <c r="D5866" s="5"/>
    </row>
    <row r="5867">
      <c r="C5867" s="5"/>
      <c r="D5867" s="5"/>
    </row>
    <row r="5868">
      <c r="C5868" s="5"/>
      <c r="D5868" s="5"/>
    </row>
    <row r="5869">
      <c r="C5869" s="5"/>
      <c r="D5869" s="5"/>
    </row>
    <row r="5870">
      <c r="C5870" s="5"/>
      <c r="D5870" s="5"/>
    </row>
    <row r="5871">
      <c r="C5871" s="5"/>
      <c r="D5871" s="5"/>
    </row>
    <row r="5872">
      <c r="C5872" s="5"/>
      <c r="D5872" s="5"/>
    </row>
    <row r="5873">
      <c r="C5873" s="5"/>
      <c r="D5873" s="5"/>
    </row>
    <row r="5874">
      <c r="C5874" s="5"/>
      <c r="D5874" s="5"/>
    </row>
    <row r="5875">
      <c r="C5875" s="5"/>
      <c r="D5875" s="5"/>
    </row>
    <row r="5876">
      <c r="C5876" s="5"/>
      <c r="D5876" s="5"/>
    </row>
    <row r="5877">
      <c r="C5877" s="5"/>
      <c r="D5877" s="5"/>
    </row>
    <row r="5878">
      <c r="C5878" s="5"/>
      <c r="D5878" s="5"/>
    </row>
    <row r="5879">
      <c r="C5879" s="5"/>
      <c r="D5879" s="5"/>
    </row>
    <row r="5880">
      <c r="C5880" s="5"/>
      <c r="D5880" s="5"/>
    </row>
    <row r="5881">
      <c r="C5881" s="5"/>
      <c r="D5881" s="5"/>
    </row>
    <row r="5882">
      <c r="C5882" s="5"/>
      <c r="D5882" s="5"/>
    </row>
    <row r="5883">
      <c r="C5883" s="5"/>
      <c r="D5883" s="5"/>
    </row>
    <row r="5884">
      <c r="C5884" s="5"/>
      <c r="D5884" s="5"/>
    </row>
    <row r="5885">
      <c r="C5885" s="5"/>
      <c r="D5885" s="5"/>
    </row>
    <row r="5886">
      <c r="C5886" s="5"/>
      <c r="D5886" s="5"/>
    </row>
    <row r="5887">
      <c r="C5887" s="5"/>
      <c r="D5887" s="5"/>
    </row>
    <row r="5888">
      <c r="C5888" s="5"/>
      <c r="D5888" s="5"/>
    </row>
    <row r="5889">
      <c r="C5889" s="5"/>
      <c r="D5889" s="5"/>
    </row>
    <row r="5890">
      <c r="C5890" s="5"/>
      <c r="D5890" s="5"/>
    </row>
    <row r="5891">
      <c r="C5891" s="5"/>
      <c r="D5891" s="5"/>
    </row>
    <row r="5892">
      <c r="C5892" s="5"/>
      <c r="D5892" s="5"/>
    </row>
    <row r="5893">
      <c r="C5893" s="5"/>
      <c r="D5893" s="5"/>
    </row>
    <row r="5894">
      <c r="C5894" s="5"/>
      <c r="D5894" s="5"/>
    </row>
    <row r="5895">
      <c r="C5895" s="5"/>
      <c r="D5895" s="5"/>
    </row>
    <row r="5896">
      <c r="C5896" s="5"/>
      <c r="D5896" s="5"/>
    </row>
    <row r="5897">
      <c r="C5897" s="5"/>
      <c r="D5897" s="5"/>
    </row>
    <row r="5898">
      <c r="C5898" s="5"/>
      <c r="D5898" s="5"/>
    </row>
    <row r="5899">
      <c r="C5899" s="5"/>
      <c r="D5899" s="5"/>
    </row>
    <row r="5900">
      <c r="C5900" s="5"/>
      <c r="D5900" s="5"/>
    </row>
    <row r="5901">
      <c r="C5901" s="5"/>
      <c r="D5901" s="5"/>
    </row>
    <row r="5902">
      <c r="C5902" s="5"/>
      <c r="D5902" s="5"/>
    </row>
    <row r="5903">
      <c r="C5903" s="5"/>
      <c r="D5903" s="5"/>
    </row>
    <row r="5904">
      <c r="C5904" s="5"/>
      <c r="D5904" s="5"/>
    </row>
    <row r="5905">
      <c r="C5905" s="5"/>
      <c r="D5905" s="5"/>
    </row>
    <row r="5906">
      <c r="C5906" s="5"/>
      <c r="D5906" s="5"/>
    </row>
    <row r="5907">
      <c r="C5907" s="5"/>
      <c r="D5907" s="5"/>
    </row>
    <row r="5908">
      <c r="C5908" s="5"/>
      <c r="D5908" s="5"/>
    </row>
    <row r="5909">
      <c r="C5909" s="5"/>
      <c r="D5909" s="5"/>
    </row>
    <row r="5910">
      <c r="C5910" s="5"/>
      <c r="D5910" s="5"/>
    </row>
    <row r="5911">
      <c r="C5911" s="5"/>
      <c r="D5911" s="5"/>
    </row>
    <row r="5912">
      <c r="C5912" s="5"/>
      <c r="D5912" s="5"/>
    </row>
    <row r="5913">
      <c r="C5913" s="5"/>
      <c r="D5913" s="5"/>
    </row>
    <row r="5914">
      <c r="C5914" s="5"/>
      <c r="D5914" s="5"/>
    </row>
    <row r="5915">
      <c r="C5915" s="5"/>
      <c r="D5915" s="5"/>
    </row>
    <row r="5916">
      <c r="C5916" s="5"/>
      <c r="D5916" s="5"/>
    </row>
    <row r="5917">
      <c r="C5917" s="5"/>
      <c r="D5917" s="5"/>
    </row>
    <row r="5918">
      <c r="C5918" s="5"/>
      <c r="D5918" s="5"/>
    </row>
    <row r="5919">
      <c r="C5919" s="5"/>
      <c r="D5919" s="5"/>
    </row>
    <row r="5920">
      <c r="C5920" s="5"/>
      <c r="D5920" s="5"/>
    </row>
    <row r="5921">
      <c r="C5921" s="5"/>
      <c r="D5921" s="5"/>
    </row>
    <row r="5922">
      <c r="C5922" s="5"/>
      <c r="D5922" s="5"/>
    </row>
    <row r="5923">
      <c r="C5923" s="5"/>
      <c r="D5923" s="5"/>
    </row>
    <row r="5924">
      <c r="C5924" s="5"/>
      <c r="D5924" s="5"/>
    </row>
    <row r="5925">
      <c r="C5925" s="5"/>
      <c r="D5925" s="5"/>
    </row>
    <row r="5926">
      <c r="C5926" s="5"/>
      <c r="D5926" s="5"/>
    </row>
    <row r="5927">
      <c r="C5927" s="5"/>
      <c r="D5927" s="5"/>
    </row>
    <row r="5928">
      <c r="C5928" s="5"/>
      <c r="D5928" s="5"/>
    </row>
    <row r="5929">
      <c r="C5929" s="5"/>
      <c r="D5929" s="5"/>
    </row>
    <row r="5930">
      <c r="C5930" s="5"/>
      <c r="D5930" s="5"/>
    </row>
    <row r="5931">
      <c r="C5931" s="5"/>
      <c r="D5931" s="5"/>
    </row>
    <row r="5932">
      <c r="C5932" s="5"/>
      <c r="D5932" s="5"/>
    </row>
    <row r="5933">
      <c r="C5933" s="5"/>
      <c r="D5933" s="5"/>
    </row>
    <row r="5934">
      <c r="C5934" s="5"/>
      <c r="D5934" s="5"/>
    </row>
    <row r="5935">
      <c r="C5935" s="5"/>
      <c r="D5935" s="5"/>
    </row>
    <row r="5936">
      <c r="C5936" s="5"/>
      <c r="D5936" s="5"/>
    </row>
    <row r="5937">
      <c r="C5937" s="5"/>
      <c r="D5937" s="5"/>
    </row>
    <row r="5938">
      <c r="C5938" s="5"/>
      <c r="D5938" s="5"/>
    </row>
    <row r="5939">
      <c r="C5939" s="5"/>
      <c r="D5939" s="5"/>
    </row>
    <row r="5940">
      <c r="C5940" s="5"/>
      <c r="D5940" s="5"/>
    </row>
    <row r="5941">
      <c r="C5941" s="5"/>
      <c r="D5941" s="5"/>
    </row>
    <row r="5942">
      <c r="C5942" s="5"/>
      <c r="D5942" s="5"/>
    </row>
    <row r="5943">
      <c r="C5943" s="5"/>
      <c r="D5943" s="5"/>
    </row>
    <row r="5944">
      <c r="C5944" s="5"/>
      <c r="D5944" s="5"/>
    </row>
    <row r="5945">
      <c r="C5945" s="5"/>
      <c r="D5945" s="5"/>
    </row>
    <row r="5946">
      <c r="C5946" s="5"/>
      <c r="D5946" s="5"/>
    </row>
    <row r="5947">
      <c r="C5947" s="5"/>
      <c r="D5947" s="5"/>
    </row>
    <row r="5948">
      <c r="C5948" s="5"/>
      <c r="D5948" s="5"/>
    </row>
    <row r="5949">
      <c r="C5949" s="5"/>
      <c r="D5949" s="5"/>
    </row>
    <row r="5950">
      <c r="C5950" s="5"/>
      <c r="D5950" s="5"/>
    </row>
    <row r="5951">
      <c r="C5951" s="5"/>
      <c r="D5951" s="5"/>
    </row>
    <row r="5952">
      <c r="C5952" s="5"/>
      <c r="D5952" s="5"/>
    </row>
    <row r="5953">
      <c r="C5953" s="5"/>
      <c r="D5953" s="5"/>
    </row>
    <row r="5954">
      <c r="C5954" s="5"/>
      <c r="D5954" s="5"/>
    </row>
    <row r="5955">
      <c r="C5955" s="5"/>
      <c r="D5955" s="5"/>
    </row>
    <row r="5956">
      <c r="C5956" s="5"/>
      <c r="D5956" s="5"/>
    </row>
    <row r="5957">
      <c r="C5957" s="5"/>
      <c r="D5957" s="5"/>
    </row>
    <row r="5958">
      <c r="C5958" s="5"/>
      <c r="D5958" s="5"/>
    </row>
    <row r="5959">
      <c r="C5959" s="5"/>
      <c r="D5959" s="5"/>
    </row>
    <row r="5960">
      <c r="C5960" s="5"/>
      <c r="D5960" s="5"/>
    </row>
    <row r="5961">
      <c r="C5961" s="5"/>
      <c r="D5961" s="5"/>
    </row>
    <row r="5962">
      <c r="C5962" s="5"/>
      <c r="D5962" s="5"/>
    </row>
    <row r="5963">
      <c r="C5963" s="5"/>
      <c r="D5963" s="5"/>
    </row>
    <row r="5964">
      <c r="C5964" s="5"/>
      <c r="D5964" s="5"/>
    </row>
    <row r="5965">
      <c r="C5965" s="5"/>
      <c r="D5965" s="5"/>
    </row>
    <row r="5966">
      <c r="C5966" s="5"/>
      <c r="D5966" s="5"/>
    </row>
    <row r="5967">
      <c r="C5967" s="5"/>
      <c r="D5967" s="5"/>
    </row>
    <row r="5968">
      <c r="C5968" s="5"/>
      <c r="D5968" s="5"/>
    </row>
    <row r="5969">
      <c r="C5969" s="5"/>
      <c r="D5969" s="5"/>
    </row>
    <row r="5970">
      <c r="C5970" s="5"/>
      <c r="D5970" s="5"/>
    </row>
    <row r="5971">
      <c r="C5971" s="5"/>
      <c r="D5971" s="5"/>
    </row>
    <row r="5972">
      <c r="C5972" s="5"/>
      <c r="D5972" s="5"/>
    </row>
    <row r="5973">
      <c r="C5973" s="5"/>
      <c r="D5973" s="5"/>
    </row>
    <row r="5974">
      <c r="C5974" s="5"/>
      <c r="D5974" s="5"/>
    </row>
    <row r="5975">
      <c r="C5975" s="5"/>
      <c r="D5975" s="5"/>
    </row>
    <row r="5976">
      <c r="C5976" s="5"/>
      <c r="D5976" s="5"/>
    </row>
    <row r="5977">
      <c r="C5977" s="5"/>
      <c r="D5977" s="5"/>
    </row>
    <row r="5978">
      <c r="C5978" s="5"/>
      <c r="D5978" s="5"/>
    </row>
    <row r="5979">
      <c r="C5979" s="5"/>
      <c r="D5979" s="5"/>
    </row>
    <row r="5980">
      <c r="C5980" s="5"/>
      <c r="D5980" s="5"/>
    </row>
    <row r="5981">
      <c r="C5981" s="5"/>
      <c r="D5981" s="5"/>
    </row>
    <row r="5982">
      <c r="C5982" s="5"/>
      <c r="D5982" s="5"/>
    </row>
    <row r="5983">
      <c r="C5983" s="5"/>
      <c r="D5983" s="5"/>
    </row>
    <row r="5984">
      <c r="C5984" s="5"/>
      <c r="D5984" s="5"/>
    </row>
    <row r="5985">
      <c r="C5985" s="5"/>
      <c r="D5985" s="5"/>
    </row>
    <row r="5986">
      <c r="C5986" s="5"/>
      <c r="D5986" s="5"/>
    </row>
    <row r="5987">
      <c r="C5987" s="5"/>
      <c r="D5987" s="5"/>
    </row>
    <row r="5988">
      <c r="C5988" s="5"/>
      <c r="D5988" s="5"/>
    </row>
    <row r="5989">
      <c r="C5989" s="5"/>
      <c r="D5989" s="5"/>
    </row>
    <row r="5990">
      <c r="C5990" s="5"/>
      <c r="D5990" s="5"/>
    </row>
    <row r="5991">
      <c r="C5991" s="5"/>
      <c r="D5991" s="5"/>
    </row>
    <row r="5992">
      <c r="C5992" s="5"/>
      <c r="D5992" s="5"/>
    </row>
    <row r="5993">
      <c r="C5993" s="5"/>
      <c r="D5993" s="5"/>
    </row>
    <row r="5994">
      <c r="C5994" s="5"/>
      <c r="D5994" s="5"/>
    </row>
    <row r="5995">
      <c r="C5995" s="5"/>
      <c r="D5995" s="5"/>
    </row>
    <row r="5996">
      <c r="C5996" s="5"/>
      <c r="D5996" s="5"/>
    </row>
    <row r="5997">
      <c r="C5997" s="5"/>
      <c r="D5997" s="5"/>
    </row>
    <row r="5998">
      <c r="C5998" s="5"/>
      <c r="D5998" s="5"/>
    </row>
    <row r="5999">
      <c r="C5999" s="5"/>
      <c r="D5999" s="5"/>
    </row>
    <row r="6000">
      <c r="C6000" s="5"/>
      <c r="D6000" s="5"/>
    </row>
    <row r="6001">
      <c r="C6001" s="5"/>
      <c r="D6001" s="5"/>
    </row>
    <row r="6002">
      <c r="C6002" s="5"/>
      <c r="D6002" s="5"/>
    </row>
    <row r="6003">
      <c r="C6003" s="5"/>
      <c r="D6003" s="5"/>
    </row>
    <row r="6004">
      <c r="C6004" s="5"/>
      <c r="D6004" s="5"/>
    </row>
    <row r="6005">
      <c r="C6005" s="5"/>
      <c r="D6005" s="5"/>
    </row>
    <row r="6006">
      <c r="C6006" s="5"/>
      <c r="D6006" s="5"/>
    </row>
    <row r="6007">
      <c r="C6007" s="5"/>
      <c r="D6007" s="5"/>
    </row>
    <row r="6008">
      <c r="C6008" s="5"/>
      <c r="D6008" s="5"/>
    </row>
    <row r="6009">
      <c r="C6009" s="5"/>
      <c r="D6009" s="5"/>
    </row>
    <row r="6010">
      <c r="C6010" s="5"/>
      <c r="D6010" s="5"/>
    </row>
    <row r="6011">
      <c r="C6011" s="5"/>
      <c r="D6011" s="5"/>
    </row>
    <row r="6012">
      <c r="C6012" s="5"/>
      <c r="D6012" s="5"/>
    </row>
    <row r="6013">
      <c r="C6013" s="5"/>
      <c r="D6013" s="5"/>
    </row>
    <row r="6014">
      <c r="C6014" s="5"/>
      <c r="D6014" s="5"/>
    </row>
    <row r="6015">
      <c r="C6015" s="5"/>
      <c r="D6015" s="5"/>
    </row>
    <row r="6016">
      <c r="C6016" s="5"/>
      <c r="D6016" s="5"/>
    </row>
    <row r="6017">
      <c r="C6017" s="5"/>
      <c r="D6017" s="5"/>
    </row>
    <row r="6018">
      <c r="C6018" s="5"/>
      <c r="D6018" s="5"/>
    </row>
    <row r="6019">
      <c r="C6019" s="5"/>
      <c r="D6019" s="5"/>
    </row>
    <row r="6020">
      <c r="C6020" s="5"/>
      <c r="D6020" s="5"/>
    </row>
    <row r="6021">
      <c r="C6021" s="5"/>
      <c r="D6021" s="5"/>
    </row>
    <row r="6022">
      <c r="C6022" s="5"/>
      <c r="D6022" s="5"/>
    </row>
    <row r="6023">
      <c r="C6023" s="5"/>
      <c r="D6023" s="5"/>
    </row>
    <row r="6024">
      <c r="C6024" s="5"/>
      <c r="D6024" s="5"/>
    </row>
    <row r="6025">
      <c r="C6025" s="5"/>
      <c r="D6025" s="5"/>
    </row>
    <row r="6026">
      <c r="C6026" s="5"/>
      <c r="D6026" s="5"/>
    </row>
    <row r="6027">
      <c r="C6027" s="5"/>
      <c r="D6027" s="5"/>
    </row>
    <row r="6028">
      <c r="C6028" s="5"/>
      <c r="D6028" s="5"/>
    </row>
    <row r="6029">
      <c r="C6029" s="5"/>
      <c r="D6029" s="5"/>
    </row>
    <row r="6030">
      <c r="C6030" s="5"/>
      <c r="D6030" s="5"/>
    </row>
    <row r="6031">
      <c r="C6031" s="5"/>
      <c r="D6031" s="5"/>
    </row>
    <row r="6032">
      <c r="C6032" s="5"/>
      <c r="D6032" s="5"/>
    </row>
    <row r="6033">
      <c r="C6033" s="5"/>
      <c r="D6033" s="5"/>
    </row>
    <row r="6034">
      <c r="C6034" s="5"/>
      <c r="D6034" s="5"/>
    </row>
    <row r="6035">
      <c r="C6035" s="5"/>
      <c r="D6035" s="5"/>
    </row>
    <row r="6036">
      <c r="C6036" s="5"/>
      <c r="D6036" s="5"/>
    </row>
    <row r="6037">
      <c r="C6037" s="5"/>
      <c r="D6037" s="5"/>
    </row>
    <row r="6038">
      <c r="C6038" s="5"/>
      <c r="D6038" s="5"/>
    </row>
    <row r="6039">
      <c r="C6039" s="5"/>
      <c r="D6039" s="5"/>
    </row>
    <row r="6040">
      <c r="C6040" s="5"/>
      <c r="D6040" s="5"/>
    </row>
    <row r="6041">
      <c r="C6041" s="5"/>
      <c r="D6041" s="5"/>
    </row>
    <row r="6042">
      <c r="C6042" s="5"/>
      <c r="D6042" s="5"/>
    </row>
    <row r="6043">
      <c r="C6043" s="5"/>
      <c r="D6043" s="5"/>
    </row>
    <row r="6044">
      <c r="C6044" s="5"/>
      <c r="D6044" s="5"/>
    </row>
    <row r="6045">
      <c r="C6045" s="5"/>
      <c r="D6045" s="5"/>
    </row>
    <row r="6046">
      <c r="C6046" s="5"/>
      <c r="D6046" s="5"/>
    </row>
    <row r="6047">
      <c r="C6047" s="5"/>
      <c r="D6047" s="5"/>
    </row>
    <row r="6048">
      <c r="C6048" s="5"/>
      <c r="D6048" s="5"/>
    </row>
    <row r="6049">
      <c r="C6049" s="5"/>
      <c r="D6049" s="5"/>
    </row>
    <row r="6050">
      <c r="C6050" s="5"/>
      <c r="D6050" s="5"/>
    </row>
    <row r="6051">
      <c r="C6051" s="5"/>
      <c r="D6051" s="5"/>
    </row>
    <row r="6052">
      <c r="C6052" s="5"/>
      <c r="D6052" s="5"/>
    </row>
    <row r="6053">
      <c r="C6053" s="5"/>
      <c r="D6053" s="5"/>
    </row>
  </sheetData>
  <autoFilter ref="$B$1:$B$6053">
    <sortState ref="B1:B6053">
      <sortCondition ref="B1:B6053"/>
    </sortState>
  </autoFil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38"/>
    <col customWidth="1" min="2" max="2" width="25.38"/>
    <col customWidth="1" min="3" max="3" width="12.25"/>
    <col customWidth="1" min="4" max="5" width="14.88"/>
    <col customWidth="1" min="6" max="6" width="14.0"/>
    <col customWidth="1" min="7" max="7" width="17.5"/>
    <col customWidth="1" min="8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</row>
    <row r="2">
      <c r="A2" s="2" t="s">
        <v>9</v>
      </c>
      <c r="B2" s="2" t="s">
        <v>11</v>
      </c>
      <c r="C2" s="2" t="s">
        <v>12</v>
      </c>
      <c r="D2" s="2">
        <v>6.0</v>
      </c>
      <c r="E2" s="2">
        <v>810.0</v>
      </c>
      <c r="F2" s="2">
        <v>889.0</v>
      </c>
      <c r="G2" s="2">
        <v>107500.0</v>
      </c>
    </row>
    <row r="3">
      <c r="A3" s="2" t="s">
        <v>14</v>
      </c>
      <c r="B3" s="2" t="s">
        <v>15</v>
      </c>
      <c r="C3" s="2" t="s">
        <v>12</v>
      </c>
      <c r="D3" s="2">
        <v>8.0</v>
      </c>
      <c r="E3" s="2">
        <v>1169.0</v>
      </c>
      <c r="F3" s="2">
        <v>1259.0</v>
      </c>
      <c r="G3" s="2">
        <v>113975.0</v>
      </c>
    </row>
    <row r="4">
      <c r="A4" s="2" t="s">
        <v>17</v>
      </c>
      <c r="B4" s="2" t="s">
        <v>19</v>
      </c>
      <c r="C4" s="2" t="s">
        <v>12</v>
      </c>
      <c r="D4" s="2">
        <v>11.0</v>
      </c>
      <c r="E4" s="2">
        <v>1611.0</v>
      </c>
      <c r="F4" s="2">
        <v>1439.0</v>
      </c>
      <c r="G4" s="2">
        <v>125000.0</v>
      </c>
    </row>
    <row r="5">
      <c r="A5" s="2" t="s">
        <v>20</v>
      </c>
      <c r="B5" s="2" t="s">
        <v>21</v>
      </c>
      <c r="C5" s="2" t="s">
        <v>12</v>
      </c>
      <c r="D5" s="2">
        <v>16.0</v>
      </c>
      <c r="E5" s="2">
        <v>1636.0</v>
      </c>
      <c r="F5" s="2">
        <v>1752.0</v>
      </c>
      <c r="G5" s="2">
        <v>190000.0</v>
      </c>
    </row>
    <row r="6">
      <c r="A6" s="2" t="s">
        <v>24</v>
      </c>
      <c r="B6" s="2" t="s">
        <v>25</v>
      </c>
      <c r="C6" s="2" t="s">
        <v>12</v>
      </c>
      <c r="D6" s="2">
        <v>9.0</v>
      </c>
      <c r="E6" s="2">
        <v>1061.0</v>
      </c>
      <c r="F6" s="2">
        <v>1155.0</v>
      </c>
      <c r="G6" s="2">
        <v>140000.0</v>
      </c>
    </row>
    <row r="7">
      <c r="A7" s="2" t="s">
        <v>26</v>
      </c>
      <c r="B7" s="2" t="s">
        <v>28</v>
      </c>
      <c r="C7" s="2" t="s">
        <v>12</v>
      </c>
      <c r="D7" s="2">
        <v>30.0</v>
      </c>
      <c r="E7" s="2">
        <v>1114.0</v>
      </c>
      <c r="F7" s="2">
        <v>1194.0</v>
      </c>
      <c r="G7" s="2">
        <v>115200.0</v>
      </c>
    </row>
    <row r="8">
      <c r="A8" s="2" t="s">
        <v>29</v>
      </c>
      <c r="B8" s="2" t="s">
        <v>30</v>
      </c>
      <c r="C8" s="2" t="s">
        <v>12</v>
      </c>
      <c r="D8" s="2">
        <v>5.0</v>
      </c>
      <c r="E8" s="2">
        <v>500.0</v>
      </c>
      <c r="F8" s="2">
        <v>470.0</v>
      </c>
      <c r="G8" s="2">
        <v>115000.0</v>
      </c>
    </row>
    <row r="9">
      <c r="A9" s="2" t="s">
        <v>31</v>
      </c>
      <c r="B9" s="2" t="s">
        <v>32</v>
      </c>
      <c r="C9" s="2" t="s">
        <v>12</v>
      </c>
      <c r="D9" s="2">
        <v>8.0</v>
      </c>
      <c r="E9" s="2">
        <v>787.0</v>
      </c>
      <c r="F9" s="2">
        <v>869.0</v>
      </c>
      <c r="G9" s="2">
        <v>159975.0</v>
      </c>
    </row>
    <row r="10">
      <c r="A10" s="2" t="s">
        <v>33</v>
      </c>
      <c r="B10" s="2" t="s">
        <v>34</v>
      </c>
      <c r="C10" s="2" t="s">
        <v>12</v>
      </c>
      <c r="D10" s="2">
        <v>26.0</v>
      </c>
      <c r="E10" s="2">
        <v>1432.0</v>
      </c>
      <c r="F10" s="2">
        <v>1376.0</v>
      </c>
      <c r="G10" s="2">
        <v>137600.0</v>
      </c>
    </row>
    <row r="11">
      <c r="A11" s="2" t="s">
        <v>37</v>
      </c>
      <c r="B11" s="2" t="s">
        <v>38</v>
      </c>
      <c r="C11" s="2" t="s">
        <v>12</v>
      </c>
      <c r="D11" s="2">
        <v>5.0</v>
      </c>
      <c r="E11" s="2">
        <v>611.0</v>
      </c>
      <c r="F11" s="2">
        <v>691.0</v>
      </c>
      <c r="G11" s="2">
        <v>80000.0</v>
      </c>
    </row>
    <row r="12">
      <c r="A12" s="2" t="s">
        <v>40</v>
      </c>
      <c r="B12" s="2" t="s">
        <v>42</v>
      </c>
      <c r="C12" s="2" t="s">
        <v>12</v>
      </c>
      <c r="D12" s="2">
        <v>12.0</v>
      </c>
      <c r="E12" s="2">
        <v>1200.0</v>
      </c>
      <c r="F12" s="2">
        <v>1213.0</v>
      </c>
      <c r="G12" s="2">
        <v>134400.0</v>
      </c>
    </row>
    <row r="13">
      <c r="A13" s="2" t="s">
        <v>45</v>
      </c>
      <c r="B13" s="2" t="s">
        <v>46</v>
      </c>
      <c r="C13" s="2" t="s">
        <v>12</v>
      </c>
      <c r="D13" s="2">
        <v>8.0</v>
      </c>
      <c r="E13" s="2">
        <v>986.0</v>
      </c>
      <c r="F13" s="2">
        <v>1154.0</v>
      </c>
      <c r="G13" s="2">
        <v>148500.0</v>
      </c>
    </row>
    <row r="14">
      <c r="A14" s="2" t="s">
        <v>49</v>
      </c>
      <c r="B14" s="2" t="s">
        <v>51</v>
      </c>
      <c r="C14" s="2" t="s">
        <v>12</v>
      </c>
      <c r="D14" s="2">
        <v>6.0</v>
      </c>
      <c r="E14" s="2">
        <v>840.0</v>
      </c>
      <c r="F14" s="2">
        <v>893.0</v>
      </c>
      <c r="G14" s="2">
        <v>140975.0</v>
      </c>
    </row>
    <row r="15">
      <c r="A15" s="2" t="s">
        <v>54</v>
      </c>
      <c r="B15" s="2" t="s">
        <v>55</v>
      </c>
      <c r="C15" s="2" t="s">
        <v>12</v>
      </c>
      <c r="D15" s="2">
        <v>5.0</v>
      </c>
      <c r="E15" s="2">
        <v>1877.0</v>
      </c>
      <c r="F15" s="2">
        <v>1748.0</v>
      </c>
      <c r="G15" s="2">
        <v>124000.0</v>
      </c>
    </row>
    <row r="16">
      <c r="A16" s="2" t="s">
        <v>60</v>
      </c>
      <c r="B16" s="2" t="s">
        <v>61</v>
      </c>
      <c r="C16" s="2" t="s">
        <v>12</v>
      </c>
      <c r="D16" s="2">
        <v>13.0</v>
      </c>
      <c r="E16" s="2">
        <v>691.0</v>
      </c>
      <c r="F16" s="2">
        <v>735.0</v>
      </c>
      <c r="G16" s="2">
        <v>65000.0</v>
      </c>
    </row>
    <row r="17">
      <c r="A17" s="2" t="s">
        <v>63</v>
      </c>
      <c r="B17" s="2" t="s">
        <v>65</v>
      </c>
      <c r="C17" s="2" t="s">
        <v>12</v>
      </c>
      <c r="D17" s="2">
        <v>26.0</v>
      </c>
      <c r="E17" s="2">
        <v>900.0</v>
      </c>
      <c r="F17" s="2">
        <v>983.0</v>
      </c>
      <c r="G17" s="2">
        <v>67000.0</v>
      </c>
    </row>
    <row r="18">
      <c r="A18" s="2" t="s">
        <v>68</v>
      </c>
      <c r="B18" s="2" t="s">
        <v>69</v>
      </c>
      <c r="C18" s="2" t="s">
        <v>12</v>
      </c>
      <c r="D18" s="2">
        <v>7.0</v>
      </c>
      <c r="E18" s="2">
        <v>1125.0</v>
      </c>
      <c r="F18" s="2">
        <v>1010.0</v>
      </c>
      <c r="G18" s="2">
        <v>90000.0</v>
      </c>
    </row>
    <row r="19">
      <c r="A19" s="2" t="s">
        <v>72</v>
      </c>
      <c r="B19" s="2" t="s">
        <v>74</v>
      </c>
      <c r="C19" s="2" t="s">
        <v>12</v>
      </c>
      <c r="D19" s="2">
        <v>27.0</v>
      </c>
      <c r="E19" s="2">
        <v>1780.0</v>
      </c>
      <c r="F19" s="2">
        <v>1634.0</v>
      </c>
      <c r="G19" s="2">
        <v>120000.0</v>
      </c>
    </row>
    <row r="20">
      <c r="A20" s="2" t="s">
        <v>77</v>
      </c>
      <c r="B20" s="2" t="s">
        <v>79</v>
      </c>
      <c r="C20" s="2" t="s">
        <v>12</v>
      </c>
      <c r="D20" s="2">
        <v>6.0</v>
      </c>
      <c r="E20" s="2">
        <v>928.0</v>
      </c>
      <c r="F20" s="2">
        <v>995.0</v>
      </c>
      <c r="G20" s="2">
        <v>115750.0</v>
      </c>
    </row>
    <row r="21" ht="15.75" customHeight="1">
      <c r="A21" s="2" t="s">
        <v>82</v>
      </c>
      <c r="B21" s="2" t="s">
        <v>83</v>
      </c>
      <c r="C21" s="2" t="s">
        <v>12</v>
      </c>
      <c r="D21" s="2">
        <v>5.0</v>
      </c>
      <c r="E21" s="2">
        <v>915.0</v>
      </c>
      <c r="F21" s="2">
        <v>930.0</v>
      </c>
      <c r="G21" s="2">
        <v>110000.0</v>
      </c>
    </row>
    <row r="22" ht="15.75" customHeight="1">
      <c r="A22" s="2" t="s">
        <v>86</v>
      </c>
      <c r="B22" s="2" t="s">
        <v>87</v>
      </c>
      <c r="C22" s="2" t="s">
        <v>12</v>
      </c>
      <c r="D22" s="2">
        <v>12.0</v>
      </c>
      <c r="E22" s="2">
        <v>1556.0</v>
      </c>
      <c r="F22" s="2">
        <v>1446.0</v>
      </c>
      <c r="G22" s="2">
        <v>147800.0</v>
      </c>
    </row>
    <row r="23" ht="15.75" customHeight="1">
      <c r="A23" s="2" t="s">
        <v>88</v>
      </c>
      <c r="B23" s="2" t="s">
        <v>89</v>
      </c>
      <c r="C23" s="2" t="s">
        <v>12</v>
      </c>
      <c r="D23" s="2">
        <v>7.0</v>
      </c>
      <c r="E23" s="2">
        <v>866.0</v>
      </c>
      <c r="F23" s="2">
        <v>1017.0</v>
      </c>
      <c r="G23" s="2">
        <v>133898.0</v>
      </c>
    </row>
    <row r="24" ht="15.75" customHeight="1">
      <c r="A24" s="2" t="s">
        <v>92</v>
      </c>
      <c r="B24" s="2" t="s">
        <v>93</v>
      </c>
      <c r="C24" s="2" t="s">
        <v>12</v>
      </c>
      <c r="D24" s="2">
        <v>10.0</v>
      </c>
      <c r="E24" s="2">
        <v>1048.0</v>
      </c>
      <c r="F24" s="2">
        <v>1084.0</v>
      </c>
      <c r="G24" s="2">
        <v>110000.0</v>
      </c>
    </row>
    <row r="25" ht="15.75" customHeight="1">
      <c r="A25" s="2" t="s">
        <v>94</v>
      </c>
      <c r="B25" s="2" t="s">
        <v>96</v>
      </c>
      <c r="C25" s="2" t="s">
        <v>12</v>
      </c>
      <c r="D25" s="2">
        <v>13.0</v>
      </c>
      <c r="E25" s="2">
        <v>995.0</v>
      </c>
      <c r="F25" s="2">
        <v>970.0</v>
      </c>
      <c r="G25" s="2">
        <v>158900.0</v>
      </c>
    </row>
    <row r="26" ht="15.75" customHeight="1">
      <c r="A26" s="2" t="s">
        <v>99</v>
      </c>
      <c r="B26" s="2" t="s">
        <v>101</v>
      </c>
      <c r="C26" s="2" t="s">
        <v>12</v>
      </c>
      <c r="D26" s="2">
        <v>10.0</v>
      </c>
      <c r="E26" s="2">
        <v>1533.0</v>
      </c>
      <c r="F26" s="2">
        <v>1726.0</v>
      </c>
      <c r="G26" s="2">
        <v>132500.0</v>
      </c>
    </row>
    <row r="27" ht="15.75" customHeight="1">
      <c r="A27" s="2" t="s">
        <v>102</v>
      </c>
      <c r="B27" s="2" t="s">
        <v>104</v>
      </c>
      <c r="C27" s="2" t="s">
        <v>12</v>
      </c>
      <c r="D27" s="2">
        <v>19.0</v>
      </c>
      <c r="E27" s="2">
        <v>1079.0</v>
      </c>
      <c r="F27" s="2">
        <v>1216.0</v>
      </c>
      <c r="G27" s="2">
        <v>129500.0</v>
      </c>
    </row>
    <row r="28" ht="15.75" customHeight="1">
      <c r="A28" s="2" t="s">
        <v>106</v>
      </c>
      <c r="B28" s="2" t="s">
        <v>107</v>
      </c>
      <c r="C28" s="2" t="s">
        <v>12</v>
      </c>
      <c r="D28" s="2">
        <v>79.0</v>
      </c>
      <c r="E28" s="2">
        <v>662.0</v>
      </c>
      <c r="F28" s="2">
        <v>727.0</v>
      </c>
      <c r="G28" s="2">
        <v>53600.0</v>
      </c>
    </row>
    <row r="29" ht="15.75" customHeight="1">
      <c r="A29" s="2" t="s">
        <v>108</v>
      </c>
      <c r="B29" s="2" t="s">
        <v>109</v>
      </c>
      <c r="C29" s="2" t="s">
        <v>12</v>
      </c>
      <c r="D29" s="2">
        <v>7.0</v>
      </c>
      <c r="E29" s="2">
        <v>1429.0</v>
      </c>
      <c r="F29" s="2">
        <v>1618.0</v>
      </c>
      <c r="G29" s="2">
        <v>150000.0</v>
      </c>
    </row>
    <row r="30" ht="15.75" customHeight="1">
      <c r="A30" s="2" t="s">
        <v>110</v>
      </c>
      <c r="B30" s="2" t="s">
        <v>111</v>
      </c>
      <c r="C30" s="2" t="s">
        <v>12</v>
      </c>
      <c r="D30" s="2">
        <v>6.0</v>
      </c>
      <c r="E30" s="2">
        <v>1392.0</v>
      </c>
      <c r="F30" s="2">
        <v>1409.0</v>
      </c>
      <c r="G30" s="2">
        <v>112500.0</v>
      </c>
    </row>
    <row r="31" ht="15.75" customHeight="1">
      <c r="A31" s="2" t="s">
        <v>112</v>
      </c>
      <c r="B31" s="2" t="s">
        <v>114</v>
      </c>
      <c r="C31" s="2" t="s">
        <v>12</v>
      </c>
      <c r="D31" s="2">
        <v>18.0</v>
      </c>
      <c r="E31" s="2">
        <v>1053.0</v>
      </c>
      <c r="F31" s="2">
        <v>990.0</v>
      </c>
      <c r="G31" s="2">
        <v>95000.0</v>
      </c>
    </row>
    <row r="32" ht="15.75" customHeight="1">
      <c r="A32" s="2" t="s">
        <v>116</v>
      </c>
      <c r="B32" s="2" t="s">
        <v>117</v>
      </c>
      <c r="C32" s="2" t="s">
        <v>12</v>
      </c>
      <c r="D32" s="2">
        <v>21.0</v>
      </c>
      <c r="E32" s="2">
        <v>1235.0</v>
      </c>
      <c r="F32" s="2">
        <v>1212.0</v>
      </c>
      <c r="G32" s="2">
        <v>117000.0</v>
      </c>
    </row>
    <row r="33" ht="15.75" customHeight="1">
      <c r="A33" s="2" t="s">
        <v>120</v>
      </c>
      <c r="B33" s="2" t="s">
        <v>121</v>
      </c>
      <c r="C33" s="2" t="s">
        <v>12</v>
      </c>
      <c r="D33" s="2">
        <v>13.0</v>
      </c>
      <c r="E33" s="2">
        <v>1872.0</v>
      </c>
      <c r="F33" s="2">
        <v>1848.0</v>
      </c>
      <c r="G33" s="2">
        <v>200000.0</v>
      </c>
    </row>
    <row r="34" ht="15.75" customHeight="1">
      <c r="A34" s="2" t="s">
        <v>122</v>
      </c>
      <c r="B34" s="2" t="s">
        <v>123</v>
      </c>
      <c r="C34" s="2" t="s">
        <v>12</v>
      </c>
      <c r="D34" s="2">
        <v>6.0</v>
      </c>
      <c r="E34" s="2">
        <v>1115.0</v>
      </c>
      <c r="F34" s="2">
        <v>1349.0</v>
      </c>
      <c r="G34" s="2">
        <v>82000.0</v>
      </c>
    </row>
    <row r="35" ht="15.75" customHeight="1">
      <c r="A35" s="2" t="s">
        <v>126</v>
      </c>
      <c r="B35" s="2" t="s">
        <v>127</v>
      </c>
      <c r="C35" s="2" t="s">
        <v>12</v>
      </c>
      <c r="D35" s="2">
        <v>5.0</v>
      </c>
      <c r="E35" s="2">
        <v>590.0</v>
      </c>
      <c r="F35" s="2">
        <v>719.0</v>
      </c>
      <c r="G35" s="2">
        <v>89000.0</v>
      </c>
    </row>
    <row r="36" ht="15.75" customHeight="1">
      <c r="A36" s="2" t="s">
        <v>128</v>
      </c>
      <c r="B36" s="2" t="s">
        <v>129</v>
      </c>
      <c r="C36" s="2" t="s">
        <v>12</v>
      </c>
      <c r="D36" s="2">
        <v>32.0</v>
      </c>
      <c r="E36" s="2">
        <v>1194.0</v>
      </c>
      <c r="F36" s="2">
        <v>1335.0</v>
      </c>
      <c r="G36" s="2">
        <v>151100.0</v>
      </c>
    </row>
    <row r="37" ht="15.75" customHeight="1">
      <c r="A37" s="2" t="s">
        <v>131</v>
      </c>
      <c r="B37" s="2" t="s">
        <v>132</v>
      </c>
      <c r="C37" s="2" t="s">
        <v>12</v>
      </c>
      <c r="D37" s="2">
        <v>20.0</v>
      </c>
      <c r="E37" s="2">
        <v>1734.0</v>
      </c>
      <c r="F37" s="2">
        <v>1737.0</v>
      </c>
      <c r="G37" s="2">
        <v>149750.0</v>
      </c>
    </row>
    <row r="38" ht="15.75" customHeight="1">
      <c r="A38" s="2" t="s">
        <v>137</v>
      </c>
      <c r="B38" s="2" t="s">
        <v>139</v>
      </c>
      <c r="C38" s="2" t="s">
        <v>12</v>
      </c>
      <c r="D38" s="2">
        <v>5.0</v>
      </c>
      <c r="E38" s="2">
        <v>891.0</v>
      </c>
      <c r="F38" s="2">
        <v>820.0</v>
      </c>
      <c r="G38" s="2">
        <v>90000.0</v>
      </c>
    </row>
    <row r="39" ht="15.75" customHeight="1">
      <c r="A39" s="2" t="s">
        <v>143</v>
      </c>
      <c r="B39" s="2" t="s">
        <v>144</v>
      </c>
      <c r="C39" s="2" t="s">
        <v>12</v>
      </c>
      <c r="D39" s="2">
        <v>9.0</v>
      </c>
      <c r="E39" s="2">
        <v>1230.0</v>
      </c>
      <c r="F39" s="2">
        <v>1249.0</v>
      </c>
      <c r="G39" s="2">
        <v>75000.0</v>
      </c>
    </row>
    <row r="40" ht="15.75" customHeight="1">
      <c r="A40" s="2" t="s">
        <v>147</v>
      </c>
      <c r="B40" s="2" t="s">
        <v>148</v>
      </c>
      <c r="C40" s="2" t="s">
        <v>12</v>
      </c>
      <c r="D40" s="2">
        <v>11.0</v>
      </c>
      <c r="E40" s="2">
        <v>867.0</v>
      </c>
      <c r="F40" s="2">
        <v>947.0</v>
      </c>
      <c r="G40" s="2">
        <v>100000.0</v>
      </c>
    </row>
    <row r="41" ht="15.75" customHeight="1">
      <c r="A41" s="2" t="s">
        <v>149</v>
      </c>
      <c r="B41" s="2" t="s">
        <v>151</v>
      </c>
      <c r="C41" s="2" t="s">
        <v>12</v>
      </c>
      <c r="D41" s="2">
        <v>7.0</v>
      </c>
      <c r="E41" s="2">
        <v>1115.0</v>
      </c>
      <c r="F41" s="2">
        <v>1545.0</v>
      </c>
      <c r="G41" s="2">
        <v>202500.0</v>
      </c>
    </row>
    <row r="42" ht="15.75" customHeight="1">
      <c r="A42" s="2" t="s">
        <v>154</v>
      </c>
      <c r="B42" s="2" t="s">
        <v>155</v>
      </c>
      <c r="C42" s="2" t="s">
        <v>12</v>
      </c>
      <c r="D42" s="2">
        <v>8.0</v>
      </c>
      <c r="E42" s="2">
        <v>1097.0</v>
      </c>
      <c r="F42" s="2">
        <v>1329.0</v>
      </c>
      <c r="G42" s="2">
        <v>100000.0</v>
      </c>
    </row>
    <row r="43" ht="15.75" customHeight="1">
      <c r="A43" s="2" t="s">
        <v>157</v>
      </c>
      <c r="B43" s="2" t="s">
        <v>159</v>
      </c>
      <c r="C43" s="2" t="s">
        <v>12</v>
      </c>
      <c r="D43" s="2">
        <v>8.0</v>
      </c>
      <c r="E43" s="2">
        <v>1425.0</v>
      </c>
      <c r="F43" s="2">
        <v>1459.0</v>
      </c>
      <c r="G43" s="2">
        <v>150000.0</v>
      </c>
    </row>
    <row r="44" ht="15.75" customHeight="1">
      <c r="A44" s="2" t="s">
        <v>162</v>
      </c>
      <c r="B44" s="2" t="s">
        <v>163</v>
      </c>
      <c r="C44" s="2" t="s">
        <v>12</v>
      </c>
      <c r="D44" s="2">
        <v>5.0</v>
      </c>
      <c r="E44" s="2">
        <v>1194.0</v>
      </c>
      <c r="F44" s="2">
        <v>1252.0</v>
      </c>
      <c r="G44" s="2">
        <v>144000.0</v>
      </c>
    </row>
    <row r="45" ht="15.75" customHeight="1">
      <c r="A45" s="2" t="s">
        <v>165</v>
      </c>
      <c r="B45" s="2" t="s">
        <v>166</v>
      </c>
      <c r="C45" s="2" t="s">
        <v>12</v>
      </c>
      <c r="D45" s="2">
        <v>7.0</v>
      </c>
      <c r="E45" s="2">
        <v>754.0</v>
      </c>
      <c r="F45" s="2">
        <v>772.0</v>
      </c>
      <c r="G45" s="2">
        <v>53000.0</v>
      </c>
    </row>
    <row r="46" ht="15.75" customHeight="1">
      <c r="A46" s="2" t="s">
        <v>168</v>
      </c>
      <c r="B46" s="2" t="s">
        <v>169</v>
      </c>
      <c r="C46" s="2" t="s">
        <v>12</v>
      </c>
      <c r="D46" s="2">
        <v>17.0</v>
      </c>
      <c r="E46" s="2">
        <v>1759.0</v>
      </c>
      <c r="F46" s="2">
        <v>2021.0</v>
      </c>
      <c r="G46" s="2">
        <v>170000.0</v>
      </c>
    </row>
    <row r="47" ht="15.75" customHeight="1">
      <c r="A47" s="2" t="s">
        <v>172</v>
      </c>
      <c r="B47" s="2" t="s">
        <v>173</v>
      </c>
      <c r="C47" s="2" t="s">
        <v>12</v>
      </c>
      <c r="D47" s="2">
        <v>13.0</v>
      </c>
      <c r="E47" s="2">
        <v>909.0</v>
      </c>
      <c r="F47" s="2">
        <v>883.0</v>
      </c>
      <c r="G47" s="2">
        <v>77100.0</v>
      </c>
    </row>
    <row r="48" ht="15.75" customHeight="1">
      <c r="A48" s="2" t="s">
        <v>176</v>
      </c>
      <c r="B48" s="2" t="s">
        <v>177</v>
      </c>
      <c r="C48" s="2" t="s">
        <v>12</v>
      </c>
      <c r="D48" s="2">
        <v>7.0</v>
      </c>
      <c r="E48" s="2">
        <v>2136.0</v>
      </c>
      <c r="F48" s="2">
        <v>2350.0</v>
      </c>
      <c r="G48" s="2">
        <v>142000.0</v>
      </c>
    </row>
    <row r="49" ht="15.75" customHeight="1">
      <c r="A49" s="2" t="s">
        <v>179</v>
      </c>
      <c r="B49" s="2" t="s">
        <v>181</v>
      </c>
      <c r="C49" s="2" t="s">
        <v>12</v>
      </c>
      <c r="D49" s="2">
        <v>6.0</v>
      </c>
      <c r="E49" s="2">
        <v>874.0</v>
      </c>
      <c r="F49" s="2">
        <v>1265.0</v>
      </c>
      <c r="G49" s="2">
        <v>134000.0</v>
      </c>
    </row>
    <row r="50" ht="15.75" customHeight="1">
      <c r="A50" s="2" t="s">
        <v>183</v>
      </c>
      <c r="B50" s="2" t="s">
        <v>185</v>
      </c>
      <c r="C50" s="2" t="s">
        <v>12</v>
      </c>
      <c r="D50" s="2">
        <v>139.0</v>
      </c>
      <c r="E50" s="2">
        <v>1142.0</v>
      </c>
      <c r="F50" s="2">
        <v>1224.0</v>
      </c>
      <c r="G50" s="2">
        <v>95900.0</v>
      </c>
    </row>
    <row r="51" ht="15.75" customHeight="1">
      <c r="A51" s="2" t="s">
        <v>186</v>
      </c>
      <c r="B51" s="2" t="s">
        <v>187</v>
      </c>
      <c r="C51" s="2" t="s">
        <v>12</v>
      </c>
      <c r="D51" s="2">
        <v>5.0</v>
      </c>
      <c r="E51" s="2">
        <v>1622.0</v>
      </c>
      <c r="F51" s="2">
        <v>1518.0</v>
      </c>
      <c r="G51" s="2">
        <v>192700.0</v>
      </c>
    </row>
    <row r="52" ht="15.75" customHeight="1">
      <c r="A52" s="2" t="s">
        <v>190</v>
      </c>
      <c r="B52" s="2" t="s">
        <v>191</v>
      </c>
      <c r="C52" s="2" t="s">
        <v>12</v>
      </c>
      <c r="D52" s="2">
        <v>15.0</v>
      </c>
      <c r="E52" s="2">
        <v>2000.0</v>
      </c>
      <c r="F52" s="2">
        <v>1963.0</v>
      </c>
      <c r="G52" s="2">
        <v>178000.0</v>
      </c>
    </row>
    <row r="53" ht="15.75" customHeight="1">
      <c r="A53" s="2" t="s">
        <v>192</v>
      </c>
      <c r="B53" s="2" t="s">
        <v>193</v>
      </c>
      <c r="C53" s="2" t="s">
        <v>12</v>
      </c>
      <c r="D53" s="2">
        <v>5.0</v>
      </c>
      <c r="E53" s="2">
        <v>1394.0</v>
      </c>
      <c r="F53" s="2">
        <v>1306.0</v>
      </c>
      <c r="G53" s="2">
        <v>92000.0</v>
      </c>
    </row>
    <row r="54" ht="15.75" customHeight="1">
      <c r="A54" s="2" t="s">
        <v>194</v>
      </c>
      <c r="B54" s="2" t="s">
        <v>195</v>
      </c>
      <c r="C54" s="2" t="s">
        <v>12</v>
      </c>
      <c r="D54" s="2">
        <v>5.0</v>
      </c>
      <c r="E54" s="2">
        <v>960.0</v>
      </c>
      <c r="F54" s="2">
        <v>1164.0</v>
      </c>
      <c r="G54" s="2">
        <v>96000.0</v>
      </c>
    </row>
    <row r="55" ht="15.75" customHeight="1">
      <c r="A55" s="2" t="s">
        <v>196</v>
      </c>
      <c r="B55" s="2" t="s">
        <v>197</v>
      </c>
      <c r="C55" s="2" t="s">
        <v>12</v>
      </c>
      <c r="D55" s="2">
        <v>121.0</v>
      </c>
      <c r="E55" s="2">
        <v>1576.0</v>
      </c>
      <c r="F55" s="2">
        <v>1674.0</v>
      </c>
      <c r="G55" s="2">
        <v>130000.0</v>
      </c>
    </row>
    <row r="56" ht="15.75" customHeight="1">
      <c r="A56" s="2" t="s">
        <v>198</v>
      </c>
      <c r="B56" s="2" t="s">
        <v>199</v>
      </c>
      <c r="C56" s="2" t="s">
        <v>12</v>
      </c>
      <c r="D56" s="2">
        <v>5.0</v>
      </c>
      <c r="E56" s="2">
        <v>600.0</v>
      </c>
      <c r="F56" s="2">
        <v>764.0</v>
      </c>
      <c r="G56" s="2">
        <v>93000.0</v>
      </c>
    </row>
    <row r="57" ht="15.75" customHeight="1">
      <c r="A57" s="2" t="s">
        <v>201</v>
      </c>
      <c r="B57" s="2" t="s">
        <v>203</v>
      </c>
      <c r="C57" s="2" t="s">
        <v>12</v>
      </c>
      <c r="D57" s="2">
        <v>5.0</v>
      </c>
      <c r="E57" s="2">
        <v>786.0</v>
      </c>
      <c r="F57" s="2">
        <v>1207.0</v>
      </c>
      <c r="G57" s="2">
        <v>159800.0</v>
      </c>
    </row>
    <row r="58" ht="15.75" customHeight="1">
      <c r="A58" s="2" t="s">
        <v>206</v>
      </c>
      <c r="B58" s="2" t="s">
        <v>207</v>
      </c>
      <c r="C58" s="2" t="s">
        <v>12</v>
      </c>
      <c r="D58" s="2">
        <v>15.0</v>
      </c>
      <c r="E58" s="2">
        <v>1655.0</v>
      </c>
      <c r="F58" s="2">
        <v>1584.0</v>
      </c>
      <c r="G58" s="2">
        <v>126000.0</v>
      </c>
    </row>
    <row r="59" ht="15.75" customHeight="1">
      <c r="A59" s="2" t="s">
        <v>209</v>
      </c>
      <c r="B59" s="2" t="s">
        <v>211</v>
      </c>
      <c r="C59" s="2" t="s">
        <v>12</v>
      </c>
      <c r="D59" s="2">
        <v>5.0</v>
      </c>
      <c r="E59" s="2">
        <v>693.0</v>
      </c>
      <c r="F59" s="2">
        <v>947.0</v>
      </c>
      <c r="G59" s="2">
        <v>100000.0</v>
      </c>
    </row>
    <row r="60" ht="15.75" customHeight="1">
      <c r="A60" s="2" t="s">
        <v>212</v>
      </c>
      <c r="B60" s="2" t="s">
        <v>213</v>
      </c>
      <c r="C60" s="2" t="s">
        <v>12</v>
      </c>
      <c r="D60" s="2">
        <v>6.0</v>
      </c>
      <c r="E60" s="2">
        <v>1569.0</v>
      </c>
      <c r="F60" s="2">
        <v>1637.0</v>
      </c>
      <c r="G60" s="2">
        <v>165750.0</v>
      </c>
    </row>
    <row r="61" ht="15.75" customHeight="1">
      <c r="A61" s="2" t="s">
        <v>214</v>
      </c>
      <c r="B61" s="2" t="s">
        <v>215</v>
      </c>
      <c r="C61" s="2" t="s">
        <v>12</v>
      </c>
      <c r="D61" s="2">
        <v>7.0</v>
      </c>
      <c r="E61" s="2">
        <v>1484.0</v>
      </c>
      <c r="F61" s="2">
        <v>1225.0</v>
      </c>
      <c r="G61" s="2">
        <v>141000.0</v>
      </c>
    </row>
    <row r="62" ht="15.75" customHeight="1">
      <c r="A62" s="2" t="s">
        <v>216</v>
      </c>
      <c r="B62" s="2" t="s">
        <v>217</v>
      </c>
      <c r="C62" s="2" t="s">
        <v>12</v>
      </c>
      <c r="D62" s="2">
        <v>12.0</v>
      </c>
      <c r="E62" s="2">
        <v>1053.0</v>
      </c>
      <c r="F62" s="2">
        <v>1203.0</v>
      </c>
      <c r="G62" s="2">
        <v>102000.0</v>
      </c>
    </row>
    <row r="63" ht="15.75" customHeight="1">
      <c r="A63" s="2" t="s">
        <v>220</v>
      </c>
      <c r="B63" s="2" t="s">
        <v>221</v>
      </c>
      <c r="C63" s="2" t="s">
        <v>12</v>
      </c>
      <c r="D63" s="2">
        <v>5.0</v>
      </c>
      <c r="E63" s="2">
        <v>489.0</v>
      </c>
      <c r="F63" s="2">
        <v>766.0</v>
      </c>
      <c r="G63" s="2">
        <v>60584.0</v>
      </c>
    </row>
    <row r="64" ht="15.75" customHeight="1">
      <c r="A64" s="2" t="s">
        <v>222</v>
      </c>
      <c r="B64" s="2" t="s">
        <v>223</v>
      </c>
      <c r="C64" s="2" t="s">
        <v>12</v>
      </c>
      <c r="D64" s="2">
        <v>8.0</v>
      </c>
      <c r="E64" s="2">
        <v>904.0</v>
      </c>
      <c r="F64" s="2">
        <v>1033.0</v>
      </c>
      <c r="G64" s="2">
        <v>86500.0</v>
      </c>
    </row>
    <row r="65" ht="15.75" customHeight="1">
      <c r="A65" s="2" t="s">
        <v>230</v>
      </c>
      <c r="B65" s="2" t="s">
        <v>231</v>
      </c>
      <c r="C65" s="2" t="s">
        <v>12</v>
      </c>
      <c r="D65" s="2">
        <v>7.0</v>
      </c>
      <c r="E65" s="2">
        <v>982.0</v>
      </c>
      <c r="F65" s="2">
        <v>1540.0</v>
      </c>
      <c r="G65" s="2">
        <v>70000.0</v>
      </c>
    </row>
    <row r="66" ht="15.75" customHeight="1">
      <c r="A66" s="2" t="s">
        <v>234</v>
      </c>
      <c r="B66" s="2" t="s">
        <v>235</v>
      </c>
      <c r="C66" s="2" t="s">
        <v>12</v>
      </c>
      <c r="D66" s="2">
        <v>6.0</v>
      </c>
      <c r="E66" s="2">
        <v>1584.0</v>
      </c>
      <c r="F66" s="2">
        <v>1381.0</v>
      </c>
      <c r="G66" s="2">
        <v>135075.0</v>
      </c>
    </row>
    <row r="67" ht="15.75" customHeight="1">
      <c r="A67" s="2" t="s">
        <v>236</v>
      </c>
      <c r="B67" s="2" t="s">
        <v>237</v>
      </c>
      <c r="C67" s="2" t="s">
        <v>12</v>
      </c>
      <c r="D67" s="2">
        <v>8.0</v>
      </c>
      <c r="E67" s="2">
        <v>1419.0</v>
      </c>
      <c r="F67" s="2">
        <v>1481.0</v>
      </c>
      <c r="G67" s="2">
        <v>183000.0</v>
      </c>
    </row>
    <row r="68" ht="15.75" customHeight="1">
      <c r="A68" s="2" t="s">
        <v>238</v>
      </c>
      <c r="B68" s="2" t="s">
        <v>239</v>
      </c>
      <c r="C68" s="2" t="s">
        <v>12</v>
      </c>
      <c r="D68" s="2">
        <v>9.0</v>
      </c>
      <c r="E68" s="2">
        <v>1439.0</v>
      </c>
      <c r="F68" s="2">
        <v>1424.0</v>
      </c>
      <c r="G68" s="2">
        <v>140000.0</v>
      </c>
    </row>
    <row r="69" ht="15.75" customHeight="1">
      <c r="A69" s="2" t="s">
        <v>240</v>
      </c>
      <c r="B69" s="2" t="s">
        <v>241</v>
      </c>
      <c r="C69" s="2" t="s">
        <v>12</v>
      </c>
      <c r="D69" s="2">
        <v>5.0</v>
      </c>
      <c r="E69" s="2">
        <v>1533.0</v>
      </c>
      <c r="F69" s="2">
        <v>1677.0</v>
      </c>
      <c r="G69" s="2">
        <v>150000.0</v>
      </c>
    </row>
    <row r="70" ht="15.75" customHeight="1">
      <c r="A70" s="2" t="s">
        <v>244</v>
      </c>
      <c r="B70" s="2" t="s">
        <v>245</v>
      </c>
      <c r="C70" s="2" t="s">
        <v>12</v>
      </c>
      <c r="D70" s="2">
        <v>10.0</v>
      </c>
      <c r="E70" s="2">
        <v>1532.0</v>
      </c>
      <c r="F70" s="2">
        <v>1537.0</v>
      </c>
      <c r="G70" s="2">
        <v>142750.0</v>
      </c>
    </row>
    <row r="71" ht="15.75" customHeight="1">
      <c r="A71" s="2" t="s">
        <v>247</v>
      </c>
      <c r="B71" s="2" t="s">
        <v>249</v>
      </c>
      <c r="C71" s="2" t="s">
        <v>12</v>
      </c>
      <c r="D71" s="2">
        <v>5.0</v>
      </c>
      <c r="E71" s="2">
        <v>1500.0</v>
      </c>
      <c r="F71" s="2">
        <v>1250.0</v>
      </c>
      <c r="G71" s="2">
        <v>135000.0</v>
      </c>
    </row>
    <row r="72" ht="15.75" customHeight="1">
      <c r="A72" s="2" t="s">
        <v>252</v>
      </c>
      <c r="B72" s="2" t="s">
        <v>253</v>
      </c>
      <c r="C72" s="2" t="s">
        <v>12</v>
      </c>
      <c r="D72" s="2">
        <v>8.0</v>
      </c>
      <c r="E72" s="2">
        <v>1090.0</v>
      </c>
      <c r="F72" s="2">
        <v>1336.0</v>
      </c>
      <c r="G72" s="2">
        <v>136710.0</v>
      </c>
    </row>
    <row r="73" ht="15.75" customHeight="1">
      <c r="A73" s="2" t="s">
        <v>254</v>
      </c>
      <c r="B73" s="2" t="s">
        <v>255</v>
      </c>
      <c r="C73" s="2" t="s">
        <v>12</v>
      </c>
      <c r="D73" s="2">
        <v>9.0</v>
      </c>
      <c r="E73" s="2">
        <v>1283.0</v>
      </c>
      <c r="F73" s="2">
        <v>1363.0</v>
      </c>
      <c r="G73" s="2">
        <v>155000.0</v>
      </c>
    </row>
    <row r="74" ht="15.75" customHeight="1">
      <c r="A74" s="2" t="s">
        <v>256</v>
      </c>
      <c r="B74" s="2" t="s">
        <v>257</v>
      </c>
      <c r="C74" s="2" t="s">
        <v>12</v>
      </c>
      <c r="D74" s="2">
        <v>37.0</v>
      </c>
      <c r="E74" s="2">
        <v>1329.0</v>
      </c>
      <c r="F74" s="2">
        <v>1447.0</v>
      </c>
      <c r="G74" s="2">
        <v>127000.0</v>
      </c>
    </row>
    <row r="75" ht="15.75" customHeight="1">
      <c r="A75" s="2" t="s">
        <v>260</v>
      </c>
      <c r="B75" s="2" t="s">
        <v>261</v>
      </c>
      <c r="C75" s="2" t="s">
        <v>12</v>
      </c>
      <c r="D75" s="2">
        <v>11.0</v>
      </c>
      <c r="E75" s="2">
        <v>608.0</v>
      </c>
      <c r="F75" s="2">
        <v>770.0</v>
      </c>
      <c r="G75" s="2">
        <v>107000.0</v>
      </c>
    </row>
    <row r="76" ht="15.75" customHeight="1">
      <c r="A76" s="2" t="s">
        <v>263</v>
      </c>
      <c r="B76" s="2" t="s">
        <v>265</v>
      </c>
      <c r="C76" s="2" t="s">
        <v>12</v>
      </c>
      <c r="D76" s="2">
        <v>18.0</v>
      </c>
      <c r="E76" s="2">
        <v>1273.0</v>
      </c>
      <c r="F76" s="2">
        <v>1296.0</v>
      </c>
      <c r="G76" s="2">
        <v>123000.0</v>
      </c>
    </row>
    <row r="77" ht="15.75" customHeight="1">
      <c r="A77" s="2" t="s">
        <v>266</v>
      </c>
      <c r="B77" s="2" t="s">
        <v>267</v>
      </c>
      <c r="C77" s="2" t="s">
        <v>12</v>
      </c>
      <c r="D77" s="2">
        <v>7.0</v>
      </c>
      <c r="E77" s="2">
        <v>1042.0</v>
      </c>
      <c r="F77" s="2">
        <v>1148.0</v>
      </c>
      <c r="G77" s="2">
        <v>150000.0</v>
      </c>
    </row>
    <row r="78" ht="15.75" customHeight="1">
      <c r="A78" s="2" t="s">
        <v>268</v>
      </c>
      <c r="B78" s="2" t="s">
        <v>269</v>
      </c>
      <c r="C78" s="2" t="s">
        <v>12</v>
      </c>
      <c r="D78" s="2">
        <v>17.0</v>
      </c>
      <c r="E78" s="2">
        <v>1449.0</v>
      </c>
      <c r="F78" s="2">
        <v>1496.0</v>
      </c>
      <c r="G78" s="2">
        <v>135000.0</v>
      </c>
    </row>
    <row r="79" ht="15.75" customHeight="1">
      <c r="A79" s="2" t="s">
        <v>270</v>
      </c>
      <c r="B79" s="2" t="s">
        <v>271</v>
      </c>
      <c r="C79" s="2" t="s">
        <v>12</v>
      </c>
      <c r="D79" s="2">
        <v>5.0</v>
      </c>
      <c r="E79" s="2">
        <v>1233.0</v>
      </c>
      <c r="F79" s="2">
        <v>1233.0</v>
      </c>
      <c r="G79" s="2">
        <v>200000.0</v>
      </c>
    </row>
    <row r="80" ht="15.75" customHeight="1">
      <c r="A80" s="2" t="s">
        <v>274</v>
      </c>
      <c r="B80" s="2" t="s">
        <v>275</v>
      </c>
      <c r="C80" s="2" t="s">
        <v>12</v>
      </c>
      <c r="D80" s="2">
        <v>5.0</v>
      </c>
      <c r="E80" s="2">
        <v>1561.0</v>
      </c>
      <c r="F80" s="2">
        <v>1470.0</v>
      </c>
      <c r="G80" s="2">
        <v>122000.0</v>
      </c>
    </row>
    <row r="81" ht="15.75" customHeight="1">
      <c r="A81" s="2" t="s">
        <v>277</v>
      </c>
      <c r="B81" s="2" t="s">
        <v>278</v>
      </c>
      <c r="C81" s="2" t="s">
        <v>12</v>
      </c>
      <c r="D81" s="2">
        <v>5.0</v>
      </c>
      <c r="E81" s="2">
        <v>1733.0</v>
      </c>
      <c r="F81" s="2">
        <v>1634.0</v>
      </c>
      <c r="G81" s="2">
        <v>145000.0</v>
      </c>
    </row>
    <row r="82" ht="15.75" customHeight="1">
      <c r="A82" s="2" t="s">
        <v>280</v>
      </c>
      <c r="B82" s="2" t="s">
        <v>281</v>
      </c>
      <c r="C82" s="2" t="s">
        <v>12</v>
      </c>
      <c r="D82" s="2">
        <v>11.0</v>
      </c>
      <c r="E82" s="2">
        <v>1060.0</v>
      </c>
      <c r="F82" s="2">
        <v>1101.0</v>
      </c>
      <c r="G82" s="2">
        <v>88000.0</v>
      </c>
    </row>
    <row r="83" ht="15.75" customHeight="1">
      <c r="A83" s="2" t="s">
        <v>284</v>
      </c>
      <c r="B83" s="2" t="s">
        <v>285</v>
      </c>
      <c r="C83" s="2" t="s">
        <v>12</v>
      </c>
      <c r="D83" s="2">
        <v>7.0</v>
      </c>
      <c r="E83" s="2">
        <v>833.0</v>
      </c>
      <c r="F83" s="2">
        <v>1189.0</v>
      </c>
      <c r="G83" s="2">
        <v>95000.0</v>
      </c>
    </row>
    <row r="84" ht="15.75" customHeight="1">
      <c r="A84" s="2" t="s">
        <v>286</v>
      </c>
      <c r="B84" s="2" t="s">
        <v>287</v>
      </c>
      <c r="C84" s="2" t="s">
        <v>12</v>
      </c>
      <c r="D84" s="2">
        <v>6.0</v>
      </c>
      <c r="E84" s="2">
        <v>1449.0</v>
      </c>
      <c r="F84" s="2">
        <v>1354.0</v>
      </c>
      <c r="G84" s="2">
        <v>167000.0</v>
      </c>
    </row>
    <row r="85" ht="15.75" customHeight="1">
      <c r="A85" s="2" t="s">
        <v>290</v>
      </c>
      <c r="B85" s="2" t="s">
        <v>291</v>
      </c>
      <c r="C85" s="2" t="s">
        <v>12</v>
      </c>
      <c r="D85" s="2">
        <v>12.0</v>
      </c>
      <c r="E85" s="2">
        <v>852.0</v>
      </c>
      <c r="F85" s="2">
        <v>878.0</v>
      </c>
      <c r="G85" s="2">
        <v>77250.0</v>
      </c>
    </row>
    <row r="86" ht="15.75" customHeight="1">
      <c r="A86" s="2" t="s">
        <v>292</v>
      </c>
      <c r="B86" s="2" t="s">
        <v>294</v>
      </c>
      <c r="C86" s="2" t="s">
        <v>12</v>
      </c>
      <c r="D86" s="2">
        <v>5.0</v>
      </c>
      <c r="E86" s="2">
        <v>1212.0</v>
      </c>
      <c r="F86" s="2">
        <v>1660.0</v>
      </c>
      <c r="G86" s="2">
        <v>122000.0</v>
      </c>
    </row>
    <row r="87" ht="15.75" customHeight="1">
      <c r="A87" s="2" t="s">
        <v>296</v>
      </c>
      <c r="B87" s="2" t="s">
        <v>297</v>
      </c>
      <c r="C87" s="2" t="s">
        <v>12</v>
      </c>
      <c r="D87" s="2">
        <v>6.0</v>
      </c>
      <c r="E87" s="2">
        <v>776.0</v>
      </c>
      <c r="F87" s="2">
        <v>743.0</v>
      </c>
      <c r="G87" s="2">
        <v>59000.0</v>
      </c>
    </row>
    <row r="88" ht="15.75" customHeight="1">
      <c r="A88" s="2" t="s">
        <v>300</v>
      </c>
      <c r="B88" s="2" t="s">
        <v>301</v>
      </c>
      <c r="C88" s="2" t="s">
        <v>12</v>
      </c>
      <c r="D88" s="2">
        <v>20.0</v>
      </c>
      <c r="E88" s="2">
        <v>1193.0</v>
      </c>
      <c r="F88" s="2">
        <v>1438.0</v>
      </c>
      <c r="G88" s="2">
        <v>133826.0</v>
      </c>
    </row>
    <row r="89" ht="15.75" customHeight="1">
      <c r="A89" s="2" t="s">
        <v>302</v>
      </c>
      <c r="B89" s="2" t="s">
        <v>303</v>
      </c>
      <c r="C89" s="2" t="s">
        <v>12</v>
      </c>
      <c r="D89" s="2">
        <v>7.0</v>
      </c>
      <c r="E89" s="2">
        <v>1275.0</v>
      </c>
      <c r="F89" s="2">
        <v>1241.0</v>
      </c>
      <c r="G89" s="2">
        <v>130000.0</v>
      </c>
    </row>
    <row r="90" ht="15.75" customHeight="1">
      <c r="A90" s="2" t="s">
        <v>306</v>
      </c>
      <c r="B90" s="2" t="s">
        <v>307</v>
      </c>
      <c r="C90" s="2" t="s">
        <v>12</v>
      </c>
      <c r="D90" s="2">
        <v>29.0</v>
      </c>
      <c r="E90" s="2">
        <v>1385.0</v>
      </c>
      <c r="F90" s="2">
        <v>1541.0</v>
      </c>
      <c r="G90" s="2">
        <v>177820.0</v>
      </c>
    </row>
    <row r="91" ht="15.75" customHeight="1">
      <c r="A91" s="2" t="s">
        <v>309</v>
      </c>
      <c r="B91" s="2" t="s">
        <v>311</v>
      </c>
      <c r="C91" s="2" t="s">
        <v>12</v>
      </c>
      <c r="D91" s="2">
        <v>7.0</v>
      </c>
      <c r="E91" s="2">
        <v>1861.0</v>
      </c>
      <c r="F91" s="2">
        <v>1618.0</v>
      </c>
      <c r="G91" s="2">
        <v>213000.0</v>
      </c>
    </row>
    <row r="92" ht="15.75" customHeight="1">
      <c r="A92" s="2" t="s">
        <v>312</v>
      </c>
      <c r="B92" s="2" t="s">
        <v>313</v>
      </c>
      <c r="C92" s="2" t="s">
        <v>12</v>
      </c>
      <c r="D92" s="2">
        <v>8.0</v>
      </c>
      <c r="E92" s="2">
        <v>814.0</v>
      </c>
      <c r="F92" s="2">
        <v>968.0</v>
      </c>
      <c r="G92" s="2">
        <v>125000.0</v>
      </c>
    </row>
    <row r="93" ht="15.75" customHeight="1">
      <c r="A93" s="2" t="s">
        <v>314</v>
      </c>
      <c r="B93" s="2" t="s">
        <v>315</v>
      </c>
      <c r="C93" s="2" t="s">
        <v>12</v>
      </c>
      <c r="D93" s="2">
        <v>11.0</v>
      </c>
      <c r="E93" s="2">
        <v>1063.0</v>
      </c>
      <c r="F93" s="2">
        <v>1131.0</v>
      </c>
      <c r="G93" s="2">
        <v>120000.0</v>
      </c>
    </row>
    <row r="94" ht="15.75" customHeight="1">
      <c r="A94" s="2" t="s">
        <v>316</v>
      </c>
      <c r="B94" s="2" t="s">
        <v>318</v>
      </c>
      <c r="C94" s="2" t="s">
        <v>12</v>
      </c>
      <c r="D94" s="2">
        <v>16.0</v>
      </c>
      <c r="E94" s="2">
        <v>1153.0</v>
      </c>
      <c r="F94" s="2">
        <v>1196.0</v>
      </c>
      <c r="G94" s="2">
        <v>112500.0</v>
      </c>
    </row>
    <row r="95" ht="15.75" customHeight="1">
      <c r="A95" s="2" t="s">
        <v>320</v>
      </c>
      <c r="B95" s="2" t="s">
        <v>321</v>
      </c>
      <c r="C95" s="2" t="s">
        <v>12</v>
      </c>
      <c r="D95" s="2">
        <v>13.0</v>
      </c>
      <c r="E95" s="2">
        <v>1061.0</v>
      </c>
      <c r="F95" s="2">
        <v>1042.0</v>
      </c>
      <c r="G95" s="2">
        <v>94000.0</v>
      </c>
    </row>
    <row r="96" ht="15.75" customHeight="1">
      <c r="A96" s="2" t="s">
        <v>324</v>
      </c>
      <c r="B96" s="2" t="s">
        <v>325</v>
      </c>
      <c r="C96" s="2" t="s">
        <v>12</v>
      </c>
      <c r="D96" s="2">
        <v>5.0</v>
      </c>
      <c r="E96" s="2">
        <v>753.0</v>
      </c>
      <c r="F96" s="2">
        <v>719.0</v>
      </c>
      <c r="G96" s="2">
        <v>64000.0</v>
      </c>
    </row>
    <row r="97" ht="15.75" customHeight="1">
      <c r="A97" s="2" t="s">
        <v>328</v>
      </c>
      <c r="B97" s="2" t="s">
        <v>329</v>
      </c>
      <c r="C97" s="2" t="s">
        <v>12</v>
      </c>
      <c r="D97" s="2">
        <v>6.0</v>
      </c>
      <c r="E97" s="2">
        <v>1174.0</v>
      </c>
      <c r="F97" s="2">
        <v>1080.0</v>
      </c>
      <c r="G97" s="2">
        <v>125000.0</v>
      </c>
    </row>
    <row r="98" ht="15.75" customHeight="1">
      <c r="A98" s="2" t="s">
        <v>330</v>
      </c>
      <c r="B98" s="2" t="s">
        <v>331</v>
      </c>
      <c r="C98" s="2" t="s">
        <v>12</v>
      </c>
      <c r="D98" s="2">
        <v>7.0</v>
      </c>
      <c r="E98" s="2">
        <v>1031.0</v>
      </c>
      <c r="F98" s="2">
        <v>1127.0</v>
      </c>
      <c r="G98" s="2">
        <v>125000.0</v>
      </c>
    </row>
    <row r="99" ht="15.75" customHeight="1">
      <c r="A99" s="2" t="s">
        <v>332</v>
      </c>
      <c r="B99" s="2" t="s">
        <v>333</v>
      </c>
      <c r="C99" s="2" t="s">
        <v>12</v>
      </c>
      <c r="D99" s="2">
        <v>6.0</v>
      </c>
      <c r="E99" s="2">
        <v>1182.0</v>
      </c>
      <c r="F99" s="2">
        <v>1120.0</v>
      </c>
      <c r="G99" s="2">
        <v>122500.0</v>
      </c>
    </row>
    <row r="100" ht="15.75" customHeight="1">
      <c r="A100" s="2" t="s">
        <v>336</v>
      </c>
      <c r="B100" s="2" t="s">
        <v>337</v>
      </c>
      <c r="C100" s="2" t="s">
        <v>12</v>
      </c>
      <c r="D100" s="2">
        <v>6.0</v>
      </c>
      <c r="E100" s="2">
        <v>1171.0</v>
      </c>
      <c r="F100" s="2">
        <v>1081.0</v>
      </c>
      <c r="G100" s="2">
        <v>92750.0</v>
      </c>
    </row>
    <row r="101" ht="15.75" customHeight="1">
      <c r="A101" s="2" t="s">
        <v>338</v>
      </c>
      <c r="B101" s="2" t="s">
        <v>339</v>
      </c>
      <c r="C101" s="2" t="s">
        <v>12</v>
      </c>
      <c r="D101" s="2">
        <v>5.0</v>
      </c>
      <c r="E101" s="2">
        <v>893.0</v>
      </c>
      <c r="F101" s="2">
        <v>918.0</v>
      </c>
      <c r="G101" s="2">
        <v>119100.0</v>
      </c>
    </row>
    <row r="102" ht="15.75" customHeight="1">
      <c r="A102" s="2" t="s">
        <v>340</v>
      </c>
      <c r="B102" s="2" t="s">
        <v>341</v>
      </c>
      <c r="C102" s="2" t="s">
        <v>12</v>
      </c>
      <c r="D102" s="2">
        <v>29.0</v>
      </c>
      <c r="E102" s="2">
        <v>802.0</v>
      </c>
      <c r="F102" s="2">
        <v>913.0</v>
      </c>
      <c r="G102" s="2">
        <v>77000.0</v>
      </c>
    </row>
    <row r="103" ht="15.75" customHeight="1">
      <c r="A103" s="2" t="s">
        <v>342</v>
      </c>
      <c r="B103" s="2" t="s">
        <v>343</v>
      </c>
      <c r="C103" s="2" t="s">
        <v>12</v>
      </c>
      <c r="D103" s="2">
        <v>11.0</v>
      </c>
      <c r="E103" s="2">
        <v>1271.0</v>
      </c>
      <c r="F103" s="2">
        <v>1335.0</v>
      </c>
      <c r="G103" s="2">
        <v>155000.0</v>
      </c>
    </row>
    <row r="104" ht="15.75" customHeight="1">
      <c r="A104" s="2" t="s">
        <v>346</v>
      </c>
      <c r="B104" s="2" t="s">
        <v>347</v>
      </c>
      <c r="C104" s="2" t="s">
        <v>12</v>
      </c>
      <c r="D104" s="2">
        <v>35.0</v>
      </c>
      <c r="E104" s="2">
        <v>1000.0</v>
      </c>
      <c r="F104" s="2">
        <v>1049.0</v>
      </c>
      <c r="G104" s="2">
        <v>84000.0</v>
      </c>
    </row>
    <row r="105" ht="15.75" customHeight="1">
      <c r="A105" s="2" t="s">
        <v>348</v>
      </c>
      <c r="B105" s="2" t="s">
        <v>350</v>
      </c>
      <c r="C105" s="2" t="s">
        <v>12</v>
      </c>
      <c r="D105" s="2">
        <v>7.0</v>
      </c>
      <c r="E105" s="2">
        <v>857.0</v>
      </c>
      <c r="F105" s="2">
        <v>1314.0</v>
      </c>
      <c r="G105" s="2">
        <v>185000.0</v>
      </c>
    </row>
    <row r="106" ht="15.75" customHeight="1">
      <c r="A106" s="2" t="s">
        <v>352</v>
      </c>
      <c r="B106" s="2" t="s">
        <v>353</v>
      </c>
      <c r="C106" s="2" t="s">
        <v>12</v>
      </c>
      <c r="D106" s="2">
        <v>55.0</v>
      </c>
      <c r="E106" s="2">
        <v>1312.0</v>
      </c>
      <c r="F106" s="2">
        <v>1312.0</v>
      </c>
      <c r="G106" s="2">
        <v>106900.0</v>
      </c>
    </row>
    <row r="107" ht="15.75" customHeight="1">
      <c r="A107" s="2" t="s">
        <v>355</v>
      </c>
      <c r="B107" s="2" t="s">
        <v>357</v>
      </c>
      <c r="C107" s="2" t="s">
        <v>12</v>
      </c>
      <c r="D107" s="2">
        <v>8.0</v>
      </c>
      <c r="E107" s="2">
        <v>1272.0</v>
      </c>
      <c r="F107" s="2">
        <v>1068.0</v>
      </c>
      <c r="G107" s="2">
        <v>110000.0</v>
      </c>
    </row>
    <row r="108" ht="15.75" customHeight="1">
      <c r="A108" s="2" t="s">
        <v>358</v>
      </c>
      <c r="B108" s="2" t="s">
        <v>359</v>
      </c>
      <c r="C108" s="2" t="s">
        <v>12</v>
      </c>
      <c r="D108" s="2">
        <v>8.0</v>
      </c>
      <c r="E108" s="2">
        <v>897.0</v>
      </c>
      <c r="F108" s="2">
        <v>880.0</v>
      </c>
      <c r="G108" s="2">
        <v>89500.0</v>
      </c>
    </row>
    <row r="109" ht="15.75" customHeight="1">
      <c r="A109" s="2" t="s">
        <v>360</v>
      </c>
      <c r="B109" s="2" t="s">
        <v>361</v>
      </c>
      <c r="C109" s="2" t="s">
        <v>12</v>
      </c>
      <c r="D109" s="2">
        <v>15.0</v>
      </c>
      <c r="E109" s="2">
        <v>1516.0</v>
      </c>
      <c r="F109" s="2">
        <v>1523.0</v>
      </c>
      <c r="G109" s="2">
        <v>131000.0</v>
      </c>
    </row>
    <row r="110" ht="15.75" customHeight="1">
      <c r="A110" s="2" t="s">
        <v>362</v>
      </c>
      <c r="B110" s="2" t="s">
        <v>363</v>
      </c>
      <c r="C110" s="2" t="s">
        <v>12</v>
      </c>
      <c r="D110" s="2">
        <v>50.0</v>
      </c>
      <c r="E110" s="2">
        <v>764.0</v>
      </c>
      <c r="F110" s="2">
        <v>812.0</v>
      </c>
      <c r="G110" s="2">
        <v>59500.0</v>
      </c>
    </row>
    <row r="111" ht="15.75" customHeight="1">
      <c r="A111" s="2" t="s">
        <v>364</v>
      </c>
      <c r="B111" s="2" t="s">
        <v>365</v>
      </c>
      <c r="C111" s="2" t="s">
        <v>12</v>
      </c>
      <c r="D111" s="2">
        <v>6.0</v>
      </c>
      <c r="E111" s="2">
        <v>802.0</v>
      </c>
      <c r="F111" s="2">
        <v>887.0</v>
      </c>
      <c r="G111" s="2">
        <v>73250.0</v>
      </c>
    </row>
    <row r="112" ht="15.75" customHeight="1">
      <c r="A112" s="2" t="s">
        <v>366</v>
      </c>
      <c r="B112" s="2" t="s">
        <v>367</v>
      </c>
      <c r="C112" s="2" t="s">
        <v>12</v>
      </c>
      <c r="D112" s="2">
        <v>19.0</v>
      </c>
      <c r="E112" s="2">
        <v>1333.0</v>
      </c>
      <c r="F112" s="2">
        <v>1438.0</v>
      </c>
      <c r="G112" s="2">
        <v>130000.0</v>
      </c>
    </row>
    <row r="113" ht="15.75" customHeight="1">
      <c r="A113" s="2" t="s">
        <v>368</v>
      </c>
      <c r="B113" s="2" t="s">
        <v>369</v>
      </c>
      <c r="C113" s="2" t="s">
        <v>12</v>
      </c>
      <c r="D113" s="2">
        <v>8.0</v>
      </c>
      <c r="E113" s="2">
        <v>1265.0</v>
      </c>
      <c r="F113" s="2">
        <v>1398.0</v>
      </c>
      <c r="G113" s="2">
        <v>181000.0</v>
      </c>
    </row>
    <row r="114" ht="15.75" customHeight="1">
      <c r="A114" s="2" t="s">
        <v>372</v>
      </c>
      <c r="B114" s="2" t="s">
        <v>373</v>
      </c>
      <c r="C114" s="2" t="s">
        <v>12</v>
      </c>
      <c r="D114" s="2">
        <v>109.0</v>
      </c>
      <c r="E114" s="2">
        <v>588.0</v>
      </c>
      <c r="F114" s="2">
        <v>739.0</v>
      </c>
      <c r="G114" s="2">
        <v>55000.0</v>
      </c>
    </row>
    <row r="115" ht="15.75" customHeight="1">
      <c r="A115" s="2" t="s">
        <v>374</v>
      </c>
      <c r="B115" s="2" t="s">
        <v>375</v>
      </c>
      <c r="C115" s="2" t="s">
        <v>12</v>
      </c>
      <c r="D115" s="2">
        <v>9.0</v>
      </c>
      <c r="E115" s="2">
        <v>935.0</v>
      </c>
      <c r="F115" s="2">
        <v>1199.0</v>
      </c>
      <c r="G115" s="2">
        <v>189990.0</v>
      </c>
    </row>
    <row r="116" ht="15.75" customHeight="1">
      <c r="A116" s="2" t="s">
        <v>378</v>
      </c>
      <c r="B116" s="2" t="s">
        <v>379</v>
      </c>
      <c r="C116" s="2" t="s">
        <v>12</v>
      </c>
      <c r="D116" s="2">
        <v>20.0</v>
      </c>
      <c r="E116" s="2">
        <v>1356.0</v>
      </c>
      <c r="F116" s="2">
        <v>1331.0</v>
      </c>
      <c r="G116" s="2">
        <v>137000.0</v>
      </c>
    </row>
    <row r="117" ht="15.75" customHeight="1">
      <c r="A117" s="2" t="s">
        <v>380</v>
      </c>
      <c r="B117" s="2" t="s">
        <v>381</v>
      </c>
      <c r="C117" s="2" t="s">
        <v>12</v>
      </c>
      <c r="D117" s="2">
        <v>6.0</v>
      </c>
      <c r="E117" s="2">
        <v>545.0</v>
      </c>
      <c r="F117" s="2">
        <v>569.0</v>
      </c>
      <c r="G117" s="2">
        <v>77550.0</v>
      </c>
    </row>
    <row r="118" ht="15.75" customHeight="1">
      <c r="A118" s="2" t="s">
        <v>382</v>
      </c>
      <c r="B118" s="2" t="s">
        <v>383</v>
      </c>
      <c r="C118" s="2" t="s">
        <v>12</v>
      </c>
      <c r="D118" s="2">
        <v>8.0</v>
      </c>
      <c r="E118" s="2">
        <v>1225.0</v>
      </c>
      <c r="F118" s="2">
        <v>1325.0</v>
      </c>
      <c r="G118" s="2">
        <v>135000.0</v>
      </c>
    </row>
    <row r="119" ht="15.75" customHeight="1">
      <c r="A119" s="2" t="s">
        <v>400</v>
      </c>
      <c r="B119" s="2" t="s">
        <v>401</v>
      </c>
      <c r="C119" s="2" t="s">
        <v>12</v>
      </c>
      <c r="D119" s="2">
        <v>17.0</v>
      </c>
      <c r="E119" s="2">
        <v>1000.0</v>
      </c>
      <c r="F119" s="2">
        <v>1016.0</v>
      </c>
      <c r="G119" s="2">
        <v>108000.0</v>
      </c>
    </row>
    <row r="120" ht="15.75" customHeight="1">
      <c r="A120" s="2" t="s">
        <v>404</v>
      </c>
      <c r="B120" s="2" t="s">
        <v>407</v>
      </c>
      <c r="C120" s="2" t="s">
        <v>12</v>
      </c>
      <c r="D120" s="2">
        <v>9.0</v>
      </c>
      <c r="E120" s="2">
        <v>982.0</v>
      </c>
      <c r="F120" s="2">
        <v>1209.0</v>
      </c>
      <c r="G120" s="2">
        <v>127600.0</v>
      </c>
    </row>
    <row r="121" ht="15.75" customHeight="1">
      <c r="A121" s="2" t="s">
        <v>410</v>
      </c>
      <c r="B121" s="2" t="s">
        <v>411</v>
      </c>
      <c r="C121" s="2" t="s">
        <v>12</v>
      </c>
      <c r="D121" s="2">
        <v>16.0</v>
      </c>
      <c r="E121" s="2">
        <v>765.0</v>
      </c>
      <c r="F121" s="2">
        <v>792.0</v>
      </c>
      <c r="G121" s="2">
        <v>70000.0</v>
      </c>
    </row>
    <row r="122" ht="15.75" customHeight="1">
      <c r="A122" s="2" t="s">
        <v>414</v>
      </c>
      <c r="B122" s="2" t="s">
        <v>415</v>
      </c>
      <c r="C122" s="2" t="s">
        <v>12</v>
      </c>
      <c r="D122" s="2">
        <v>10.0</v>
      </c>
      <c r="E122" s="2">
        <v>1083.0</v>
      </c>
      <c r="F122" s="2">
        <v>1092.0</v>
      </c>
      <c r="G122" s="2">
        <v>105475.0</v>
      </c>
    </row>
    <row r="123" ht="15.75" customHeight="1">
      <c r="A123" s="2" t="s">
        <v>418</v>
      </c>
      <c r="B123" s="2" t="s">
        <v>419</v>
      </c>
      <c r="C123" s="2" t="s">
        <v>12</v>
      </c>
      <c r="D123" s="2">
        <v>31.0</v>
      </c>
      <c r="E123" s="2">
        <v>1760.0</v>
      </c>
      <c r="F123" s="2">
        <v>1809.0</v>
      </c>
      <c r="G123" s="2">
        <v>170000.0</v>
      </c>
    </row>
    <row r="124" ht="15.75" customHeight="1">
      <c r="A124" s="2" t="s">
        <v>420</v>
      </c>
      <c r="B124" s="2" t="s">
        <v>421</v>
      </c>
      <c r="C124" s="2" t="s">
        <v>12</v>
      </c>
      <c r="D124" s="2">
        <v>13.0</v>
      </c>
      <c r="E124" s="2">
        <v>884.0</v>
      </c>
      <c r="F124" s="2">
        <v>1019.0</v>
      </c>
      <c r="G124" s="2">
        <v>125000.0</v>
      </c>
    </row>
    <row r="125" ht="15.75" customHeight="1">
      <c r="A125" s="2" t="s">
        <v>424</v>
      </c>
      <c r="B125" s="2" t="s">
        <v>425</v>
      </c>
      <c r="C125" s="2" t="s">
        <v>12</v>
      </c>
      <c r="D125" s="2">
        <v>24.0</v>
      </c>
      <c r="E125" s="2">
        <v>741.0</v>
      </c>
      <c r="F125" s="2">
        <v>794.0</v>
      </c>
      <c r="G125" s="2">
        <v>82000.0</v>
      </c>
    </row>
    <row r="126" ht="15.75" customHeight="1">
      <c r="A126" s="2" t="s">
        <v>427</v>
      </c>
      <c r="B126" s="2" t="s">
        <v>429</v>
      </c>
      <c r="C126" s="2" t="s">
        <v>12</v>
      </c>
      <c r="D126" s="2">
        <v>6.0</v>
      </c>
      <c r="E126" s="2">
        <v>735.0</v>
      </c>
      <c r="F126" s="2">
        <v>814.0</v>
      </c>
      <c r="G126" s="2">
        <v>85000.0</v>
      </c>
    </row>
    <row r="127" ht="15.75" customHeight="1">
      <c r="A127" s="2" t="s">
        <v>430</v>
      </c>
      <c r="B127" s="2" t="s">
        <v>431</v>
      </c>
      <c r="C127" s="2" t="s">
        <v>12</v>
      </c>
      <c r="D127" s="2">
        <v>253.0</v>
      </c>
      <c r="E127" s="2">
        <v>1102.0</v>
      </c>
      <c r="F127" s="2">
        <v>1157.0</v>
      </c>
      <c r="G127" s="2">
        <v>84500.0</v>
      </c>
    </row>
    <row r="128" ht="15.75" customHeight="1">
      <c r="A128" s="2" t="s">
        <v>434</v>
      </c>
      <c r="B128" s="2" t="s">
        <v>436</v>
      </c>
      <c r="C128" s="2" t="s">
        <v>12</v>
      </c>
      <c r="D128" s="2">
        <v>35.0</v>
      </c>
      <c r="E128" s="2">
        <v>964.0</v>
      </c>
      <c r="F128" s="2">
        <v>1019.0</v>
      </c>
      <c r="G128" s="2">
        <v>80000.0</v>
      </c>
    </row>
    <row r="129" ht="15.75" customHeight="1">
      <c r="A129" s="2" t="s">
        <v>438</v>
      </c>
      <c r="B129" s="2" t="s">
        <v>439</v>
      </c>
      <c r="C129" s="2" t="s">
        <v>12</v>
      </c>
      <c r="D129" s="2">
        <v>9.0</v>
      </c>
      <c r="E129" s="2">
        <v>954.0</v>
      </c>
      <c r="F129" s="2">
        <v>931.0</v>
      </c>
      <c r="G129" s="2">
        <v>65500.0</v>
      </c>
    </row>
    <row r="130" ht="15.75" customHeight="1">
      <c r="A130" s="2" t="s">
        <v>446</v>
      </c>
      <c r="B130" s="2" t="s">
        <v>447</v>
      </c>
      <c r="C130" s="2" t="s">
        <v>12</v>
      </c>
      <c r="D130" s="2">
        <v>6.0</v>
      </c>
      <c r="E130" s="2">
        <v>860.0</v>
      </c>
      <c r="F130" s="2">
        <v>872.0</v>
      </c>
      <c r="G130" s="2">
        <v>84500.0</v>
      </c>
    </row>
    <row r="131" ht="15.75" customHeight="1">
      <c r="A131" s="2" t="s">
        <v>450</v>
      </c>
      <c r="B131" s="2" t="s">
        <v>451</v>
      </c>
      <c r="C131" s="2" t="s">
        <v>12</v>
      </c>
      <c r="D131" s="2">
        <v>5.0</v>
      </c>
      <c r="E131" s="2">
        <v>1480.0</v>
      </c>
      <c r="F131" s="2">
        <v>1397.0</v>
      </c>
      <c r="G131" s="2">
        <v>136200.0</v>
      </c>
    </row>
    <row r="132" ht="15.75" customHeight="1">
      <c r="A132" s="2" t="s">
        <v>454</v>
      </c>
      <c r="B132" s="2" t="s">
        <v>455</v>
      </c>
      <c r="C132" s="2" t="s">
        <v>12</v>
      </c>
      <c r="D132" s="2">
        <v>16.0</v>
      </c>
      <c r="E132" s="2">
        <v>1447.0</v>
      </c>
      <c r="F132" s="2">
        <v>1500.0</v>
      </c>
      <c r="G132" s="2">
        <v>155000.0</v>
      </c>
    </row>
    <row r="133" ht="15.75" customHeight="1">
      <c r="A133" s="2" t="s">
        <v>458</v>
      </c>
      <c r="B133" s="2" t="s">
        <v>459</v>
      </c>
      <c r="C133" s="2" t="s">
        <v>12</v>
      </c>
      <c r="D133" s="2">
        <v>14.0</v>
      </c>
      <c r="E133" s="2">
        <v>741.0</v>
      </c>
      <c r="F133" s="2">
        <v>888.0</v>
      </c>
      <c r="G133" s="2">
        <v>71700.0</v>
      </c>
    </row>
    <row r="134" ht="15.75" customHeight="1">
      <c r="A134" s="2" t="s">
        <v>462</v>
      </c>
      <c r="B134" s="2" t="s">
        <v>463</v>
      </c>
      <c r="C134" s="2" t="s">
        <v>12</v>
      </c>
      <c r="D134" s="2">
        <v>5.0</v>
      </c>
      <c r="E134" s="2">
        <v>1519.0</v>
      </c>
      <c r="F134" s="2">
        <v>1468.0</v>
      </c>
      <c r="G134" s="2">
        <v>205050.0</v>
      </c>
    </row>
    <row r="135" ht="15.75" customHeight="1">
      <c r="A135" s="2" t="s">
        <v>466</v>
      </c>
      <c r="B135" s="2" t="s">
        <v>467</v>
      </c>
      <c r="C135" s="2" t="s">
        <v>12</v>
      </c>
      <c r="D135" s="2">
        <v>6.0</v>
      </c>
      <c r="E135" s="2">
        <v>1163.0</v>
      </c>
      <c r="F135" s="2">
        <v>1232.0</v>
      </c>
      <c r="G135" s="2">
        <v>120000.0</v>
      </c>
    </row>
    <row r="136" ht="15.75" customHeight="1">
      <c r="A136" s="2" t="s">
        <v>470</v>
      </c>
      <c r="B136" s="2" t="s">
        <v>471</v>
      </c>
      <c r="C136" s="2" t="s">
        <v>12</v>
      </c>
      <c r="D136" s="2">
        <v>6.0</v>
      </c>
      <c r="E136" s="2">
        <v>1329.0</v>
      </c>
      <c r="F136" s="2">
        <v>1300.0</v>
      </c>
      <c r="G136" s="2">
        <v>123135.0</v>
      </c>
    </row>
    <row r="137" ht="15.75" customHeight="1">
      <c r="A137" s="2" t="s">
        <v>472</v>
      </c>
      <c r="B137" s="2" t="s">
        <v>475</v>
      </c>
      <c r="C137" s="2" t="s">
        <v>12</v>
      </c>
      <c r="D137" s="2">
        <v>14.0</v>
      </c>
      <c r="E137" s="2">
        <v>948.0</v>
      </c>
      <c r="F137" s="2">
        <v>917.0</v>
      </c>
      <c r="G137" s="2">
        <v>76750.0</v>
      </c>
    </row>
    <row r="138" ht="15.75" customHeight="1">
      <c r="A138" s="2" t="s">
        <v>478</v>
      </c>
      <c r="B138" s="2" t="s">
        <v>479</v>
      </c>
      <c r="C138" s="2" t="s">
        <v>12</v>
      </c>
      <c r="D138" s="2">
        <v>5.0</v>
      </c>
      <c r="E138" s="2">
        <v>1312.0</v>
      </c>
      <c r="F138" s="2">
        <v>1231.0</v>
      </c>
      <c r="G138" s="2">
        <v>100000.0</v>
      </c>
    </row>
    <row r="139" ht="15.75" customHeight="1">
      <c r="A139" s="2" t="s">
        <v>482</v>
      </c>
      <c r="B139" s="2" t="s">
        <v>483</v>
      </c>
      <c r="C139" s="2" t="s">
        <v>12</v>
      </c>
      <c r="D139" s="2">
        <v>8.0</v>
      </c>
      <c r="E139" s="2">
        <v>1185.0</v>
      </c>
      <c r="F139" s="2">
        <v>1372.0</v>
      </c>
      <c r="G139" s="2">
        <v>118845.0</v>
      </c>
    </row>
    <row r="140" ht="15.75" customHeight="1">
      <c r="A140" s="2" t="s">
        <v>484</v>
      </c>
      <c r="B140" s="2" t="s">
        <v>486</v>
      </c>
      <c r="C140" s="2" t="s">
        <v>12</v>
      </c>
      <c r="D140" s="2">
        <v>6.0</v>
      </c>
      <c r="E140" s="2">
        <v>1026.0</v>
      </c>
      <c r="F140" s="2">
        <v>1151.0</v>
      </c>
      <c r="G140" s="2">
        <v>104250.0</v>
      </c>
    </row>
    <row r="141" ht="15.75" customHeight="1">
      <c r="A141" s="2" t="s">
        <v>489</v>
      </c>
      <c r="B141" s="2" t="s">
        <v>491</v>
      </c>
      <c r="C141" s="2" t="s">
        <v>12</v>
      </c>
      <c r="D141" s="2">
        <v>5.0</v>
      </c>
      <c r="E141" s="2">
        <v>1446.0</v>
      </c>
      <c r="F141" s="2">
        <v>1375.0</v>
      </c>
      <c r="G141" s="2">
        <v>161000.0</v>
      </c>
    </row>
    <row r="142" ht="15.75" customHeight="1">
      <c r="A142" s="2" t="s">
        <v>492</v>
      </c>
      <c r="B142" s="2" t="s">
        <v>493</v>
      </c>
      <c r="C142" s="2" t="s">
        <v>12</v>
      </c>
      <c r="D142" s="2">
        <v>7.0</v>
      </c>
      <c r="E142" s="2">
        <v>1269.0</v>
      </c>
      <c r="F142" s="2">
        <v>1293.0</v>
      </c>
      <c r="G142" s="2">
        <v>215000.0</v>
      </c>
    </row>
    <row r="143" ht="15.75" customHeight="1">
      <c r="A143" s="2" t="s">
        <v>495</v>
      </c>
      <c r="B143" s="2" t="s">
        <v>496</v>
      </c>
      <c r="C143" s="2" t="s">
        <v>12</v>
      </c>
      <c r="D143" s="2">
        <v>27.0</v>
      </c>
      <c r="E143" s="2">
        <v>737.0</v>
      </c>
      <c r="F143" s="2">
        <v>809.0</v>
      </c>
      <c r="G143" s="2">
        <v>66000.0</v>
      </c>
    </row>
    <row r="144" ht="15.75" customHeight="1">
      <c r="A144" s="2" t="s">
        <v>499</v>
      </c>
      <c r="B144" s="2" t="s">
        <v>500</v>
      </c>
      <c r="C144" s="2" t="s">
        <v>12</v>
      </c>
      <c r="D144" s="2">
        <v>6.0</v>
      </c>
      <c r="E144" s="2">
        <v>1588.0</v>
      </c>
      <c r="F144" s="2">
        <v>1331.0</v>
      </c>
      <c r="G144" s="2">
        <v>126000.0</v>
      </c>
    </row>
    <row r="145" ht="15.75" customHeight="1">
      <c r="A145" s="2" t="s">
        <v>506</v>
      </c>
      <c r="B145" s="2" t="s">
        <v>507</v>
      </c>
      <c r="C145" s="2" t="s">
        <v>12</v>
      </c>
      <c r="D145" s="2">
        <v>6.0</v>
      </c>
      <c r="E145" s="2">
        <v>1012.0</v>
      </c>
      <c r="F145" s="2">
        <v>999.0</v>
      </c>
      <c r="G145" s="2">
        <v>85500.0</v>
      </c>
    </row>
    <row r="146" ht="15.75" customHeight="1">
      <c r="A146" s="2" t="s">
        <v>510</v>
      </c>
      <c r="B146" s="2" t="s">
        <v>511</v>
      </c>
      <c r="C146" s="2" t="s">
        <v>12</v>
      </c>
      <c r="D146" s="2">
        <v>8.0</v>
      </c>
      <c r="E146" s="2">
        <v>375.0</v>
      </c>
      <c r="F146" s="2">
        <v>511.0</v>
      </c>
      <c r="G146" s="2">
        <v>44000.0</v>
      </c>
    </row>
    <row r="147" ht="15.75" customHeight="1">
      <c r="A147" s="2" t="s">
        <v>514</v>
      </c>
      <c r="B147" s="2" t="s">
        <v>515</v>
      </c>
      <c r="C147" s="2" t="s">
        <v>12</v>
      </c>
      <c r="D147" s="2">
        <v>6.0</v>
      </c>
      <c r="E147" s="2">
        <v>1822.0</v>
      </c>
      <c r="F147" s="2">
        <v>1799.0</v>
      </c>
      <c r="G147" s="2">
        <v>137400.0</v>
      </c>
    </row>
    <row r="148" ht="15.75" customHeight="1">
      <c r="A148" s="2" t="s">
        <v>518</v>
      </c>
      <c r="B148" s="2" t="s">
        <v>519</v>
      </c>
      <c r="C148" s="2" t="s">
        <v>12</v>
      </c>
      <c r="D148" s="2">
        <v>5.0</v>
      </c>
      <c r="E148" s="2">
        <v>1238.0</v>
      </c>
      <c r="F148" s="2">
        <v>1843.0</v>
      </c>
      <c r="G148" s="2">
        <v>176000.0</v>
      </c>
    </row>
    <row r="149" ht="15.75" customHeight="1">
      <c r="A149" s="2" t="s">
        <v>523</v>
      </c>
      <c r="B149" s="2" t="s">
        <v>525</v>
      </c>
      <c r="C149" s="2" t="s">
        <v>12</v>
      </c>
      <c r="D149" s="2">
        <v>6.0</v>
      </c>
      <c r="E149" s="2">
        <v>1118.0</v>
      </c>
      <c r="F149" s="2">
        <v>1122.0</v>
      </c>
      <c r="G149" s="2">
        <v>139450.0</v>
      </c>
    </row>
    <row r="150" ht="15.75" customHeight="1">
      <c r="A150" s="2" t="s">
        <v>526</v>
      </c>
      <c r="B150" s="2" t="s">
        <v>527</v>
      </c>
      <c r="C150" s="2" t="s">
        <v>12</v>
      </c>
      <c r="D150" s="2">
        <v>5.0</v>
      </c>
      <c r="E150" s="2">
        <v>956.0</v>
      </c>
      <c r="F150" s="2">
        <v>1004.0</v>
      </c>
      <c r="G150" s="2">
        <v>65000.0</v>
      </c>
    </row>
    <row r="151" ht="15.75" customHeight="1">
      <c r="A151" s="2" t="s">
        <v>530</v>
      </c>
      <c r="B151" s="2" t="s">
        <v>531</v>
      </c>
      <c r="C151" s="2" t="s">
        <v>12</v>
      </c>
      <c r="D151" s="2">
        <v>10.0</v>
      </c>
      <c r="E151" s="2">
        <v>769.0</v>
      </c>
      <c r="F151" s="2">
        <v>1130.0</v>
      </c>
      <c r="G151" s="2">
        <v>69650.0</v>
      </c>
    </row>
    <row r="152" ht="15.75" customHeight="1">
      <c r="A152" s="2" t="s">
        <v>532</v>
      </c>
      <c r="B152" s="2" t="s">
        <v>533</v>
      </c>
      <c r="C152" s="2" t="s">
        <v>12</v>
      </c>
      <c r="D152" s="2">
        <v>10.0</v>
      </c>
      <c r="E152" s="2">
        <v>1103.0</v>
      </c>
      <c r="F152" s="2">
        <v>1292.0</v>
      </c>
      <c r="G152" s="2">
        <v>142000.0</v>
      </c>
    </row>
    <row r="153" ht="15.75" customHeight="1">
      <c r="A153" s="2" t="s">
        <v>536</v>
      </c>
      <c r="B153" s="2" t="s">
        <v>537</v>
      </c>
      <c r="C153" s="2" t="s">
        <v>12</v>
      </c>
      <c r="D153" s="2">
        <v>11.0</v>
      </c>
      <c r="E153" s="2">
        <v>1056.0</v>
      </c>
      <c r="F153" s="2">
        <v>1174.0</v>
      </c>
      <c r="G153" s="2">
        <v>140000.0</v>
      </c>
    </row>
    <row r="154" ht="15.75" customHeight="1">
      <c r="A154" s="2" t="s">
        <v>538</v>
      </c>
      <c r="B154" s="2" t="s">
        <v>541</v>
      </c>
      <c r="C154" s="2" t="s">
        <v>12</v>
      </c>
      <c r="D154" s="2">
        <v>5.0</v>
      </c>
      <c r="E154" s="2">
        <v>1312.0</v>
      </c>
      <c r="F154" s="2">
        <v>1208.0</v>
      </c>
      <c r="G154" s="2">
        <v>168000.0</v>
      </c>
    </row>
    <row r="155" ht="15.75" customHeight="1">
      <c r="A155" s="2" t="s">
        <v>543</v>
      </c>
      <c r="B155" s="2" t="s">
        <v>545</v>
      </c>
      <c r="C155" s="2" t="s">
        <v>12</v>
      </c>
      <c r="D155" s="2">
        <v>11.0</v>
      </c>
      <c r="E155" s="2">
        <v>938.0</v>
      </c>
      <c r="F155" s="2">
        <v>893.0</v>
      </c>
      <c r="G155" s="2">
        <v>90000.0</v>
      </c>
    </row>
    <row r="156" ht="15.75" customHeight="1">
      <c r="A156" s="2" t="s">
        <v>546</v>
      </c>
      <c r="B156" s="2" t="s">
        <v>547</v>
      </c>
      <c r="C156" s="2" t="s">
        <v>12</v>
      </c>
      <c r="D156" s="2">
        <v>7.0</v>
      </c>
      <c r="E156" s="2">
        <v>1000.0</v>
      </c>
      <c r="F156" s="2">
        <v>1142.0</v>
      </c>
      <c r="G156" s="2">
        <v>94000.0</v>
      </c>
    </row>
    <row r="157" ht="15.75" customHeight="1">
      <c r="A157" s="2" t="s">
        <v>550</v>
      </c>
      <c r="B157" s="2" t="s">
        <v>551</v>
      </c>
      <c r="C157" s="2" t="s">
        <v>12</v>
      </c>
      <c r="D157" s="2">
        <v>12.0</v>
      </c>
      <c r="E157" s="2">
        <v>677.0</v>
      </c>
      <c r="F157" s="2">
        <v>992.0</v>
      </c>
      <c r="G157" s="2">
        <v>52500.0</v>
      </c>
    </row>
    <row r="158" ht="15.75" customHeight="1">
      <c r="A158" s="2" t="s">
        <v>552</v>
      </c>
      <c r="B158" s="2" t="s">
        <v>553</v>
      </c>
      <c r="C158" s="2" t="s">
        <v>12</v>
      </c>
      <c r="D158" s="2">
        <v>15.0</v>
      </c>
      <c r="E158" s="2">
        <v>843.0</v>
      </c>
      <c r="F158" s="2">
        <v>958.0</v>
      </c>
      <c r="G158" s="2">
        <v>83000.0</v>
      </c>
    </row>
    <row r="159" ht="15.75" customHeight="1">
      <c r="A159" s="2" t="s">
        <v>554</v>
      </c>
      <c r="B159" s="2" t="s">
        <v>555</v>
      </c>
      <c r="C159" s="2" t="s">
        <v>12</v>
      </c>
      <c r="D159" s="2">
        <v>17.0</v>
      </c>
      <c r="E159" s="2">
        <v>1373.0</v>
      </c>
      <c r="F159" s="2">
        <v>1364.0</v>
      </c>
      <c r="G159" s="2">
        <v>139990.0</v>
      </c>
    </row>
    <row r="160" ht="15.75" customHeight="1">
      <c r="A160" s="2" t="s">
        <v>556</v>
      </c>
      <c r="B160" s="2" t="s">
        <v>557</v>
      </c>
      <c r="C160" s="2" t="s">
        <v>12</v>
      </c>
      <c r="D160" s="2">
        <v>5.0</v>
      </c>
      <c r="E160" s="2">
        <v>1008.0</v>
      </c>
      <c r="F160" s="2">
        <v>953.0</v>
      </c>
      <c r="G160" s="2">
        <v>127800.0</v>
      </c>
    </row>
    <row r="161" ht="15.75" customHeight="1">
      <c r="A161" s="2" t="s">
        <v>560</v>
      </c>
      <c r="B161" s="2" t="s">
        <v>561</v>
      </c>
      <c r="C161" s="2" t="s">
        <v>12</v>
      </c>
      <c r="D161" s="2">
        <v>24.0</v>
      </c>
      <c r="E161" s="2">
        <v>1695.0</v>
      </c>
      <c r="F161" s="2">
        <v>1526.0</v>
      </c>
      <c r="G161" s="2">
        <v>174750.0</v>
      </c>
    </row>
    <row r="162" ht="15.75" customHeight="1">
      <c r="A162" s="2" t="s">
        <v>562</v>
      </c>
      <c r="B162" s="2" t="s">
        <v>565</v>
      </c>
      <c r="C162" s="2" t="s">
        <v>12</v>
      </c>
      <c r="D162" s="2">
        <v>12.0</v>
      </c>
      <c r="E162" s="2">
        <v>647.0</v>
      </c>
      <c r="F162" s="2">
        <v>714.0</v>
      </c>
      <c r="G162" s="2">
        <v>72500.0</v>
      </c>
    </row>
    <row r="163" ht="15.75" customHeight="1">
      <c r="A163" s="2" t="s">
        <v>567</v>
      </c>
      <c r="B163" s="2" t="s">
        <v>569</v>
      </c>
      <c r="C163" s="2" t="s">
        <v>12</v>
      </c>
      <c r="D163" s="2">
        <v>9.0</v>
      </c>
      <c r="E163" s="2">
        <v>1413.0</v>
      </c>
      <c r="F163" s="2">
        <v>1209.0</v>
      </c>
      <c r="G163" s="2">
        <v>130000.0</v>
      </c>
    </row>
    <row r="164" ht="15.75" customHeight="1">
      <c r="A164" s="2" t="s">
        <v>571</v>
      </c>
      <c r="B164" s="2" t="s">
        <v>573</v>
      </c>
      <c r="C164" s="2" t="s">
        <v>12</v>
      </c>
      <c r="D164" s="2">
        <v>8.0</v>
      </c>
      <c r="E164" s="2">
        <v>1590.0</v>
      </c>
      <c r="F164" s="2">
        <v>1466.0</v>
      </c>
      <c r="G164" s="2">
        <v>170200.0</v>
      </c>
    </row>
    <row r="165" ht="15.75" customHeight="1">
      <c r="A165" s="2" t="s">
        <v>574</v>
      </c>
      <c r="B165" s="2" t="s">
        <v>575</v>
      </c>
      <c r="C165" s="2" t="s">
        <v>12</v>
      </c>
      <c r="D165" s="2">
        <v>6.0</v>
      </c>
      <c r="E165" s="2">
        <v>1354.0</v>
      </c>
      <c r="F165" s="2">
        <v>1352.0</v>
      </c>
      <c r="G165" s="2">
        <v>118000.0</v>
      </c>
    </row>
    <row r="166" ht="15.75" customHeight="1">
      <c r="A166" s="2" t="s">
        <v>576</v>
      </c>
      <c r="B166" s="2" t="s">
        <v>577</v>
      </c>
      <c r="C166" s="2" t="s">
        <v>12</v>
      </c>
      <c r="D166" s="2">
        <v>7.0</v>
      </c>
      <c r="E166" s="2">
        <v>1241.0</v>
      </c>
      <c r="F166" s="2">
        <v>1458.0</v>
      </c>
      <c r="G166" s="2">
        <v>164000.0</v>
      </c>
    </row>
    <row r="167" ht="15.75" customHeight="1">
      <c r="A167" s="2" t="s">
        <v>580</v>
      </c>
      <c r="B167" s="2" t="s">
        <v>581</v>
      </c>
      <c r="C167" s="2" t="s">
        <v>12</v>
      </c>
      <c r="D167" s="2">
        <v>5.0</v>
      </c>
      <c r="E167" s="2">
        <v>1324.0</v>
      </c>
      <c r="F167" s="2">
        <v>1533.0</v>
      </c>
      <c r="G167" s="2">
        <v>127600.0</v>
      </c>
    </row>
    <row r="168" ht="15.75" customHeight="1">
      <c r="A168" s="2" t="s">
        <v>584</v>
      </c>
      <c r="B168" s="2" t="s">
        <v>585</v>
      </c>
      <c r="C168" s="2" t="s">
        <v>12</v>
      </c>
      <c r="D168" s="2">
        <v>23.0</v>
      </c>
      <c r="E168" s="2">
        <v>1158.0</v>
      </c>
      <c r="F168" s="2">
        <v>1182.0</v>
      </c>
      <c r="G168" s="2">
        <v>138000.0</v>
      </c>
    </row>
    <row r="169" ht="15.75" customHeight="1">
      <c r="A169" s="2" t="s">
        <v>588</v>
      </c>
      <c r="B169" s="2" t="s">
        <v>589</v>
      </c>
      <c r="C169" s="2" t="s">
        <v>12</v>
      </c>
      <c r="D169" s="2">
        <v>6.0</v>
      </c>
      <c r="E169" s="2">
        <v>769.0</v>
      </c>
      <c r="F169" s="2">
        <v>764.0</v>
      </c>
      <c r="G169" s="2">
        <v>87500.0</v>
      </c>
    </row>
    <row r="170" ht="15.75" customHeight="1">
      <c r="A170" s="2" t="s">
        <v>590</v>
      </c>
      <c r="B170" s="2" t="s">
        <v>591</v>
      </c>
      <c r="C170" s="2" t="s">
        <v>12</v>
      </c>
      <c r="D170" s="2">
        <v>16.0</v>
      </c>
      <c r="E170" s="2">
        <v>1327.0</v>
      </c>
      <c r="F170" s="2">
        <v>1441.0</v>
      </c>
      <c r="G170" s="2">
        <v>140000.0</v>
      </c>
    </row>
    <row r="171" ht="15.75" customHeight="1">
      <c r="A171" s="2" t="s">
        <v>594</v>
      </c>
      <c r="B171" s="2" t="s">
        <v>595</v>
      </c>
      <c r="C171" s="2" t="s">
        <v>12</v>
      </c>
      <c r="D171" s="2">
        <v>33.0</v>
      </c>
      <c r="E171" s="2">
        <v>1433.0</v>
      </c>
      <c r="F171" s="2">
        <v>1620.0</v>
      </c>
      <c r="G171" s="2">
        <v>169000.0</v>
      </c>
    </row>
    <row r="172" ht="15.75" customHeight="1">
      <c r="A172" s="2" t="s">
        <v>598</v>
      </c>
      <c r="B172" s="2" t="s">
        <v>599</v>
      </c>
      <c r="C172" s="2" t="s">
        <v>12</v>
      </c>
      <c r="D172" s="2">
        <v>11.0</v>
      </c>
      <c r="E172" s="2">
        <v>2153.0</v>
      </c>
      <c r="F172" s="2">
        <v>2049.0</v>
      </c>
      <c r="G172" s="2">
        <v>187000.0</v>
      </c>
    </row>
    <row r="173" ht="15.75" customHeight="1">
      <c r="A173" s="2" t="s">
        <v>602</v>
      </c>
      <c r="B173" s="2" t="s">
        <v>603</v>
      </c>
      <c r="C173" s="2" t="s">
        <v>12</v>
      </c>
      <c r="D173" s="2">
        <v>5.0</v>
      </c>
      <c r="E173" s="2">
        <v>929.0</v>
      </c>
      <c r="F173" s="2">
        <v>947.0</v>
      </c>
      <c r="G173" s="2">
        <v>85000.0</v>
      </c>
    </row>
    <row r="174" ht="15.75" customHeight="1">
      <c r="A174" s="2" t="s">
        <v>604</v>
      </c>
      <c r="B174" s="2" t="s">
        <v>606</v>
      </c>
      <c r="C174" s="2" t="s">
        <v>12</v>
      </c>
      <c r="D174" s="2">
        <v>6.0</v>
      </c>
      <c r="E174" s="2">
        <v>873.0</v>
      </c>
      <c r="F174" s="2">
        <v>1264.0</v>
      </c>
      <c r="G174" s="2">
        <v>124450.0</v>
      </c>
    </row>
    <row r="175" ht="15.75" customHeight="1">
      <c r="A175" s="2" t="s">
        <v>608</v>
      </c>
      <c r="B175" s="2" t="s">
        <v>610</v>
      </c>
      <c r="C175" s="2" t="s">
        <v>12</v>
      </c>
      <c r="D175" s="2">
        <v>18.0</v>
      </c>
      <c r="E175" s="2">
        <v>1408.0</v>
      </c>
      <c r="F175" s="2">
        <v>1298.0</v>
      </c>
      <c r="G175" s="2">
        <v>129500.0</v>
      </c>
    </row>
    <row r="176" ht="15.75" customHeight="1">
      <c r="A176" s="2" t="s">
        <v>613</v>
      </c>
      <c r="B176" s="2" t="s">
        <v>615</v>
      </c>
      <c r="C176" s="2" t="s">
        <v>12</v>
      </c>
      <c r="D176" s="2">
        <v>5.0</v>
      </c>
      <c r="E176" s="2">
        <v>1048.0</v>
      </c>
      <c r="F176" s="2">
        <v>938.0</v>
      </c>
      <c r="G176" s="2">
        <v>110000.0</v>
      </c>
    </row>
    <row r="177" ht="15.75" customHeight="1">
      <c r="A177" s="2" t="s">
        <v>617</v>
      </c>
      <c r="B177" s="2" t="s">
        <v>619</v>
      </c>
      <c r="C177" s="2" t="s">
        <v>12</v>
      </c>
      <c r="D177" s="2">
        <v>17.0</v>
      </c>
      <c r="E177" s="2">
        <v>731.0</v>
      </c>
      <c r="F177" s="2">
        <v>749.0</v>
      </c>
      <c r="G177" s="2">
        <v>72000.0</v>
      </c>
    </row>
    <row r="178" ht="15.75" customHeight="1">
      <c r="A178" s="2" t="s">
        <v>620</v>
      </c>
      <c r="B178" s="2" t="s">
        <v>621</v>
      </c>
      <c r="C178" s="2" t="s">
        <v>12</v>
      </c>
      <c r="D178" s="2">
        <v>12.0</v>
      </c>
      <c r="E178" s="2">
        <v>708.0</v>
      </c>
      <c r="F178" s="2">
        <v>731.0</v>
      </c>
      <c r="G178" s="2">
        <v>87795.0</v>
      </c>
    </row>
    <row r="179" ht="15.75" customHeight="1">
      <c r="A179" s="2" t="s">
        <v>624</v>
      </c>
      <c r="B179" s="2" t="s">
        <v>625</v>
      </c>
      <c r="C179" s="2" t="s">
        <v>12</v>
      </c>
      <c r="D179" s="2">
        <v>6.0</v>
      </c>
      <c r="E179" s="2">
        <v>1128.0</v>
      </c>
      <c r="F179" s="2">
        <v>1275.0</v>
      </c>
      <c r="G179" s="2">
        <v>214875.0</v>
      </c>
    </row>
    <row r="180" ht="15.75" customHeight="1">
      <c r="A180" s="2" t="s">
        <v>628</v>
      </c>
      <c r="B180" s="2" t="s">
        <v>629</v>
      </c>
      <c r="C180" s="2" t="s">
        <v>12</v>
      </c>
      <c r="D180" s="2">
        <v>9.0</v>
      </c>
      <c r="E180" s="2">
        <v>1302.0</v>
      </c>
      <c r="F180" s="2">
        <v>1363.0</v>
      </c>
      <c r="G180" s="2">
        <v>120000.0</v>
      </c>
    </row>
    <row r="181" ht="15.75" customHeight="1">
      <c r="A181" s="2" t="s">
        <v>630</v>
      </c>
      <c r="B181" s="2" t="s">
        <v>631</v>
      </c>
      <c r="C181" s="2" t="s">
        <v>12</v>
      </c>
      <c r="D181" s="2">
        <v>11.0</v>
      </c>
      <c r="E181" s="2">
        <v>1510.0</v>
      </c>
      <c r="F181" s="2">
        <v>1432.0</v>
      </c>
      <c r="G181" s="2">
        <v>150000.0</v>
      </c>
    </row>
    <row r="182" ht="15.75" customHeight="1">
      <c r="A182" s="2" t="s">
        <v>634</v>
      </c>
      <c r="B182" s="2" t="s">
        <v>636</v>
      </c>
      <c r="C182" s="2" t="s">
        <v>12</v>
      </c>
      <c r="D182" s="2">
        <v>10.0</v>
      </c>
      <c r="E182" s="2">
        <v>1158.0</v>
      </c>
      <c r="F182" s="2">
        <v>1524.0</v>
      </c>
      <c r="G182" s="2">
        <v>112500.0</v>
      </c>
    </row>
    <row r="183" ht="15.75" customHeight="1">
      <c r="A183" s="2" t="s">
        <v>639</v>
      </c>
      <c r="B183" s="2" t="s">
        <v>640</v>
      </c>
      <c r="C183" s="2" t="s">
        <v>12</v>
      </c>
      <c r="D183" s="2">
        <v>19.0</v>
      </c>
      <c r="E183" s="2">
        <v>1297.0</v>
      </c>
      <c r="F183" s="2">
        <v>1331.0</v>
      </c>
      <c r="G183" s="2">
        <v>106900.0</v>
      </c>
    </row>
    <row r="184" ht="15.75" customHeight="1">
      <c r="A184" s="2" t="s">
        <v>642</v>
      </c>
      <c r="B184" s="2" t="s">
        <v>643</v>
      </c>
      <c r="C184" s="2" t="s">
        <v>12</v>
      </c>
      <c r="D184" s="2">
        <v>8.0</v>
      </c>
      <c r="E184" s="2">
        <v>602.0</v>
      </c>
      <c r="F184" s="2">
        <v>715.0</v>
      </c>
      <c r="G184" s="2">
        <v>52050.0</v>
      </c>
    </row>
    <row r="185" ht="15.75" customHeight="1">
      <c r="A185" s="2" t="s">
        <v>644</v>
      </c>
      <c r="B185" s="2" t="s">
        <v>645</v>
      </c>
      <c r="C185" s="2" t="s">
        <v>12</v>
      </c>
      <c r="D185" s="2">
        <v>9.0</v>
      </c>
      <c r="E185" s="2">
        <v>1481.0</v>
      </c>
      <c r="F185" s="2">
        <v>1388.0</v>
      </c>
      <c r="G185" s="2">
        <v>135000.0</v>
      </c>
    </row>
    <row r="186" ht="15.75" customHeight="1">
      <c r="A186" s="2" t="s">
        <v>648</v>
      </c>
      <c r="B186" s="2" t="s">
        <v>649</v>
      </c>
      <c r="C186" s="2" t="s">
        <v>12</v>
      </c>
      <c r="D186" s="2">
        <v>5.0</v>
      </c>
      <c r="E186" s="2">
        <v>1736.0</v>
      </c>
      <c r="F186" s="2">
        <v>1568.0</v>
      </c>
      <c r="G186" s="2">
        <v>126700.0</v>
      </c>
    </row>
    <row r="187" ht="15.75" customHeight="1">
      <c r="A187" s="2" t="s">
        <v>650</v>
      </c>
      <c r="B187" s="2" t="s">
        <v>651</v>
      </c>
      <c r="C187" s="2" t="s">
        <v>12</v>
      </c>
      <c r="D187" s="2">
        <v>7.0</v>
      </c>
      <c r="E187" s="2">
        <v>1221.0</v>
      </c>
      <c r="F187" s="2">
        <v>1161.0</v>
      </c>
      <c r="G187" s="2">
        <v>180000.0</v>
      </c>
    </row>
    <row r="188" ht="15.75" customHeight="1">
      <c r="A188" s="2" t="s">
        <v>652</v>
      </c>
      <c r="B188" s="2" t="s">
        <v>654</v>
      </c>
      <c r="C188" s="2" t="s">
        <v>12</v>
      </c>
      <c r="D188" s="2">
        <v>5.0</v>
      </c>
      <c r="E188" s="2">
        <v>682.0</v>
      </c>
      <c r="F188" s="2">
        <v>933.0</v>
      </c>
      <c r="G188" s="2">
        <v>64000.0</v>
      </c>
    </row>
    <row r="189" ht="15.75" customHeight="1">
      <c r="A189" s="2" t="s">
        <v>656</v>
      </c>
      <c r="B189" s="2" t="s">
        <v>657</v>
      </c>
      <c r="C189" s="2" t="s">
        <v>12</v>
      </c>
      <c r="D189" s="2">
        <v>9.0</v>
      </c>
      <c r="E189" s="2">
        <v>1222.0</v>
      </c>
      <c r="F189" s="2">
        <v>1146.0</v>
      </c>
      <c r="G189" s="2">
        <v>100000.0</v>
      </c>
    </row>
    <row r="190" ht="15.75" customHeight="1">
      <c r="A190" s="2" t="s">
        <v>658</v>
      </c>
      <c r="B190" s="2" t="s">
        <v>659</v>
      </c>
      <c r="C190" s="2" t="s">
        <v>12</v>
      </c>
      <c r="D190" s="2">
        <v>10.0</v>
      </c>
      <c r="E190" s="2">
        <v>842.0</v>
      </c>
      <c r="F190" s="2">
        <v>1176.0</v>
      </c>
      <c r="G190" s="2">
        <v>90000.0</v>
      </c>
    </row>
    <row r="191" ht="15.75" customHeight="1">
      <c r="A191" s="2" t="s">
        <v>660</v>
      </c>
      <c r="B191" s="2" t="s">
        <v>661</v>
      </c>
      <c r="C191" s="2" t="s">
        <v>12</v>
      </c>
      <c r="D191" s="2">
        <v>5.0</v>
      </c>
      <c r="E191" s="2">
        <v>909.0</v>
      </c>
      <c r="F191" s="2">
        <v>966.0</v>
      </c>
      <c r="G191" s="2">
        <v>125500.0</v>
      </c>
    </row>
    <row r="192" ht="15.75" customHeight="1">
      <c r="A192" s="2" t="s">
        <v>662</v>
      </c>
      <c r="B192" s="2" t="s">
        <v>663</v>
      </c>
      <c r="C192" s="2" t="s">
        <v>12</v>
      </c>
      <c r="D192" s="2">
        <v>6.0</v>
      </c>
      <c r="E192" s="2">
        <v>778.0</v>
      </c>
      <c r="F192" s="2">
        <v>1090.0</v>
      </c>
      <c r="G192" s="2">
        <v>127500.0</v>
      </c>
    </row>
    <row r="193" ht="15.75" customHeight="1">
      <c r="A193" s="2" t="s">
        <v>666</v>
      </c>
      <c r="B193" s="2" t="s">
        <v>667</v>
      </c>
      <c r="C193" s="2" t="s">
        <v>12</v>
      </c>
      <c r="D193" s="2">
        <v>8.0</v>
      </c>
      <c r="E193" s="2">
        <v>1237.0</v>
      </c>
      <c r="F193" s="2">
        <v>1351.0</v>
      </c>
      <c r="G193" s="2">
        <v>141250.0</v>
      </c>
    </row>
    <row r="194" ht="15.75" customHeight="1">
      <c r="A194" s="2" t="s">
        <v>670</v>
      </c>
      <c r="B194" s="2" t="s">
        <v>671</v>
      </c>
      <c r="C194" s="2" t="s">
        <v>12</v>
      </c>
      <c r="D194" s="2">
        <v>27.0</v>
      </c>
      <c r="E194" s="2">
        <v>864.0</v>
      </c>
      <c r="F194" s="2">
        <v>928.0</v>
      </c>
      <c r="G194" s="2">
        <v>87500.0</v>
      </c>
    </row>
    <row r="195" ht="15.75" customHeight="1">
      <c r="A195" s="2" t="s">
        <v>674</v>
      </c>
      <c r="B195" s="2" t="s">
        <v>675</v>
      </c>
      <c r="C195" s="2" t="s">
        <v>12</v>
      </c>
      <c r="D195" s="2">
        <v>6.0</v>
      </c>
      <c r="E195" s="2">
        <v>1481.0</v>
      </c>
      <c r="F195" s="2">
        <v>1657.0</v>
      </c>
      <c r="G195" s="2">
        <v>207000.0</v>
      </c>
    </row>
    <row r="196" ht="15.75" customHeight="1">
      <c r="A196" s="2" t="s">
        <v>678</v>
      </c>
      <c r="B196" s="2" t="s">
        <v>679</v>
      </c>
      <c r="C196" s="2" t="s">
        <v>12</v>
      </c>
      <c r="D196" s="2">
        <v>6.0</v>
      </c>
      <c r="E196" s="2">
        <v>1407.0</v>
      </c>
      <c r="F196" s="2">
        <v>1211.0</v>
      </c>
      <c r="G196" s="2">
        <v>101000.0</v>
      </c>
    </row>
    <row r="197" ht="15.75" customHeight="1">
      <c r="A197" s="2" t="s">
        <v>680</v>
      </c>
      <c r="B197" s="2" t="s">
        <v>681</v>
      </c>
      <c r="C197" s="2" t="s">
        <v>12</v>
      </c>
      <c r="D197" s="2">
        <v>8.0</v>
      </c>
      <c r="E197" s="2">
        <v>955.0</v>
      </c>
      <c r="F197" s="2">
        <v>1084.0</v>
      </c>
      <c r="G197" s="2">
        <v>143000.0</v>
      </c>
    </row>
    <row r="198" ht="15.75" customHeight="1">
      <c r="A198" s="2" t="s">
        <v>683</v>
      </c>
      <c r="B198" s="2" t="s">
        <v>684</v>
      </c>
      <c r="C198" s="2" t="s">
        <v>12</v>
      </c>
      <c r="D198" s="2">
        <v>16.0</v>
      </c>
      <c r="E198" s="2">
        <v>468.0</v>
      </c>
      <c r="F198" s="2">
        <v>480.0</v>
      </c>
      <c r="G198" s="2">
        <v>49500.0</v>
      </c>
    </row>
    <row r="199" ht="15.75" customHeight="1">
      <c r="A199" s="2" t="s">
        <v>688</v>
      </c>
      <c r="B199" s="2" t="s">
        <v>690</v>
      </c>
      <c r="C199" s="2" t="s">
        <v>12</v>
      </c>
      <c r="D199" s="2">
        <v>5.0</v>
      </c>
      <c r="E199" s="2">
        <v>863.0</v>
      </c>
      <c r="F199" s="2">
        <v>782.0</v>
      </c>
      <c r="G199" s="2">
        <v>95000.0</v>
      </c>
    </row>
    <row r="200" ht="15.75" customHeight="1">
      <c r="A200" s="2" t="s">
        <v>694</v>
      </c>
      <c r="B200" s="2" t="s">
        <v>695</v>
      </c>
      <c r="C200" s="2" t="s">
        <v>12</v>
      </c>
      <c r="D200" s="2">
        <v>15.0</v>
      </c>
      <c r="E200" s="2">
        <v>787.0</v>
      </c>
      <c r="F200" s="2">
        <v>834.0</v>
      </c>
      <c r="G200" s="2">
        <v>79999.0</v>
      </c>
    </row>
    <row r="201" ht="15.75" customHeight="1">
      <c r="A201" s="2" t="s">
        <v>698</v>
      </c>
      <c r="B201" s="2" t="s">
        <v>699</v>
      </c>
      <c r="C201" s="2" t="s">
        <v>12</v>
      </c>
      <c r="D201" s="2">
        <v>5.0</v>
      </c>
      <c r="E201" s="2">
        <v>726.0</v>
      </c>
      <c r="F201" s="2">
        <v>776.0</v>
      </c>
      <c r="G201" s="2">
        <v>120000.0</v>
      </c>
    </row>
    <row r="202" ht="15.75" customHeight="1">
      <c r="A202" s="2" t="s">
        <v>700</v>
      </c>
      <c r="B202" s="2" t="s">
        <v>701</v>
      </c>
      <c r="C202" s="2" t="s">
        <v>12</v>
      </c>
      <c r="D202" s="2">
        <v>14.0</v>
      </c>
      <c r="E202" s="2">
        <v>1057.0</v>
      </c>
      <c r="F202" s="2">
        <v>999.0</v>
      </c>
      <c r="G202" s="2">
        <v>115500.0</v>
      </c>
    </row>
    <row r="203" ht="15.75" customHeight="1">
      <c r="A203" s="2" t="s">
        <v>702</v>
      </c>
      <c r="B203" s="2" t="s">
        <v>703</v>
      </c>
      <c r="C203" s="2" t="s">
        <v>12</v>
      </c>
      <c r="D203" s="2">
        <v>22.0</v>
      </c>
      <c r="E203" s="2">
        <v>1073.0</v>
      </c>
      <c r="F203" s="2">
        <v>991.0</v>
      </c>
      <c r="G203" s="2">
        <v>77000.0</v>
      </c>
    </row>
    <row r="204" ht="15.75" customHeight="1">
      <c r="A204" s="2" t="s">
        <v>706</v>
      </c>
      <c r="B204" s="2" t="s">
        <v>707</v>
      </c>
      <c r="C204" s="2" t="s">
        <v>12</v>
      </c>
      <c r="D204" s="2">
        <v>35.0</v>
      </c>
      <c r="E204" s="2">
        <v>630.0</v>
      </c>
      <c r="F204" s="2">
        <v>753.0</v>
      </c>
      <c r="G204" s="2">
        <v>85000.0</v>
      </c>
    </row>
    <row r="205" ht="15.75" customHeight="1">
      <c r="A205" s="2" t="s">
        <v>709</v>
      </c>
      <c r="B205" s="2" t="s">
        <v>710</v>
      </c>
      <c r="C205" s="2" t="s">
        <v>12</v>
      </c>
      <c r="D205" s="2">
        <v>661.0</v>
      </c>
      <c r="E205" s="2">
        <v>1070.0</v>
      </c>
      <c r="F205" s="2">
        <v>1131.0</v>
      </c>
      <c r="G205" s="2">
        <v>85000.0</v>
      </c>
    </row>
    <row r="206" ht="15.75" customHeight="1">
      <c r="A206" s="2" t="s">
        <v>711</v>
      </c>
      <c r="B206" s="2" t="s">
        <v>713</v>
      </c>
      <c r="C206" s="2" t="s">
        <v>12</v>
      </c>
      <c r="D206" s="2">
        <v>9.0</v>
      </c>
      <c r="E206" s="2">
        <v>870.0</v>
      </c>
      <c r="F206" s="2">
        <v>1054.0</v>
      </c>
      <c r="G206" s="2">
        <v>77500.0</v>
      </c>
    </row>
    <row r="207" ht="15.75" customHeight="1">
      <c r="A207" s="2" t="s">
        <v>715</v>
      </c>
      <c r="B207" s="2" t="s">
        <v>717</v>
      </c>
      <c r="C207" s="2" t="s">
        <v>12</v>
      </c>
      <c r="D207" s="2">
        <v>9.0</v>
      </c>
      <c r="E207" s="2">
        <v>1316.0</v>
      </c>
      <c r="F207" s="2">
        <v>1358.0</v>
      </c>
      <c r="G207" s="2">
        <v>115000.0</v>
      </c>
    </row>
    <row r="208" ht="15.75" customHeight="1">
      <c r="A208" s="2" t="s">
        <v>720</v>
      </c>
      <c r="B208" s="2" t="s">
        <v>721</v>
      </c>
      <c r="C208" s="2" t="s">
        <v>12</v>
      </c>
      <c r="D208" s="2">
        <v>10.0</v>
      </c>
      <c r="E208" s="2">
        <v>843.0</v>
      </c>
      <c r="F208" s="2">
        <v>860.0</v>
      </c>
      <c r="G208" s="2">
        <v>87500.0</v>
      </c>
    </row>
    <row r="209" ht="15.75" customHeight="1">
      <c r="A209" s="2" t="s">
        <v>724</v>
      </c>
      <c r="B209" s="2" t="s">
        <v>725</v>
      </c>
      <c r="C209" s="2" t="s">
        <v>12</v>
      </c>
      <c r="D209" s="2">
        <v>8.0</v>
      </c>
      <c r="E209" s="2">
        <v>1443.0</v>
      </c>
      <c r="F209" s="2">
        <v>1555.0</v>
      </c>
      <c r="G209" s="2">
        <v>152500.0</v>
      </c>
    </row>
    <row r="210" ht="15.75" customHeight="1">
      <c r="A210" s="2" t="s">
        <v>726</v>
      </c>
      <c r="B210" s="2" t="s">
        <v>727</v>
      </c>
      <c r="C210" s="2" t="s">
        <v>12</v>
      </c>
      <c r="D210" s="2">
        <v>34.0</v>
      </c>
      <c r="E210" s="2">
        <v>1102.0</v>
      </c>
      <c r="F210" s="2">
        <v>1130.0</v>
      </c>
      <c r="G210" s="2">
        <v>92500.0</v>
      </c>
    </row>
    <row r="211" ht="15.75" customHeight="1">
      <c r="A211" s="2" t="s">
        <v>728</v>
      </c>
      <c r="B211" s="2" t="s">
        <v>729</v>
      </c>
      <c r="C211" s="2" t="s">
        <v>12</v>
      </c>
      <c r="D211" s="2">
        <v>20.0</v>
      </c>
      <c r="E211" s="2">
        <v>785.0</v>
      </c>
      <c r="F211" s="2">
        <v>807.0</v>
      </c>
      <c r="G211" s="2">
        <v>104875.0</v>
      </c>
    </row>
    <row r="212" ht="15.75" customHeight="1">
      <c r="A212" s="2" t="s">
        <v>732</v>
      </c>
      <c r="B212" s="2" t="s">
        <v>734</v>
      </c>
      <c r="C212" s="2" t="s">
        <v>12</v>
      </c>
      <c r="D212" s="2">
        <v>7.0</v>
      </c>
      <c r="E212" s="2">
        <v>1141.0</v>
      </c>
      <c r="F212" s="2">
        <v>1247.0</v>
      </c>
      <c r="G212" s="2">
        <v>150260.0</v>
      </c>
    </row>
    <row r="213" ht="15.75" customHeight="1">
      <c r="A213" s="2" t="s">
        <v>736</v>
      </c>
      <c r="B213" s="2" t="s">
        <v>738</v>
      </c>
      <c r="C213" s="2" t="s">
        <v>12</v>
      </c>
      <c r="D213" s="2">
        <v>295.0</v>
      </c>
      <c r="E213" s="2">
        <v>1619.0</v>
      </c>
      <c r="F213" s="2">
        <v>1649.0</v>
      </c>
      <c r="G213" s="2">
        <v>128900.0</v>
      </c>
    </row>
    <row r="214" ht="15.75" customHeight="1">
      <c r="A214" s="2" t="s">
        <v>740</v>
      </c>
      <c r="B214" s="2" t="s">
        <v>741</v>
      </c>
      <c r="C214" s="2" t="s">
        <v>12</v>
      </c>
      <c r="D214" s="2">
        <v>6.0</v>
      </c>
      <c r="E214" s="2">
        <v>1111.0</v>
      </c>
      <c r="F214" s="2">
        <v>1177.0</v>
      </c>
      <c r="G214" s="2">
        <v>145700.0</v>
      </c>
    </row>
    <row r="215" ht="15.75" customHeight="1">
      <c r="A215" s="2" t="s">
        <v>742</v>
      </c>
      <c r="B215" s="2" t="s">
        <v>743</v>
      </c>
      <c r="C215" s="2" t="s">
        <v>12</v>
      </c>
      <c r="D215" s="2">
        <v>5.0</v>
      </c>
      <c r="E215" s="2">
        <v>954.0</v>
      </c>
      <c r="F215" s="2">
        <v>1286.0</v>
      </c>
      <c r="G215" s="2">
        <v>144000.0</v>
      </c>
    </row>
    <row r="216" ht="15.75" customHeight="1">
      <c r="A216" s="2" t="s">
        <v>745</v>
      </c>
      <c r="B216" s="2" t="s">
        <v>746</v>
      </c>
      <c r="C216" s="2" t="s">
        <v>12</v>
      </c>
      <c r="D216" s="2">
        <v>138.0</v>
      </c>
      <c r="E216" s="2">
        <v>1068.0</v>
      </c>
      <c r="F216" s="2">
        <v>1099.0</v>
      </c>
      <c r="G216" s="2">
        <v>85000.0</v>
      </c>
    </row>
    <row r="217" ht="15.75" customHeight="1">
      <c r="A217" s="2" t="s">
        <v>750</v>
      </c>
      <c r="B217" s="2" t="s">
        <v>751</v>
      </c>
      <c r="C217" s="2" t="s">
        <v>12</v>
      </c>
      <c r="D217" s="2">
        <v>6.0</v>
      </c>
      <c r="E217" s="2">
        <v>788.0</v>
      </c>
      <c r="F217" s="2">
        <v>830.0</v>
      </c>
      <c r="G217" s="2">
        <v>62500.0</v>
      </c>
    </row>
    <row r="218" ht="15.75" customHeight="1">
      <c r="A218" s="2" t="s">
        <v>754</v>
      </c>
      <c r="B218" s="2" t="s">
        <v>755</v>
      </c>
      <c r="C218" s="2" t="s">
        <v>12</v>
      </c>
      <c r="D218" s="2">
        <v>5.0</v>
      </c>
      <c r="E218" s="2">
        <v>978.0</v>
      </c>
      <c r="F218" s="2">
        <v>1150.0</v>
      </c>
      <c r="G218" s="2">
        <v>90000.0</v>
      </c>
    </row>
    <row r="219" ht="15.75" customHeight="1">
      <c r="A219" s="2" t="s">
        <v>756</v>
      </c>
      <c r="B219" s="2" t="s">
        <v>757</v>
      </c>
      <c r="C219" s="2" t="s">
        <v>12</v>
      </c>
      <c r="D219" s="2">
        <v>5.0</v>
      </c>
      <c r="E219" s="2">
        <v>1038.0</v>
      </c>
      <c r="F219" s="2">
        <v>1159.0</v>
      </c>
      <c r="G219" s="2">
        <v>55000.0</v>
      </c>
    </row>
    <row r="220" ht="15.75" customHeight="1">
      <c r="A220" s="2" t="s">
        <v>760</v>
      </c>
      <c r="B220" s="2" t="s">
        <v>761</v>
      </c>
      <c r="C220" s="2" t="s">
        <v>12</v>
      </c>
      <c r="D220" s="2">
        <v>13.0</v>
      </c>
      <c r="E220" s="2">
        <v>1086.0</v>
      </c>
      <c r="F220" s="2">
        <v>1365.0</v>
      </c>
      <c r="G220" s="2">
        <v>140000.0</v>
      </c>
    </row>
    <row r="221" ht="15.75" customHeight="1">
      <c r="A221" s="2" t="s">
        <v>762</v>
      </c>
      <c r="B221" s="2" t="s">
        <v>763</v>
      </c>
      <c r="C221" s="2" t="s">
        <v>12</v>
      </c>
      <c r="D221" s="2">
        <v>9.0</v>
      </c>
      <c r="E221" s="2">
        <v>795.0</v>
      </c>
      <c r="F221" s="2">
        <v>903.0</v>
      </c>
      <c r="G221" s="2">
        <v>85000.0</v>
      </c>
    </row>
    <row r="222" ht="15.75" customHeight="1">
      <c r="A222" s="2" t="s">
        <v>764</v>
      </c>
      <c r="B222" s="2" t="s">
        <v>765</v>
      </c>
      <c r="C222" s="2" t="s">
        <v>12</v>
      </c>
      <c r="D222" s="2">
        <v>6.0</v>
      </c>
      <c r="E222" s="2">
        <v>476.0</v>
      </c>
      <c r="F222" s="2">
        <v>490.0</v>
      </c>
      <c r="G222" s="2">
        <v>72500.0</v>
      </c>
    </row>
    <row r="223" ht="15.75" customHeight="1">
      <c r="A223" s="2" t="s">
        <v>766</v>
      </c>
      <c r="B223" s="2" t="s">
        <v>767</v>
      </c>
      <c r="C223" s="2" t="s">
        <v>12</v>
      </c>
      <c r="D223" s="2">
        <v>24.0</v>
      </c>
      <c r="E223" s="2">
        <v>1340.0</v>
      </c>
      <c r="F223" s="2">
        <v>1391.0</v>
      </c>
      <c r="G223" s="2">
        <v>122500.0</v>
      </c>
    </row>
    <row r="224" ht="15.75" customHeight="1">
      <c r="A224" s="2" t="s">
        <v>326</v>
      </c>
      <c r="B224" s="2" t="s">
        <v>327</v>
      </c>
      <c r="C224" s="2" t="s">
        <v>12</v>
      </c>
      <c r="D224" s="2">
        <v>5.0</v>
      </c>
      <c r="E224" s="2">
        <v>743.0</v>
      </c>
      <c r="F224" s="2">
        <v>718.0</v>
      </c>
      <c r="G224" s="2">
        <v>83000.0</v>
      </c>
    </row>
    <row r="225" ht="15.75" customHeight="1">
      <c r="A225" s="2" t="s">
        <v>784</v>
      </c>
      <c r="B225" s="2" t="s">
        <v>791</v>
      </c>
      <c r="C225" s="2" t="s">
        <v>12</v>
      </c>
      <c r="D225" s="2">
        <v>11.0</v>
      </c>
      <c r="E225" s="2">
        <v>817.0</v>
      </c>
      <c r="F225" s="2">
        <v>786.0</v>
      </c>
      <c r="G225" s="2">
        <v>90000.0</v>
      </c>
    </row>
    <row r="226" ht="15.75" customHeight="1">
      <c r="A226" s="2" t="s">
        <v>802</v>
      </c>
      <c r="B226" s="2" t="s">
        <v>803</v>
      </c>
      <c r="C226" s="2" t="s">
        <v>12</v>
      </c>
      <c r="D226" s="2">
        <v>8.0</v>
      </c>
      <c r="E226" s="2">
        <v>870.0</v>
      </c>
      <c r="F226" s="2">
        <v>1053.0</v>
      </c>
      <c r="G226" s="2">
        <v>129950.0</v>
      </c>
    </row>
    <row r="227" ht="15.75" customHeight="1">
      <c r="A227" s="2" t="s">
        <v>810</v>
      </c>
      <c r="B227" s="2" t="s">
        <v>812</v>
      </c>
      <c r="C227" s="2" t="s">
        <v>12</v>
      </c>
      <c r="D227" s="2">
        <v>11.0</v>
      </c>
      <c r="E227" s="2">
        <v>1147.0</v>
      </c>
      <c r="F227" s="2">
        <v>1219.0</v>
      </c>
      <c r="G227" s="2">
        <v>90000.0</v>
      </c>
    </row>
    <row r="228" ht="15.75" customHeight="1">
      <c r="A228" s="2" t="s">
        <v>815</v>
      </c>
      <c r="B228" s="2" t="s">
        <v>816</v>
      </c>
      <c r="C228" s="2" t="s">
        <v>12</v>
      </c>
      <c r="D228" s="2">
        <v>12.0</v>
      </c>
      <c r="E228" s="2">
        <v>1739.0</v>
      </c>
      <c r="F228" s="2">
        <v>1567.0</v>
      </c>
      <c r="G228" s="2">
        <v>172500.0</v>
      </c>
    </row>
    <row r="229" ht="15.75" customHeight="1">
      <c r="A229" s="2" t="s">
        <v>819</v>
      </c>
      <c r="B229" s="2" t="s">
        <v>821</v>
      </c>
      <c r="C229" s="2" t="s">
        <v>12</v>
      </c>
      <c r="D229" s="2">
        <v>5.0</v>
      </c>
      <c r="E229" s="2">
        <v>1064.0</v>
      </c>
      <c r="F229" s="2">
        <v>1100.0</v>
      </c>
      <c r="G229" s="2">
        <v>153000.0</v>
      </c>
    </row>
    <row r="230" ht="15.75" customHeight="1">
      <c r="A230" s="2" t="s">
        <v>828</v>
      </c>
      <c r="B230" s="2" t="s">
        <v>830</v>
      </c>
      <c r="C230" s="2" t="s">
        <v>12</v>
      </c>
      <c r="D230" s="2">
        <v>12.0</v>
      </c>
      <c r="E230" s="2">
        <v>1140.0</v>
      </c>
      <c r="F230" s="2">
        <v>1164.0</v>
      </c>
      <c r="G230" s="2">
        <v>98500.0</v>
      </c>
    </row>
    <row r="231" ht="15.75" customHeight="1">
      <c r="A231" s="2" t="s">
        <v>831</v>
      </c>
      <c r="B231" s="2" t="s">
        <v>832</v>
      </c>
      <c r="C231" s="2" t="s">
        <v>12</v>
      </c>
      <c r="D231" s="2">
        <v>5.0</v>
      </c>
      <c r="E231" s="2">
        <v>1313.0</v>
      </c>
      <c r="F231" s="2">
        <v>1217.0</v>
      </c>
      <c r="G231" s="2">
        <v>130000.0</v>
      </c>
    </row>
    <row r="232" ht="15.75" customHeight="1">
      <c r="A232" s="2" t="s">
        <v>836</v>
      </c>
      <c r="B232" s="2" t="s">
        <v>838</v>
      </c>
      <c r="C232" s="2" t="s">
        <v>12</v>
      </c>
      <c r="D232" s="2">
        <v>5.0</v>
      </c>
      <c r="E232" s="2">
        <v>663.0</v>
      </c>
      <c r="F232" s="2">
        <v>809.0</v>
      </c>
      <c r="G232" s="2">
        <v>95500.0</v>
      </c>
    </row>
    <row r="233" ht="15.75" customHeight="1">
      <c r="A233" s="2" t="s">
        <v>839</v>
      </c>
      <c r="B233" s="2" t="s">
        <v>841</v>
      </c>
      <c r="C233" s="2" t="s">
        <v>12</v>
      </c>
      <c r="D233" s="2">
        <v>15.0</v>
      </c>
      <c r="E233" s="2">
        <v>872.0</v>
      </c>
      <c r="F233" s="2">
        <v>948.0</v>
      </c>
      <c r="G233" s="2">
        <v>82000.0</v>
      </c>
    </row>
    <row r="234" ht="15.75" customHeight="1">
      <c r="A234" s="2" t="s">
        <v>844</v>
      </c>
      <c r="B234" s="2" t="s">
        <v>846</v>
      </c>
      <c r="C234" s="2" t="s">
        <v>12</v>
      </c>
      <c r="D234" s="2">
        <v>15.0</v>
      </c>
      <c r="E234" s="2">
        <v>1364.0</v>
      </c>
      <c r="F234" s="2">
        <v>1626.0</v>
      </c>
      <c r="G234" s="2">
        <v>104000.0</v>
      </c>
    </row>
    <row r="235" ht="15.75" customHeight="1">
      <c r="A235" s="2" t="s">
        <v>855</v>
      </c>
      <c r="B235" s="2" t="s">
        <v>857</v>
      </c>
      <c r="C235" s="2" t="s">
        <v>12</v>
      </c>
      <c r="D235" s="2">
        <v>9.0</v>
      </c>
      <c r="E235" s="2">
        <v>1333.0</v>
      </c>
      <c r="F235" s="2">
        <v>1436.0</v>
      </c>
      <c r="G235" s="2">
        <v>166900.0</v>
      </c>
    </row>
    <row r="236" ht="15.75" customHeight="1">
      <c r="A236" s="2" t="s">
        <v>863</v>
      </c>
      <c r="B236" s="2" t="s">
        <v>864</v>
      </c>
      <c r="C236" s="2" t="s">
        <v>12</v>
      </c>
      <c r="D236" s="2">
        <v>5.0</v>
      </c>
      <c r="E236" s="2">
        <v>630.0</v>
      </c>
      <c r="F236" s="2">
        <v>963.0</v>
      </c>
      <c r="G236" s="2">
        <v>165000.0</v>
      </c>
    </row>
    <row r="237" ht="15.75" customHeight="1">
      <c r="A237" s="2" t="s">
        <v>867</v>
      </c>
      <c r="B237" s="2" t="s">
        <v>868</v>
      </c>
      <c r="C237" s="2" t="s">
        <v>12</v>
      </c>
      <c r="D237" s="2">
        <v>27.0</v>
      </c>
      <c r="E237" s="2">
        <v>1342.0</v>
      </c>
      <c r="F237" s="2">
        <v>1394.0</v>
      </c>
      <c r="G237" s="2">
        <v>133000.0</v>
      </c>
    </row>
    <row r="238" ht="15.75" customHeight="1">
      <c r="A238" s="2" t="s">
        <v>874</v>
      </c>
      <c r="B238" s="2" t="s">
        <v>875</v>
      </c>
      <c r="C238" s="2" t="s">
        <v>12</v>
      </c>
      <c r="D238" s="2">
        <v>31.0</v>
      </c>
      <c r="E238" s="2">
        <v>1741.0</v>
      </c>
      <c r="F238" s="2">
        <v>1781.0</v>
      </c>
      <c r="G238" s="2">
        <v>160300.0</v>
      </c>
    </row>
    <row r="239" ht="15.75" customHeight="1">
      <c r="A239" s="2" t="s">
        <v>890</v>
      </c>
      <c r="B239" s="2" t="s">
        <v>891</v>
      </c>
      <c r="C239" s="2" t="s">
        <v>12</v>
      </c>
      <c r="D239" s="2">
        <v>8.0</v>
      </c>
      <c r="E239" s="2">
        <v>934.0</v>
      </c>
      <c r="F239" s="2">
        <v>1106.0</v>
      </c>
      <c r="G239" s="2">
        <v>126500.0</v>
      </c>
    </row>
    <row r="240" ht="15.75" customHeight="1">
      <c r="A240" s="2" t="s">
        <v>894</v>
      </c>
      <c r="B240" s="2" t="s">
        <v>896</v>
      </c>
      <c r="C240" s="2" t="s">
        <v>12</v>
      </c>
      <c r="D240" s="2">
        <v>100.0</v>
      </c>
      <c r="E240" s="2">
        <v>1974.0</v>
      </c>
      <c r="F240" s="2">
        <v>1954.0</v>
      </c>
      <c r="G240" s="2">
        <v>177500.0</v>
      </c>
    </row>
    <row r="241" ht="15.75" customHeight="1">
      <c r="A241" s="2" t="s">
        <v>897</v>
      </c>
      <c r="B241" s="2" t="s">
        <v>898</v>
      </c>
      <c r="C241" s="2" t="s">
        <v>12</v>
      </c>
      <c r="D241" s="2">
        <v>6.0</v>
      </c>
      <c r="E241" s="2">
        <v>1197.0</v>
      </c>
      <c r="F241" s="2">
        <v>1157.0</v>
      </c>
      <c r="G241" s="2">
        <v>156750.0</v>
      </c>
    </row>
    <row r="242" ht="15.75" customHeight="1">
      <c r="A242" s="2" t="s">
        <v>903</v>
      </c>
      <c r="B242" s="2" t="s">
        <v>905</v>
      </c>
      <c r="C242" s="2" t="s">
        <v>12</v>
      </c>
      <c r="D242" s="2">
        <v>9.0</v>
      </c>
      <c r="E242" s="2">
        <v>869.0</v>
      </c>
      <c r="F242" s="2">
        <v>1135.0</v>
      </c>
      <c r="G242" s="2">
        <v>112000.0</v>
      </c>
    </row>
    <row r="243" ht="15.75" customHeight="1">
      <c r="A243" s="2" t="s">
        <v>908</v>
      </c>
      <c r="B243" s="2" t="s">
        <v>910</v>
      </c>
      <c r="C243" s="2" t="s">
        <v>12</v>
      </c>
      <c r="D243" s="2">
        <v>6.0</v>
      </c>
      <c r="E243" s="2">
        <v>1841.0</v>
      </c>
      <c r="F243" s="2">
        <v>1897.0</v>
      </c>
      <c r="G243" s="2">
        <v>159500.0</v>
      </c>
    </row>
    <row r="244" ht="15.75" customHeight="1">
      <c r="A244" s="2" t="s">
        <v>913</v>
      </c>
      <c r="B244" s="2" t="s">
        <v>915</v>
      </c>
      <c r="C244" s="2" t="s">
        <v>12</v>
      </c>
      <c r="D244" s="2">
        <v>15.0</v>
      </c>
      <c r="E244" s="2">
        <v>984.0</v>
      </c>
      <c r="F244" s="2">
        <v>991.0</v>
      </c>
      <c r="G244" s="2">
        <v>112500.0</v>
      </c>
    </row>
    <row r="245" ht="15.75" customHeight="1">
      <c r="A245" s="2" t="s">
        <v>919</v>
      </c>
      <c r="B245" s="2" t="s">
        <v>920</v>
      </c>
      <c r="C245" s="2" t="s">
        <v>12</v>
      </c>
      <c r="D245" s="2">
        <v>5.0</v>
      </c>
      <c r="E245" s="2">
        <v>1205.0</v>
      </c>
      <c r="F245" s="2">
        <v>1163.0</v>
      </c>
      <c r="G245" s="2">
        <v>99500.0</v>
      </c>
    </row>
    <row r="246" ht="15.75" customHeight="1">
      <c r="A246" s="2" t="s">
        <v>925</v>
      </c>
      <c r="B246" s="2" t="s">
        <v>926</v>
      </c>
      <c r="C246" s="2" t="s">
        <v>12</v>
      </c>
      <c r="D246" s="2">
        <v>7.0</v>
      </c>
      <c r="E246" s="2">
        <v>1026.0</v>
      </c>
      <c r="F246" s="2">
        <v>853.0</v>
      </c>
      <c r="G246" s="2">
        <v>115050.0</v>
      </c>
    </row>
    <row r="247" ht="15.75" customHeight="1">
      <c r="A247" s="2" t="s">
        <v>929</v>
      </c>
      <c r="B247" s="2" t="s">
        <v>930</v>
      </c>
      <c r="C247" s="2" t="s">
        <v>12</v>
      </c>
      <c r="D247" s="2">
        <v>11.0</v>
      </c>
      <c r="E247" s="2">
        <v>689.0</v>
      </c>
      <c r="F247" s="2">
        <v>771.0</v>
      </c>
      <c r="G247" s="2">
        <v>60000.0</v>
      </c>
    </row>
    <row r="248" ht="15.75" customHeight="1">
      <c r="A248" s="2" t="s">
        <v>933</v>
      </c>
      <c r="B248" s="2" t="s">
        <v>935</v>
      </c>
      <c r="C248" s="2" t="s">
        <v>12</v>
      </c>
      <c r="D248" s="2">
        <v>8.0</v>
      </c>
      <c r="E248" s="2">
        <v>1304.0</v>
      </c>
      <c r="F248" s="2">
        <v>1278.0</v>
      </c>
      <c r="G248" s="2">
        <v>178000.0</v>
      </c>
    </row>
    <row r="249" ht="15.75" customHeight="1">
      <c r="A249" s="2" t="s">
        <v>947</v>
      </c>
      <c r="B249" s="2" t="s">
        <v>949</v>
      </c>
      <c r="C249" s="2" t="s">
        <v>12</v>
      </c>
      <c r="D249" s="2">
        <v>14.0</v>
      </c>
      <c r="E249" s="2">
        <v>2103.0</v>
      </c>
      <c r="F249" s="2">
        <v>1892.0</v>
      </c>
      <c r="G249" s="2">
        <v>175000.0</v>
      </c>
    </row>
    <row r="250" ht="15.75" customHeight="1">
      <c r="A250" s="2" t="s">
        <v>952</v>
      </c>
      <c r="B250" s="2" t="s">
        <v>954</v>
      </c>
      <c r="C250" s="2" t="s">
        <v>12</v>
      </c>
      <c r="D250" s="2">
        <v>16.0</v>
      </c>
      <c r="E250" s="2">
        <v>1285.0</v>
      </c>
      <c r="F250" s="2">
        <v>1264.0</v>
      </c>
      <c r="G250" s="2">
        <v>125500.0</v>
      </c>
    </row>
    <row r="251" ht="15.75" customHeight="1">
      <c r="A251" s="2" t="s">
        <v>959</v>
      </c>
      <c r="B251" s="2" t="s">
        <v>960</v>
      </c>
      <c r="C251" s="2" t="s">
        <v>12</v>
      </c>
      <c r="D251" s="2">
        <v>13.0</v>
      </c>
      <c r="E251" s="2">
        <v>825.0</v>
      </c>
      <c r="F251" s="2">
        <v>842.0</v>
      </c>
      <c r="G251" s="2">
        <v>58000.0</v>
      </c>
    </row>
    <row r="252" ht="15.75" customHeight="1">
      <c r="A252" s="2" t="s">
        <v>964</v>
      </c>
      <c r="B252" s="2" t="s">
        <v>966</v>
      </c>
      <c r="C252" s="2" t="s">
        <v>12</v>
      </c>
      <c r="D252" s="2">
        <v>8.0</v>
      </c>
      <c r="E252" s="2">
        <v>615.0</v>
      </c>
      <c r="F252" s="2">
        <v>671.0</v>
      </c>
      <c r="G252" s="2">
        <v>59575.0</v>
      </c>
    </row>
    <row r="253" ht="15.75" customHeight="1">
      <c r="A253" s="2" t="s">
        <v>970</v>
      </c>
      <c r="B253" s="2" t="s">
        <v>972</v>
      </c>
      <c r="C253" s="2" t="s">
        <v>12</v>
      </c>
      <c r="D253" s="2">
        <v>8.0</v>
      </c>
      <c r="E253" s="2">
        <v>1023.0</v>
      </c>
      <c r="F253" s="2">
        <v>1118.0</v>
      </c>
      <c r="G253" s="2">
        <v>87500.0</v>
      </c>
    </row>
    <row r="254" ht="15.75" customHeight="1">
      <c r="A254" s="2" t="s">
        <v>975</v>
      </c>
      <c r="B254" s="2" t="s">
        <v>976</v>
      </c>
      <c r="C254" s="2" t="s">
        <v>979</v>
      </c>
      <c r="D254" s="2">
        <v>34.0</v>
      </c>
      <c r="E254" s="2">
        <v>926.0</v>
      </c>
      <c r="F254" s="2">
        <v>1088.0</v>
      </c>
      <c r="G254" s="2">
        <v>77500.0</v>
      </c>
    </row>
    <row r="255" ht="15.75" customHeight="1">
      <c r="A255" s="2" t="s">
        <v>982</v>
      </c>
      <c r="B255" s="2" t="s">
        <v>983</v>
      </c>
      <c r="C255" s="2" t="s">
        <v>979</v>
      </c>
      <c r="D255" s="2">
        <v>12.0</v>
      </c>
      <c r="E255" s="2">
        <v>2432.0</v>
      </c>
      <c r="F255" s="2">
        <v>2227.0</v>
      </c>
      <c r="G255" s="2">
        <v>364000.0</v>
      </c>
    </row>
    <row r="256" ht="15.75" customHeight="1">
      <c r="A256" s="2" t="s">
        <v>987</v>
      </c>
      <c r="B256" s="2" t="s">
        <v>989</v>
      </c>
      <c r="C256" s="2" t="s">
        <v>979</v>
      </c>
      <c r="D256" s="2">
        <v>27.0</v>
      </c>
      <c r="E256" s="2">
        <v>2065.0</v>
      </c>
      <c r="F256" s="2">
        <v>2174.0</v>
      </c>
      <c r="G256" s="2">
        <v>215500.0</v>
      </c>
    </row>
    <row r="257" ht="15.75" customHeight="1">
      <c r="A257" s="2" t="s">
        <v>992</v>
      </c>
      <c r="B257" s="2" t="s">
        <v>996</v>
      </c>
      <c r="C257" s="2" t="s">
        <v>979</v>
      </c>
      <c r="D257" s="2">
        <v>6.0</v>
      </c>
      <c r="E257" s="2">
        <v>1278.0</v>
      </c>
      <c r="F257" s="2">
        <v>1273.0</v>
      </c>
      <c r="G257" s="2">
        <v>79000.0</v>
      </c>
    </row>
    <row r="258" ht="15.75" customHeight="1">
      <c r="A258" s="2" t="s">
        <v>998</v>
      </c>
      <c r="B258" s="2" t="s">
        <v>1000</v>
      </c>
      <c r="C258" s="2" t="s">
        <v>979</v>
      </c>
      <c r="D258" s="2">
        <v>96.0</v>
      </c>
      <c r="E258" s="2">
        <v>1140.0</v>
      </c>
      <c r="F258" s="2">
        <v>1220.0</v>
      </c>
      <c r="G258" s="2">
        <v>117500.0</v>
      </c>
    </row>
    <row r="259" ht="15.75" customHeight="1">
      <c r="A259" s="2" t="s">
        <v>1003</v>
      </c>
      <c r="B259" s="2" t="s">
        <v>1005</v>
      </c>
      <c r="C259" s="2" t="s">
        <v>979</v>
      </c>
      <c r="D259" s="2">
        <v>5.0</v>
      </c>
      <c r="E259" s="2">
        <v>915.0</v>
      </c>
      <c r="F259" s="2">
        <v>1163.0</v>
      </c>
      <c r="G259" s="2">
        <v>160000.0</v>
      </c>
    </row>
    <row r="260" ht="15.75" customHeight="1">
      <c r="A260" s="2" t="s">
        <v>1007</v>
      </c>
      <c r="B260" s="2" t="s">
        <v>1008</v>
      </c>
      <c r="C260" s="2" t="s">
        <v>979</v>
      </c>
      <c r="D260" s="2">
        <v>89.0</v>
      </c>
      <c r="E260" s="2">
        <v>2089.0</v>
      </c>
      <c r="F260" s="2">
        <v>2095.0</v>
      </c>
      <c r="G260" s="2">
        <v>180000.0</v>
      </c>
    </row>
    <row r="261" ht="15.75" customHeight="1">
      <c r="A261" s="2" t="s">
        <v>1011</v>
      </c>
      <c r="B261" s="2" t="s">
        <v>1012</v>
      </c>
      <c r="C261" s="2" t="s">
        <v>979</v>
      </c>
      <c r="D261" s="2">
        <v>22.0</v>
      </c>
      <c r="E261" s="2">
        <v>1122.0</v>
      </c>
      <c r="F261" s="2">
        <v>1248.0</v>
      </c>
      <c r="G261" s="2">
        <v>147500.0</v>
      </c>
    </row>
    <row r="262" ht="15.75" customHeight="1">
      <c r="A262" s="2" t="s">
        <v>1014</v>
      </c>
      <c r="B262" s="2" t="s">
        <v>1015</v>
      </c>
      <c r="C262" s="2" t="s">
        <v>979</v>
      </c>
      <c r="D262" s="2">
        <v>10.0</v>
      </c>
      <c r="E262" s="2">
        <v>3306.0</v>
      </c>
      <c r="F262" s="2">
        <v>3141.0</v>
      </c>
      <c r="G262" s="2">
        <v>282000.0</v>
      </c>
    </row>
    <row r="263" ht="15.75" customHeight="1">
      <c r="A263" s="2" t="s">
        <v>1018</v>
      </c>
      <c r="B263" s="2" t="s">
        <v>1020</v>
      </c>
      <c r="C263" s="2" t="s">
        <v>979</v>
      </c>
      <c r="D263" s="2">
        <v>136.0</v>
      </c>
      <c r="E263" s="2">
        <v>1126.0</v>
      </c>
      <c r="F263" s="2">
        <v>1250.0</v>
      </c>
      <c r="G263" s="2">
        <v>94050.0</v>
      </c>
    </row>
    <row r="264" ht="15.75" customHeight="1">
      <c r="A264" s="2" t="s">
        <v>1024</v>
      </c>
      <c r="B264" s="2" t="s">
        <v>1026</v>
      </c>
      <c r="C264" s="2" t="s">
        <v>979</v>
      </c>
      <c r="D264" s="2">
        <v>45.0</v>
      </c>
      <c r="E264" s="2">
        <v>1407.0</v>
      </c>
      <c r="F264" s="2">
        <v>1498.0</v>
      </c>
      <c r="G264" s="2">
        <v>146900.0</v>
      </c>
    </row>
    <row r="265" ht="15.75" customHeight="1">
      <c r="A265" s="2" t="s">
        <v>1030</v>
      </c>
      <c r="B265" s="2" t="s">
        <v>1031</v>
      </c>
      <c r="C265" s="2" t="s">
        <v>979</v>
      </c>
      <c r="D265" s="2">
        <v>18.0</v>
      </c>
      <c r="E265" s="2">
        <v>2060.0</v>
      </c>
      <c r="F265" s="2">
        <v>2041.0</v>
      </c>
      <c r="G265" s="2">
        <v>223395.0</v>
      </c>
    </row>
    <row r="266" ht="15.75" customHeight="1">
      <c r="A266" s="2" t="s">
        <v>1034</v>
      </c>
      <c r="B266" s="2" t="s">
        <v>1036</v>
      </c>
      <c r="C266" s="2" t="s">
        <v>979</v>
      </c>
      <c r="D266" s="2">
        <v>324.0</v>
      </c>
      <c r="E266" s="2">
        <v>1848.0</v>
      </c>
      <c r="F266" s="2">
        <v>1866.0</v>
      </c>
      <c r="G266" s="2">
        <v>140130.0</v>
      </c>
    </row>
    <row r="267" ht="15.75" customHeight="1">
      <c r="A267" s="2" t="s">
        <v>1041</v>
      </c>
      <c r="B267" s="2" t="s">
        <v>1044</v>
      </c>
      <c r="C267" s="2" t="s">
        <v>979</v>
      </c>
      <c r="D267" s="2">
        <v>13.0</v>
      </c>
      <c r="E267" s="2">
        <v>1705.0</v>
      </c>
      <c r="F267" s="2">
        <v>1782.0</v>
      </c>
      <c r="G267" s="2">
        <v>174000.0</v>
      </c>
    </row>
    <row r="268" ht="15.75" customHeight="1">
      <c r="A268" s="2" t="s">
        <v>1047</v>
      </c>
      <c r="B268" s="2" t="s">
        <v>1049</v>
      </c>
      <c r="C268" s="2" t="s">
        <v>979</v>
      </c>
      <c r="D268" s="2">
        <v>9.0</v>
      </c>
      <c r="E268" s="2">
        <v>1828.0</v>
      </c>
      <c r="F268" s="2">
        <v>1738.0</v>
      </c>
      <c r="G268" s="2">
        <v>218000.0</v>
      </c>
    </row>
    <row r="269" ht="15.75" customHeight="1">
      <c r="A269" s="2" t="s">
        <v>1054</v>
      </c>
      <c r="B269" s="2" t="s">
        <v>1055</v>
      </c>
      <c r="C269" s="2" t="s">
        <v>979</v>
      </c>
      <c r="D269" s="2">
        <v>11.0</v>
      </c>
      <c r="E269" s="2">
        <v>1182.0</v>
      </c>
      <c r="F269" s="2">
        <v>1257.0</v>
      </c>
      <c r="G269" s="2">
        <v>140000.0</v>
      </c>
    </row>
    <row r="270" ht="15.75" customHeight="1">
      <c r="A270" s="2" t="s">
        <v>1058</v>
      </c>
      <c r="B270" s="2" t="s">
        <v>1059</v>
      </c>
      <c r="C270" s="2" t="s">
        <v>979</v>
      </c>
      <c r="D270" s="2">
        <v>23.0</v>
      </c>
      <c r="E270" s="2">
        <v>2649.0</v>
      </c>
      <c r="F270" s="2">
        <v>2562.0</v>
      </c>
      <c r="G270" s="2">
        <v>260905.0</v>
      </c>
    </row>
    <row r="271" ht="15.75" customHeight="1">
      <c r="A271" s="2" t="s">
        <v>1061</v>
      </c>
      <c r="B271" s="2" t="s">
        <v>1063</v>
      </c>
      <c r="C271" s="2" t="s">
        <v>979</v>
      </c>
      <c r="D271" s="2">
        <v>10.0</v>
      </c>
      <c r="E271" s="2">
        <v>1973.0</v>
      </c>
      <c r="F271" s="2">
        <v>2084.0</v>
      </c>
      <c r="G271" s="2">
        <v>195200.0</v>
      </c>
    </row>
    <row r="272" ht="15.75" customHeight="1">
      <c r="A272" s="2" t="s">
        <v>1067</v>
      </c>
      <c r="B272" s="2" t="s">
        <v>1068</v>
      </c>
      <c r="C272" s="2" t="s">
        <v>979</v>
      </c>
      <c r="D272" s="2">
        <v>55.0</v>
      </c>
      <c r="E272" s="2">
        <v>1134.0</v>
      </c>
      <c r="F272" s="2">
        <v>1209.0</v>
      </c>
      <c r="G272" s="2">
        <v>114000.0</v>
      </c>
    </row>
    <row r="273" ht="15.75" customHeight="1">
      <c r="A273" s="2" t="s">
        <v>1072</v>
      </c>
      <c r="B273" s="2" t="s">
        <v>1074</v>
      </c>
      <c r="C273" s="2" t="s">
        <v>979</v>
      </c>
      <c r="D273" s="2">
        <v>19.0</v>
      </c>
      <c r="E273" s="2">
        <v>2039.0</v>
      </c>
      <c r="F273" s="2">
        <v>2028.0</v>
      </c>
      <c r="G273" s="2">
        <v>210000.0</v>
      </c>
    </row>
    <row r="274" ht="15.75" customHeight="1">
      <c r="A274" s="2" t="s">
        <v>1077</v>
      </c>
      <c r="B274" s="2" t="s">
        <v>1079</v>
      </c>
      <c r="C274" s="2" t="s">
        <v>979</v>
      </c>
      <c r="D274" s="2">
        <v>11.0</v>
      </c>
      <c r="E274" s="2">
        <v>1184.0</v>
      </c>
      <c r="F274" s="2">
        <v>1335.0</v>
      </c>
      <c r="G274" s="2">
        <v>165300.0</v>
      </c>
    </row>
    <row r="275" ht="15.75" customHeight="1">
      <c r="A275" s="2" t="s">
        <v>1089</v>
      </c>
      <c r="B275" s="2" t="s">
        <v>1091</v>
      </c>
      <c r="C275" s="2" t="s">
        <v>979</v>
      </c>
      <c r="D275" s="2">
        <v>18.0</v>
      </c>
      <c r="E275" s="2">
        <v>1723.0</v>
      </c>
      <c r="F275" s="2">
        <v>1786.0</v>
      </c>
      <c r="G275" s="2">
        <v>171250.0</v>
      </c>
    </row>
    <row r="276" ht="15.75" customHeight="1">
      <c r="A276" s="2" t="s">
        <v>1097</v>
      </c>
      <c r="B276" s="2" t="s">
        <v>1098</v>
      </c>
      <c r="C276" s="2" t="s">
        <v>979</v>
      </c>
      <c r="D276" s="2">
        <v>56.0</v>
      </c>
      <c r="E276" s="2">
        <v>1334.0</v>
      </c>
      <c r="F276" s="2">
        <v>1379.0</v>
      </c>
      <c r="G276" s="2">
        <v>122600.0</v>
      </c>
    </row>
    <row r="277" ht="15.75" customHeight="1">
      <c r="A277" s="2" t="s">
        <v>1099</v>
      </c>
      <c r="B277" s="2" t="s">
        <v>1100</v>
      </c>
      <c r="C277" s="2" t="s">
        <v>979</v>
      </c>
      <c r="D277" s="2">
        <v>22.0</v>
      </c>
      <c r="E277" s="2">
        <v>2265.0</v>
      </c>
      <c r="F277" s="2">
        <v>2400.0</v>
      </c>
      <c r="G277" s="2">
        <v>296945.0</v>
      </c>
    </row>
    <row r="278" ht="15.75" customHeight="1">
      <c r="A278" s="2" t="s">
        <v>1101</v>
      </c>
      <c r="B278" s="2" t="s">
        <v>1102</v>
      </c>
      <c r="C278" s="2" t="s">
        <v>979</v>
      </c>
      <c r="D278" s="2">
        <v>5.0</v>
      </c>
      <c r="E278" s="2">
        <v>1222.0</v>
      </c>
      <c r="F278" s="2">
        <v>1264.0</v>
      </c>
      <c r="G278" s="2">
        <v>280000.0</v>
      </c>
    </row>
    <row r="279" ht="15.75" customHeight="1">
      <c r="A279" s="2" t="s">
        <v>1103</v>
      </c>
      <c r="B279" s="2" t="s">
        <v>1104</v>
      </c>
      <c r="C279" s="2" t="s">
        <v>979</v>
      </c>
      <c r="D279" s="2">
        <v>78.0</v>
      </c>
      <c r="E279" s="2">
        <v>1665.0</v>
      </c>
      <c r="F279" s="2">
        <v>1871.0</v>
      </c>
      <c r="G279" s="2">
        <v>131000.0</v>
      </c>
    </row>
    <row r="280" ht="15.75" customHeight="1">
      <c r="A280" s="2" t="s">
        <v>1105</v>
      </c>
      <c r="B280" s="2" t="s">
        <v>1106</v>
      </c>
      <c r="C280" s="2" t="s">
        <v>979</v>
      </c>
      <c r="D280" s="2">
        <v>85.0</v>
      </c>
      <c r="E280" s="2">
        <v>1074.0</v>
      </c>
      <c r="F280" s="2">
        <v>1110.0</v>
      </c>
      <c r="G280" s="2">
        <v>103500.0</v>
      </c>
    </row>
    <row r="281" ht="15.75" customHeight="1">
      <c r="A281" s="2" t="s">
        <v>1107</v>
      </c>
      <c r="B281" s="2" t="s">
        <v>1108</v>
      </c>
      <c r="C281" s="2" t="s">
        <v>979</v>
      </c>
      <c r="D281" s="2">
        <v>22.0</v>
      </c>
      <c r="E281" s="2">
        <v>2837.0</v>
      </c>
      <c r="F281" s="2">
        <v>2994.0</v>
      </c>
      <c r="G281" s="2">
        <v>283300.0</v>
      </c>
    </row>
    <row r="282" ht="15.75" customHeight="1">
      <c r="A282" s="2" t="s">
        <v>1110</v>
      </c>
      <c r="B282" s="2" t="s">
        <v>1112</v>
      </c>
      <c r="C282" s="2" t="s">
        <v>979</v>
      </c>
      <c r="D282" s="2">
        <v>29.0</v>
      </c>
      <c r="E282" s="2">
        <v>1084.0</v>
      </c>
      <c r="F282" s="2">
        <v>1211.0</v>
      </c>
      <c r="G282" s="2">
        <v>116800.0</v>
      </c>
    </row>
    <row r="283" ht="15.75" customHeight="1">
      <c r="A283" s="2" t="s">
        <v>1114</v>
      </c>
      <c r="B283" s="2" t="s">
        <v>1116</v>
      </c>
      <c r="C283" s="2" t="s">
        <v>979</v>
      </c>
      <c r="D283" s="2">
        <v>9.0</v>
      </c>
      <c r="E283" s="2">
        <v>1304.0</v>
      </c>
      <c r="F283" s="2">
        <v>1314.0</v>
      </c>
      <c r="G283" s="2">
        <v>165750.0</v>
      </c>
    </row>
    <row r="284" ht="15.75" customHeight="1">
      <c r="A284" s="2" t="s">
        <v>1117</v>
      </c>
      <c r="B284" s="2" t="s">
        <v>1118</v>
      </c>
      <c r="C284" s="2" t="s">
        <v>979</v>
      </c>
      <c r="D284" s="2">
        <v>50.0</v>
      </c>
      <c r="E284" s="2">
        <v>1084.0</v>
      </c>
      <c r="F284" s="2">
        <v>1142.0</v>
      </c>
      <c r="G284" s="2">
        <v>102250.0</v>
      </c>
    </row>
    <row r="285" ht="15.75" customHeight="1">
      <c r="A285" s="2" t="s">
        <v>1121</v>
      </c>
      <c r="B285" s="2" t="s">
        <v>1122</v>
      </c>
      <c r="C285" s="2" t="s">
        <v>979</v>
      </c>
      <c r="D285" s="2">
        <v>51.0</v>
      </c>
      <c r="E285" s="2">
        <v>748.0</v>
      </c>
      <c r="F285" s="2">
        <v>887.0</v>
      </c>
      <c r="G285" s="2">
        <v>90000.0</v>
      </c>
    </row>
    <row r="286" ht="15.75" customHeight="1">
      <c r="A286" s="2" t="s">
        <v>1125</v>
      </c>
      <c r="B286" s="2" t="s">
        <v>1126</v>
      </c>
      <c r="C286" s="2" t="s">
        <v>979</v>
      </c>
      <c r="D286" s="2">
        <v>6.0</v>
      </c>
      <c r="E286" s="2">
        <v>1211.0</v>
      </c>
      <c r="F286" s="2">
        <v>1168.0</v>
      </c>
      <c r="G286" s="2">
        <v>182500.0</v>
      </c>
    </row>
    <row r="287" ht="15.75" customHeight="1">
      <c r="A287" s="2" t="s">
        <v>1129</v>
      </c>
      <c r="B287" s="2" t="s">
        <v>1130</v>
      </c>
      <c r="C287" s="2" t="s">
        <v>979</v>
      </c>
      <c r="D287" s="2">
        <v>15.0</v>
      </c>
      <c r="E287" s="2">
        <v>1280.0</v>
      </c>
      <c r="F287" s="2">
        <v>1309.0</v>
      </c>
      <c r="G287" s="2">
        <v>128000.0</v>
      </c>
    </row>
    <row r="288" ht="15.75" customHeight="1">
      <c r="A288" s="2" t="s">
        <v>1131</v>
      </c>
      <c r="B288" s="2" t="s">
        <v>1133</v>
      </c>
      <c r="C288" s="2" t="s">
        <v>979</v>
      </c>
      <c r="D288" s="2">
        <v>25.0</v>
      </c>
      <c r="E288" s="2">
        <v>2287.0</v>
      </c>
      <c r="F288" s="2">
        <v>2570.0</v>
      </c>
      <c r="G288" s="2">
        <v>250010.0</v>
      </c>
    </row>
    <row r="289" ht="15.75" customHeight="1">
      <c r="A289" s="2" t="s">
        <v>1136</v>
      </c>
      <c r="B289" s="2" t="s">
        <v>1137</v>
      </c>
      <c r="C289" s="2" t="s">
        <v>979</v>
      </c>
      <c r="D289" s="2">
        <v>163.0</v>
      </c>
      <c r="E289" s="2">
        <v>2189.0</v>
      </c>
      <c r="F289" s="2">
        <v>2214.0</v>
      </c>
      <c r="G289" s="2">
        <v>190000.0</v>
      </c>
    </row>
    <row r="290" ht="15.75" customHeight="1">
      <c r="A290" s="2" t="s">
        <v>1140</v>
      </c>
      <c r="B290" s="2" t="s">
        <v>1142</v>
      </c>
      <c r="C290" s="2" t="s">
        <v>979</v>
      </c>
      <c r="D290" s="2">
        <v>54.0</v>
      </c>
      <c r="E290" s="2">
        <v>2856.0</v>
      </c>
      <c r="F290" s="2">
        <v>2715.0</v>
      </c>
      <c r="G290" s="2">
        <v>260000.0</v>
      </c>
    </row>
    <row r="291" ht="15.75" customHeight="1">
      <c r="A291" s="2" t="s">
        <v>1145</v>
      </c>
      <c r="B291" s="2" t="s">
        <v>1146</v>
      </c>
      <c r="C291" s="2" t="s">
        <v>979</v>
      </c>
      <c r="D291" s="2">
        <v>9.0</v>
      </c>
      <c r="E291" s="2">
        <v>1744.0</v>
      </c>
      <c r="F291" s="2">
        <v>1716.0</v>
      </c>
      <c r="G291" s="2">
        <v>210000.0</v>
      </c>
    </row>
    <row r="292" ht="15.75" customHeight="1">
      <c r="A292" s="2" t="s">
        <v>1149</v>
      </c>
      <c r="B292" s="2" t="s">
        <v>1150</v>
      </c>
      <c r="C292" s="2" t="s">
        <v>979</v>
      </c>
      <c r="D292" s="2">
        <v>6.0</v>
      </c>
      <c r="E292" s="2">
        <v>904.0</v>
      </c>
      <c r="F292" s="2">
        <v>985.0</v>
      </c>
      <c r="G292" s="2">
        <v>191250.0</v>
      </c>
    </row>
    <row r="293" ht="15.75" customHeight="1">
      <c r="A293" s="2" t="s">
        <v>1153</v>
      </c>
      <c r="B293" s="2" t="s">
        <v>1154</v>
      </c>
      <c r="C293" s="2" t="s">
        <v>979</v>
      </c>
      <c r="D293" s="2">
        <v>39.0</v>
      </c>
      <c r="E293" s="2">
        <v>1892.0</v>
      </c>
      <c r="F293" s="2">
        <v>2006.0</v>
      </c>
      <c r="G293" s="2">
        <v>172500.0</v>
      </c>
    </row>
    <row r="294" ht="15.75" customHeight="1">
      <c r="A294" s="2" t="s">
        <v>1157</v>
      </c>
      <c r="B294" s="2" t="s">
        <v>1158</v>
      </c>
      <c r="C294" s="2" t="s">
        <v>979</v>
      </c>
      <c r="D294" s="2">
        <v>32.0</v>
      </c>
      <c r="E294" s="2">
        <v>1236.0</v>
      </c>
      <c r="F294" s="2">
        <v>1269.0</v>
      </c>
      <c r="G294" s="2">
        <v>135342.0</v>
      </c>
    </row>
    <row r="295" ht="15.75" customHeight="1">
      <c r="A295" s="2" t="s">
        <v>1161</v>
      </c>
      <c r="B295" s="2" t="s">
        <v>1162</v>
      </c>
      <c r="C295" s="2" t="s">
        <v>979</v>
      </c>
      <c r="D295" s="2">
        <v>17.0</v>
      </c>
      <c r="E295" s="2">
        <v>1765.0</v>
      </c>
      <c r="F295" s="2">
        <v>1804.0</v>
      </c>
      <c r="G295" s="2">
        <v>189000.0</v>
      </c>
    </row>
    <row r="296" ht="15.75" customHeight="1">
      <c r="A296" s="2" t="s">
        <v>1165</v>
      </c>
      <c r="B296" s="2" t="s">
        <v>1167</v>
      </c>
      <c r="C296" s="2" t="s">
        <v>979</v>
      </c>
      <c r="D296" s="2">
        <v>10.0</v>
      </c>
      <c r="E296" s="2">
        <v>852.0</v>
      </c>
      <c r="F296" s="2">
        <v>1188.0</v>
      </c>
      <c r="G296" s="2">
        <v>107150.0</v>
      </c>
    </row>
    <row r="297" ht="15.75" customHeight="1">
      <c r="A297" s="2" t="s">
        <v>1169</v>
      </c>
      <c r="B297" s="2" t="s">
        <v>1170</v>
      </c>
      <c r="C297" s="2" t="s">
        <v>979</v>
      </c>
      <c r="D297" s="2">
        <v>6.0</v>
      </c>
      <c r="E297" s="2">
        <v>2416.0</v>
      </c>
      <c r="F297" s="2">
        <v>2099.0</v>
      </c>
      <c r="G297" s="2">
        <v>280200.0</v>
      </c>
    </row>
    <row r="298" ht="15.75" customHeight="1">
      <c r="A298" s="2" t="s">
        <v>1173</v>
      </c>
      <c r="B298" s="2" t="s">
        <v>1174</v>
      </c>
      <c r="C298" s="2" t="s">
        <v>979</v>
      </c>
      <c r="D298" s="2">
        <v>15.0</v>
      </c>
      <c r="E298" s="2">
        <v>915.0</v>
      </c>
      <c r="F298" s="2">
        <v>1170.0</v>
      </c>
      <c r="G298" s="2">
        <v>145000.0</v>
      </c>
    </row>
    <row r="299" ht="15.75" customHeight="1">
      <c r="A299" s="2" t="s">
        <v>1177</v>
      </c>
      <c r="B299" s="2" t="s">
        <v>1179</v>
      </c>
      <c r="C299" s="2" t="s">
        <v>979</v>
      </c>
      <c r="D299" s="2">
        <v>37.0</v>
      </c>
      <c r="E299" s="2">
        <v>906.0</v>
      </c>
      <c r="F299" s="2">
        <v>1073.0</v>
      </c>
      <c r="G299" s="2">
        <v>82500.0</v>
      </c>
    </row>
    <row r="300" ht="15.75" customHeight="1">
      <c r="A300" s="2" t="s">
        <v>1181</v>
      </c>
      <c r="B300" s="2" t="s">
        <v>1182</v>
      </c>
      <c r="C300" s="2" t="s">
        <v>979</v>
      </c>
      <c r="D300" s="2">
        <v>6.0</v>
      </c>
      <c r="E300" s="2">
        <v>1816.0</v>
      </c>
      <c r="F300" s="2">
        <v>1913.0</v>
      </c>
      <c r="G300" s="2">
        <v>171001.0</v>
      </c>
    </row>
    <row r="301" ht="15.75" customHeight="1">
      <c r="A301" s="2" t="s">
        <v>1185</v>
      </c>
      <c r="B301" s="2" t="s">
        <v>1186</v>
      </c>
      <c r="C301" s="2" t="s">
        <v>979</v>
      </c>
      <c r="D301" s="2">
        <v>6.0</v>
      </c>
      <c r="E301" s="2">
        <v>911.0</v>
      </c>
      <c r="F301" s="2">
        <v>952.0</v>
      </c>
      <c r="G301" s="2">
        <v>105000.0</v>
      </c>
    </row>
    <row r="302" ht="15.75" customHeight="1">
      <c r="A302" s="2" t="s">
        <v>1189</v>
      </c>
      <c r="B302" s="2" t="s">
        <v>1190</v>
      </c>
      <c r="C302" s="2" t="s">
        <v>979</v>
      </c>
      <c r="D302" s="2">
        <v>37.0</v>
      </c>
      <c r="E302" s="2">
        <v>2478.0</v>
      </c>
      <c r="F302" s="2">
        <v>2319.0</v>
      </c>
      <c r="G302" s="2">
        <v>180000.0</v>
      </c>
    </row>
    <row r="303" ht="15.75" customHeight="1">
      <c r="A303" s="2" t="s">
        <v>1191</v>
      </c>
      <c r="B303" s="2" t="s">
        <v>1192</v>
      </c>
      <c r="C303" s="2" t="s">
        <v>979</v>
      </c>
      <c r="D303" s="2">
        <v>35.0</v>
      </c>
      <c r="E303" s="2">
        <v>943.0</v>
      </c>
      <c r="F303" s="2">
        <v>1117.0</v>
      </c>
      <c r="G303" s="2">
        <v>90500.0</v>
      </c>
    </row>
    <row r="304" ht="15.75" customHeight="1">
      <c r="A304" s="2" t="s">
        <v>1193</v>
      </c>
      <c r="B304" s="2" t="s">
        <v>1194</v>
      </c>
      <c r="C304" s="2" t="s">
        <v>979</v>
      </c>
      <c r="D304" s="2">
        <v>6.0</v>
      </c>
      <c r="E304" s="2">
        <v>1243.0</v>
      </c>
      <c r="F304" s="2">
        <v>1122.0</v>
      </c>
      <c r="G304" s="2">
        <v>156850.0</v>
      </c>
    </row>
    <row r="305" ht="15.75" customHeight="1">
      <c r="A305" s="2" t="s">
        <v>1195</v>
      </c>
      <c r="B305" s="2" t="s">
        <v>1196</v>
      </c>
      <c r="C305" s="2" t="s">
        <v>979</v>
      </c>
      <c r="D305" s="2">
        <v>23.0</v>
      </c>
      <c r="E305" s="2">
        <v>2147.0</v>
      </c>
      <c r="F305" s="2">
        <v>2353.0</v>
      </c>
      <c r="G305" s="2">
        <v>202900.0</v>
      </c>
    </row>
    <row r="306" ht="15.75" customHeight="1">
      <c r="A306" s="2" t="s">
        <v>1199</v>
      </c>
      <c r="B306" s="2" t="s">
        <v>1200</v>
      </c>
      <c r="C306" s="2" t="s">
        <v>979</v>
      </c>
      <c r="D306" s="2">
        <v>24.0</v>
      </c>
      <c r="E306" s="2">
        <v>922.0</v>
      </c>
      <c r="F306" s="2">
        <v>922.0</v>
      </c>
      <c r="G306" s="2">
        <v>115000.0</v>
      </c>
    </row>
    <row r="307" ht="15.75" customHeight="1">
      <c r="A307" s="2" t="s">
        <v>1201</v>
      </c>
      <c r="B307" s="2" t="s">
        <v>1202</v>
      </c>
      <c r="C307" s="2" t="s">
        <v>979</v>
      </c>
      <c r="D307" s="2">
        <v>7.0</v>
      </c>
      <c r="E307" s="2">
        <v>923.0</v>
      </c>
      <c r="F307" s="2">
        <v>1039.0</v>
      </c>
      <c r="G307" s="2">
        <v>122300.0</v>
      </c>
    </row>
    <row r="308" ht="15.75" customHeight="1">
      <c r="A308" s="2" t="s">
        <v>1205</v>
      </c>
      <c r="B308" s="2" t="s">
        <v>1206</v>
      </c>
      <c r="C308" s="2" t="s">
        <v>979</v>
      </c>
      <c r="D308" s="2">
        <v>52.0</v>
      </c>
      <c r="E308" s="2">
        <v>1311.0</v>
      </c>
      <c r="F308" s="2">
        <v>1301.0</v>
      </c>
      <c r="G308" s="2">
        <v>106750.0</v>
      </c>
    </row>
    <row r="309" ht="15.75" customHeight="1">
      <c r="A309" s="2" t="s">
        <v>1207</v>
      </c>
      <c r="B309" s="2" t="s">
        <v>1209</v>
      </c>
      <c r="C309" s="2" t="s">
        <v>979</v>
      </c>
      <c r="D309" s="2">
        <v>30.0</v>
      </c>
      <c r="E309" s="2">
        <v>2014.0</v>
      </c>
      <c r="F309" s="2">
        <v>1986.0</v>
      </c>
      <c r="G309" s="2">
        <v>214750.0</v>
      </c>
    </row>
    <row r="310" ht="15.75" customHeight="1">
      <c r="A310" s="2" t="s">
        <v>1213</v>
      </c>
      <c r="B310" s="2" t="s">
        <v>1214</v>
      </c>
      <c r="C310" s="2" t="s">
        <v>979</v>
      </c>
      <c r="D310" s="2">
        <v>20.0</v>
      </c>
      <c r="E310" s="2">
        <v>1943.0</v>
      </c>
      <c r="F310" s="2">
        <v>1910.0</v>
      </c>
      <c r="G310" s="2">
        <v>222500.0</v>
      </c>
    </row>
    <row r="311" ht="15.75" customHeight="1">
      <c r="A311" s="2" t="s">
        <v>1215</v>
      </c>
      <c r="B311" s="2" t="s">
        <v>1216</v>
      </c>
      <c r="C311" s="2" t="s">
        <v>979</v>
      </c>
      <c r="D311" s="2">
        <v>13.0</v>
      </c>
      <c r="E311" s="2">
        <v>1597.0</v>
      </c>
      <c r="F311" s="2">
        <v>1664.0</v>
      </c>
      <c r="G311" s="2">
        <v>191000.0</v>
      </c>
    </row>
    <row r="312" ht="15.75" customHeight="1">
      <c r="A312" s="2" t="s">
        <v>1217</v>
      </c>
      <c r="B312" s="2" t="s">
        <v>1218</v>
      </c>
      <c r="C312" s="2" t="s">
        <v>979</v>
      </c>
      <c r="D312" s="2">
        <v>27.0</v>
      </c>
      <c r="E312" s="2">
        <v>1743.0</v>
      </c>
      <c r="F312" s="2">
        <v>1969.0</v>
      </c>
      <c r="G312" s="2">
        <v>190000.0</v>
      </c>
    </row>
    <row r="313" ht="15.75" customHeight="1">
      <c r="A313" s="2" t="s">
        <v>1221</v>
      </c>
      <c r="B313" s="2" t="s">
        <v>1222</v>
      </c>
      <c r="C313" s="2" t="s">
        <v>979</v>
      </c>
      <c r="D313" s="2">
        <v>17.0</v>
      </c>
      <c r="E313" s="2">
        <v>2615.0</v>
      </c>
      <c r="F313" s="2">
        <v>2636.0</v>
      </c>
      <c r="G313" s="2">
        <v>170000.0</v>
      </c>
    </row>
    <row r="314" ht="15.75" customHeight="1">
      <c r="A314" s="2" t="s">
        <v>1223</v>
      </c>
      <c r="B314" s="2" t="s">
        <v>1224</v>
      </c>
      <c r="C314" s="2" t="s">
        <v>979</v>
      </c>
      <c r="D314" s="2">
        <v>15.0</v>
      </c>
      <c r="E314" s="2">
        <v>1477.0</v>
      </c>
      <c r="F314" s="2">
        <v>1605.0</v>
      </c>
      <c r="G314" s="2">
        <v>157500.0</v>
      </c>
    </row>
    <row r="315" ht="15.75" customHeight="1">
      <c r="A315" s="2" t="s">
        <v>1225</v>
      </c>
      <c r="B315" s="2" t="s">
        <v>1226</v>
      </c>
      <c r="C315" s="2" t="s">
        <v>979</v>
      </c>
      <c r="D315" s="2">
        <v>95.0</v>
      </c>
      <c r="E315" s="2">
        <v>3580.0</v>
      </c>
      <c r="F315" s="2">
        <v>3618.0</v>
      </c>
      <c r="G315" s="2">
        <v>405000.0</v>
      </c>
    </row>
    <row r="316" ht="15.75" customHeight="1">
      <c r="A316" s="2" t="s">
        <v>1229</v>
      </c>
      <c r="B316" s="2" t="s">
        <v>1230</v>
      </c>
      <c r="C316" s="2" t="s">
        <v>979</v>
      </c>
      <c r="D316" s="2">
        <v>7.0</v>
      </c>
      <c r="E316" s="2">
        <v>1817.0</v>
      </c>
      <c r="F316" s="2">
        <v>1636.0</v>
      </c>
      <c r="G316" s="2">
        <v>249450.0</v>
      </c>
    </row>
    <row r="317" ht="15.75" customHeight="1">
      <c r="A317" s="2" t="s">
        <v>1231</v>
      </c>
      <c r="B317" s="2" t="s">
        <v>1232</v>
      </c>
      <c r="C317" s="2" t="s">
        <v>979</v>
      </c>
      <c r="D317" s="2">
        <v>51.0</v>
      </c>
      <c r="E317" s="2">
        <v>1416.0</v>
      </c>
      <c r="F317" s="2">
        <v>1475.0</v>
      </c>
      <c r="G317" s="2">
        <v>135000.0</v>
      </c>
    </row>
    <row r="318" ht="15.75" customHeight="1">
      <c r="A318" s="2" t="s">
        <v>1233</v>
      </c>
      <c r="B318" s="2" t="s">
        <v>1234</v>
      </c>
      <c r="C318" s="2" t="s">
        <v>979</v>
      </c>
      <c r="D318" s="2">
        <v>89.0</v>
      </c>
      <c r="E318" s="2">
        <v>1500.0</v>
      </c>
      <c r="F318" s="2">
        <v>1575.0</v>
      </c>
      <c r="G318" s="2">
        <v>135248.0</v>
      </c>
    </row>
    <row r="319" ht="15.75" customHeight="1">
      <c r="A319" s="2" t="s">
        <v>1235</v>
      </c>
      <c r="B319" s="2" t="s">
        <v>1236</v>
      </c>
      <c r="C319" s="2" t="s">
        <v>979</v>
      </c>
      <c r="D319" s="2">
        <v>17.0</v>
      </c>
      <c r="E319" s="2">
        <v>2914.0</v>
      </c>
      <c r="F319" s="2">
        <v>2833.0</v>
      </c>
      <c r="G319" s="2">
        <v>375000.0</v>
      </c>
    </row>
    <row r="320" ht="15.75" customHeight="1">
      <c r="A320" s="2" t="s">
        <v>1237</v>
      </c>
      <c r="B320" s="2" t="s">
        <v>1238</v>
      </c>
      <c r="C320" s="2" t="s">
        <v>979</v>
      </c>
      <c r="D320" s="2">
        <v>52.0</v>
      </c>
      <c r="E320" s="2">
        <v>2561.0</v>
      </c>
      <c r="F320" s="2">
        <v>2647.0</v>
      </c>
      <c r="G320" s="2">
        <v>229850.0</v>
      </c>
    </row>
    <row r="321" ht="15.75" customHeight="1">
      <c r="A321" s="2" t="s">
        <v>1239</v>
      </c>
      <c r="B321" s="2" t="s">
        <v>1240</v>
      </c>
      <c r="C321" s="2" t="s">
        <v>979</v>
      </c>
      <c r="D321" s="2">
        <v>14.0</v>
      </c>
      <c r="E321" s="2">
        <v>1234.0</v>
      </c>
      <c r="F321" s="2">
        <v>1240.0</v>
      </c>
      <c r="G321" s="2">
        <v>124035.0</v>
      </c>
    </row>
    <row r="322" ht="15.75" customHeight="1">
      <c r="A322" s="2" t="s">
        <v>1241</v>
      </c>
      <c r="B322" s="2" t="s">
        <v>1242</v>
      </c>
      <c r="C322" s="2" t="s">
        <v>979</v>
      </c>
      <c r="D322" s="2">
        <v>5.0</v>
      </c>
      <c r="E322" s="2">
        <v>1647.0</v>
      </c>
      <c r="F322" s="2">
        <v>1596.0</v>
      </c>
      <c r="G322" s="2">
        <v>280000.0</v>
      </c>
    </row>
    <row r="323" ht="15.75" customHeight="1">
      <c r="A323" s="2" t="s">
        <v>1245</v>
      </c>
      <c r="B323" s="2" t="s">
        <v>1246</v>
      </c>
      <c r="C323" s="2" t="s">
        <v>979</v>
      </c>
      <c r="D323" s="2">
        <v>5.0</v>
      </c>
      <c r="E323" s="2">
        <v>1167.0</v>
      </c>
      <c r="F323" s="2">
        <v>1015.0</v>
      </c>
      <c r="G323" s="2">
        <v>105000.0</v>
      </c>
    </row>
    <row r="324" ht="15.75" customHeight="1">
      <c r="A324" s="2" t="s">
        <v>1247</v>
      </c>
      <c r="B324" s="2" t="s">
        <v>1248</v>
      </c>
      <c r="C324" s="2" t="s">
        <v>979</v>
      </c>
      <c r="D324" s="2">
        <v>7.0</v>
      </c>
      <c r="E324" s="2">
        <v>1094.0</v>
      </c>
      <c r="F324" s="2">
        <v>1261.0</v>
      </c>
      <c r="G324" s="2">
        <v>186000.0</v>
      </c>
    </row>
    <row r="325" ht="15.75" customHeight="1">
      <c r="A325" s="2" t="s">
        <v>1249</v>
      </c>
      <c r="B325" s="2" t="s">
        <v>1250</v>
      </c>
      <c r="C325" s="2" t="s">
        <v>979</v>
      </c>
      <c r="D325" s="2">
        <v>36.0</v>
      </c>
      <c r="E325" s="2">
        <v>1072.0</v>
      </c>
      <c r="F325" s="2">
        <v>1124.0</v>
      </c>
      <c r="G325" s="2">
        <v>109500.0</v>
      </c>
    </row>
    <row r="326" ht="15.75" customHeight="1">
      <c r="A326" s="2" t="s">
        <v>1251</v>
      </c>
      <c r="B326" s="2" t="s">
        <v>1252</v>
      </c>
      <c r="C326" s="2" t="s">
        <v>979</v>
      </c>
      <c r="D326" s="2">
        <v>17.0</v>
      </c>
      <c r="E326" s="2">
        <v>1507.0</v>
      </c>
      <c r="F326" s="2">
        <v>1735.0</v>
      </c>
      <c r="G326" s="2">
        <v>281000.0</v>
      </c>
    </row>
    <row r="327" ht="15.75" customHeight="1">
      <c r="A327" s="2" t="s">
        <v>1255</v>
      </c>
      <c r="B327" s="2" t="s">
        <v>1256</v>
      </c>
      <c r="C327" s="2" t="s">
        <v>979</v>
      </c>
      <c r="D327" s="2">
        <v>132.0</v>
      </c>
      <c r="E327" s="2">
        <v>2936.0</v>
      </c>
      <c r="F327" s="2">
        <v>3102.0</v>
      </c>
      <c r="G327" s="2">
        <v>176500.0</v>
      </c>
    </row>
    <row r="328" ht="15.75" customHeight="1">
      <c r="A328" s="2" t="s">
        <v>1257</v>
      </c>
      <c r="B328" s="2" t="s">
        <v>1259</v>
      </c>
      <c r="C328" s="2" t="s">
        <v>979</v>
      </c>
      <c r="D328" s="2">
        <v>5.0</v>
      </c>
      <c r="E328" s="2">
        <v>824.0</v>
      </c>
      <c r="F328" s="2">
        <v>989.0</v>
      </c>
      <c r="G328" s="2">
        <v>89600.0</v>
      </c>
    </row>
    <row r="329" ht="15.75" customHeight="1">
      <c r="A329" s="2" t="s">
        <v>1263</v>
      </c>
      <c r="B329" s="2" t="s">
        <v>1264</v>
      </c>
      <c r="C329" s="2" t="s">
        <v>979</v>
      </c>
      <c r="D329" s="2">
        <v>9.0</v>
      </c>
      <c r="E329" s="2">
        <v>1338.0</v>
      </c>
      <c r="F329" s="2">
        <v>1518.0</v>
      </c>
      <c r="G329" s="2">
        <v>204000.0</v>
      </c>
    </row>
    <row r="330" ht="15.75" customHeight="1">
      <c r="A330" s="2" t="s">
        <v>1265</v>
      </c>
      <c r="B330" s="2" t="s">
        <v>1266</v>
      </c>
      <c r="C330" s="2" t="s">
        <v>979</v>
      </c>
      <c r="D330" s="2">
        <v>14.0</v>
      </c>
      <c r="E330" s="2">
        <v>1970.0</v>
      </c>
      <c r="F330" s="2">
        <v>1876.0</v>
      </c>
      <c r="G330" s="2">
        <v>193250.0</v>
      </c>
    </row>
    <row r="331" ht="15.75" customHeight="1">
      <c r="A331" s="2" t="s">
        <v>1267</v>
      </c>
      <c r="B331" s="2" t="s">
        <v>1268</v>
      </c>
      <c r="C331" s="2" t="s">
        <v>979</v>
      </c>
      <c r="D331" s="2">
        <v>90.0</v>
      </c>
      <c r="E331" s="2">
        <v>1216.0</v>
      </c>
      <c r="F331" s="2">
        <v>1275.0</v>
      </c>
      <c r="G331" s="2">
        <v>115000.0</v>
      </c>
    </row>
    <row r="332" ht="15.75" customHeight="1">
      <c r="A332" s="2" t="s">
        <v>1271</v>
      </c>
      <c r="B332" s="2" t="s">
        <v>1272</v>
      </c>
      <c r="C332" s="2" t="s">
        <v>979</v>
      </c>
      <c r="D332" s="2">
        <v>19.0</v>
      </c>
      <c r="E332" s="2">
        <v>1332.0</v>
      </c>
      <c r="F332" s="2">
        <v>1674.0</v>
      </c>
      <c r="G332" s="2">
        <v>183940.0</v>
      </c>
    </row>
    <row r="333" ht="15.75" customHeight="1">
      <c r="A333" s="2" t="s">
        <v>1273</v>
      </c>
      <c r="B333" s="2" t="s">
        <v>1274</v>
      </c>
      <c r="C333" s="2" t="s">
        <v>979</v>
      </c>
      <c r="D333" s="2">
        <v>10.0</v>
      </c>
      <c r="E333" s="2">
        <v>1996.0</v>
      </c>
      <c r="F333" s="2">
        <v>1770.0</v>
      </c>
      <c r="G333" s="2">
        <v>216200.0</v>
      </c>
    </row>
    <row r="334" ht="15.75" customHeight="1">
      <c r="A334" s="2" t="s">
        <v>1276</v>
      </c>
      <c r="B334" s="2" t="s">
        <v>1278</v>
      </c>
      <c r="C334" s="2" t="s">
        <v>979</v>
      </c>
      <c r="D334" s="2">
        <v>9.0</v>
      </c>
      <c r="E334" s="2">
        <v>2149.0</v>
      </c>
      <c r="F334" s="2">
        <v>1864.0</v>
      </c>
      <c r="G334" s="2">
        <v>202000.0</v>
      </c>
    </row>
    <row r="335" ht="15.75" customHeight="1">
      <c r="A335" s="2" t="s">
        <v>1280</v>
      </c>
      <c r="B335" s="2" t="s">
        <v>1281</v>
      </c>
      <c r="C335" s="2" t="s">
        <v>979</v>
      </c>
      <c r="D335" s="2">
        <v>7.0</v>
      </c>
      <c r="E335" s="2">
        <v>1429.0</v>
      </c>
      <c r="F335" s="2">
        <v>1725.0</v>
      </c>
      <c r="G335" s="2">
        <v>289500.0</v>
      </c>
    </row>
    <row r="336" ht="15.75" customHeight="1">
      <c r="A336" s="2" t="s">
        <v>1285</v>
      </c>
      <c r="B336" s="2" t="s">
        <v>1286</v>
      </c>
      <c r="C336" s="2" t="s">
        <v>979</v>
      </c>
      <c r="D336" s="2">
        <v>7.0</v>
      </c>
      <c r="E336" s="2">
        <v>1355.0</v>
      </c>
      <c r="F336" s="2">
        <v>1376.0</v>
      </c>
      <c r="G336" s="2">
        <v>210000.0</v>
      </c>
    </row>
    <row r="337" ht="15.75" customHeight="1">
      <c r="A337" s="2" t="s">
        <v>1287</v>
      </c>
      <c r="B337" s="2" t="s">
        <v>1288</v>
      </c>
      <c r="C337" s="2" t="s">
        <v>979</v>
      </c>
      <c r="D337" s="2">
        <v>25.0</v>
      </c>
      <c r="E337" s="2">
        <v>721.0</v>
      </c>
      <c r="F337" s="2">
        <v>1121.0</v>
      </c>
      <c r="G337" s="2">
        <v>91000.0</v>
      </c>
    </row>
    <row r="338" ht="15.75" customHeight="1">
      <c r="A338" s="2" t="s">
        <v>1291</v>
      </c>
      <c r="B338" s="2" t="s">
        <v>1292</v>
      </c>
      <c r="C338" s="2" t="s">
        <v>979</v>
      </c>
      <c r="D338" s="2">
        <v>8.0</v>
      </c>
      <c r="E338" s="2">
        <v>851.0</v>
      </c>
      <c r="F338" s="2">
        <v>915.0</v>
      </c>
      <c r="G338" s="2">
        <v>95300.0</v>
      </c>
    </row>
    <row r="339" ht="15.75" customHeight="1">
      <c r="A339" s="2" t="s">
        <v>1293</v>
      </c>
      <c r="B339" s="2" t="s">
        <v>1294</v>
      </c>
      <c r="C339" s="2" t="s">
        <v>979</v>
      </c>
      <c r="D339" s="2">
        <v>8.0</v>
      </c>
      <c r="E339" s="2">
        <v>1327.0</v>
      </c>
      <c r="F339" s="2">
        <v>1275.0</v>
      </c>
      <c r="G339" s="2">
        <v>132208.0</v>
      </c>
    </row>
    <row r="340" ht="15.75" customHeight="1">
      <c r="A340" s="2" t="s">
        <v>1297</v>
      </c>
      <c r="B340" s="2" t="s">
        <v>1298</v>
      </c>
      <c r="C340" s="2" t="s">
        <v>979</v>
      </c>
      <c r="D340" s="2">
        <v>6.0</v>
      </c>
      <c r="E340" s="2">
        <v>1487.0</v>
      </c>
      <c r="F340" s="2">
        <v>1584.0</v>
      </c>
      <c r="G340" s="2">
        <v>164675.0</v>
      </c>
    </row>
    <row r="341" ht="15.75" customHeight="1">
      <c r="A341" s="2" t="s">
        <v>1301</v>
      </c>
      <c r="B341" s="2" t="s">
        <v>1302</v>
      </c>
      <c r="C341" s="2" t="s">
        <v>979</v>
      </c>
      <c r="D341" s="2">
        <v>473.0</v>
      </c>
      <c r="E341" s="2">
        <v>1400.0</v>
      </c>
      <c r="F341" s="2">
        <v>1468.0</v>
      </c>
      <c r="G341" s="2">
        <v>115000.0</v>
      </c>
    </row>
    <row r="342" ht="15.75" customHeight="1">
      <c r="A342" s="2" t="s">
        <v>1303</v>
      </c>
      <c r="B342" s="2" t="s">
        <v>1304</v>
      </c>
      <c r="C342" s="2" t="s">
        <v>979</v>
      </c>
      <c r="D342" s="2">
        <v>13.0</v>
      </c>
      <c r="E342" s="2">
        <v>2398.0</v>
      </c>
      <c r="F342" s="2">
        <v>2397.0</v>
      </c>
      <c r="G342" s="2">
        <v>239500.0</v>
      </c>
    </row>
    <row r="343" ht="15.75" customHeight="1">
      <c r="A343" s="2" t="s">
        <v>1307</v>
      </c>
      <c r="B343" s="2" t="s">
        <v>1308</v>
      </c>
      <c r="C343" s="2" t="s">
        <v>979</v>
      </c>
      <c r="D343" s="2">
        <v>15.0</v>
      </c>
      <c r="E343" s="2">
        <v>2885.0</v>
      </c>
      <c r="F343" s="2">
        <v>3022.0</v>
      </c>
      <c r="G343" s="2">
        <v>365000.0</v>
      </c>
    </row>
    <row r="344" ht="15.75" customHeight="1">
      <c r="A344" s="2" t="s">
        <v>1309</v>
      </c>
      <c r="B344" s="2" t="s">
        <v>1311</v>
      </c>
      <c r="C344" s="2" t="s">
        <v>979</v>
      </c>
      <c r="D344" s="2">
        <v>14.0</v>
      </c>
      <c r="E344" s="2">
        <v>1269.0</v>
      </c>
      <c r="F344" s="2">
        <v>1491.0</v>
      </c>
      <c r="G344" s="2">
        <v>162000.0</v>
      </c>
    </row>
    <row r="345" ht="15.75" customHeight="1">
      <c r="A345" s="2" t="s">
        <v>1313</v>
      </c>
      <c r="B345" s="2" t="s">
        <v>1314</v>
      </c>
      <c r="C345" s="2" t="s">
        <v>979</v>
      </c>
      <c r="D345" s="2">
        <v>21.0</v>
      </c>
      <c r="E345" s="2">
        <v>2851.0</v>
      </c>
      <c r="F345" s="2">
        <v>2955.0</v>
      </c>
      <c r="G345" s="2">
        <v>240000.0</v>
      </c>
    </row>
    <row r="346" ht="15.75" customHeight="1">
      <c r="A346" s="2" t="s">
        <v>1316</v>
      </c>
      <c r="B346" s="2" t="s">
        <v>1320</v>
      </c>
      <c r="C346" s="2" t="s">
        <v>979</v>
      </c>
      <c r="D346" s="2">
        <v>10.0</v>
      </c>
      <c r="E346" s="2">
        <v>1752.0</v>
      </c>
      <c r="F346" s="2">
        <v>1704.0</v>
      </c>
      <c r="G346" s="2">
        <v>168100.0</v>
      </c>
    </row>
    <row r="347" ht="15.75" customHeight="1">
      <c r="A347" s="2" t="s">
        <v>1321</v>
      </c>
      <c r="B347" s="2" t="s">
        <v>1322</v>
      </c>
      <c r="C347" s="2" t="s">
        <v>979</v>
      </c>
      <c r="D347" s="2">
        <v>21.0</v>
      </c>
      <c r="E347" s="2">
        <v>2937.0</v>
      </c>
      <c r="F347" s="2">
        <v>2850.0</v>
      </c>
      <c r="G347" s="2">
        <v>262000.0</v>
      </c>
    </row>
    <row r="348" ht="15.75" customHeight="1">
      <c r="A348" s="2" t="s">
        <v>1323</v>
      </c>
      <c r="B348" s="2" t="s">
        <v>1324</v>
      </c>
      <c r="C348" s="2" t="s">
        <v>979</v>
      </c>
      <c r="D348" s="2">
        <v>87.0</v>
      </c>
      <c r="E348" s="2">
        <v>1788.0</v>
      </c>
      <c r="F348" s="2">
        <v>1749.0</v>
      </c>
      <c r="G348" s="2">
        <v>161500.0</v>
      </c>
    </row>
    <row r="349" ht="15.75" customHeight="1">
      <c r="A349" s="2" t="s">
        <v>1327</v>
      </c>
      <c r="B349" s="2" t="s">
        <v>1328</v>
      </c>
      <c r="C349" s="2" t="s">
        <v>979</v>
      </c>
      <c r="D349" s="2">
        <v>14.0</v>
      </c>
      <c r="E349" s="2">
        <v>2146.0</v>
      </c>
      <c r="F349" s="2">
        <v>2220.0</v>
      </c>
      <c r="G349" s="2">
        <v>242425.0</v>
      </c>
    </row>
    <row r="350" ht="15.75" customHeight="1">
      <c r="A350" s="2" t="s">
        <v>1330</v>
      </c>
      <c r="B350" s="2" t="s">
        <v>1332</v>
      </c>
      <c r="C350" s="2" t="s">
        <v>979</v>
      </c>
      <c r="D350" s="2">
        <v>6.0</v>
      </c>
      <c r="E350" s="2">
        <v>823.0</v>
      </c>
      <c r="F350" s="2">
        <v>1100.0</v>
      </c>
      <c r="G350" s="2">
        <v>123200.0</v>
      </c>
    </row>
    <row r="351" ht="15.75" customHeight="1">
      <c r="A351" s="2" t="s">
        <v>1333</v>
      </c>
      <c r="B351" s="2" t="s">
        <v>1335</v>
      </c>
      <c r="C351" s="2" t="s">
        <v>979</v>
      </c>
      <c r="D351" s="2">
        <v>14.0</v>
      </c>
      <c r="E351" s="2">
        <v>1111.0</v>
      </c>
      <c r="F351" s="2">
        <v>1349.0</v>
      </c>
      <c r="G351" s="2">
        <v>154000.0</v>
      </c>
    </row>
    <row r="352" ht="15.75" customHeight="1">
      <c r="A352" s="2" t="s">
        <v>1337</v>
      </c>
      <c r="B352" s="2" t="s">
        <v>1339</v>
      </c>
      <c r="C352" s="2" t="s">
        <v>979</v>
      </c>
      <c r="D352" s="2">
        <v>24.0</v>
      </c>
      <c r="E352" s="2">
        <v>1520.0</v>
      </c>
      <c r="F352" s="2">
        <v>1771.0</v>
      </c>
      <c r="G352" s="2">
        <v>232500.0</v>
      </c>
    </row>
    <row r="353" ht="15.75" customHeight="1">
      <c r="A353" s="2" t="s">
        <v>1341</v>
      </c>
      <c r="B353" s="2" t="s">
        <v>1342</v>
      </c>
      <c r="C353" s="2" t="s">
        <v>979</v>
      </c>
      <c r="D353" s="2">
        <v>7.0</v>
      </c>
      <c r="E353" s="2">
        <v>919.0</v>
      </c>
      <c r="F353" s="2">
        <v>938.0</v>
      </c>
      <c r="G353" s="2">
        <v>68000.0</v>
      </c>
    </row>
    <row r="354" ht="15.75" customHeight="1">
      <c r="A354" s="2" t="s">
        <v>1345</v>
      </c>
      <c r="B354" s="2" t="s">
        <v>1346</v>
      </c>
      <c r="C354" s="2" t="s">
        <v>979</v>
      </c>
      <c r="D354" s="2">
        <v>8.0</v>
      </c>
      <c r="E354" s="2">
        <v>1101.0</v>
      </c>
      <c r="F354" s="2">
        <v>1124.0</v>
      </c>
      <c r="G354" s="2">
        <v>156678.0</v>
      </c>
    </row>
    <row r="355" ht="15.75" customHeight="1">
      <c r="A355" s="2" t="s">
        <v>1349</v>
      </c>
      <c r="B355" s="2" t="s">
        <v>1350</v>
      </c>
      <c r="C355" s="2" t="s">
        <v>979</v>
      </c>
      <c r="D355" s="2">
        <v>162.0</v>
      </c>
      <c r="E355" s="2">
        <v>961.0</v>
      </c>
      <c r="F355" s="2">
        <v>1018.0</v>
      </c>
      <c r="G355" s="2">
        <v>73750.0</v>
      </c>
    </row>
    <row r="356" ht="15.75" customHeight="1">
      <c r="A356" s="2" t="s">
        <v>1353</v>
      </c>
      <c r="B356" s="2" t="s">
        <v>1354</v>
      </c>
      <c r="C356" s="2" t="s">
        <v>979</v>
      </c>
      <c r="D356" s="2">
        <v>6.0</v>
      </c>
      <c r="E356" s="2">
        <v>1524.0</v>
      </c>
      <c r="F356" s="2">
        <v>1410.0</v>
      </c>
      <c r="G356" s="2">
        <v>109000.0</v>
      </c>
    </row>
    <row r="357" ht="15.75" customHeight="1">
      <c r="A357" s="2" t="s">
        <v>1357</v>
      </c>
      <c r="B357" s="2" t="s">
        <v>1358</v>
      </c>
      <c r="C357" s="2" t="s">
        <v>979</v>
      </c>
      <c r="D357" s="2">
        <v>22.0</v>
      </c>
      <c r="E357" s="2">
        <v>1751.0</v>
      </c>
      <c r="F357" s="2">
        <v>1807.0</v>
      </c>
      <c r="G357" s="2">
        <v>202352.0</v>
      </c>
    </row>
    <row r="358" ht="15.75" customHeight="1">
      <c r="A358" s="2" t="s">
        <v>1359</v>
      </c>
      <c r="B358" s="2" t="s">
        <v>1361</v>
      </c>
      <c r="C358" s="2" t="s">
        <v>979</v>
      </c>
      <c r="D358" s="2">
        <v>8.0</v>
      </c>
      <c r="E358" s="2">
        <v>1937.0</v>
      </c>
      <c r="F358" s="2">
        <v>1592.0</v>
      </c>
      <c r="G358" s="2">
        <v>162500.0</v>
      </c>
    </row>
    <row r="359" ht="15.75" customHeight="1">
      <c r="A359" s="2" t="s">
        <v>1363</v>
      </c>
      <c r="B359" s="2" t="s">
        <v>1365</v>
      </c>
      <c r="C359" s="2" t="s">
        <v>979</v>
      </c>
      <c r="D359" s="2">
        <v>5.0</v>
      </c>
      <c r="E359" s="2">
        <v>1623.0</v>
      </c>
      <c r="F359" s="2">
        <v>1408.0</v>
      </c>
      <c r="G359" s="2">
        <v>200000.0</v>
      </c>
    </row>
    <row r="360" ht="15.75" customHeight="1">
      <c r="A360" s="2" t="s">
        <v>1368</v>
      </c>
      <c r="B360" s="2" t="s">
        <v>1370</v>
      </c>
      <c r="C360" s="2" t="s">
        <v>979</v>
      </c>
      <c r="D360" s="2">
        <v>37.0</v>
      </c>
      <c r="E360" s="2">
        <v>3139.0</v>
      </c>
      <c r="F360" s="2">
        <v>3130.0</v>
      </c>
      <c r="G360" s="2">
        <v>336700.0</v>
      </c>
    </row>
    <row r="361" ht="15.75" customHeight="1">
      <c r="A361" s="2" t="s">
        <v>1373</v>
      </c>
      <c r="B361" s="2" t="s">
        <v>1374</v>
      </c>
      <c r="C361" s="2" t="s">
        <v>979</v>
      </c>
      <c r="D361" s="2">
        <v>17.0</v>
      </c>
      <c r="E361" s="2">
        <v>697.0</v>
      </c>
      <c r="F361" s="2">
        <v>885.0</v>
      </c>
      <c r="G361" s="2">
        <v>98000.0</v>
      </c>
    </row>
    <row r="362" ht="15.75" customHeight="1">
      <c r="A362" s="2" t="s">
        <v>1377</v>
      </c>
      <c r="B362" s="2" t="s">
        <v>1378</v>
      </c>
      <c r="C362" s="2" t="s">
        <v>979</v>
      </c>
      <c r="D362" s="2">
        <v>8.0</v>
      </c>
      <c r="E362" s="2">
        <v>2937.0</v>
      </c>
      <c r="F362" s="2">
        <v>2729.0</v>
      </c>
      <c r="G362" s="2">
        <v>309000.0</v>
      </c>
    </row>
    <row r="363" ht="15.75" customHeight="1">
      <c r="A363" s="2" t="s">
        <v>1381</v>
      </c>
      <c r="B363" s="2" t="s">
        <v>1382</v>
      </c>
      <c r="C363" s="2" t="s">
        <v>979</v>
      </c>
      <c r="D363" s="2">
        <v>14.0</v>
      </c>
      <c r="E363" s="2">
        <v>782.0</v>
      </c>
      <c r="F363" s="2">
        <v>883.0</v>
      </c>
      <c r="G363" s="2">
        <v>119000.0</v>
      </c>
    </row>
    <row r="364" ht="15.75" customHeight="1">
      <c r="A364" s="2" t="s">
        <v>1383</v>
      </c>
      <c r="B364" s="2" t="s">
        <v>1384</v>
      </c>
      <c r="C364" s="2" t="s">
        <v>979</v>
      </c>
      <c r="D364" s="2">
        <v>119.0</v>
      </c>
      <c r="E364" s="2">
        <v>2250.0</v>
      </c>
      <c r="F364" s="2">
        <v>2272.0</v>
      </c>
      <c r="G364" s="2">
        <v>181500.0</v>
      </c>
    </row>
    <row r="365" ht="15.75" customHeight="1">
      <c r="A365" s="2" t="s">
        <v>1385</v>
      </c>
      <c r="B365" s="2" t="s">
        <v>1386</v>
      </c>
      <c r="C365" s="2" t="s">
        <v>979</v>
      </c>
      <c r="D365" s="2">
        <v>74.0</v>
      </c>
      <c r="E365" s="2">
        <v>1267.0</v>
      </c>
      <c r="F365" s="2">
        <v>1270.0</v>
      </c>
      <c r="G365" s="2">
        <v>101180.0</v>
      </c>
    </row>
    <row r="366" ht="15.75" customHeight="1">
      <c r="A366" s="2" t="s">
        <v>1387</v>
      </c>
      <c r="B366" s="2" t="s">
        <v>1389</v>
      </c>
      <c r="C366" s="2" t="s">
        <v>979</v>
      </c>
      <c r="D366" s="2">
        <v>256.0</v>
      </c>
      <c r="E366" s="2">
        <v>1747.0</v>
      </c>
      <c r="F366" s="2">
        <v>1765.0</v>
      </c>
      <c r="G366" s="2">
        <v>145000.0</v>
      </c>
    </row>
    <row r="367" ht="15.75" customHeight="1">
      <c r="A367" s="2" t="s">
        <v>1392</v>
      </c>
      <c r="B367" s="2" t="s">
        <v>1394</v>
      </c>
      <c r="C367" s="2" t="s">
        <v>979</v>
      </c>
      <c r="D367" s="2">
        <v>29.0</v>
      </c>
      <c r="E367" s="2">
        <v>1703.0</v>
      </c>
      <c r="F367" s="2">
        <v>1599.0</v>
      </c>
      <c r="G367" s="2">
        <v>116000.0</v>
      </c>
    </row>
    <row r="368" ht="15.75" customHeight="1">
      <c r="A368" s="2" t="s">
        <v>1396</v>
      </c>
      <c r="B368" s="2" t="s">
        <v>1397</v>
      </c>
      <c r="C368" s="2" t="s">
        <v>979</v>
      </c>
      <c r="D368" s="2">
        <v>20.0</v>
      </c>
      <c r="E368" s="2">
        <v>856.0</v>
      </c>
      <c r="F368" s="2">
        <v>964.0</v>
      </c>
      <c r="G368" s="2">
        <v>98375.0</v>
      </c>
    </row>
    <row r="369" ht="15.75" customHeight="1">
      <c r="A369" s="2" t="s">
        <v>1399</v>
      </c>
      <c r="B369" s="2" t="s">
        <v>1400</v>
      </c>
      <c r="C369" s="2" t="s">
        <v>979</v>
      </c>
      <c r="D369" s="2">
        <v>38.0</v>
      </c>
      <c r="E369" s="2">
        <v>2111.0</v>
      </c>
      <c r="F369" s="2">
        <v>2126.0</v>
      </c>
      <c r="G369" s="2">
        <v>285500.0</v>
      </c>
    </row>
    <row r="370" ht="15.75" customHeight="1">
      <c r="A370" s="2" t="s">
        <v>1402</v>
      </c>
      <c r="B370" s="2" t="s">
        <v>1404</v>
      </c>
      <c r="C370" s="2" t="s">
        <v>979</v>
      </c>
      <c r="D370" s="2">
        <v>6.0</v>
      </c>
      <c r="E370" s="2">
        <v>1830.0</v>
      </c>
      <c r="F370" s="2">
        <v>1859.0</v>
      </c>
      <c r="G370" s="2">
        <v>304000.0</v>
      </c>
    </row>
    <row r="371" ht="15.75" customHeight="1">
      <c r="A371" s="2" t="s">
        <v>1407</v>
      </c>
      <c r="B371" s="2" t="s">
        <v>1408</v>
      </c>
      <c r="C371" s="2" t="s">
        <v>979</v>
      </c>
      <c r="D371" s="2">
        <v>48.0</v>
      </c>
      <c r="E371" s="2">
        <v>1100.0</v>
      </c>
      <c r="F371" s="2">
        <v>1213.0</v>
      </c>
      <c r="G371" s="2">
        <v>86250.0</v>
      </c>
    </row>
    <row r="372" ht="15.75" customHeight="1">
      <c r="A372" s="2" t="s">
        <v>1411</v>
      </c>
      <c r="B372" s="2" t="s">
        <v>1412</v>
      </c>
      <c r="C372" s="2" t="s">
        <v>979</v>
      </c>
      <c r="D372" s="2">
        <v>284.0</v>
      </c>
      <c r="E372" s="2">
        <v>2487.0</v>
      </c>
      <c r="F372" s="2">
        <v>2608.0</v>
      </c>
      <c r="G372" s="2">
        <v>181925.0</v>
      </c>
    </row>
    <row r="373" ht="15.75" customHeight="1">
      <c r="A373" s="2" t="s">
        <v>1415</v>
      </c>
      <c r="B373" s="2" t="s">
        <v>1416</v>
      </c>
      <c r="C373" s="2" t="s">
        <v>979</v>
      </c>
      <c r="D373" s="2">
        <v>12.0</v>
      </c>
      <c r="E373" s="2">
        <v>1154.0</v>
      </c>
      <c r="F373" s="2">
        <v>1305.0</v>
      </c>
      <c r="G373" s="2">
        <v>136500.0</v>
      </c>
    </row>
    <row r="374" ht="15.75" customHeight="1">
      <c r="A374" s="2" t="s">
        <v>1417</v>
      </c>
      <c r="B374" s="2" t="s">
        <v>1418</v>
      </c>
      <c r="C374" s="2" t="s">
        <v>979</v>
      </c>
      <c r="D374" s="2">
        <v>65.0</v>
      </c>
      <c r="E374" s="2">
        <v>1711.0</v>
      </c>
      <c r="F374" s="2">
        <v>1678.0</v>
      </c>
      <c r="G374" s="2">
        <v>146700.0</v>
      </c>
    </row>
    <row r="375" ht="15.75" customHeight="1">
      <c r="A375" s="2" t="s">
        <v>1421</v>
      </c>
      <c r="B375" s="2" t="s">
        <v>1422</v>
      </c>
      <c r="C375" s="2" t="s">
        <v>979</v>
      </c>
      <c r="D375" s="2">
        <v>11.0</v>
      </c>
      <c r="E375" s="2">
        <v>2176.0</v>
      </c>
      <c r="F375" s="2">
        <v>2068.0</v>
      </c>
      <c r="G375" s="2">
        <v>185000.0</v>
      </c>
    </row>
    <row r="376" ht="15.75" customHeight="1">
      <c r="A376" s="2" t="s">
        <v>1423</v>
      </c>
      <c r="B376" s="2" t="s">
        <v>1424</v>
      </c>
      <c r="C376" s="2" t="s">
        <v>979</v>
      </c>
      <c r="D376" s="2">
        <v>56.0</v>
      </c>
      <c r="E376" s="2">
        <v>2868.0</v>
      </c>
      <c r="F376" s="2">
        <v>3003.0</v>
      </c>
      <c r="G376" s="2">
        <v>275000.0</v>
      </c>
    </row>
    <row r="377" ht="15.75" customHeight="1">
      <c r="A377" s="2" t="s">
        <v>1426</v>
      </c>
      <c r="B377" s="2" t="s">
        <v>1428</v>
      </c>
      <c r="C377" s="2" t="s">
        <v>979</v>
      </c>
      <c r="D377" s="2">
        <v>42.0</v>
      </c>
      <c r="E377" s="2">
        <v>1401.0</v>
      </c>
      <c r="F377" s="2">
        <v>1422.0</v>
      </c>
      <c r="G377" s="2">
        <v>112200.0</v>
      </c>
    </row>
    <row r="378" ht="15.75" customHeight="1">
      <c r="A378" s="2" t="s">
        <v>1430</v>
      </c>
      <c r="B378" s="2" t="s">
        <v>1432</v>
      </c>
      <c r="C378" s="2" t="s">
        <v>979</v>
      </c>
      <c r="D378" s="2">
        <v>176.0</v>
      </c>
      <c r="E378" s="2">
        <v>845.0</v>
      </c>
      <c r="F378" s="2">
        <v>912.0</v>
      </c>
      <c r="G378" s="2">
        <v>65000.0</v>
      </c>
    </row>
    <row r="379" ht="15.75" customHeight="1">
      <c r="A379" s="2" t="s">
        <v>1435</v>
      </c>
      <c r="B379" s="2" t="s">
        <v>1436</v>
      </c>
      <c r="C379" s="2" t="s">
        <v>979</v>
      </c>
      <c r="D379" s="2">
        <v>10.0</v>
      </c>
      <c r="E379" s="2">
        <v>2484.0</v>
      </c>
      <c r="F379" s="2">
        <v>2384.0</v>
      </c>
      <c r="G379" s="2">
        <v>247452.0</v>
      </c>
    </row>
    <row r="380" ht="15.75" customHeight="1">
      <c r="A380" s="2" t="s">
        <v>1439</v>
      </c>
      <c r="B380" s="2" t="s">
        <v>1440</v>
      </c>
      <c r="C380" s="2" t="s">
        <v>979</v>
      </c>
      <c r="D380" s="2">
        <v>5.0</v>
      </c>
      <c r="E380" s="2">
        <v>1601.0</v>
      </c>
      <c r="F380" s="2">
        <v>1567.0</v>
      </c>
      <c r="G380" s="2">
        <v>160050.0</v>
      </c>
    </row>
    <row r="381" ht="15.75" customHeight="1">
      <c r="A381" s="2" t="s">
        <v>1443</v>
      </c>
      <c r="B381" s="2" t="s">
        <v>1444</v>
      </c>
      <c r="C381" s="2" t="s">
        <v>979</v>
      </c>
      <c r="D381" s="2">
        <v>8.0</v>
      </c>
      <c r="E381" s="2">
        <v>785.0</v>
      </c>
      <c r="F381" s="2">
        <v>1001.0</v>
      </c>
      <c r="G381" s="2">
        <v>92500.0</v>
      </c>
    </row>
    <row r="382" ht="15.75" customHeight="1">
      <c r="A382" s="2" t="s">
        <v>1446</v>
      </c>
      <c r="B382" s="2" t="s">
        <v>1447</v>
      </c>
      <c r="C382" s="2" t="s">
        <v>979</v>
      </c>
      <c r="D382" s="2">
        <v>15.0</v>
      </c>
      <c r="E382" s="2">
        <v>2039.0</v>
      </c>
      <c r="F382" s="2">
        <v>2105.0</v>
      </c>
      <c r="G382" s="2">
        <v>195000.0</v>
      </c>
    </row>
    <row r="383" ht="15.75" customHeight="1">
      <c r="A383" s="2" t="s">
        <v>1449</v>
      </c>
      <c r="B383" s="2" t="s">
        <v>1450</v>
      </c>
      <c r="C383" s="2" t="s">
        <v>979</v>
      </c>
      <c r="D383" s="2">
        <v>447.0</v>
      </c>
      <c r="E383" s="2">
        <v>1498.0</v>
      </c>
      <c r="F383" s="2">
        <v>1576.0</v>
      </c>
      <c r="G383" s="2">
        <v>115000.0</v>
      </c>
    </row>
    <row r="384" ht="15.75" customHeight="1">
      <c r="A384" s="2" t="s">
        <v>1451</v>
      </c>
      <c r="B384" s="2" t="s">
        <v>1452</v>
      </c>
      <c r="C384" s="2" t="s">
        <v>979</v>
      </c>
      <c r="D384" s="2">
        <v>76.0</v>
      </c>
      <c r="E384" s="2">
        <v>1255.0</v>
      </c>
      <c r="F384" s="2">
        <v>1308.0</v>
      </c>
      <c r="G384" s="2">
        <v>115340.0</v>
      </c>
    </row>
    <row r="385" ht="15.75" customHeight="1">
      <c r="A385" s="2" t="s">
        <v>1453</v>
      </c>
      <c r="B385" s="2" t="s">
        <v>1454</v>
      </c>
      <c r="C385" s="2" t="s">
        <v>979</v>
      </c>
      <c r="D385" s="2">
        <v>8.0</v>
      </c>
      <c r="E385" s="2">
        <v>852.0</v>
      </c>
      <c r="F385" s="2">
        <v>1037.0</v>
      </c>
      <c r="G385" s="2">
        <v>121250.0</v>
      </c>
    </row>
    <row r="386" ht="15.75" customHeight="1">
      <c r="A386" s="2" t="s">
        <v>1456</v>
      </c>
      <c r="B386" s="2" t="s">
        <v>1458</v>
      </c>
      <c r="C386" s="2" t="s">
        <v>979</v>
      </c>
      <c r="D386" s="2">
        <v>1113.0</v>
      </c>
      <c r="E386" s="2">
        <v>2000.0</v>
      </c>
      <c r="F386" s="2">
        <v>2134.0</v>
      </c>
      <c r="G386" s="2">
        <v>160000.0</v>
      </c>
    </row>
    <row r="387" ht="15.75" customHeight="1">
      <c r="A387" s="2" t="s">
        <v>1460</v>
      </c>
      <c r="B387" s="2" t="s">
        <v>1462</v>
      </c>
      <c r="C387" s="2" t="s">
        <v>979</v>
      </c>
      <c r="D387" s="2">
        <v>6.0</v>
      </c>
      <c r="E387" s="2">
        <v>906.0</v>
      </c>
      <c r="F387" s="2">
        <v>950.0</v>
      </c>
      <c r="G387" s="2">
        <v>155585.0</v>
      </c>
    </row>
    <row r="388" ht="15.75" customHeight="1">
      <c r="A388" s="2" t="s">
        <v>1464</v>
      </c>
      <c r="B388" s="2" t="s">
        <v>1466</v>
      </c>
      <c r="C388" s="2" t="s">
        <v>979</v>
      </c>
      <c r="D388" s="2">
        <v>9.0</v>
      </c>
      <c r="E388" s="2">
        <v>1580.0</v>
      </c>
      <c r="F388" s="2">
        <v>1782.0</v>
      </c>
      <c r="G388" s="2">
        <v>248500.0</v>
      </c>
    </row>
    <row r="389" ht="15.75" customHeight="1">
      <c r="A389" s="2" t="s">
        <v>1469</v>
      </c>
      <c r="B389" s="2" t="s">
        <v>1470</v>
      </c>
      <c r="C389" s="2" t="s">
        <v>979</v>
      </c>
      <c r="D389" s="2">
        <v>35.0</v>
      </c>
      <c r="E389" s="2">
        <v>2400.0</v>
      </c>
      <c r="F389" s="2">
        <v>2549.0</v>
      </c>
      <c r="G389" s="2">
        <v>244000.0</v>
      </c>
    </row>
    <row r="390" ht="15.75" customHeight="1">
      <c r="A390" s="2" t="s">
        <v>1471</v>
      </c>
      <c r="B390" s="2" t="s">
        <v>1472</v>
      </c>
      <c r="C390" s="2" t="s">
        <v>979</v>
      </c>
      <c r="D390" s="2">
        <v>11.0</v>
      </c>
      <c r="E390" s="2">
        <v>1239.0</v>
      </c>
      <c r="F390" s="2">
        <v>1231.0</v>
      </c>
      <c r="G390" s="2">
        <v>170050.0</v>
      </c>
    </row>
    <row r="391" ht="15.75" customHeight="1">
      <c r="A391" s="2" t="s">
        <v>1473</v>
      </c>
      <c r="B391" s="2" t="s">
        <v>1474</v>
      </c>
      <c r="C391" s="2" t="s">
        <v>979</v>
      </c>
      <c r="D391" s="2">
        <v>7.0</v>
      </c>
      <c r="E391" s="2">
        <v>2714.0</v>
      </c>
      <c r="F391" s="2">
        <v>3091.0</v>
      </c>
      <c r="G391" s="2">
        <v>344160.0</v>
      </c>
    </row>
    <row r="392" ht="15.75" customHeight="1">
      <c r="A392" s="2" t="s">
        <v>1477</v>
      </c>
      <c r="B392" s="2" t="s">
        <v>1478</v>
      </c>
      <c r="C392" s="2" t="s">
        <v>979</v>
      </c>
      <c r="D392" s="2">
        <v>16.0</v>
      </c>
      <c r="E392" s="2">
        <v>3511.0</v>
      </c>
      <c r="F392" s="2">
        <v>3393.0</v>
      </c>
      <c r="G392" s="2">
        <v>359450.0</v>
      </c>
    </row>
    <row r="393" ht="15.75" customHeight="1">
      <c r="A393" s="2" t="s">
        <v>1481</v>
      </c>
      <c r="B393" s="2" t="s">
        <v>1483</v>
      </c>
      <c r="C393" s="2" t="s">
        <v>979</v>
      </c>
      <c r="D393" s="2">
        <v>21.0</v>
      </c>
      <c r="E393" s="2">
        <v>2664.0</v>
      </c>
      <c r="F393" s="2">
        <v>2528.0</v>
      </c>
      <c r="G393" s="2">
        <v>260545.0</v>
      </c>
    </row>
    <row r="394" ht="15.75" customHeight="1">
      <c r="A394" s="2" t="s">
        <v>1487</v>
      </c>
      <c r="B394" s="2" t="s">
        <v>1488</v>
      </c>
      <c r="C394" s="2" t="s">
        <v>979</v>
      </c>
      <c r="D394" s="2">
        <v>54.0</v>
      </c>
      <c r="E394" s="2">
        <v>2236.0</v>
      </c>
      <c r="F394" s="2">
        <v>2197.0</v>
      </c>
      <c r="G394" s="2">
        <v>166550.0</v>
      </c>
    </row>
    <row r="395" ht="15.75" customHeight="1">
      <c r="A395" s="2" t="s">
        <v>1491</v>
      </c>
      <c r="B395" s="2" t="s">
        <v>1493</v>
      </c>
      <c r="C395" s="2" t="s">
        <v>979</v>
      </c>
      <c r="D395" s="2">
        <v>8.0</v>
      </c>
      <c r="E395" s="2">
        <v>1556.0</v>
      </c>
      <c r="F395" s="2">
        <v>2238.0</v>
      </c>
      <c r="G395" s="2">
        <v>153000.0</v>
      </c>
    </row>
    <row r="396" ht="15.75" customHeight="1">
      <c r="A396" s="2" t="s">
        <v>1495</v>
      </c>
      <c r="B396" s="2" t="s">
        <v>1496</v>
      </c>
      <c r="C396" s="2" t="s">
        <v>979</v>
      </c>
      <c r="D396" s="2">
        <v>68.0</v>
      </c>
      <c r="E396" s="2">
        <v>1242.0</v>
      </c>
      <c r="F396" s="2">
        <v>1268.0</v>
      </c>
      <c r="G396" s="2">
        <v>108250.0</v>
      </c>
    </row>
    <row r="397" ht="15.75" customHeight="1">
      <c r="A397" s="2" t="s">
        <v>1497</v>
      </c>
      <c r="B397" s="2" t="s">
        <v>1500</v>
      </c>
      <c r="C397" s="2" t="s">
        <v>979</v>
      </c>
      <c r="D397" s="2">
        <v>43.0</v>
      </c>
      <c r="E397" s="2">
        <v>1071.0</v>
      </c>
      <c r="F397" s="2">
        <v>1161.0</v>
      </c>
      <c r="G397" s="2">
        <v>100000.0</v>
      </c>
    </row>
    <row r="398" ht="15.75" customHeight="1">
      <c r="A398" s="2" t="s">
        <v>1501</v>
      </c>
      <c r="B398" s="2" t="s">
        <v>1502</v>
      </c>
      <c r="C398" s="2" t="s">
        <v>979</v>
      </c>
      <c r="D398" s="2">
        <v>31.0</v>
      </c>
      <c r="E398" s="2">
        <v>1105.0</v>
      </c>
      <c r="F398" s="2">
        <v>1170.0</v>
      </c>
      <c r="G398" s="2">
        <v>81000.0</v>
      </c>
    </row>
    <row r="399" ht="15.75" customHeight="1">
      <c r="A399" s="2" t="s">
        <v>1503</v>
      </c>
      <c r="B399" s="2" t="s">
        <v>1504</v>
      </c>
      <c r="C399" s="2" t="s">
        <v>979</v>
      </c>
      <c r="D399" s="2">
        <v>9.0</v>
      </c>
      <c r="E399" s="2">
        <v>964.0</v>
      </c>
      <c r="F399" s="2">
        <v>1187.0</v>
      </c>
      <c r="G399" s="2">
        <v>130000.0</v>
      </c>
    </row>
    <row r="400" ht="15.75" customHeight="1">
      <c r="A400" s="2" t="s">
        <v>1507</v>
      </c>
      <c r="B400" s="2" t="s">
        <v>1508</v>
      </c>
      <c r="C400" s="2" t="s">
        <v>979</v>
      </c>
      <c r="D400" s="2">
        <v>28.0</v>
      </c>
      <c r="E400" s="2">
        <v>1524.0</v>
      </c>
      <c r="F400" s="2">
        <v>1731.0</v>
      </c>
      <c r="G400" s="2">
        <v>194825.0</v>
      </c>
    </row>
    <row r="401" ht="15.75" customHeight="1">
      <c r="A401" s="2" t="s">
        <v>1511</v>
      </c>
      <c r="B401" s="2" t="s">
        <v>1513</v>
      </c>
      <c r="C401" s="2" t="s">
        <v>979</v>
      </c>
      <c r="D401" s="2">
        <v>5.0</v>
      </c>
      <c r="E401" s="2">
        <v>1840.0</v>
      </c>
      <c r="F401" s="2">
        <v>1789.0</v>
      </c>
      <c r="G401" s="2">
        <v>207570.0</v>
      </c>
    </row>
    <row r="402" ht="15.75" customHeight="1">
      <c r="A402" s="2" t="s">
        <v>1515</v>
      </c>
      <c r="B402" s="2" t="s">
        <v>1516</v>
      </c>
      <c r="C402" s="2" t="s">
        <v>979</v>
      </c>
      <c r="D402" s="2">
        <v>73.0</v>
      </c>
      <c r="E402" s="2">
        <v>1824.0</v>
      </c>
      <c r="F402" s="2">
        <v>1880.0</v>
      </c>
      <c r="G402" s="2">
        <v>174240.0</v>
      </c>
    </row>
    <row r="403" ht="15.75" customHeight="1">
      <c r="A403" s="2" t="s">
        <v>1517</v>
      </c>
      <c r="B403" s="2" t="s">
        <v>1518</v>
      </c>
      <c r="C403" s="2" t="s">
        <v>979</v>
      </c>
      <c r="D403" s="2">
        <v>7.0</v>
      </c>
      <c r="E403" s="2">
        <v>1299.0</v>
      </c>
      <c r="F403" s="2">
        <v>1258.0</v>
      </c>
      <c r="G403" s="2">
        <v>217000.0</v>
      </c>
    </row>
    <row r="404" ht="15.75" customHeight="1">
      <c r="A404" s="2" t="s">
        <v>1521</v>
      </c>
      <c r="B404" s="2" t="s">
        <v>1522</v>
      </c>
      <c r="C404" s="2" t="s">
        <v>979</v>
      </c>
      <c r="D404" s="2">
        <v>13.0</v>
      </c>
      <c r="E404" s="2">
        <v>1633.0</v>
      </c>
      <c r="F404" s="2">
        <v>1536.0</v>
      </c>
      <c r="G404" s="2">
        <v>153000.0</v>
      </c>
    </row>
    <row r="405" ht="15.75" customHeight="1">
      <c r="A405" s="2" t="s">
        <v>1525</v>
      </c>
      <c r="B405" s="2" t="s">
        <v>1204</v>
      </c>
      <c r="C405" s="2" t="s">
        <v>979</v>
      </c>
      <c r="D405" s="2">
        <v>7.0</v>
      </c>
      <c r="E405" s="2">
        <v>1494.0</v>
      </c>
      <c r="F405" s="2">
        <v>1422.0</v>
      </c>
      <c r="G405" s="2">
        <v>165000.0</v>
      </c>
    </row>
    <row r="406" ht="15.75" customHeight="1">
      <c r="A406" s="2" t="s">
        <v>1529</v>
      </c>
      <c r="B406" s="2" t="s">
        <v>1531</v>
      </c>
      <c r="C406" s="2" t="s">
        <v>979</v>
      </c>
      <c r="D406" s="2">
        <v>231.0</v>
      </c>
      <c r="E406" s="2">
        <v>2500.0</v>
      </c>
      <c r="F406" s="2">
        <v>2453.0</v>
      </c>
      <c r="G406" s="2">
        <v>194500.0</v>
      </c>
    </row>
    <row r="407" ht="15.75" customHeight="1">
      <c r="A407" s="2" t="s">
        <v>1532</v>
      </c>
      <c r="B407" s="2" t="s">
        <v>1533</v>
      </c>
      <c r="C407" s="2" t="s">
        <v>979</v>
      </c>
      <c r="D407" s="2">
        <v>30.0</v>
      </c>
      <c r="E407" s="2">
        <v>1898.0</v>
      </c>
      <c r="F407" s="2">
        <v>1721.0</v>
      </c>
      <c r="G407" s="2">
        <v>62500.0</v>
      </c>
    </row>
    <row r="408" ht="15.75" customHeight="1">
      <c r="A408" s="2" t="s">
        <v>1536</v>
      </c>
      <c r="B408" s="2" t="s">
        <v>1537</v>
      </c>
      <c r="C408" s="2" t="s">
        <v>979</v>
      </c>
      <c r="D408" s="2">
        <v>28.0</v>
      </c>
      <c r="E408" s="2">
        <v>2391.0</v>
      </c>
      <c r="F408" s="2">
        <v>2385.0</v>
      </c>
      <c r="G408" s="2">
        <v>256740.0</v>
      </c>
    </row>
    <row r="409" ht="15.75" customHeight="1">
      <c r="A409" s="2" t="s">
        <v>1538</v>
      </c>
      <c r="B409" s="2" t="s">
        <v>1539</v>
      </c>
      <c r="C409" s="2" t="s">
        <v>979</v>
      </c>
      <c r="D409" s="2">
        <v>73.0</v>
      </c>
      <c r="E409" s="2">
        <v>1000.0</v>
      </c>
      <c r="F409" s="2">
        <v>1134.0</v>
      </c>
      <c r="G409" s="2">
        <v>123000.0</v>
      </c>
    </row>
    <row r="410" ht="15.75" customHeight="1">
      <c r="A410" s="2" t="s">
        <v>1540</v>
      </c>
      <c r="B410" s="2" t="s">
        <v>1541</v>
      </c>
      <c r="C410" s="2" t="s">
        <v>979</v>
      </c>
      <c r="D410" s="2">
        <v>17.0</v>
      </c>
      <c r="E410" s="2">
        <v>929.0</v>
      </c>
      <c r="F410" s="2">
        <v>988.0</v>
      </c>
      <c r="G410" s="2">
        <v>91000.0</v>
      </c>
    </row>
    <row r="411" ht="15.75" customHeight="1">
      <c r="A411" s="2" t="s">
        <v>1542</v>
      </c>
      <c r="B411" s="2" t="s">
        <v>1544</v>
      </c>
      <c r="C411" s="2" t="s">
        <v>979</v>
      </c>
      <c r="D411" s="2">
        <v>44.0</v>
      </c>
      <c r="E411" s="2">
        <v>1517.0</v>
      </c>
      <c r="F411" s="2">
        <v>1574.0</v>
      </c>
      <c r="G411" s="2">
        <v>141150.0</v>
      </c>
    </row>
    <row r="412" ht="15.75" customHeight="1">
      <c r="A412" s="2" t="s">
        <v>1546</v>
      </c>
      <c r="B412" s="2" t="s">
        <v>1547</v>
      </c>
      <c r="C412" s="2" t="s">
        <v>979</v>
      </c>
      <c r="D412" s="2">
        <v>57.0</v>
      </c>
      <c r="E412" s="2">
        <v>1020.0</v>
      </c>
      <c r="F412" s="2">
        <v>1274.0</v>
      </c>
      <c r="G412" s="2">
        <v>100000.0</v>
      </c>
    </row>
    <row r="413" ht="15.75" customHeight="1">
      <c r="A413" s="2" t="s">
        <v>1550</v>
      </c>
      <c r="B413" s="2" t="s">
        <v>1551</v>
      </c>
      <c r="C413" s="2" t="s">
        <v>979</v>
      </c>
      <c r="D413" s="2">
        <v>10.0</v>
      </c>
      <c r="E413" s="2">
        <v>932.0</v>
      </c>
      <c r="F413" s="2">
        <v>970.0</v>
      </c>
      <c r="G413" s="2">
        <v>81475.0</v>
      </c>
    </row>
    <row r="414" ht="15.75" customHeight="1">
      <c r="A414" s="2" t="s">
        <v>1554</v>
      </c>
      <c r="B414" s="2" t="s">
        <v>1555</v>
      </c>
      <c r="C414" s="2" t="s">
        <v>979</v>
      </c>
      <c r="D414" s="2">
        <v>7.0</v>
      </c>
      <c r="E414" s="2">
        <v>895.0</v>
      </c>
      <c r="F414" s="2">
        <v>1075.0</v>
      </c>
      <c r="G414" s="2">
        <v>193550.0</v>
      </c>
    </row>
    <row r="415" ht="15.75" customHeight="1">
      <c r="A415" s="2" t="s">
        <v>1558</v>
      </c>
      <c r="B415" s="2" t="s">
        <v>1559</v>
      </c>
      <c r="C415" s="2" t="s">
        <v>979</v>
      </c>
      <c r="D415" s="2">
        <v>42.0</v>
      </c>
      <c r="E415" s="2">
        <v>1438.0</v>
      </c>
      <c r="F415" s="2">
        <v>1435.0</v>
      </c>
      <c r="G415" s="2">
        <v>123850.0</v>
      </c>
    </row>
    <row r="416" ht="15.75" customHeight="1">
      <c r="A416" s="2" t="s">
        <v>1562</v>
      </c>
      <c r="B416" s="2" t="s">
        <v>1563</v>
      </c>
      <c r="C416" s="2" t="s">
        <v>979</v>
      </c>
      <c r="D416" s="2">
        <v>65.0</v>
      </c>
      <c r="E416" s="2">
        <v>1483.0</v>
      </c>
      <c r="F416" s="2">
        <v>1683.0</v>
      </c>
      <c r="G416" s="2">
        <v>182000.0</v>
      </c>
    </row>
    <row r="417" ht="15.75" customHeight="1">
      <c r="A417" s="2" t="s">
        <v>1566</v>
      </c>
      <c r="B417" s="2" t="s">
        <v>1567</v>
      </c>
      <c r="C417" s="2" t="s">
        <v>979</v>
      </c>
      <c r="D417" s="2">
        <v>16.0</v>
      </c>
      <c r="E417" s="2">
        <v>1103.0</v>
      </c>
      <c r="F417" s="2">
        <v>1231.0</v>
      </c>
      <c r="G417" s="2">
        <v>148365.0</v>
      </c>
    </row>
    <row r="418" ht="15.75" customHeight="1">
      <c r="A418" s="2" t="s">
        <v>1568</v>
      </c>
      <c r="B418" s="2" t="s">
        <v>1570</v>
      </c>
      <c r="C418" s="2" t="s">
        <v>979</v>
      </c>
      <c r="D418" s="2">
        <v>5.0</v>
      </c>
      <c r="E418" s="2">
        <v>845.0</v>
      </c>
      <c r="F418" s="2">
        <v>983.0</v>
      </c>
      <c r="G418" s="2">
        <v>95000.0</v>
      </c>
    </row>
    <row r="419" ht="15.75" customHeight="1">
      <c r="A419" s="2" t="s">
        <v>1572</v>
      </c>
      <c r="B419" s="2" t="s">
        <v>1573</v>
      </c>
      <c r="C419" s="2" t="s">
        <v>979</v>
      </c>
      <c r="D419" s="2">
        <v>9.0</v>
      </c>
      <c r="E419" s="2">
        <v>1657.0</v>
      </c>
      <c r="F419" s="2">
        <v>1689.0</v>
      </c>
      <c r="G419" s="2">
        <v>179000.0</v>
      </c>
    </row>
    <row r="420" ht="15.75" customHeight="1">
      <c r="A420" s="2" t="s">
        <v>1580</v>
      </c>
      <c r="B420" s="2" t="s">
        <v>1277</v>
      </c>
      <c r="C420" s="2" t="s">
        <v>979</v>
      </c>
      <c r="D420" s="2">
        <v>11.0</v>
      </c>
      <c r="E420" s="2">
        <v>968.0</v>
      </c>
      <c r="F420" s="2">
        <v>1066.0</v>
      </c>
      <c r="G420" s="2">
        <v>139000.0</v>
      </c>
    </row>
    <row r="421" ht="15.75" customHeight="1">
      <c r="A421" s="2" t="s">
        <v>1583</v>
      </c>
      <c r="B421" s="2" t="s">
        <v>1584</v>
      </c>
      <c r="C421" s="2" t="s">
        <v>979</v>
      </c>
      <c r="D421" s="2">
        <v>5.0</v>
      </c>
      <c r="E421" s="2">
        <v>1295.0</v>
      </c>
      <c r="F421" s="2">
        <v>1521.0</v>
      </c>
      <c r="G421" s="2">
        <v>101000.0</v>
      </c>
    </row>
    <row r="422" ht="15.75" customHeight="1">
      <c r="A422" s="2" t="s">
        <v>1587</v>
      </c>
      <c r="B422" s="2" t="s">
        <v>1588</v>
      </c>
      <c r="C422" s="2" t="s">
        <v>979</v>
      </c>
      <c r="D422" s="2">
        <v>15.0</v>
      </c>
      <c r="E422" s="2">
        <v>1402.0</v>
      </c>
      <c r="F422" s="2">
        <v>1504.0</v>
      </c>
      <c r="G422" s="2">
        <v>105000.0</v>
      </c>
    </row>
    <row r="423" ht="15.75" customHeight="1">
      <c r="A423" s="2" t="s">
        <v>1589</v>
      </c>
      <c r="B423" s="2" t="s">
        <v>1590</v>
      </c>
      <c r="C423" s="2" t="s">
        <v>979</v>
      </c>
      <c r="D423" s="2">
        <v>5.0</v>
      </c>
      <c r="E423" s="2">
        <v>875.0</v>
      </c>
      <c r="F423" s="2">
        <v>1250.0</v>
      </c>
      <c r="G423" s="2">
        <v>146000.0</v>
      </c>
    </row>
    <row r="424" ht="15.75" customHeight="1">
      <c r="A424" s="2" t="s">
        <v>1591</v>
      </c>
      <c r="B424" s="2" t="s">
        <v>1592</v>
      </c>
      <c r="C424" s="2" t="s">
        <v>979</v>
      </c>
      <c r="D424" s="2">
        <v>18.0</v>
      </c>
      <c r="E424" s="2">
        <v>2980.0</v>
      </c>
      <c r="F424" s="2">
        <v>2892.0</v>
      </c>
      <c r="G424" s="2">
        <v>256050.0</v>
      </c>
    </row>
    <row r="425" ht="15.75" customHeight="1">
      <c r="A425" s="2" t="s">
        <v>1595</v>
      </c>
      <c r="B425" s="2" t="s">
        <v>1596</v>
      </c>
      <c r="C425" s="2" t="s">
        <v>979</v>
      </c>
      <c r="D425" s="2">
        <v>105.0</v>
      </c>
      <c r="E425" s="2">
        <v>976.0</v>
      </c>
      <c r="F425" s="2">
        <v>1032.0</v>
      </c>
      <c r="G425" s="2">
        <v>90000.0</v>
      </c>
    </row>
    <row r="426" ht="15.75" customHeight="1">
      <c r="A426" s="2" t="s">
        <v>1598</v>
      </c>
      <c r="B426" s="2" t="s">
        <v>1600</v>
      </c>
      <c r="C426" s="2" t="s">
        <v>979</v>
      </c>
      <c r="D426" s="2">
        <v>25.0</v>
      </c>
      <c r="E426" s="2">
        <v>2879.0</v>
      </c>
      <c r="F426" s="2">
        <v>2718.0</v>
      </c>
      <c r="G426" s="2">
        <v>273000.0</v>
      </c>
    </row>
    <row r="427" ht="15.75" customHeight="1">
      <c r="A427" s="2" t="s">
        <v>1601</v>
      </c>
      <c r="B427" s="2" t="s">
        <v>1602</v>
      </c>
      <c r="C427" s="2" t="s">
        <v>979</v>
      </c>
      <c r="D427" s="2">
        <v>30.0</v>
      </c>
      <c r="E427" s="2">
        <v>2625.0</v>
      </c>
      <c r="F427" s="2">
        <v>2723.0</v>
      </c>
      <c r="G427" s="2">
        <v>269000.0</v>
      </c>
    </row>
    <row r="428" ht="15.75" customHeight="1">
      <c r="A428" s="2" t="s">
        <v>1603</v>
      </c>
      <c r="B428" s="2" t="s">
        <v>1604</v>
      </c>
      <c r="C428" s="2" t="s">
        <v>979</v>
      </c>
      <c r="D428" s="2">
        <v>73.0</v>
      </c>
      <c r="E428" s="2">
        <v>945.0</v>
      </c>
      <c r="F428" s="2">
        <v>1077.0</v>
      </c>
      <c r="G428" s="2">
        <v>90000.0</v>
      </c>
    </row>
    <row r="429" ht="15.75" customHeight="1">
      <c r="A429" s="2" t="s">
        <v>1607</v>
      </c>
      <c r="B429" s="2" t="s">
        <v>1608</v>
      </c>
      <c r="C429" s="2" t="s">
        <v>979</v>
      </c>
      <c r="D429" s="2">
        <v>15.0</v>
      </c>
      <c r="E429" s="2">
        <v>1489.0</v>
      </c>
      <c r="F429" s="2">
        <v>1575.0</v>
      </c>
      <c r="G429" s="2">
        <v>174000.0</v>
      </c>
    </row>
    <row r="430" ht="15.75" customHeight="1">
      <c r="A430" s="2" t="s">
        <v>1611</v>
      </c>
      <c r="B430" s="2" t="s">
        <v>1612</v>
      </c>
      <c r="C430" s="2" t="s">
        <v>979</v>
      </c>
      <c r="D430" s="2">
        <v>53.0</v>
      </c>
      <c r="E430" s="2">
        <v>2875.0</v>
      </c>
      <c r="F430" s="2">
        <v>2711.0</v>
      </c>
      <c r="G430" s="2">
        <v>251500.0</v>
      </c>
    </row>
    <row r="431" ht="15.75" customHeight="1">
      <c r="A431" s="2" t="s">
        <v>1615</v>
      </c>
      <c r="B431" s="2" t="s">
        <v>1616</v>
      </c>
      <c r="C431" s="2" t="s">
        <v>979</v>
      </c>
      <c r="D431" s="2">
        <v>8.0</v>
      </c>
      <c r="E431" s="2">
        <v>2709.0</v>
      </c>
      <c r="F431" s="2">
        <v>3055.0</v>
      </c>
      <c r="G431" s="2">
        <v>349825.0</v>
      </c>
    </row>
    <row r="432" ht="15.75" customHeight="1">
      <c r="A432" s="2" t="s">
        <v>1618</v>
      </c>
      <c r="B432" s="2" t="s">
        <v>1620</v>
      </c>
      <c r="C432" s="2" t="s">
        <v>979</v>
      </c>
      <c r="D432" s="2">
        <v>15.0</v>
      </c>
      <c r="E432" s="2">
        <v>1050.0</v>
      </c>
      <c r="F432" s="2">
        <v>1124.0</v>
      </c>
      <c r="G432" s="2">
        <v>79500.0</v>
      </c>
    </row>
    <row r="433" ht="15.75" customHeight="1">
      <c r="A433" s="2" t="s">
        <v>1621</v>
      </c>
      <c r="B433" s="2" t="s">
        <v>1622</v>
      </c>
      <c r="C433" s="2" t="s">
        <v>979</v>
      </c>
      <c r="D433" s="2">
        <v>16.0</v>
      </c>
      <c r="E433" s="2">
        <v>1436.0</v>
      </c>
      <c r="F433" s="2">
        <v>1584.0</v>
      </c>
      <c r="G433" s="2">
        <v>182200.0</v>
      </c>
    </row>
    <row r="434" ht="15.75" customHeight="1">
      <c r="A434" s="2" t="s">
        <v>1624</v>
      </c>
      <c r="B434" s="2" t="s">
        <v>1626</v>
      </c>
      <c r="C434" s="2" t="s">
        <v>979</v>
      </c>
      <c r="D434" s="2">
        <v>22.0</v>
      </c>
      <c r="E434" s="2">
        <v>2274.0</v>
      </c>
      <c r="F434" s="2">
        <v>2428.0</v>
      </c>
      <c r="G434" s="2">
        <v>277500.0</v>
      </c>
    </row>
    <row r="435" ht="15.75" customHeight="1">
      <c r="A435" s="2" t="s">
        <v>1629</v>
      </c>
      <c r="B435" s="2" t="s">
        <v>1631</v>
      </c>
      <c r="C435" s="2" t="s">
        <v>979</v>
      </c>
      <c r="D435" s="2">
        <v>46.0</v>
      </c>
      <c r="E435" s="2">
        <v>2121.0</v>
      </c>
      <c r="F435" s="2">
        <v>2156.0</v>
      </c>
      <c r="G435" s="2">
        <v>206625.0</v>
      </c>
    </row>
    <row r="436" ht="15.75" customHeight="1">
      <c r="A436" s="2" t="s">
        <v>1634</v>
      </c>
      <c r="B436" s="2" t="s">
        <v>1636</v>
      </c>
      <c r="C436" s="2" t="s">
        <v>979</v>
      </c>
      <c r="D436" s="2">
        <v>19.0</v>
      </c>
      <c r="E436" s="2">
        <v>1075.0</v>
      </c>
      <c r="F436" s="2">
        <v>1072.0</v>
      </c>
      <c r="G436" s="2">
        <v>116000.0</v>
      </c>
    </row>
    <row r="437" ht="15.75" customHeight="1">
      <c r="A437" s="2" t="s">
        <v>1639</v>
      </c>
      <c r="B437" s="2" t="s">
        <v>1640</v>
      </c>
      <c r="C437" s="2" t="s">
        <v>979</v>
      </c>
      <c r="D437" s="2">
        <v>22.0</v>
      </c>
      <c r="E437" s="2">
        <v>2064.0</v>
      </c>
      <c r="F437" s="2">
        <v>1904.0</v>
      </c>
      <c r="G437" s="2">
        <v>215250.0</v>
      </c>
    </row>
    <row r="438" ht="15.75" customHeight="1">
      <c r="A438" s="2" t="s">
        <v>1643</v>
      </c>
      <c r="B438" s="2" t="s">
        <v>1644</v>
      </c>
      <c r="C438" s="2" t="s">
        <v>979</v>
      </c>
      <c r="D438" s="2">
        <v>14.0</v>
      </c>
      <c r="E438" s="2">
        <v>1323.0</v>
      </c>
      <c r="F438" s="2">
        <v>1249.0</v>
      </c>
      <c r="G438" s="2">
        <v>159500.0</v>
      </c>
    </row>
    <row r="439" ht="15.75" customHeight="1">
      <c r="A439" s="2" t="s">
        <v>1646</v>
      </c>
      <c r="B439" s="2" t="s">
        <v>1648</v>
      </c>
      <c r="C439" s="2" t="s">
        <v>979</v>
      </c>
      <c r="D439" s="2">
        <v>25.0</v>
      </c>
      <c r="E439" s="2">
        <v>1316.0</v>
      </c>
      <c r="F439" s="2">
        <v>1311.0</v>
      </c>
      <c r="G439" s="2">
        <v>154957.0</v>
      </c>
    </row>
    <row r="440" ht="15.75" customHeight="1">
      <c r="A440" s="2" t="s">
        <v>1650</v>
      </c>
      <c r="B440" s="2" t="s">
        <v>1652</v>
      </c>
      <c r="C440" s="2" t="s">
        <v>979</v>
      </c>
      <c r="D440" s="2">
        <v>43.0</v>
      </c>
      <c r="E440" s="2">
        <v>2391.0</v>
      </c>
      <c r="F440" s="2">
        <v>2395.0</v>
      </c>
      <c r="G440" s="2">
        <v>228500.0</v>
      </c>
    </row>
    <row r="441" ht="15.75" customHeight="1">
      <c r="A441" s="2" t="s">
        <v>1654</v>
      </c>
      <c r="B441" s="2" t="s">
        <v>1655</v>
      </c>
      <c r="C441" s="2" t="s">
        <v>979</v>
      </c>
      <c r="D441" s="2">
        <v>16.0</v>
      </c>
      <c r="E441" s="2">
        <v>921.0</v>
      </c>
      <c r="F441" s="2">
        <v>1165.0</v>
      </c>
      <c r="G441" s="2">
        <v>112500.0</v>
      </c>
    </row>
    <row r="442" ht="15.75" customHeight="1">
      <c r="A442" s="2" t="s">
        <v>1658</v>
      </c>
      <c r="B442" s="2" t="s">
        <v>1660</v>
      </c>
      <c r="C442" s="2" t="s">
        <v>979</v>
      </c>
      <c r="D442" s="2">
        <v>7.0</v>
      </c>
      <c r="E442" s="2">
        <v>1000.0</v>
      </c>
      <c r="F442" s="2">
        <v>1158.0</v>
      </c>
      <c r="G442" s="2">
        <v>140000.0</v>
      </c>
    </row>
    <row r="443" ht="15.75" customHeight="1">
      <c r="A443" s="2" t="s">
        <v>1662</v>
      </c>
      <c r="B443" s="2" t="s">
        <v>1664</v>
      </c>
      <c r="C443" s="2" t="s">
        <v>979</v>
      </c>
      <c r="D443" s="2">
        <v>54.0</v>
      </c>
      <c r="E443" s="2">
        <v>1639.0</v>
      </c>
      <c r="F443" s="2">
        <v>1576.0</v>
      </c>
      <c r="G443" s="2">
        <v>127350.0</v>
      </c>
    </row>
    <row r="444" ht="15.75" customHeight="1">
      <c r="A444" s="2" t="s">
        <v>1666</v>
      </c>
      <c r="B444" s="2" t="s">
        <v>1668</v>
      </c>
      <c r="C444" s="2" t="s">
        <v>979</v>
      </c>
      <c r="D444" s="2">
        <v>74.0</v>
      </c>
      <c r="E444" s="2">
        <v>1495.0</v>
      </c>
      <c r="F444" s="2">
        <v>1486.0</v>
      </c>
      <c r="G444" s="2">
        <v>129500.0</v>
      </c>
    </row>
    <row r="445" ht="15.75" customHeight="1">
      <c r="A445" s="2" t="s">
        <v>1669</v>
      </c>
      <c r="B445" s="2" t="s">
        <v>1671</v>
      </c>
      <c r="C445" s="2" t="s">
        <v>979</v>
      </c>
      <c r="D445" s="2">
        <v>104.0</v>
      </c>
      <c r="E445" s="2">
        <v>1877.0</v>
      </c>
      <c r="F445" s="2">
        <v>1929.0</v>
      </c>
      <c r="G445" s="2">
        <v>160500.0</v>
      </c>
    </row>
    <row r="446" ht="15.75" customHeight="1">
      <c r="A446" s="2" t="s">
        <v>1673</v>
      </c>
      <c r="B446" s="2" t="s">
        <v>1674</v>
      </c>
      <c r="C446" s="2" t="s">
        <v>979</v>
      </c>
      <c r="D446" s="2">
        <v>24.0</v>
      </c>
      <c r="E446" s="2">
        <v>1463.0</v>
      </c>
      <c r="F446" s="2">
        <v>1397.0</v>
      </c>
      <c r="G446" s="2">
        <v>132450.0</v>
      </c>
    </row>
    <row r="447" ht="15.75" customHeight="1">
      <c r="A447" s="2" t="s">
        <v>1675</v>
      </c>
      <c r="B447" s="2" t="s">
        <v>1676</v>
      </c>
      <c r="C447" s="2" t="s">
        <v>979</v>
      </c>
      <c r="D447" s="2">
        <v>15.0</v>
      </c>
      <c r="E447" s="2">
        <v>1590.0</v>
      </c>
      <c r="F447" s="2">
        <v>1635.0</v>
      </c>
      <c r="G447" s="2">
        <v>240000.0</v>
      </c>
    </row>
    <row r="448" ht="15.75" customHeight="1">
      <c r="A448" s="2" t="s">
        <v>1679</v>
      </c>
      <c r="B448" s="2" t="s">
        <v>1680</v>
      </c>
      <c r="C448" s="2" t="s">
        <v>979</v>
      </c>
      <c r="D448" s="2">
        <v>37.0</v>
      </c>
      <c r="E448" s="2">
        <v>2615.0</v>
      </c>
      <c r="F448" s="2">
        <v>2609.0</v>
      </c>
      <c r="G448" s="2">
        <v>211500.0</v>
      </c>
    </row>
    <row r="449" ht="15.75" customHeight="1">
      <c r="A449" s="2" t="s">
        <v>1683</v>
      </c>
      <c r="B449" s="2" t="s">
        <v>1684</v>
      </c>
      <c r="C449" s="2" t="s">
        <v>979</v>
      </c>
      <c r="D449" s="2">
        <v>200.0</v>
      </c>
      <c r="E449" s="2">
        <v>2073.0</v>
      </c>
      <c r="F449" s="2">
        <v>2062.0</v>
      </c>
      <c r="G449" s="2">
        <v>161375.0</v>
      </c>
    </row>
    <row r="450" ht="15.75" customHeight="1">
      <c r="A450" s="2" t="s">
        <v>1687</v>
      </c>
      <c r="B450" s="2" t="s">
        <v>1688</v>
      </c>
      <c r="C450" s="2" t="s">
        <v>979</v>
      </c>
      <c r="D450" s="2">
        <v>8.0</v>
      </c>
      <c r="E450" s="2">
        <v>1185.0</v>
      </c>
      <c r="F450" s="2">
        <v>1228.0</v>
      </c>
      <c r="G450" s="2">
        <v>163370.0</v>
      </c>
    </row>
    <row r="451" ht="15.75" customHeight="1">
      <c r="A451" s="2" t="s">
        <v>1691</v>
      </c>
      <c r="B451" s="2" t="s">
        <v>1692</v>
      </c>
      <c r="C451" s="2" t="s">
        <v>979</v>
      </c>
      <c r="D451" s="2">
        <v>9.0</v>
      </c>
      <c r="E451" s="2">
        <v>2306.0</v>
      </c>
      <c r="F451" s="2">
        <v>2502.0</v>
      </c>
      <c r="G451" s="2">
        <v>237490.0</v>
      </c>
    </row>
    <row r="452" ht="15.75" customHeight="1">
      <c r="A452" s="2" t="s">
        <v>1693</v>
      </c>
      <c r="B452" s="2" t="s">
        <v>1694</v>
      </c>
      <c r="C452" s="2" t="s">
        <v>979</v>
      </c>
      <c r="D452" s="2">
        <v>7.0</v>
      </c>
      <c r="E452" s="2">
        <v>1592.0</v>
      </c>
      <c r="F452" s="2">
        <v>1787.0</v>
      </c>
      <c r="G452" s="2">
        <v>205000.0</v>
      </c>
    </row>
    <row r="453" ht="15.75" customHeight="1">
      <c r="A453" s="2" t="s">
        <v>1696</v>
      </c>
      <c r="B453" s="2" t="s">
        <v>1697</v>
      </c>
      <c r="C453" s="2" t="s">
        <v>979</v>
      </c>
      <c r="D453" s="2">
        <v>35.0</v>
      </c>
      <c r="E453" s="2">
        <v>1821.0</v>
      </c>
      <c r="F453" s="2">
        <v>1808.0</v>
      </c>
      <c r="G453" s="2">
        <v>181300.0</v>
      </c>
    </row>
    <row r="454" ht="15.75" customHeight="1">
      <c r="A454" s="2" t="s">
        <v>1699</v>
      </c>
      <c r="B454" s="2" t="s">
        <v>1701</v>
      </c>
      <c r="C454" s="2" t="s">
        <v>979</v>
      </c>
      <c r="D454" s="2">
        <v>25.0</v>
      </c>
      <c r="E454" s="2">
        <v>1143.0</v>
      </c>
      <c r="F454" s="2">
        <v>1253.0</v>
      </c>
      <c r="G454" s="2">
        <v>110000.0</v>
      </c>
    </row>
    <row r="455" ht="15.75" customHeight="1">
      <c r="A455" s="2" t="s">
        <v>1704</v>
      </c>
      <c r="B455" s="2" t="s">
        <v>1705</v>
      </c>
      <c r="C455" s="2" t="s">
        <v>979</v>
      </c>
      <c r="D455" s="2">
        <v>155.0</v>
      </c>
      <c r="E455" s="2">
        <v>2186.0</v>
      </c>
      <c r="F455" s="2">
        <v>2282.0</v>
      </c>
      <c r="G455" s="2">
        <v>154500.0</v>
      </c>
    </row>
    <row r="456" ht="15.75" customHeight="1">
      <c r="A456" s="2" t="s">
        <v>1707</v>
      </c>
      <c r="B456" s="2" t="s">
        <v>1708</v>
      </c>
      <c r="C456" s="2" t="s">
        <v>979</v>
      </c>
      <c r="D456" s="2">
        <v>21.0</v>
      </c>
      <c r="E456" s="2">
        <v>1082.0</v>
      </c>
      <c r="F456" s="2">
        <v>1170.0</v>
      </c>
      <c r="G456" s="2">
        <v>92000.0</v>
      </c>
    </row>
    <row r="457" ht="15.75" customHeight="1">
      <c r="A457" s="2" t="s">
        <v>1709</v>
      </c>
      <c r="B457" s="2" t="s">
        <v>1710</v>
      </c>
      <c r="C457" s="2" t="s">
        <v>979</v>
      </c>
      <c r="D457" s="2">
        <v>27.0</v>
      </c>
      <c r="E457" s="2">
        <v>987.0</v>
      </c>
      <c r="F457" s="2">
        <v>1110.0</v>
      </c>
      <c r="G457" s="2">
        <v>99000.0</v>
      </c>
    </row>
    <row r="458" ht="15.75" customHeight="1">
      <c r="A458" s="2" t="s">
        <v>1712</v>
      </c>
      <c r="B458" s="2" t="s">
        <v>1714</v>
      </c>
      <c r="C458" s="2" t="s">
        <v>979</v>
      </c>
      <c r="D458" s="2">
        <v>5.0</v>
      </c>
      <c r="E458" s="2">
        <v>1381.0</v>
      </c>
      <c r="F458" s="2">
        <v>1234.0</v>
      </c>
      <c r="G458" s="2">
        <v>140000.0</v>
      </c>
    </row>
    <row r="459" ht="15.75" customHeight="1">
      <c r="A459" s="2" t="s">
        <v>1715</v>
      </c>
      <c r="B459" s="2" t="s">
        <v>1716</v>
      </c>
      <c r="C459" s="2" t="s">
        <v>979</v>
      </c>
      <c r="D459" s="2">
        <v>104.0</v>
      </c>
      <c r="E459" s="2">
        <v>970.0</v>
      </c>
      <c r="F459" s="2">
        <v>1025.0</v>
      </c>
      <c r="G459" s="2">
        <v>85250.0</v>
      </c>
    </row>
    <row r="460" ht="15.75" customHeight="1">
      <c r="A460" s="2" t="s">
        <v>1717</v>
      </c>
      <c r="B460" s="2" t="s">
        <v>1718</v>
      </c>
      <c r="C460" s="2" t="s">
        <v>979</v>
      </c>
      <c r="D460" s="2">
        <v>26.0</v>
      </c>
      <c r="E460" s="2">
        <v>1174.0</v>
      </c>
      <c r="F460" s="2">
        <v>1252.0</v>
      </c>
      <c r="G460" s="2">
        <v>82432.0</v>
      </c>
    </row>
    <row r="461" ht="15.75" customHeight="1">
      <c r="A461" s="2" t="s">
        <v>1719</v>
      </c>
      <c r="B461" s="2" t="s">
        <v>1721</v>
      </c>
      <c r="C461" s="2" t="s">
        <v>979</v>
      </c>
      <c r="D461" s="2">
        <v>17.0</v>
      </c>
      <c r="E461" s="2">
        <v>1362.0</v>
      </c>
      <c r="F461" s="2">
        <v>1522.0</v>
      </c>
      <c r="G461" s="2">
        <v>145000.0</v>
      </c>
    </row>
    <row r="462" ht="15.75" customHeight="1">
      <c r="A462" s="2" t="s">
        <v>1722</v>
      </c>
      <c r="B462" s="2" t="s">
        <v>1724</v>
      </c>
      <c r="C462" s="2" t="s">
        <v>979</v>
      </c>
      <c r="D462" s="2">
        <v>247.0</v>
      </c>
      <c r="E462" s="2">
        <v>1840.0</v>
      </c>
      <c r="F462" s="2">
        <v>1929.0</v>
      </c>
      <c r="G462" s="2">
        <v>155000.0</v>
      </c>
    </row>
    <row r="463" ht="15.75" customHeight="1">
      <c r="A463" s="2" t="s">
        <v>1725</v>
      </c>
      <c r="B463" s="2" t="s">
        <v>1728</v>
      </c>
      <c r="C463" s="2" t="s">
        <v>979</v>
      </c>
      <c r="D463" s="2">
        <v>5.0</v>
      </c>
      <c r="E463" s="2">
        <v>1048.0</v>
      </c>
      <c r="F463" s="2">
        <v>1025.0</v>
      </c>
      <c r="G463" s="2">
        <v>130000.0</v>
      </c>
    </row>
    <row r="464" ht="15.75" customHeight="1">
      <c r="A464" s="2" t="s">
        <v>1729</v>
      </c>
      <c r="B464" s="2" t="s">
        <v>1730</v>
      </c>
      <c r="C464" s="2" t="s">
        <v>979</v>
      </c>
      <c r="D464" s="2">
        <v>138.0</v>
      </c>
      <c r="E464" s="2">
        <v>2524.0</v>
      </c>
      <c r="F464" s="2">
        <v>2675.0</v>
      </c>
      <c r="G464" s="2">
        <v>252000.0</v>
      </c>
    </row>
    <row r="465" ht="15.75" customHeight="1">
      <c r="A465" s="2" t="s">
        <v>1731</v>
      </c>
      <c r="B465" s="2" t="s">
        <v>1732</v>
      </c>
      <c r="C465" s="2" t="s">
        <v>979</v>
      </c>
      <c r="D465" s="2">
        <v>6.0</v>
      </c>
      <c r="E465" s="2">
        <v>1447.0</v>
      </c>
      <c r="F465" s="2">
        <v>1472.0</v>
      </c>
      <c r="G465" s="2">
        <v>179500.0</v>
      </c>
    </row>
    <row r="466" ht="15.75" customHeight="1">
      <c r="A466" s="2" t="s">
        <v>1735</v>
      </c>
      <c r="B466" s="2" t="s">
        <v>1736</v>
      </c>
      <c r="C466" s="2" t="s">
        <v>979</v>
      </c>
      <c r="D466" s="2">
        <v>36.0</v>
      </c>
      <c r="E466" s="2">
        <v>1401.0</v>
      </c>
      <c r="F466" s="2">
        <v>1488.0</v>
      </c>
      <c r="G466" s="2">
        <v>166000.0</v>
      </c>
    </row>
    <row r="467" ht="15.75" customHeight="1">
      <c r="A467" s="2" t="s">
        <v>1738</v>
      </c>
      <c r="B467" s="2" t="s">
        <v>1739</v>
      </c>
      <c r="C467" s="2" t="s">
        <v>979</v>
      </c>
      <c r="D467" s="2">
        <v>16.0</v>
      </c>
      <c r="E467" s="2">
        <v>2694.0</v>
      </c>
      <c r="F467" s="2">
        <v>2637.0</v>
      </c>
      <c r="G467" s="2">
        <v>305612.0</v>
      </c>
    </row>
    <row r="468" ht="15.75" customHeight="1">
      <c r="A468" s="2" t="s">
        <v>1741</v>
      </c>
      <c r="B468" s="2" t="s">
        <v>1742</v>
      </c>
      <c r="C468" s="2" t="s">
        <v>979</v>
      </c>
      <c r="D468" s="2">
        <v>19.0</v>
      </c>
      <c r="E468" s="2">
        <v>1558.0</v>
      </c>
      <c r="F468" s="2">
        <v>1861.0</v>
      </c>
      <c r="G468" s="2">
        <v>195000.0</v>
      </c>
    </row>
    <row r="469" ht="15.75" customHeight="1">
      <c r="A469" s="2" t="s">
        <v>1745</v>
      </c>
      <c r="B469" s="2" t="s">
        <v>1746</v>
      </c>
      <c r="C469" s="2" t="s">
        <v>979</v>
      </c>
      <c r="D469" s="2">
        <v>10.0</v>
      </c>
      <c r="E469" s="2">
        <v>1405.0</v>
      </c>
      <c r="F469" s="2">
        <v>1363.0</v>
      </c>
      <c r="G469" s="2">
        <v>147000.0</v>
      </c>
    </row>
    <row r="470" ht="15.75" customHeight="1">
      <c r="A470" s="2" t="s">
        <v>1747</v>
      </c>
      <c r="B470" s="2" t="s">
        <v>1748</v>
      </c>
      <c r="C470" s="2" t="s">
        <v>979</v>
      </c>
      <c r="D470" s="2">
        <v>10.0</v>
      </c>
      <c r="E470" s="2">
        <v>966.0</v>
      </c>
      <c r="F470" s="2">
        <v>1218.0</v>
      </c>
      <c r="G470" s="2">
        <v>226000.0</v>
      </c>
    </row>
    <row r="471" ht="15.75" customHeight="1">
      <c r="A471" s="2" t="s">
        <v>1751</v>
      </c>
      <c r="B471" s="2" t="s">
        <v>1752</v>
      </c>
      <c r="C471" s="2" t="s">
        <v>979</v>
      </c>
      <c r="D471" s="2">
        <v>11.0</v>
      </c>
      <c r="E471" s="2">
        <v>1250.0</v>
      </c>
      <c r="F471" s="2">
        <v>1564.0</v>
      </c>
      <c r="G471" s="2">
        <v>205000.0</v>
      </c>
    </row>
    <row r="472" ht="15.75" customHeight="1">
      <c r="A472" s="2" t="s">
        <v>1753</v>
      </c>
      <c r="B472" s="2" t="s">
        <v>1754</v>
      </c>
      <c r="C472" s="2" t="s">
        <v>979</v>
      </c>
      <c r="D472" s="2">
        <v>44.0</v>
      </c>
      <c r="E472" s="2">
        <v>1507.0</v>
      </c>
      <c r="F472" s="2">
        <v>1702.0</v>
      </c>
      <c r="G472" s="2">
        <v>165250.0</v>
      </c>
    </row>
    <row r="473" ht="15.75" customHeight="1">
      <c r="A473" s="2" t="s">
        <v>1755</v>
      </c>
      <c r="B473" s="2" t="s">
        <v>1756</v>
      </c>
      <c r="C473" s="2" t="s">
        <v>979</v>
      </c>
      <c r="D473" s="2">
        <v>6.0</v>
      </c>
      <c r="E473" s="2">
        <v>566.0</v>
      </c>
      <c r="F473" s="2">
        <v>691.0</v>
      </c>
      <c r="G473" s="2">
        <v>70000.0</v>
      </c>
    </row>
    <row r="474" ht="15.75" customHeight="1">
      <c r="A474" s="2" t="s">
        <v>1757</v>
      </c>
      <c r="B474" s="2" t="s">
        <v>1758</v>
      </c>
      <c r="C474" s="2" t="s">
        <v>979</v>
      </c>
      <c r="D474" s="2">
        <v>11.0</v>
      </c>
      <c r="E474" s="2">
        <v>974.0</v>
      </c>
      <c r="F474" s="2">
        <v>990.0</v>
      </c>
      <c r="G474" s="2">
        <v>95000.0</v>
      </c>
    </row>
    <row r="475" ht="15.75" customHeight="1">
      <c r="A475" s="2" t="s">
        <v>1759</v>
      </c>
      <c r="B475" s="2" t="s">
        <v>1760</v>
      </c>
      <c r="C475" s="2" t="s">
        <v>979</v>
      </c>
      <c r="D475" s="2">
        <v>14.0</v>
      </c>
      <c r="E475" s="2">
        <v>1092.0</v>
      </c>
      <c r="F475" s="2">
        <v>1272.0</v>
      </c>
      <c r="G475" s="2">
        <v>110100.0</v>
      </c>
    </row>
    <row r="476" ht="15.75" customHeight="1">
      <c r="A476" s="2" t="s">
        <v>1761</v>
      </c>
      <c r="B476" s="2" t="s">
        <v>1762</v>
      </c>
      <c r="C476" s="2" t="s">
        <v>979</v>
      </c>
      <c r="D476" s="2">
        <v>24.0</v>
      </c>
      <c r="E476" s="2">
        <v>1323.0</v>
      </c>
      <c r="F476" s="2">
        <v>1418.0</v>
      </c>
      <c r="G476" s="2">
        <v>164100.0</v>
      </c>
    </row>
    <row r="477" ht="15.75" customHeight="1">
      <c r="A477" s="2" t="s">
        <v>1763</v>
      </c>
      <c r="B477" s="2" t="s">
        <v>1764</v>
      </c>
      <c r="C477" s="2" t="s">
        <v>979</v>
      </c>
      <c r="D477" s="2">
        <v>12.0</v>
      </c>
      <c r="E477" s="2">
        <v>1142.0</v>
      </c>
      <c r="F477" s="2">
        <v>1284.0</v>
      </c>
      <c r="G477" s="2">
        <v>171200.0</v>
      </c>
    </row>
    <row r="478" ht="15.75" customHeight="1">
      <c r="A478" s="2" t="s">
        <v>1765</v>
      </c>
      <c r="B478" s="2" t="s">
        <v>1766</v>
      </c>
      <c r="C478" s="2" t="s">
        <v>979</v>
      </c>
      <c r="D478" s="2">
        <v>32.0</v>
      </c>
      <c r="E478" s="2">
        <v>2464.0</v>
      </c>
      <c r="F478" s="2">
        <v>2373.0</v>
      </c>
      <c r="G478" s="2">
        <v>223900.0</v>
      </c>
    </row>
    <row r="479" ht="15.75" customHeight="1">
      <c r="A479" s="2" t="s">
        <v>1767</v>
      </c>
      <c r="B479" s="2" t="s">
        <v>1768</v>
      </c>
      <c r="C479" s="2" t="s">
        <v>979</v>
      </c>
      <c r="D479" s="2">
        <v>86.0</v>
      </c>
      <c r="E479" s="2">
        <v>2186.0</v>
      </c>
      <c r="F479" s="2">
        <v>2203.0</v>
      </c>
      <c r="G479" s="2">
        <v>180000.0</v>
      </c>
    </row>
    <row r="480" ht="15.75" customHeight="1">
      <c r="A480" s="2" t="s">
        <v>1769</v>
      </c>
      <c r="B480" s="2" t="s">
        <v>1770</v>
      </c>
      <c r="C480" s="2" t="s">
        <v>979</v>
      </c>
      <c r="D480" s="2">
        <v>10.0</v>
      </c>
      <c r="E480" s="2">
        <v>1365.0</v>
      </c>
      <c r="F480" s="2">
        <v>1617.0</v>
      </c>
      <c r="G480" s="2">
        <v>184000.0</v>
      </c>
    </row>
    <row r="481" ht="15.75" customHeight="1">
      <c r="A481" s="2" t="s">
        <v>1771</v>
      </c>
      <c r="B481" s="2" t="s">
        <v>1772</v>
      </c>
      <c r="C481" s="2" t="s">
        <v>979</v>
      </c>
      <c r="D481" s="2">
        <v>20.0</v>
      </c>
      <c r="E481" s="2">
        <v>2178.0</v>
      </c>
      <c r="F481" s="2">
        <v>2084.0</v>
      </c>
      <c r="G481" s="2">
        <v>228350.0</v>
      </c>
    </row>
    <row r="482" ht="15.75" customHeight="1">
      <c r="A482" s="2" t="s">
        <v>1774</v>
      </c>
      <c r="B482" s="2" t="s">
        <v>1776</v>
      </c>
      <c r="C482" s="2" t="s">
        <v>979</v>
      </c>
      <c r="D482" s="2">
        <v>19.0</v>
      </c>
      <c r="E482" s="2">
        <v>1272.0</v>
      </c>
      <c r="F482" s="2">
        <v>1384.0</v>
      </c>
      <c r="G482" s="2">
        <v>108000.0</v>
      </c>
    </row>
    <row r="483" ht="15.75" customHeight="1">
      <c r="A483" s="2" t="s">
        <v>1777</v>
      </c>
      <c r="B483" s="2" t="s">
        <v>1778</v>
      </c>
      <c r="C483" s="2" t="s">
        <v>979</v>
      </c>
      <c r="D483" s="2">
        <v>46.0</v>
      </c>
      <c r="E483" s="2">
        <v>1225.0</v>
      </c>
      <c r="F483" s="2">
        <v>1237.0</v>
      </c>
      <c r="G483" s="2">
        <v>141650.0</v>
      </c>
    </row>
    <row r="484" ht="15.75" customHeight="1">
      <c r="A484" s="2" t="s">
        <v>1781</v>
      </c>
      <c r="B484" s="2" t="s">
        <v>1782</v>
      </c>
      <c r="C484" s="2" t="s">
        <v>979</v>
      </c>
      <c r="D484" s="2">
        <v>16.0</v>
      </c>
      <c r="E484" s="2">
        <v>2123.0</v>
      </c>
      <c r="F484" s="2">
        <v>2072.0</v>
      </c>
      <c r="G484" s="2">
        <v>210000.0</v>
      </c>
    </row>
    <row r="485" ht="15.75" customHeight="1">
      <c r="A485" s="2" t="s">
        <v>1785</v>
      </c>
      <c r="B485" s="2" t="s">
        <v>1786</v>
      </c>
      <c r="C485" s="2" t="s">
        <v>979</v>
      </c>
      <c r="D485" s="2">
        <v>39.0</v>
      </c>
      <c r="E485" s="2">
        <v>1013.0</v>
      </c>
      <c r="F485" s="2">
        <v>1114.0</v>
      </c>
      <c r="G485" s="2">
        <v>117760.0</v>
      </c>
    </row>
    <row r="486" ht="15.75" customHeight="1">
      <c r="A486" s="2" t="s">
        <v>1789</v>
      </c>
      <c r="B486" s="2" t="s">
        <v>1790</v>
      </c>
      <c r="C486" s="2" t="s">
        <v>979</v>
      </c>
      <c r="D486" s="2">
        <v>10.0</v>
      </c>
      <c r="E486" s="2">
        <v>1707.0</v>
      </c>
      <c r="F486" s="2">
        <v>1791.0</v>
      </c>
      <c r="G486" s="2">
        <v>178600.0</v>
      </c>
    </row>
    <row r="487" ht="15.75" customHeight="1">
      <c r="A487" s="2" t="s">
        <v>1791</v>
      </c>
      <c r="B487" s="2" t="s">
        <v>1792</v>
      </c>
      <c r="C487" s="2" t="s">
        <v>979</v>
      </c>
      <c r="D487" s="2">
        <v>79.0</v>
      </c>
      <c r="E487" s="2">
        <v>1081.0</v>
      </c>
      <c r="F487" s="2">
        <v>1161.0</v>
      </c>
      <c r="G487" s="2">
        <v>100000.0</v>
      </c>
    </row>
    <row r="488" ht="15.75" customHeight="1">
      <c r="A488" s="2" t="s">
        <v>1793</v>
      </c>
      <c r="B488" s="2" t="s">
        <v>1794</v>
      </c>
      <c r="C488" s="2" t="s">
        <v>979</v>
      </c>
      <c r="D488" s="2">
        <v>10.0</v>
      </c>
      <c r="E488" s="2">
        <v>1204.0</v>
      </c>
      <c r="F488" s="2">
        <v>1369.0</v>
      </c>
      <c r="G488" s="2">
        <v>148500.0</v>
      </c>
    </row>
    <row r="489" ht="15.75" customHeight="1">
      <c r="A489" s="2" t="s">
        <v>1795</v>
      </c>
      <c r="B489" s="2" t="s">
        <v>1796</v>
      </c>
      <c r="C489" s="2" t="s">
        <v>979</v>
      </c>
      <c r="D489" s="2">
        <v>82.0</v>
      </c>
      <c r="E489" s="2">
        <v>1743.0</v>
      </c>
      <c r="F489" s="2">
        <v>1845.0</v>
      </c>
      <c r="G489" s="2">
        <v>155500.0</v>
      </c>
    </row>
    <row r="490" ht="15.75" customHeight="1">
      <c r="A490" s="2" t="s">
        <v>1797</v>
      </c>
      <c r="B490" s="2" t="s">
        <v>1798</v>
      </c>
      <c r="C490" s="2" t="s">
        <v>979</v>
      </c>
      <c r="D490" s="2">
        <v>89.0</v>
      </c>
      <c r="E490" s="2">
        <v>2384.0</v>
      </c>
      <c r="F490" s="2">
        <v>2371.0</v>
      </c>
      <c r="G490" s="2">
        <v>201250.0</v>
      </c>
    </row>
    <row r="491" ht="15.75" customHeight="1">
      <c r="A491" s="2" t="s">
        <v>1799</v>
      </c>
      <c r="B491" s="2" t="s">
        <v>421</v>
      </c>
      <c r="C491" s="2" t="s">
        <v>979</v>
      </c>
      <c r="D491" s="2">
        <v>5.0</v>
      </c>
      <c r="E491" s="2">
        <v>1402.0</v>
      </c>
      <c r="F491" s="2">
        <v>1994.0</v>
      </c>
      <c r="G491" s="2">
        <v>198000.0</v>
      </c>
    </row>
    <row r="492" ht="15.75" customHeight="1">
      <c r="A492" s="2" t="s">
        <v>1803</v>
      </c>
      <c r="B492" s="2" t="s">
        <v>1805</v>
      </c>
      <c r="C492" s="2" t="s">
        <v>979</v>
      </c>
      <c r="D492" s="2">
        <v>55.0</v>
      </c>
      <c r="E492" s="2">
        <v>1670.0</v>
      </c>
      <c r="F492" s="2">
        <v>1698.0</v>
      </c>
      <c r="G492" s="2">
        <v>145000.0</v>
      </c>
    </row>
    <row r="493" ht="15.75" customHeight="1">
      <c r="A493" s="2" t="s">
        <v>1807</v>
      </c>
      <c r="B493" s="2" t="s">
        <v>1809</v>
      </c>
      <c r="C493" s="2" t="s">
        <v>979</v>
      </c>
      <c r="D493" s="2">
        <v>21.0</v>
      </c>
      <c r="E493" s="2">
        <v>1471.0</v>
      </c>
      <c r="F493" s="2">
        <v>1629.0</v>
      </c>
      <c r="G493" s="2">
        <v>196500.0</v>
      </c>
    </row>
    <row r="494" ht="15.75" customHeight="1">
      <c r="A494" s="2" t="s">
        <v>1810</v>
      </c>
      <c r="B494" s="2" t="s">
        <v>1812</v>
      </c>
      <c r="C494" s="2" t="s">
        <v>979</v>
      </c>
      <c r="D494" s="2">
        <v>332.0</v>
      </c>
      <c r="E494" s="2">
        <v>3269.0</v>
      </c>
      <c r="F494" s="2">
        <v>3310.0</v>
      </c>
      <c r="G494" s="2">
        <v>212800.0</v>
      </c>
    </row>
    <row r="495" ht="15.75" customHeight="1">
      <c r="A495" s="2" t="s">
        <v>1814</v>
      </c>
      <c r="B495" s="2" t="s">
        <v>1815</v>
      </c>
      <c r="C495" s="2" t="s">
        <v>979</v>
      </c>
      <c r="D495" s="2">
        <v>5.0</v>
      </c>
      <c r="E495" s="2">
        <v>3050.0</v>
      </c>
      <c r="F495" s="2">
        <v>3058.0</v>
      </c>
      <c r="G495" s="2">
        <v>320200.0</v>
      </c>
    </row>
    <row r="496" ht="15.75" customHeight="1">
      <c r="A496" s="2" t="s">
        <v>1818</v>
      </c>
      <c r="B496" s="2" t="s">
        <v>1819</v>
      </c>
      <c r="C496" s="2" t="s">
        <v>979</v>
      </c>
      <c r="D496" s="2">
        <v>19.0</v>
      </c>
      <c r="E496" s="2">
        <v>1413.0</v>
      </c>
      <c r="F496" s="2">
        <v>1410.0</v>
      </c>
      <c r="G496" s="2">
        <v>130000.0</v>
      </c>
    </row>
    <row r="497" ht="15.75" customHeight="1">
      <c r="A497" s="2" t="s">
        <v>1820</v>
      </c>
      <c r="B497" s="2" t="s">
        <v>1821</v>
      </c>
      <c r="C497" s="2" t="s">
        <v>979</v>
      </c>
      <c r="D497" s="2">
        <v>55.0</v>
      </c>
      <c r="E497" s="2">
        <v>1508.0</v>
      </c>
      <c r="F497" s="2">
        <v>1487.0</v>
      </c>
      <c r="G497" s="2">
        <v>150000.0</v>
      </c>
    </row>
    <row r="498" ht="15.75" customHeight="1">
      <c r="A498" s="2" t="s">
        <v>1823</v>
      </c>
      <c r="B498" s="2" t="s">
        <v>1825</v>
      </c>
      <c r="C498" s="2" t="s">
        <v>979</v>
      </c>
      <c r="D498" s="2">
        <v>399.0</v>
      </c>
      <c r="E498" s="2">
        <v>3295.0</v>
      </c>
      <c r="F498" s="2">
        <v>3454.0</v>
      </c>
      <c r="G498" s="2">
        <v>270000.0</v>
      </c>
    </row>
    <row r="499" ht="15.75" customHeight="1">
      <c r="A499" s="2" t="s">
        <v>1828</v>
      </c>
      <c r="B499" s="2" t="s">
        <v>1829</v>
      </c>
      <c r="C499" s="2" t="s">
        <v>979</v>
      </c>
      <c r="D499" s="2">
        <v>47.0</v>
      </c>
      <c r="E499" s="2">
        <v>1547.0</v>
      </c>
      <c r="F499" s="2">
        <v>1660.0</v>
      </c>
      <c r="G499" s="2">
        <v>125000.0</v>
      </c>
    </row>
    <row r="500" ht="15.75" customHeight="1">
      <c r="A500" s="2" t="s">
        <v>1831</v>
      </c>
      <c r="B500" s="2" t="s">
        <v>1832</v>
      </c>
      <c r="C500" s="2" t="s">
        <v>979</v>
      </c>
      <c r="D500" s="2">
        <v>24.0</v>
      </c>
      <c r="E500" s="2">
        <v>2516.0</v>
      </c>
      <c r="F500" s="2">
        <v>2444.0</v>
      </c>
      <c r="G500" s="2">
        <v>318952.0</v>
      </c>
    </row>
    <row r="501" ht="15.75" customHeight="1">
      <c r="A501" s="2" t="s">
        <v>1834</v>
      </c>
      <c r="B501" s="2" t="s">
        <v>1835</v>
      </c>
      <c r="C501" s="2" t="s">
        <v>979</v>
      </c>
      <c r="D501" s="2">
        <v>39.0</v>
      </c>
      <c r="E501" s="2">
        <v>989.0</v>
      </c>
      <c r="F501" s="2">
        <v>998.0</v>
      </c>
      <c r="G501" s="2">
        <v>100000.0</v>
      </c>
    </row>
    <row r="502" ht="15.75" customHeight="1">
      <c r="A502" s="2" t="s">
        <v>1836</v>
      </c>
      <c r="B502" s="2" t="s">
        <v>1837</v>
      </c>
      <c r="C502" s="2" t="s">
        <v>979</v>
      </c>
      <c r="D502" s="2">
        <v>28.0</v>
      </c>
      <c r="E502" s="2">
        <v>1709.0</v>
      </c>
      <c r="F502" s="2">
        <v>1819.0</v>
      </c>
      <c r="G502" s="2">
        <v>124250.0</v>
      </c>
    </row>
    <row r="503" ht="15.75" customHeight="1">
      <c r="A503" s="2" t="s">
        <v>1840</v>
      </c>
      <c r="B503" s="2" t="s">
        <v>1841</v>
      </c>
      <c r="C503" s="2" t="s">
        <v>979</v>
      </c>
      <c r="D503" s="2">
        <v>5.0</v>
      </c>
      <c r="E503" s="2">
        <v>1392.0</v>
      </c>
      <c r="F503" s="2">
        <v>1378.0</v>
      </c>
      <c r="G503" s="2">
        <v>140000.0</v>
      </c>
    </row>
    <row r="504" ht="15.75" customHeight="1">
      <c r="A504" s="2" t="s">
        <v>1842</v>
      </c>
      <c r="B504" s="2" t="s">
        <v>1843</v>
      </c>
      <c r="C504" s="2" t="s">
        <v>979</v>
      </c>
      <c r="D504" s="2">
        <v>14.0</v>
      </c>
      <c r="E504" s="2">
        <v>2091.0</v>
      </c>
      <c r="F504" s="2">
        <v>1971.0</v>
      </c>
      <c r="G504" s="2">
        <v>179650.0</v>
      </c>
    </row>
    <row r="505" ht="15.75" customHeight="1">
      <c r="A505" s="2" t="s">
        <v>1844</v>
      </c>
      <c r="B505" s="2" t="s">
        <v>1845</v>
      </c>
      <c r="C505" s="2" t="s">
        <v>979</v>
      </c>
      <c r="D505" s="2">
        <v>77.0</v>
      </c>
      <c r="E505" s="2">
        <v>818.0</v>
      </c>
      <c r="F505" s="2">
        <v>836.0</v>
      </c>
      <c r="G505" s="2">
        <v>70400.0</v>
      </c>
    </row>
    <row r="506" ht="15.75" customHeight="1">
      <c r="A506" s="2" t="s">
        <v>1846</v>
      </c>
      <c r="B506" s="2" t="s">
        <v>1847</v>
      </c>
      <c r="C506" s="2" t="s">
        <v>979</v>
      </c>
      <c r="D506" s="2">
        <v>14.0</v>
      </c>
      <c r="E506" s="2">
        <v>1669.0</v>
      </c>
      <c r="F506" s="2">
        <v>1722.0</v>
      </c>
      <c r="G506" s="2">
        <v>214950.0</v>
      </c>
    </row>
    <row r="507" ht="15.75" customHeight="1">
      <c r="A507" s="2" t="s">
        <v>1850</v>
      </c>
      <c r="B507" s="2" t="s">
        <v>1851</v>
      </c>
      <c r="C507" s="2" t="s">
        <v>979</v>
      </c>
      <c r="D507" s="2">
        <v>5.0</v>
      </c>
      <c r="E507" s="2">
        <v>2250.0</v>
      </c>
      <c r="F507" s="2">
        <v>2345.0</v>
      </c>
      <c r="G507" s="2">
        <v>360000.0</v>
      </c>
    </row>
    <row r="508" ht="15.75" customHeight="1">
      <c r="A508" s="2" t="s">
        <v>1852</v>
      </c>
      <c r="B508" s="2" t="s">
        <v>1853</v>
      </c>
      <c r="C508" s="2" t="s">
        <v>979</v>
      </c>
      <c r="D508" s="2">
        <v>47.0</v>
      </c>
      <c r="E508" s="2">
        <v>1382.0</v>
      </c>
      <c r="F508" s="2">
        <v>1460.0</v>
      </c>
      <c r="G508" s="2">
        <v>160000.0</v>
      </c>
    </row>
    <row r="509" ht="15.75" customHeight="1">
      <c r="A509" s="2" t="s">
        <v>1854</v>
      </c>
      <c r="B509" s="2" t="s">
        <v>1855</v>
      </c>
      <c r="C509" s="2" t="s">
        <v>979</v>
      </c>
      <c r="D509" s="2">
        <v>23.0</v>
      </c>
      <c r="E509" s="2">
        <v>1739.0</v>
      </c>
      <c r="F509" s="2">
        <v>2002.0</v>
      </c>
      <c r="G509" s="2">
        <v>263000.0</v>
      </c>
    </row>
    <row r="510" ht="15.75" customHeight="1">
      <c r="A510" s="2" t="s">
        <v>1856</v>
      </c>
      <c r="B510" s="2" t="s">
        <v>1857</v>
      </c>
      <c r="C510" s="2" t="s">
        <v>979</v>
      </c>
      <c r="D510" s="2">
        <v>7.0</v>
      </c>
      <c r="E510" s="2">
        <v>1726.0</v>
      </c>
      <c r="F510" s="2">
        <v>1714.0</v>
      </c>
      <c r="G510" s="2">
        <v>170650.0</v>
      </c>
    </row>
    <row r="511" ht="15.75" customHeight="1">
      <c r="A511" s="2" t="s">
        <v>1860</v>
      </c>
      <c r="B511" s="2" t="s">
        <v>1861</v>
      </c>
      <c r="C511" s="2" t="s">
        <v>979</v>
      </c>
      <c r="D511" s="2">
        <v>5.0</v>
      </c>
      <c r="E511" s="2">
        <v>1324.0</v>
      </c>
      <c r="F511" s="2">
        <v>1462.0</v>
      </c>
      <c r="G511" s="2">
        <v>232000.0</v>
      </c>
    </row>
    <row r="512" ht="15.75" customHeight="1">
      <c r="A512" s="2" t="s">
        <v>1862</v>
      </c>
      <c r="B512" s="2" t="s">
        <v>1863</v>
      </c>
      <c r="C512" s="2" t="s">
        <v>979</v>
      </c>
      <c r="D512" s="2">
        <v>99.0</v>
      </c>
      <c r="E512" s="2">
        <v>2582.0</v>
      </c>
      <c r="F512" s="2">
        <v>2629.0</v>
      </c>
      <c r="G512" s="2">
        <v>230000.0</v>
      </c>
    </row>
    <row r="513" ht="15.75" customHeight="1">
      <c r="A513" s="2" t="s">
        <v>1866</v>
      </c>
      <c r="B513" s="2" t="s">
        <v>1867</v>
      </c>
      <c r="C513" s="2" t="s">
        <v>979</v>
      </c>
      <c r="D513" s="2">
        <v>50.0</v>
      </c>
      <c r="E513" s="2">
        <v>2328.0</v>
      </c>
      <c r="F513" s="2">
        <v>2364.0</v>
      </c>
      <c r="G513" s="2">
        <v>203600.0</v>
      </c>
    </row>
    <row r="514" ht="15.75" customHeight="1">
      <c r="A514" s="2" t="s">
        <v>1868</v>
      </c>
      <c r="B514" s="2" t="s">
        <v>1869</v>
      </c>
      <c r="C514" s="2" t="s">
        <v>979</v>
      </c>
      <c r="D514" s="2">
        <v>9.0</v>
      </c>
      <c r="E514" s="2">
        <v>1449.0</v>
      </c>
      <c r="F514" s="2">
        <v>1444.0</v>
      </c>
      <c r="G514" s="2">
        <v>137000.0</v>
      </c>
    </row>
    <row r="515" ht="15.75" customHeight="1">
      <c r="A515" s="2" t="s">
        <v>1870</v>
      </c>
      <c r="B515" s="2" t="s">
        <v>1871</v>
      </c>
      <c r="C515" s="2" t="s">
        <v>979</v>
      </c>
      <c r="D515" s="2">
        <v>71.0</v>
      </c>
      <c r="E515" s="2">
        <v>2980.0</v>
      </c>
      <c r="F515" s="2">
        <v>2877.0</v>
      </c>
      <c r="G515" s="2">
        <v>235000.0</v>
      </c>
    </row>
    <row r="516" ht="15.75" customHeight="1">
      <c r="A516" s="2" t="s">
        <v>1872</v>
      </c>
      <c r="B516" s="2" t="s">
        <v>1873</v>
      </c>
      <c r="C516" s="2" t="s">
        <v>979</v>
      </c>
      <c r="D516" s="2">
        <v>21.0</v>
      </c>
      <c r="E516" s="2">
        <v>983.0</v>
      </c>
      <c r="F516" s="2">
        <v>1117.0</v>
      </c>
      <c r="G516" s="2">
        <v>100000.0</v>
      </c>
    </row>
    <row r="517" ht="15.75" customHeight="1">
      <c r="A517" s="2" t="s">
        <v>1876</v>
      </c>
      <c r="B517" s="2" t="s">
        <v>1877</v>
      </c>
      <c r="C517" s="2" t="s">
        <v>979</v>
      </c>
      <c r="D517" s="2">
        <v>22.0</v>
      </c>
      <c r="E517" s="2">
        <v>1472.0</v>
      </c>
      <c r="F517" s="2">
        <v>1352.0</v>
      </c>
      <c r="G517" s="2">
        <v>132450.0</v>
      </c>
    </row>
    <row r="518" ht="15.75" customHeight="1">
      <c r="A518" s="2" t="s">
        <v>1879</v>
      </c>
      <c r="B518" s="2" t="s">
        <v>1881</v>
      </c>
      <c r="C518" s="2" t="s">
        <v>979</v>
      </c>
      <c r="D518" s="2">
        <v>32.0</v>
      </c>
      <c r="E518" s="2">
        <v>2928.0</v>
      </c>
      <c r="F518" s="2">
        <v>2826.0</v>
      </c>
      <c r="G518" s="2">
        <v>255000.0</v>
      </c>
    </row>
    <row r="519" ht="15.75" customHeight="1">
      <c r="A519" s="2" t="s">
        <v>1882</v>
      </c>
      <c r="B519" s="2" t="s">
        <v>1883</v>
      </c>
      <c r="C519" s="2" t="s">
        <v>979</v>
      </c>
      <c r="D519" s="2">
        <v>8.0</v>
      </c>
      <c r="E519" s="2">
        <v>1138.0</v>
      </c>
      <c r="F519" s="2">
        <v>1266.0</v>
      </c>
      <c r="G519" s="2">
        <v>82500.0</v>
      </c>
    </row>
    <row r="520" ht="15.75" customHeight="1">
      <c r="A520" s="2" t="s">
        <v>1884</v>
      </c>
      <c r="B520" s="2" t="s">
        <v>1885</v>
      </c>
      <c r="C520" s="2" t="s">
        <v>979</v>
      </c>
      <c r="D520" s="2">
        <v>14.0</v>
      </c>
      <c r="E520" s="2">
        <v>1766.0</v>
      </c>
      <c r="F520" s="2">
        <v>1631.0</v>
      </c>
      <c r="G520" s="2">
        <v>163000.0</v>
      </c>
    </row>
    <row r="521" ht="15.75" customHeight="1">
      <c r="A521" s="2" t="s">
        <v>1886</v>
      </c>
      <c r="B521" s="2" t="s">
        <v>1887</v>
      </c>
      <c r="C521" s="2" t="s">
        <v>979</v>
      </c>
      <c r="D521" s="2">
        <v>23.0</v>
      </c>
      <c r="E521" s="2">
        <v>1000.0</v>
      </c>
      <c r="F521" s="2">
        <v>1286.0</v>
      </c>
      <c r="G521" s="2">
        <v>118500.0</v>
      </c>
    </row>
    <row r="522" ht="15.75" customHeight="1">
      <c r="A522" s="2" t="s">
        <v>1890</v>
      </c>
      <c r="B522" s="2" t="s">
        <v>1891</v>
      </c>
      <c r="C522" s="2" t="s">
        <v>979</v>
      </c>
      <c r="D522" s="2">
        <v>3130.0</v>
      </c>
      <c r="E522" s="2">
        <v>3406.0</v>
      </c>
      <c r="F522" s="2">
        <v>3474.0</v>
      </c>
      <c r="G522" s="2">
        <v>180000.0</v>
      </c>
    </row>
    <row r="523" ht="15.75" customHeight="1">
      <c r="A523" s="2" t="s">
        <v>1892</v>
      </c>
      <c r="B523" s="2" t="s">
        <v>1893</v>
      </c>
      <c r="C523" s="2" t="s">
        <v>979</v>
      </c>
      <c r="D523" s="2">
        <v>5.0</v>
      </c>
      <c r="E523" s="2">
        <v>893.0</v>
      </c>
      <c r="F523" s="2">
        <v>831.0</v>
      </c>
      <c r="G523" s="2">
        <v>80000.0</v>
      </c>
    </row>
    <row r="524" ht="15.75" customHeight="1">
      <c r="A524" s="2" t="s">
        <v>1896</v>
      </c>
      <c r="B524" s="2" t="s">
        <v>1897</v>
      </c>
      <c r="C524" s="2" t="s">
        <v>979</v>
      </c>
      <c r="D524" s="2">
        <v>86.0</v>
      </c>
      <c r="E524" s="2">
        <v>2883.0</v>
      </c>
      <c r="F524" s="2">
        <v>2846.0</v>
      </c>
      <c r="G524" s="2">
        <v>256300.0</v>
      </c>
    </row>
    <row r="525" ht="15.75" customHeight="1">
      <c r="A525" s="2" t="s">
        <v>1900</v>
      </c>
      <c r="B525" s="2" t="s">
        <v>1901</v>
      </c>
      <c r="C525" s="2" t="s">
        <v>979</v>
      </c>
      <c r="D525" s="2">
        <v>6.0</v>
      </c>
      <c r="E525" s="2">
        <v>2378.0</v>
      </c>
      <c r="F525" s="2">
        <v>2161.0</v>
      </c>
      <c r="G525" s="2">
        <v>214205.0</v>
      </c>
    </row>
    <row r="526" ht="15.75" customHeight="1">
      <c r="A526" s="2" t="s">
        <v>1904</v>
      </c>
      <c r="B526" s="2" t="s">
        <v>1905</v>
      </c>
      <c r="C526" s="2" t="s">
        <v>979</v>
      </c>
      <c r="D526" s="2">
        <v>23.0</v>
      </c>
      <c r="E526" s="2">
        <v>3466.0</v>
      </c>
      <c r="F526" s="2">
        <v>3504.0</v>
      </c>
      <c r="G526" s="2">
        <v>540000.0</v>
      </c>
    </row>
    <row r="527" ht="15.75" customHeight="1">
      <c r="A527" s="2" t="s">
        <v>1907</v>
      </c>
      <c r="B527" s="2" t="s">
        <v>1909</v>
      </c>
      <c r="C527" s="2" t="s">
        <v>979</v>
      </c>
      <c r="D527" s="2">
        <v>12.0</v>
      </c>
      <c r="E527" s="2">
        <v>1544.0</v>
      </c>
      <c r="F527" s="2">
        <v>1611.0</v>
      </c>
      <c r="G527" s="2">
        <v>192000.0</v>
      </c>
    </row>
    <row r="528" ht="15.75" customHeight="1">
      <c r="A528" s="2" t="s">
        <v>1910</v>
      </c>
      <c r="B528" s="2" t="s">
        <v>1911</v>
      </c>
      <c r="C528" s="2" t="s">
        <v>979</v>
      </c>
      <c r="D528" s="2">
        <v>53.0</v>
      </c>
      <c r="E528" s="2">
        <v>1875.0</v>
      </c>
      <c r="F528" s="2">
        <v>1815.0</v>
      </c>
      <c r="G528" s="2">
        <v>163400.0</v>
      </c>
    </row>
    <row r="529" ht="15.75" customHeight="1">
      <c r="A529" s="2" t="s">
        <v>1914</v>
      </c>
      <c r="B529" s="2" t="s">
        <v>1915</v>
      </c>
      <c r="C529" s="2" t="s">
        <v>979</v>
      </c>
      <c r="D529" s="2">
        <v>221.0</v>
      </c>
      <c r="E529" s="2">
        <v>2459.0</v>
      </c>
      <c r="F529" s="2">
        <v>2454.0</v>
      </c>
      <c r="G529" s="2">
        <v>155900.0</v>
      </c>
    </row>
    <row r="530" ht="15.75" customHeight="1">
      <c r="A530" s="2" t="s">
        <v>1918</v>
      </c>
      <c r="B530" s="2" t="s">
        <v>1919</v>
      </c>
      <c r="C530" s="2" t="s">
        <v>979</v>
      </c>
      <c r="D530" s="2">
        <v>35.0</v>
      </c>
      <c r="E530" s="2">
        <v>925.0</v>
      </c>
      <c r="F530" s="2">
        <v>926.0</v>
      </c>
      <c r="G530" s="2">
        <v>70000.0</v>
      </c>
    </row>
    <row r="531" ht="15.75" customHeight="1">
      <c r="A531" s="2" t="s">
        <v>1920</v>
      </c>
      <c r="B531" s="2" t="s">
        <v>1921</v>
      </c>
      <c r="C531" s="2" t="s">
        <v>979</v>
      </c>
      <c r="D531" s="2">
        <v>7.0</v>
      </c>
      <c r="E531" s="2">
        <v>1240.0</v>
      </c>
      <c r="F531" s="2">
        <v>1379.0</v>
      </c>
      <c r="G531" s="2">
        <v>120000.0</v>
      </c>
    </row>
    <row r="532" ht="15.75" customHeight="1">
      <c r="A532" s="2" t="s">
        <v>1924</v>
      </c>
      <c r="B532" s="2" t="s">
        <v>1925</v>
      </c>
      <c r="C532" s="2" t="s">
        <v>979</v>
      </c>
      <c r="D532" s="2">
        <v>50.0</v>
      </c>
      <c r="E532" s="2">
        <v>851.0</v>
      </c>
      <c r="F532" s="2">
        <v>923.0</v>
      </c>
      <c r="G532" s="2">
        <v>70000.0</v>
      </c>
    </row>
    <row r="533" ht="15.75" customHeight="1">
      <c r="A533" s="2" t="s">
        <v>1928</v>
      </c>
      <c r="B533" s="2" t="s">
        <v>1929</v>
      </c>
      <c r="C533" s="2" t="s">
        <v>979</v>
      </c>
      <c r="D533" s="2">
        <v>7.0</v>
      </c>
      <c r="E533" s="2">
        <v>1600.0</v>
      </c>
      <c r="F533" s="2">
        <v>1620.0</v>
      </c>
      <c r="G533" s="2">
        <v>214800.0</v>
      </c>
    </row>
    <row r="534" ht="15.75" customHeight="1">
      <c r="A534" s="2" t="s">
        <v>1932</v>
      </c>
      <c r="B534" s="2" t="s">
        <v>1933</v>
      </c>
      <c r="C534" s="2" t="s">
        <v>979</v>
      </c>
      <c r="D534" s="2">
        <v>166.0</v>
      </c>
      <c r="E534" s="2">
        <v>2279.0</v>
      </c>
      <c r="F534" s="2">
        <v>2267.0</v>
      </c>
      <c r="G534" s="2">
        <v>180075.0</v>
      </c>
    </row>
    <row r="535" ht="15.75" customHeight="1">
      <c r="A535" s="2" t="s">
        <v>1934</v>
      </c>
      <c r="B535" s="2" t="s">
        <v>1935</v>
      </c>
      <c r="C535" s="2" t="s">
        <v>979</v>
      </c>
      <c r="D535" s="2">
        <v>14.0</v>
      </c>
      <c r="E535" s="2">
        <v>1080.0</v>
      </c>
      <c r="F535" s="2">
        <v>1222.0</v>
      </c>
      <c r="G535" s="2">
        <v>114855.0</v>
      </c>
    </row>
    <row r="536" ht="15.75" customHeight="1">
      <c r="A536" s="2" t="s">
        <v>1936</v>
      </c>
      <c r="B536" s="2" t="s">
        <v>1937</v>
      </c>
      <c r="C536" s="2" t="s">
        <v>979</v>
      </c>
      <c r="D536" s="2">
        <v>45.0</v>
      </c>
      <c r="E536" s="2">
        <v>1319.0</v>
      </c>
      <c r="F536" s="2">
        <v>1331.0</v>
      </c>
      <c r="G536" s="2">
        <v>135000.0</v>
      </c>
    </row>
    <row r="537" ht="15.75" customHeight="1">
      <c r="A537" s="2" t="s">
        <v>1940</v>
      </c>
      <c r="B537" s="2" t="s">
        <v>1941</v>
      </c>
      <c r="C537" s="2" t="s">
        <v>979</v>
      </c>
      <c r="D537" s="2">
        <v>11.0</v>
      </c>
      <c r="E537" s="2">
        <v>1417.0</v>
      </c>
      <c r="F537" s="2">
        <v>1550.0</v>
      </c>
      <c r="G537" s="2">
        <v>206000.0</v>
      </c>
    </row>
    <row r="538" ht="15.75" customHeight="1">
      <c r="A538" s="2" t="s">
        <v>1944</v>
      </c>
      <c r="B538" s="2" t="s">
        <v>1945</v>
      </c>
      <c r="C538" s="2" t="s">
        <v>979</v>
      </c>
      <c r="D538" s="2">
        <v>50.0</v>
      </c>
      <c r="E538" s="2">
        <v>1560.0</v>
      </c>
      <c r="F538" s="2">
        <v>1718.0</v>
      </c>
      <c r="G538" s="2">
        <v>152975.0</v>
      </c>
    </row>
    <row r="539" ht="15.75" customHeight="1">
      <c r="A539" s="2" t="s">
        <v>1946</v>
      </c>
      <c r="B539" s="2" t="s">
        <v>1947</v>
      </c>
      <c r="C539" s="2" t="s">
        <v>979</v>
      </c>
      <c r="D539" s="2">
        <v>25.0</v>
      </c>
      <c r="E539" s="2">
        <v>1291.0</v>
      </c>
      <c r="F539" s="2">
        <v>1279.0</v>
      </c>
      <c r="G539" s="2">
        <v>142000.0</v>
      </c>
    </row>
    <row r="540" ht="15.75" customHeight="1">
      <c r="A540" s="2" t="s">
        <v>1948</v>
      </c>
      <c r="B540" s="2" t="s">
        <v>1949</v>
      </c>
      <c r="C540" s="2" t="s">
        <v>979</v>
      </c>
      <c r="D540" s="2">
        <v>514.0</v>
      </c>
      <c r="E540" s="2">
        <v>3628.0</v>
      </c>
      <c r="F540" s="2">
        <v>3789.0</v>
      </c>
      <c r="G540" s="2">
        <v>286000.0</v>
      </c>
    </row>
    <row r="541" ht="15.75" customHeight="1">
      <c r="A541" s="2" t="s">
        <v>1952</v>
      </c>
      <c r="B541" s="2" t="s">
        <v>1953</v>
      </c>
      <c r="C541" s="2" t="s">
        <v>979</v>
      </c>
      <c r="D541" s="2">
        <v>5.0</v>
      </c>
      <c r="E541" s="2">
        <v>1062.0</v>
      </c>
      <c r="F541" s="2">
        <v>1283.0</v>
      </c>
      <c r="G541" s="2">
        <v>90000.0</v>
      </c>
    </row>
    <row r="542" ht="15.75" customHeight="1">
      <c r="A542" s="2" t="s">
        <v>1956</v>
      </c>
      <c r="B542" s="2" t="s">
        <v>1957</v>
      </c>
      <c r="C542" s="2" t="s">
        <v>979</v>
      </c>
      <c r="D542" s="2">
        <v>6.0</v>
      </c>
      <c r="E542" s="2">
        <v>1846.0</v>
      </c>
      <c r="F542" s="2">
        <v>1829.0</v>
      </c>
      <c r="G542" s="2">
        <v>151300.0</v>
      </c>
    </row>
    <row r="543" ht="15.75" customHeight="1">
      <c r="A543" s="2" t="s">
        <v>1958</v>
      </c>
      <c r="B543" s="2" t="s">
        <v>1959</v>
      </c>
      <c r="C543" s="2" t="s">
        <v>979</v>
      </c>
      <c r="D543" s="2">
        <v>19.0</v>
      </c>
      <c r="E543" s="2">
        <v>790.0</v>
      </c>
      <c r="F543" s="2">
        <v>797.0</v>
      </c>
      <c r="G543" s="2">
        <v>119200.0</v>
      </c>
    </row>
    <row r="544" ht="15.75" customHeight="1">
      <c r="A544" s="2" t="s">
        <v>1962</v>
      </c>
      <c r="B544" s="2" t="s">
        <v>1963</v>
      </c>
      <c r="C544" s="2" t="s">
        <v>979</v>
      </c>
      <c r="D544" s="2">
        <v>123.0</v>
      </c>
      <c r="E544" s="2">
        <v>1413.0</v>
      </c>
      <c r="F544" s="2">
        <v>1494.0</v>
      </c>
      <c r="G544" s="2">
        <v>108000.0</v>
      </c>
    </row>
    <row r="545" ht="15.75" customHeight="1">
      <c r="A545" s="2" t="s">
        <v>1965</v>
      </c>
      <c r="B545" s="2" t="s">
        <v>1967</v>
      </c>
      <c r="C545" s="2" t="s">
        <v>979</v>
      </c>
      <c r="D545" s="2">
        <v>12.0</v>
      </c>
      <c r="E545" s="2">
        <v>842.0</v>
      </c>
      <c r="F545" s="2">
        <v>988.0</v>
      </c>
      <c r="G545" s="2">
        <v>97500.0</v>
      </c>
    </row>
    <row r="546" ht="15.75" customHeight="1">
      <c r="A546" s="2" t="s">
        <v>1968</v>
      </c>
      <c r="B546" s="2" t="s">
        <v>1969</v>
      </c>
      <c r="C546" s="2" t="s">
        <v>979</v>
      </c>
      <c r="D546" s="2">
        <v>31.0</v>
      </c>
      <c r="E546" s="2">
        <v>976.0</v>
      </c>
      <c r="F546" s="2">
        <v>1089.0</v>
      </c>
      <c r="G546" s="2">
        <v>85000.0</v>
      </c>
    </row>
    <row r="547" ht="15.75" customHeight="1">
      <c r="A547" s="2" t="s">
        <v>1970</v>
      </c>
      <c r="B547" s="2" t="s">
        <v>1971</v>
      </c>
      <c r="C547" s="2" t="s">
        <v>979</v>
      </c>
      <c r="D547" s="2">
        <v>15.0</v>
      </c>
      <c r="E547" s="2">
        <v>1325.0</v>
      </c>
      <c r="F547" s="2">
        <v>1356.0</v>
      </c>
      <c r="G547" s="2">
        <v>129000.0</v>
      </c>
    </row>
    <row r="548" ht="15.75" customHeight="1">
      <c r="A548" s="2" t="s">
        <v>1972</v>
      </c>
      <c r="B548" s="2" t="s">
        <v>1973</v>
      </c>
      <c r="C548" s="2" t="s">
        <v>979</v>
      </c>
      <c r="D548" s="2">
        <v>120.0</v>
      </c>
      <c r="E548" s="2">
        <v>3214.0</v>
      </c>
      <c r="F548" s="2">
        <v>3182.0</v>
      </c>
      <c r="G548" s="2">
        <v>253869.0</v>
      </c>
    </row>
    <row r="549" ht="15.75" customHeight="1">
      <c r="A549" s="2" t="s">
        <v>1976</v>
      </c>
      <c r="B549" s="2" t="s">
        <v>1977</v>
      </c>
      <c r="C549" s="2" t="s">
        <v>979</v>
      </c>
      <c r="D549" s="2">
        <v>19.0</v>
      </c>
      <c r="E549" s="2">
        <v>2364.0</v>
      </c>
      <c r="F549" s="2">
        <v>2327.0</v>
      </c>
      <c r="G549" s="2">
        <v>260000.0</v>
      </c>
    </row>
    <row r="550" ht="15.75" customHeight="1">
      <c r="A550" s="2" t="s">
        <v>1980</v>
      </c>
      <c r="B550" s="2" t="s">
        <v>1981</v>
      </c>
      <c r="C550" s="2" t="s">
        <v>979</v>
      </c>
      <c r="D550" s="2">
        <v>32.0</v>
      </c>
      <c r="E550" s="2">
        <v>1176.0</v>
      </c>
      <c r="F550" s="2">
        <v>1187.0</v>
      </c>
      <c r="G550" s="2">
        <v>123150.0</v>
      </c>
    </row>
    <row r="551" ht="15.75" customHeight="1">
      <c r="A551" s="2" t="s">
        <v>1982</v>
      </c>
      <c r="B551" s="2" t="s">
        <v>1985</v>
      </c>
      <c r="C551" s="2" t="s">
        <v>979</v>
      </c>
      <c r="D551" s="2">
        <v>34.0</v>
      </c>
      <c r="E551" s="2">
        <v>1184.0</v>
      </c>
      <c r="F551" s="2">
        <v>1250.0</v>
      </c>
      <c r="G551" s="2">
        <v>103650.0</v>
      </c>
    </row>
    <row r="552" ht="15.75" customHeight="1">
      <c r="A552" s="2" t="s">
        <v>1987</v>
      </c>
      <c r="B552" s="2" t="s">
        <v>1989</v>
      </c>
      <c r="C552" s="2" t="s">
        <v>979</v>
      </c>
      <c r="D552" s="2">
        <v>10.0</v>
      </c>
      <c r="E552" s="2">
        <v>1121.0</v>
      </c>
      <c r="F552" s="2">
        <v>1208.0</v>
      </c>
      <c r="G552" s="2">
        <v>97182.0</v>
      </c>
    </row>
    <row r="553" ht="15.75" customHeight="1">
      <c r="A553" s="2" t="s">
        <v>1990</v>
      </c>
      <c r="B553" s="2" t="s">
        <v>1993</v>
      </c>
      <c r="C553" s="2" t="s">
        <v>979</v>
      </c>
      <c r="D553" s="2">
        <v>287.0</v>
      </c>
      <c r="E553" s="2">
        <v>975.0</v>
      </c>
      <c r="F553" s="2">
        <v>1065.0</v>
      </c>
      <c r="G553" s="2">
        <v>81500.0</v>
      </c>
    </row>
    <row r="554" ht="15.75" customHeight="1">
      <c r="A554" s="2" t="s">
        <v>1994</v>
      </c>
      <c r="B554" s="2" t="s">
        <v>1995</v>
      </c>
      <c r="C554" s="2" t="s">
        <v>979</v>
      </c>
      <c r="D554" s="2">
        <v>6.0</v>
      </c>
      <c r="E554" s="2">
        <v>1834.0</v>
      </c>
      <c r="F554" s="2">
        <v>1955.0</v>
      </c>
      <c r="G554" s="2">
        <v>135000.0</v>
      </c>
    </row>
    <row r="555" ht="15.75" customHeight="1">
      <c r="A555" s="2" t="s">
        <v>1997</v>
      </c>
      <c r="B555" s="2" t="s">
        <v>1998</v>
      </c>
      <c r="C555" s="2" t="s">
        <v>979</v>
      </c>
      <c r="D555" s="2">
        <v>5.0</v>
      </c>
      <c r="E555" s="2">
        <v>801.0</v>
      </c>
      <c r="F555" s="2">
        <v>986.0</v>
      </c>
      <c r="G555" s="2">
        <v>70000.0</v>
      </c>
    </row>
    <row r="556" ht="15.75" customHeight="1">
      <c r="A556" s="2" t="s">
        <v>2001</v>
      </c>
      <c r="B556" s="2" t="s">
        <v>2003</v>
      </c>
      <c r="C556" s="2" t="s">
        <v>979</v>
      </c>
      <c r="D556" s="2">
        <v>5.0</v>
      </c>
      <c r="E556" s="2">
        <v>1310.0</v>
      </c>
      <c r="F556" s="2">
        <v>1344.0</v>
      </c>
      <c r="G556" s="2">
        <v>129000.0</v>
      </c>
    </row>
    <row r="557" ht="15.75" customHeight="1">
      <c r="A557" s="2" t="s">
        <v>2005</v>
      </c>
      <c r="B557" s="2" t="s">
        <v>2007</v>
      </c>
      <c r="C557" s="2" t="s">
        <v>979</v>
      </c>
      <c r="D557" s="2">
        <v>12.0</v>
      </c>
      <c r="E557" s="2">
        <v>1106.0</v>
      </c>
      <c r="F557" s="2">
        <v>1361.0</v>
      </c>
      <c r="G557" s="2">
        <v>206750.0</v>
      </c>
    </row>
    <row r="558" ht="15.75" customHeight="1">
      <c r="A558" s="2" t="s">
        <v>2008</v>
      </c>
      <c r="B558" s="2" t="s">
        <v>2009</v>
      </c>
      <c r="C558" s="2" t="s">
        <v>979</v>
      </c>
      <c r="D558" s="2">
        <v>8.0</v>
      </c>
      <c r="E558" s="2">
        <v>1174.0</v>
      </c>
      <c r="F558" s="2">
        <v>1289.0</v>
      </c>
      <c r="G558" s="2">
        <v>141500.0</v>
      </c>
    </row>
    <row r="559" ht="15.75" customHeight="1">
      <c r="A559" s="2" t="s">
        <v>2011</v>
      </c>
      <c r="B559" s="2" t="s">
        <v>2013</v>
      </c>
      <c r="C559" s="2" t="s">
        <v>979</v>
      </c>
      <c r="D559" s="2">
        <v>11.0</v>
      </c>
      <c r="E559" s="2">
        <v>1824.0</v>
      </c>
      <c r="F559" s="2">
        <v>1931.0</v>
      </c>
      <c r="G559" s="2">
        <v>243000.0</v>
      </c>
    </row>
    <row r="560" ht="15.75" customHeight="1">
      <c r="A560" s="2" t="s">
        <v>2014</v>
      </c>
      <c r="B560" s="2" t="s">
        <v>2016</v>
      </c>
      <c r="C560" s="2" t="s">
        <v>979</v>
      </c>
      <c r="D560" s="2">
        <v>88.0</v>
      </c>
      <c r="E560" s="2">
        <v>1667.0</v>
      </c>
      <c r="F560" s="2">
        <v>1701.0</v>
      </c>
      <c r="G560" s="2">
        <v>157000.0</v>
      </c>
    </row>
    <row r="561" ht="15.75" customHeight="1">
      <c r="A561" s="2" t="s">
        <v>2018</v>
      </c>
      <c r="B561" s="2" t="s">
        <v>2019</v>
      </c>
      <c r="C561" s="2" t="s">
        <v>979</v>
      </c>
      <c r="D561" s="2">
        <v>5.0</v>
      </c>
      <c r="E561" s="2">
        <v>1193.0</v>
      </c>
      <c r="F561" s="2">
        <v>1358.0</v>
      </c>
      <c r="G561" s="2">
        <v>179850.0</v>
      </c>
    </row>
    <row r="562" ht="15.75" customHeight="1">
      <c r="A562" s="2" t="s">
        <v>2022</v>
      </c>
      <c r="B562" s="2" t="s">
        <v>2023</v>
      </c>
      <c r="C562" s="2" t="s">
        <v>979</v>
      </c>
      <c r="D562" s="2">
        <v>8.0</v>
      </c>
      <c r="E562" s="2">
        <v>1737.0</v>
      </c>
      <c r="F562" s="2">
        <v>1788.0</v>
      </c>
      <c r="G562" s="2">
        <v>228550.0</v>
      </c>
    </row>
    <row r="563" ht="15.75" customHeight="1">
      <c r="A563" s="2" t="s">
        <v>2024</v>
      </c>
      <c r="B563" s="2" t="s">
        <v>2025</v>
      </c>
      <c r="C563" s="2" t="s">
        <v>979</v>
      </c>
      <c r="D563" s="2">
        <v>9.0</v>
      </c>
      <c r="E563" s="2">
        <v>773.0</v>
      </c>
      <c r="F563" s="2">
        <v>982.0</v>
      </c>
      <c r="G563" s="2">
        <v>85000.0</v>
      </c>
    </row>
    <row r="564" ht="15.75" customHeight="1">
      <c r="A564" s="2" t="s">
        <v>2026</v>
      </c>
      <c r="B564" s="2" t="s">
        <v>2027</v>
      </c>
      <c r="C564" s="2" t="s">
        <v>979</v>
      </c>
      <c r="D564" s="2">
        <v>10.0</v>
      </c>
      <c r="E564" s="2">
        <v>966.0</v>
      </c>
      <c r="F564" s="2">
        <v>1270.0</v>
      </c>
      <c r="G564" s="2">
        <v>139250.0</v>
      </c>
    </row>
    <row r="565" ht="15.75" customHeight="1">
      <c r="A565" s="2" t="s">
        <v>2028</v>
      </c>
      <c r="B565" s="2" t="s">
        <v>2029</v>
      </c>
      <c r="C565" s="2" t="s">
        <v>979</v>
      </c>
      <c r="D565" s="2">
        <v>10.0</v>
      </c>
      <c r="E565" s="2">
        <v>1797.0</v>
      </c>
      <c r="F565" s="2">
        <v>1775.0</v>
      </c>
      <c r="G565" s="2">
        <v>208649.0</v>
      </c>
    </row>
    <row r="566" ht="15.75" customHeight="1">
      <c r="A566" s="2" t="s">
        <v>2030</v>
      </c>
      <c r="B566" s="2" t="s">
        <v>2031</v>
      </c>
      <c r="C566" s="2" t="s">
        <v>979</v>
      </c>
      <c r="D566" s="2">
        <v>26.0</v>
      </c>
      <c r="E566" s="2">
        <v>1122.0</v>
      </c>
      <c r="F566" s="2">
        <v>1215.0</v>
      </c>
      <c r="G566" s="2">
        <v>121625.0</v>
      </c>
    </row>
    <row r="567" ht="15.75" customHeight="1">
      <c r="A567" s="2" t="s">
        <v>2032</v>
      </c>
      <c r="B567" s="2" t="s">
        <v>2033</v>
      </c>
      <c r="C567" s="2" t="s">
        <v>979</v>
      </c>
      <c r="D567" s="2">
        <v>213.0</v>
      </c>
      <c r="E567" s="2">
        <v>2259.0</v>
      </c>
      <c r="F567" s="2">
        <v>2459.0</v>
      </c>
      <c r="G567" s="2">
        <v>163000.0</v>
      </c>
    </row>
    <row r="568" ht="15.75" customHeight="1">
      <c r="A568" s="2" t="s">
        <v>2036</v>
      </c>
      <c r="B568" s="2" t="s">
        <v>2037</v>
      </c>
      <c r="C568" s="2" t="s">
        <v>979</v>
      </c>
      <c r="D568" s="2">
        <v>17.0</v>
      </c>
      <c r="E568" s="2">
        <v>2018.0</v>
      </c>
      <c r="F568" s="2">
        <v>2181.0</v>
      </c>
      <c r="G568" s="2">
        <v>210000.0</v>
      </c>
    </row>
    <row r="569" ht="15.75" customHeight="1">
      <c r="A569" s="2" t="s">
        <v>2038</v>
      </c>
      <c r="B569" s="2" t="s">
        <v>2039</v>
      </c>
      <c r="C569" s="2" t="s">
        <v>979</v>
      </c>
      <c r="D569" s="2">
        <v>6.0</v>
      </c>
      <c r="E569" s="2">
        <v>761.0</v>
      </c>
      <c r="F569" s="2">
        <v>941.0</v>
      </c>
      <c r="G569" s="2">
        <v>107500.0</v>
      </c>
    </row>
    <row r="570" ht="15.75" customHeight="1">
      <c r="A570" s="2" t="s">
        <v>2040</v>
      </c>
      <c r="B570" s="2" t="s">
        <v>2041</v>
      </c>
      <c r="C570" s="2" t="s">
        <v>979</v>
      </c>
      <c r="D570" s="2">
        <v>27.0</v>
      </c>
      <c r="E570" s="2">
        <v>1511.0</v>
      </c>
      <c r="F570" s="2">
        <v>1584.0</v>
      </c>
      <c r="G570" s="2">
        <v>147000.0</v>
      </c>
    </row>
    <row r="571" ht="15.75" customHeight="1">
      <c r="A571" s="2" t="s">
        <v>2042</v>
      </c>
      <c r="B571" s="2" t="s">
        <v>2043</v>
      </c>
      <c r="C571" s="2" t="s">
        <v>979</v>
      </c>
      <c r="D571" s="2">
        <v>32.0</v>
      </c>
      <c r="E571" s="2">
        <v>1426.0</v>
      </c>
      <c r="F571" s="2">
        <v>1542.0</v>
      </c>
      <c r="G571" s="2">
        <v>183625.0</v>
      </c>
    </row>
    <row r="572" ht="15.75" customHeight="1">
      <c r="A572" s="2" t="s">
        <v>2046</v>
      </c>
      <c r="B572" s="2" t="s">
        <v>2048</v>
      </c>
      <c r="C572" s="2" t="s">
        <v>979</v>
      </c>
      <c r="D572" s="2">
        <v>15.0</v>
      </c>
      <c r="E572" s="2">
        <v>983.0</v>
      </c>
      <c r="F572" s="2">
        <v>1065.0</v>
      </c>
      <c r="G572" s="2">
        <v>130000.0</v>
      </c>
    </row>
    <row r="573" ht="15.75" customHeight="1">
      <c r="A573" s="2" t="s">
        <v>2050</v>
      </c>
      <c r="B573" s="2" t="s">
        <v>2052</v>
      </c>
      <c r="C573" s="2" t="s">
        <v>979</v>
      </c>
      <c r="D573" s="2">
        <v>20.0</v>
      </c>
      <c r="E573" s="2">
        <v>2380.0</v>
      </c>
      <c r="F573" s="2">
        <v>2379.0</v>
      </c>
      <c r="G573" s="2">
        <v>245000.0</v>
      </c>
    </row>
    <row r="574" ht="15.75" customHeight="1">
      <c r="A574" s="2" t="s">
        <v>2054</v>
      </c>
      <c r="B574" s="2" t="s">
        <v>2055</v>
      </c>
      <c r="C574" s="2" t="s">
        <v>979</v>
      </c>
      <c r="D574" s="2">
        <v>175.0</v>
      </c>
      <c r="E574" s="2">
        <v>3351.0</v>
      </c>
      <c r="F574" s="2">
        <v>3434.0</v>
      </c>
      <c r="G574" s="2">
        <v>305000.0</v>
      </c>
    </row>
    <row r="575" ht="15.75" customHeight="1">
      <c r="A575" s="2" t="s">
        <v>2058</v>
      </c>
      <c r="B575" s="2" t="s">
        <v>2059</v>
      </c>
      <c r="C575" s="2" t="s">
        <v>979</v>
      </c>
      <c r="D575" s="2">
        <v>34.0</v>
      </c>
      <c r="E575" s="2">
        <v>3323.0</v>
      </c>
      <c r="F575" s="2">
        <v>3287.0</v>
      </c>
      <c r="G575" s="2">
        <v>523500.0</v>
      </c>
    </row>
    <row r="576" ht="15.75" customHeight="1">
      <c r="A576" s="2" t="s">
        <v>2060</v>
      </c>
      <c r="B576" s="2" t="s">
        <v>2063</v>
      </c>
      <c r="C576" s="2" t="s">
        <v>979</v>
      </c>
      <c r="D576" s="2">
        <v>15.0</v>
      </c>
      <c r="E576" s="2">
        <v>2190.0</v>
      </c>
      <c r="F576" s="2">
        <v>2142.0</v>
      </c>
      <c r="G576" s="2">
        <v>220850.0</v>
      </c>
    </row>
    <row r="577" ht="15.75" customHeight="1">
      <c r="A577" s="2" t="s">
        <v>2065</v>
      </c>
      <c r="B577" s="2" t="s">
        <v>2067</v>
      </c>
      <c r="C577" s="2" t="s">
        <v>979</v>
      </c>
      <c r="D577" s="2">
        <v>9.0</v>
      </c>
      <c r="E577" s="2">
        <v>1158.0</v>
      </c>
      <c r="F577" s="2">
        <v>1437.0</v>
      </c>
      <c r="G577" s="2">
        <v>120000.0</v>
      </c>
    </row>
    <row r="578" ht="15.75" customHeight="1">
      <c r="A578" s="2" t="s">
        <v>2070</v>
      </c>
      <c r="B578" s="2" t="s">
        <v>2071</v>
      </c>
      <c r="C578" s="2" t="s">
        <v>979</v>
      </c>
      <c r="D578" s="2">
        <v>11.0</v>
      </c>
      <c r="E578" s="2">
        <v>1633.0</v>
      </c>
      <c r="F578" s="2">
        <v>1704.0</v>
      </c>
      <c r="G578" s="2">
        <v>249500.0</v>
      </c>
    </row>
    <row r="579" ht="15.75" customHeight="1">
      <c r="A579" s="2" t="s">
        <v>2074</v>
      </c>
      <c r="B579" s="2" t="s">
        <v>2075</v>
      </c>
      <c r="C579" s="2" t="s">
        <v>979</v>
      </c>
      <c r="D579" s="2">
        <v>12.0</v>
      </c>
      <c r="E579" s="2">
        <v>945.0</v>
      </c>
      <c r="F579" s="2">
        <v>937.0</v>
      </c>
      <c r="G579" s="2">
        <v>84500.0</v>
      </c>
    </row>
    <row r="580" ht="15.75" customHeight="1">
      <c r="A580" s="2" t="s">
        <v>2076</v>
      </c>
      <c r="B580" s="2" t="s">
        <v>2077</v>
      </c>
      <c r="C580" s="2" t="s">
        <v>979</v>
      </c>
      <c r="D580" s="2">
        <v>49.0</v>
      </c>
      <c r="E580" s="2">
        <v>1215.0</v>
      </c>
      <c r="F580" s="2">
        <v>1302.0</v>
      </c>
      <c r="G580" s="2">
        <v>122000.0</v>
      </c>
    </row>
    <row r="581" ht="15.75" customHeight="1">
      <c r="A581" s="2" t="s">
        <v>2078</v>
      </c>
      <c r="B581" s="2" t="s">
        <v>2079</v>
      </c>
      <c r="C581" s="2" t="s">
        <v>979</v>
      </c>
      <c r="D581" s="2">
        <v>88.0</v>
      </c>
      <c r="E581" s="2">
        <v>2389.0</v>
      </c>
      <c r="F581" s="2">
        <v>2405.0</v>
      </c>
      <c r="G581" s="2">
        <v>225000.0</v>
      </c>
    </row>
    <row r="582" ht="15.75" customHeight="1">
      <c r="A582" s="2" t="s">
        <v>2080</v>
      </c>
      <c r="B582" s="2" t="s">
        <v>2081</v>
      </c>
      <c r="C582" s="2" t="s">
        <v>979</v>
      </c>
      <c r="D582" s="2">
        <v>38.0</v>
      </c>
      <c r="E582" s="2">
        <v>1406.0</v>
      </c>
      <c r="F582" s="2">
        <v>1331.0</v>
      </c>
      <c r="G582" s="2">
        <v>115000.0</v>
      </c>
    </row>
    <row r="583" ht="15.75" customHeight="1">
      <c r="A583" s="2" t="s">
        <v>2084</v>
      </c>
      <c r="B583" s="2" t="s">
        <v>2085</v>
      </c>
      <c r="C583" s="2" t="s">
        <v>979</v>
      </c>
      <c r="D583" s="2">
        <v>10.0</v>
      </c>
      <c r="E583" s="2">
        <v>957.0</v>
      </c>
      <c r="F583" s="2">
        <v>1087.0</v>
      </c>
      <c r="G583" s="2">
        <v>125000.0</v>
      </c>
    </row>
    <row r="584" ht="15.75" customHeight="1">
      <c r="A584" s="2" t="s">
        <v>2087</v>
      </c>
      <c r="B584" s="2" t="s">
        <v>2089</v>
      </c>
      <c r="C584" s="2" t="s">
        <v>979</v>
      </c>
      <c r="D584" s="2">
        <v>59.0</v>
      </c>
      <c r="E584" s="2">
        <v>2246.0</v>
      </c>
      <c r="F584" s="2">
        <v>2240.0</v>
      </c>
      <c r="G584" s="2">
        <v>225000.0</v>
      </c>
    </row>
    <row r="585" ht="15.75" customHeight="1">
      <c r="A585" s="2" t="s">
        <v>2090</v>
      </c>
      <c r="B585" s="2" t="s">
        <v>2091</v>
      </c>
      <c r="C585" s="2" t="s">
        <v>979</v>
      </c>
      <c r="D585" s="2">
        <v>5.0</v>
      </c>
      <c r="E585" s="2">
        <v>1522.0</v>
      </c>
      <c r="F585" s="2">
        <v>1586.0</v>
      </c>
      <c r="G585" s="2">
        <v>160000.0</v>
      </c>
    </row>
    <row r="586" ht="15.75" customHeight="1">
      <c r="A586" s="2" t="s">
        <v>2092</v>
      </c>
      <c r="B586" s="2" t="s">
        <v>2093</v>
      </c>
      <c r="C586" s="2" t="s">
        <v>979</v>
      </c>
      <c r="D586" s="2">
        <v>13.0</v>
      </c>
      <c r="E586" s="2">
        <v>1440.0</v>
      </c>
      <c r="F586" s="2">
        <v>1536.0</v>
      </c>
      <c r="G586" s="2">
        <v>172800.0</v>
      </c>
    </row>
    <row r="587" ht="15.75" customHeight="1">
      <c r="A587" s="2" t="s">
        <v>2094</v>
      </c>
      <c r="B587" s="2" t="s">
        <v>2095</v>
      </c>
      <c r="C587" s="2" t="s">
        <v>979</v>
      </c>
      <c r="D587" s="2">
        <v>27.0</v>
      </c>
      <c r="E587" s="2">
        <v>2201.0</v>
      </c>
      <c r="F587" s="2">
        <v>2096.0</v>
      </c>
      <c r="G587" s="2">
        <v>323000.0</v>
      </c>
    </row>
    <row r="588" ht="15.75" customHeight="1">
      <c r="A588" s="2" t="s">
        <v>2096</v>
      </c>
      <c r="B588" s="2" t="s">
        <v>2097</v>
      </c>
      <c r="C588" s="2" t="s">
        <v>979</v>
      </c>
      <c r="D588" s="2">
        <v>8.0</v>
      </c>
      <c r="E588" s="2">
        <v>1434.0</v>
      </c>
      <c r="F588" s="2">
        <v>1598.0</v>
      </c>
      <c r="G588" s="2">
        <v>246000.0</v>
      </c>
    </row>
    <row r="589" ht="15.75" customHeight="1">
      <c r="A589" s="2" t="s">
        <v>2098</v>
      </c>
      <c r="B589" s="2" t="s">
        <v>2099</v>
      </c>
      <c r="C589" s="2" t="s">
        <v>979</v>
      </c>
      <c r="D589" s="2">
        <v>8.0</v>
      </c>
      <c r="E589" s="2">
        <v>1281.0</v>
      </c>
      <c r="F589" s="2">
        <v>1368.0</v>
      </c>
      <c r="G589" s="2">
        <v>99750.0</v>
      </c>
    </row>
    <row r="590" ht="15.75" customHeight="1">
      <c r="A590" s="2" t="s">
        <v>2102</v>
      </c>
      <c r="B590" s="2" t="s">
        <v>2104</v>
      </c>
      <c r="C590" s="2" t="s">
        <v>979</v>
      </c>
      <c r="D590" s="2">
        <v>7.0</v>
      </c>
      <c r="E590" s="2">
        <v>1606.0</v>
      </c>
      <c r="F590" s="2">
        <v>1924.0</v>
      </c>
      <c r="G590" s="2">
        <v>171000.0</v>
      </c>
    </row>
    <row r="591" ht="15.75" customHeight="1">
      <c r="A591" s="2" t="s">
        <v>2106</v>
      </c>
      <c r="B591" s="2" t="s">
        <v>2108</v>
      </c>
      <c r="C591" s="2" t="s">
        <v>979</v>
      </c>
      <c r="D591" s="2">
        <v>17.0</v>
      </c>
      <c r="E591" s="2">
        <v>945.0</v>
      </c>
      <c r="F591" s="2">
        <v>902.0</v>
      </c>
      <c r="G591" s="2">
        <v>100000.0</v>
      </c>
    </row>
    <row r="592" ht="15.75" customHeight="1">
      <c r="A592" s="2" t="s">
        <v>2110</v>
      </c>
      <c r="B592" s="2" t="s">
        <v>615</v>
      </c>
      <c r="C592" s="2" t="s">
        <v>979</v>
      </c>
      <c r="D592" s="2">
        <v>11.0</v>
      </c>
      <c r="E592" s="2">
        <v>1708.0</v>
      </c>
      <c r="F592" s="2">
        <v>1945.0</v>
      </c>
      <c r="G592" s="2">
        <v>302000.0</v>
      </c>
    </row>
    <row r="593" ht="15.75" customHeight="1">
      <c r="A593" s="2" t="s">
        <v>2111</v>
      </c>
      <c r="B593" s="2" t="s">
        <v>2112</v>
      </c>
      <c r="C593" s="2" t="s">
        <v>979</v>
      </c>
      <c r="D593" s="2">
        <v>82.0</v>
      </c>
      <c r="E593" s="2">
        <v>1306.0</v>
      </c>
      <c r="F593" s="2">
        <v>1443.0</v>
      </c>
      <c r="G593" s="2">
        <v>124000.0</v>
      </c>
    </row>
    <row r="594" ht="15.75" customHeight="1">
      <c r="A594" s="2" t="s">
        <v>2115</v>
      </c>
      <c r="B594" s="2" t="s">
        <v>2116</v>
      </c>
      <c r="C594" s="2" t="s">
        <v>979</v>
      </c>
      <c r="D594" s="2">
        <v>7.0</v>
      </c>
      <c r="E594" s="2">
        <v>1373.0</v>
      </c>
      <c r="F594" s="2">
        <v>1326.0</v>
      </c>
      <c r="G594" s="2">
        <v>90000.0</v>
      </c>
    </row>
    <row r="595" ht="15.75" customHeight="1">
      <c r="A595" s="2" t="s">
        <v>2117</v>
      </c>
      <c r="B595" s="2" t="s">
        <v>2118</v>
      </c>
      <c r="C595" s="2" t="s">
        <v>979</v>
      </c>
      <c r="D595" s="2">
        <v>84.0</v>
      </c>
      <c r="E595" s="2">
        <v>2087.0</v>
      </c>
      <c r="F595" s="2">
        <v>2160.0</v>
      </c>
      <c r="G595" s="2">
        <v>184995.0</v>
      </c>
    </row>
    <row r="596" ht="15.75" customHeight="1">
      <c r="A596" s="2" t="s">
        <v>2121</v>
      </c>
      <c r="B596" s="2" t="s">
        <v>2122</v>
      </c>
      <c r="C596" s="2" t="s">
        <v>979</v>
      </c>
      <c r="D596" s="2">
        <v>5.0</v>
      </c>
      <c r="E596" s="2">
        <v>752.0</v>
      </c>
      <c r="F596" s="2">
        <v>989.0</v>
      </c>
      <c r="G596" s="2">
        <v>120000.0</v>
      </c>
    </row>
    <row r="597" ht="15.75" customHeight="1">
      <c r="A597" s="2" t="s">
        <v>2125</v>
      </c>
      <c r="B597" s="2" t="s">
        <v>2126</v>
      </c>
      <c r="C597" s="2" t="s">
        <v>979</v>
      </c>
      <c r="D597" s="2">
        <v>44.0</v>
      </c>
      <c r="E597" s="2">
        <v>1891.0</v>
      </c>
      <c r="F597" s="2">
        <v>1843.0</v>
      </c>
      <c r="G597" s="2">
        <v>183750.0</v>
      </c>
    </row>
    <row r="598" ht="15.75" customHeight="1">
      <c r="A598" s="2" t="s">
        <v>2127</v>
      </c>
      <c r="B598" s="2" t="s">
        <v>2128</v>
      </c>
      <c r="C598" s="2" t="s">
        <v>979</v>
      </c>
      <c r="D598" s="2">
        <v>10.0</v>
      </c>
      <c r="E598" s="2">
        <v>1856.0</v>
      </c>
      <c r="F598" s="2">
        <v>1873.0</v>
      </c>
      <c r="G598" s="2">
        <v>143550.0</v>
      </c>
    </row>
    <row r="599" ht="15.75" customHeight="1">
      <c r="A599" s="2" t="s">
        <v>2129</v>
      </c>
      <c r="B599" s="2" t="s">
        <v>2131</v>
      </c>
      <c r="C599" s="2" t="s">
        <v>979</v>
      </c>
      <c r="D599" s="2">
        <v>5.0</v>
      </c>
      <c r="E599" s="2">
        <v>1773.0</v>
      </c>
      <c r="F599" s="2">
        <v>1804.0</v>
      </c>
      <c r="G599" s="2">
        <v>180000.0</v>
      </c>
    </row>
    <row r="600" ht="15.75" customHeight="1">
      <c r="A600" s="2" t="s">
        <v>2133</v>
      </c>
      <c r="B600" s="2" t="s">
        <v>2134</v>
      </c>
      <c r="C600" s="2" t="s">
        <v>979</v>
      </c>
      <c r="D600" s="2">
        <v>12.0</v>
      </c>
      <c r="E600" s="2">
        <v>1841.0</v>
      </c>
      <c r="F600" s="2">
        <v>1598.0</v>
      </c>
      <c r="G600" s="2">
        <v>132100.0</v>
      </c>
    </row>
    <row r="601" ht="15.75" customHeight="1">
      <c r="A601" s="2" t="s">
        <v>2137</v>
      </c>
      <c r="B601" s="2" t="s">
        <v>2138</v>
      </c>
      <c r="C601" s="2" t="s">
        <v>979</v>
      </c>
      <c r="D601" s="2">
        <v>40.0</v>
      </c>
      <c r="E601" s="2">
        <v>1489.0</v>
      </c>
      <c r="F601" s="2">
        <v>1494.0</v>
      </c>
      <c r="G601" s="2">
        <v>102450.0</v>
      </c>
    </row>
    <row r="602" ht="15.75" customHeight="1">
      <c r="A602" s="2" t="s">
        <v>2141</v>
      </c>
      <c r="B602" s="2" t="s">
        <v>2142</v>
      </c>
      <c r="C602" s="2" t="s">
        <v>979</v>
      </c>
      <c r="D602" s="2">
        <v>31.0</v>
      </c>
      <c r="E602" s="2">
        <v>1531.0</v>
      </c>
      <c r="F602" s="2">
        <v>1443.0</v>
      </c>
      <c r="G602" s="2">
        <v>138100.0</v>
      </c>
    </row>
    <row r="603" ht="15.75" customHeight="1">
      <c r="A603" s="2" t="s">
        <v>2145</v>
      </c>
      <c r="B603" s="2" t="s">
        <v>2147</v>
      </c>
      <c r="C603" s="2" t="s">
        <v>979</v>
      </c>
      <c r="D603" s="2">
        <v>62.0</v>
      </c>
      <c r="E603" s="2">
        <v>2646.0</v>
      </c>
      <c r="F603" s="2">
        <v>2585.0</v>
      </c>
      <c r="G603" s="2">
        <v>210850.0</v>
      </c>
    </row>
    <row r="604" ht="15.75" customHeight="1">
      <c r="A604" s="2" t="s">
        <v>2149</v>
      </c>
      <c r="B604" s="2" t="s">
        <v>2150</v>
      </c>
      <c r="C604" s="2" t="s">
        <v>979</v>
      </c>
      <c r="D604" s="2">
        <v>7.0</v>
      </c>
      <c r="E604" s="2">
        <v>1176.0</v>
      </c>
      <c r="F604" s="2">
        <v>1277.0</v>
      </c>
      <c r="G604" s="2">
        <v>190000.0</v>
      </c>
    </row>
    <row r="605" ht="15.75" customHeight="1">
      <c r="A605" s="2" t="s">
        <v>2151</v>
      </c>
      <c r="B605" s="2" t="s">
        <v>2152</v>
      </c>
      <c r="C605" s="2" t="s">
        <v>979</v>
      </c>
      <c r="D605" s="2">
        <v>35.0</v>
      </c>
      <c r="E605" s="2">
        <v>1093.0</v>
      </c>
      <c r="F605" s="2">
        <v>1100.0</v>
      </c>
      <c r="G605" s="2">
        <v>113000.0</v>
      </c>
    </row>
    <row r="606" ht="15.75" customHeight="1">
      <c r="A606" s="2" t="s">
        <v>2155</v>
      </c>
      <c r="B606" s="2" t="s">
        <v>2156</v>
      </c>
      <c r="C606" s="2" t="s">
        <v>979</v>
      </c>
      <c r="D606" s="2">
        <v>5.0</v>
      </c>
      <c r="E606" s="2">
        <v>1250.0</v>
      </c>
      <c r="F606" s="2">
        <v>1153.0</v>
      </c>
      <c r="G606" s="2">
        <v>160000.0</v>
      </c>
    </row>
    <row r="607" ht="15.75" customHeight="1">
      <c r="A607" s="2" t="s">
        <v>2157</v>
      </c>
      <c r="B607" s="2" t="s">
        <v>2158</v>
      </c>
      <c r="C607" s="2" t="s">
        <v>979</v>
      </c>
      <c r="D607" s="2">
        <v>32.0</v>
      </c>
      <c r="E607" s="2">
        <v>1032.0</v>
      </c>
      <c r="F607" s="2">
        <v>1047.0</v>
      </c>
      <c r="G607" s="2">
        <v>123800.0</v>
      </c>
    </row>
    <row r="608" ht="15.75" customHeight="1">
      <c r="A608" s="2" t="s">
        <v>2164</v>
      </c>
      <c r="B608" s="2" t="s">
        <v>2166</v>
      </c>
      <c r="C608" s="2" t="s">
        <v>979</v>
      </c>
      <c r="D608" s="2">
        <v>24.0</v>
      </c>
      <c r="E608" s="2">
        <v>2763.0</v>
      </c>
      <c r="F608" s="2">
        <v>2720.0</v>
      </c>
      <c r="G608" s="2">
        <v>236750.0</v>
      </c>
    </row>
    <row r="609" ht="15.75" customHeight="1">
      <c r="A609" s="2" t="s">
        <v>2168</v>
      </c>
      <c r="B609" s="2" t="s">
        <v>2171</v>
      </c>
      <c r="C609" s="2" t="s">
        <v>979</v>
      </c>
      <c r="D609" s="2">
        <v>14.0</v>
      </c>
      <c r="E609" s="2">
        <v>815.0</v>
      </c>
      <c r="F609" s="2">
        <v>1019.0</v>
      </c>
      <c r="G609" s="2">
        <v>85200.0</v>
      </c>
    </row>
    <row r="610" ht="15.75" customHeight="1">
      <c r="A610" s="2" t="s">
        <v>2173</v>
      </c>
      <c r="B610" s="2" t="s">
        <v>2174</v>
      </c>
      <c r="C610" s="2" t="s">
        <v>979</v>
      </c>
      <c r="D610" s="2">
        <v>10.0</v>
      </c>
      <c r="E610" s="2">
        <v>849.0</v>
      </c>
      <c r="F610" s="2">
        <v>880.0</v>
      </c>
      <c r="G610" s="2">
        <v>98000.0</v>
      </c>
    </row>
    <row r="611" ht="15.75" customHeight="1">
      <c r="A611" s="2" t="s">
        <v>2177</v>
      </c>
      <c r="B611" s="2" t="s">
        <v>2179</v>
      </c>
      <c r="C611" s="2" t="s">
        <v>979</v>
      </c>
      <c r="D611" s="2">
        <v>13.0</v>
      </c>
      <c r="E611" s="2">
        <v>1541.0</v>
      </c>
      <c r="F611" s="2">
        <v>1559.0</v>
      </c>
      <c r="G611" s="2">
        <v>168400.0</v>
      </c>
    </row>
    <row r="612" ht="15.75" customHeight="1">
      <c r="A612" s="2" t="s">
        <v>2181</v>
      </c>
      <c r="B612" s="2" t="s">
        <v>2182</v>
      </c>
      <c r="C612" s="2" t="s">
        <v>979</v>
      </c>
      <c r="D612" s="2">
        <v>26.0</v>
      </c>
      <c r="E612" s="2">
        <v>1620.0</v>
      </c>
      <c r="F612" s="2">
        <v>1739.0</v>
      </c>
      <c r="G612" s="2">
        <v>160325.0</v>
      </c>
    </row>
    <row r="613" ht="15.75" customHeight="1">
      <c r="A613" s="2" t="s">
        <v>2183</v>
      </c>
      <c r="B613" s="2" t="s">
        <v>2184</v>
      </c>
      <c r="C613" s="2" t="s">
        <v>979</v>
      </c>
      <c r="D613" s="2">
        <v>42.0</v>
      </c>
      <c r="E613" s="2">
        <v>2007.0</v>
      </c>
      <c r="F613" s="2">
        <v>2087.0</v>
      </c>
      <c r="G613" s="2">
        <v>200000.0</v>
      </c>
    </row>
    <row r="614" ht="15.75" customHeight="1">
      <c r="A614" s="2" t="s">
        <v>2187</v>
      </c>
      <c r="B614" s="2" t="s">
        <v>2188</v>
      </c>
      <c r="C614" s="2" t="s">
        <v>979</v>
      </c>
      <c r="D614" s="2">
        <v>24.0</v>
      </c>
      <c r="E614" s="2">
        <v>2813.0</v>
      </c>
      <c r="F614" s="2">
        <v>2866.0</v>
      </c>
      <c r="G614" s="2">
        <v>276438.0</v>
      </c>
    </row>
    <row r="615" ht="15.75" customHeight="1">
      <c r="A615" s="2" t="s">
        <v>2191</v>
      </c>
      <c r="B615" s="2" t="s">
        <v>2192</v>
      </c>
      <c r="C615" s="2" t="s">
        <v>979</v>
      </c>
      <c r="D615" s="2">
        <v>21.0</v>
      </c>
      <c r="E615" s="2">
        <v>1304.0</v>
      </c>
      <c r="F615" s="2">
        <v>1452.0</v>
      </c>
      <c r="G615" s="2">
        <v>176000.0</v>
      </c>
    </row>
    <row r="616" ht="15.75" customHeight="1">
      <c r="A616" s="2" t="s">
        <v>2194</v>
      </c>
      <c r="B616" s="2" t="s">
        <v>2196</v>
      </c>
      <c r="C616" s="2" t="s">
        <v>979</v>
      </c>
      <c r="D616" s="2">
        <v>123.0</v>
      </c>
      <c r="E616" s="2">
        <v>2440.0</v>
      </c>
      <c r="F616" s="2">
        <v>2310.0</v>
      </c>
      <c r="G616" s="2">
        <v>202000.0</v>
      </c>
    </row>
    <row r="617" ht="15.75" customHeight="1">
      <c r="A617" s="2" t="s">
        <v>2197</v>
      </c>
      <c r="B617" s="2" t="s">
        <v>2199</v>
      </c>
      <c r="C617" s="2" t="s">
        <v>979</v>
      </c>
      <c r="D617" s="2">
        <v>12.0</v>
      </c>
      <c r="E617" s="2">
        <v>3890.0</v>
      </c>
      <c r="F617" s="2">
        <v>3769.0</v>
      </c>
      <c r="G617" s="2">
        <v>403490.0</v>
      </c>
    </row>
    <row r="618" ht="15.75" customHeight="1">
      <c r="A618" s="2" t="s">
        <v>2201</v>
      </c>
      <c r="B618" s="2" t="s">
        <v>2202</v>
      </c>
      <c r="C618" s="2" t="s">
        <v>979</v>
      </c>
      <c r="D618" s="2">
        <v>36.0</v>
      </c>
      <c r="E618" s="2">
        <v>1636.0</v>
      </c>
      <c r="F618" s="2">
        <v>1557.0</v>
      </c>
      <c r="G618" s="2">
        <v>142225.0</v>
      </c>
    </row>
    <row r="619" ht="15.75" customHeight="1">
      <c r="A619" s="2" t="s">
        <v>2205</v>
      </c>
      <c r="B619" s="2" t="s">
        <v>2206</v>
      </c>
      <c r="C619" s="2" t="s">
        <v>979</v>
      </c>
      <c r="D619" s="2">
        <v>5.0</v>
      </c>
      <c r="E619" s="2">
        <v>1219.0</v>
      </c>
      <c r="F619" s="2">
        <v>1494.0</v>
      </c>
      <c r="G619" s="2">
        <v>163000.0</v>
      </c>
    </row>
    <row r="620" ht="15.75" customHeight="1">
      <c r="A620" s="2" t="s">
        <v>2209</v>
      </c>
      <c r="B620" s="2" t="s">
        <v>2210</v>
      </c>
      <c r="C620" s="2" t="s">
        <v>979</v>
      </c>
      <c r="D620" s="2">
        <v>76.0</v>
      </c>
      <c r="E620" s="2">
        <v>2752.0</v>
      </c>
      <c r="F620" s="2">
        <v>2754.0</v>
      </c>
      <c r="G620" s="2">
        <v>239800.0</v>
      </c>
    </row>
    <row r="621" ht="15.75" customHeight="1">
      <c r="A621" s="2" t="s">
        <v>2213</v>
      </c>
      <c r="B621" s="2" t="s">
        <v>2214</v>
      </c>
      <c r="C621" s="2" t="s">
        <v>979</v>
      </c>
      <c r="D621" s="2">
        <v>53.0</v>
      </c>
      <c r="E621" s="2">
        <v>1067.0</v>
      </c>
      <c r="F621" s="2">
        <v>1125.0</v>
      </c>
      <c r="G621" s="2">
        <v>97620.0</v>
      </c>
    </row>
    <row r="622" ht="15.75" customHeight="1">
      <c r="A622" s="2" t="s">
        <v>2217</v>
      </c>
      <c r="B622" s="2" t="s">
        <v>2218</v>
      </c>
      <c r="C622" s="2" t="s">
        <v>979</v>
      </c>
      <c r="D622" s="2">
        <v>25.0</v>
      </c>
      <c r="E622" s="2">
        <v>965.0</v>
      </c>
      <c r="F622" s="2">
        <v>970.0</v>
      </c>
      <c r="G622" s="2">
        <v>100000.0</v>
      </c>
    </row>
    <row r="623" ht="15.75" customHeight="1">
      <c r="A623" s="2" t="s">
        <v>2220</v>
      </c>
      <c r="B623" s="2" t="s">
        <v>2222</v>
      </c>
      <c r="C623" s="2" t="s">
        <v>979</v>
      </c>
      <c r="D623" s="2">
        <v>11.0</v>
      </c>
      <c r="E623" s="2">
        <v>1234.0</v>
      </c>
      <c r="F623" s="2">
        <v>1194.0</v>
      </c>
      <c r="G623" s="2">
        <v>100000.0</v>
      </c>
    </row>
    <row r="624" ht="15.75" customHeight="1">
      <c r="A624" s="2" t="s">
        <v>2223</v>
      </c>
      <c r="B624" s="2" t="s">
        <v>2225</v>
      </c>
      <c r="C624" s="2" t="s">
        <v>979</v>
      </c>
      <c r="D624" s="2">
        <v>12.0</v>
      </c>
      <c r="E624" s="2">
        <v>2816.0</v>
      </c>
      <c r="F624" s="2">
        <v>2655.0</v>
      </c>
      <c r="G624" s="2">
        <v>427800.0</v>
      </c>
    </row>
    <row r="625" ht="15.75" customHeight="1">
      <c r="A625" s="2" t="s">
        <v>2227</v>
      </c>
      <c r="B625" s="2" t="s">
        <v>2228</v>
      </c>
      <c r="C625" s="2" t="s">
        <v>979</v>
      </c>
      <c r="D625" s="2">
        <v>23.0</v>
      </c>
      <c r="E625" s="2">
        <v>1204.0</v>
      </c>
      <c r="F625" s="2">
        <v>1258.0</v>
      </c>
      <c r="G625" s="2">
        <v>118000.0</v>
      </c>
    </row>
    <row r="626" ht="15.75" customHeight="1">
      <c r="A626" s="2" t="s">
        <v>2231</v>
      </c>
      <c r="B626" s="2" t="s">
        <v>2232</v>
      </c>
      <c r="C626" s="2" t="s">
        <v>979</v>
      </c>
      <c r="D626" s="2">
        <v>40.0</v>
      </c>
      <c r="E626" s="2">
        <v>1308.0</v>
      </c>
      <c r="F626" s="2">
        <v>1502.0</v>
      </c>
      <c r="G626" s="2">
        <v>160750.0</v>
      </c>
    </row>
    <row r="627" ht="15.75" customHeight="1">
      <c r="A627" s="2" t="s">
        <v>2235</v>
      </c>
      <c r="B627" s="2" t="s">
        <v>2236</v>
      </c>
      <c r="C627" s="2" t="s">
        <v>979</v>
      </c>
      <c r="D627" s="2">
        <v>112.0</v>
      </c>
      <c r="E627" s="2">
        <v>1349.0</v>
      </c>
      <c r="F627" s="2">
        <v>1290.0</v>
      </c>
      <c r="G627" s="2">
        <v>100000.0</v>
      </c>
    </row>
    <row r="628" ht="15.75" customHeight="1">
      <c r="A628" s="2" t="s">
        <v>2237</v>
      </c>
      <c r="B628" s="2" t="s">
        <v>2238</v>
      </c>
      <c r="C628" s="2" t="s">
        <v>979</v>
      </c>
      <c r="D628" s="2">
        <v>13.0</v>
      </c>
      <c r="E628" s="2">
        <v>1436.0</v>
      </c>
      <c r="F628" s="2">
        <v>1335.0</v>
      </c>
      <c r="G628" s="2">
        <v>130000.0</v>
      </c>
    </row>
    <row r="629" ht="15.75" customHeight="1">
      <c r="A629" s="2" t="s">
        <v>2241</v>
      </c>
      <c r="B629" s="2" t="s">
        <v>2242</v>
      </c>
      <c r="C629" s="2" t="s">
        <v>979</v>
      </c>
      <c r="D629" s="2">
        <v>32.0</v>
      </c>
      <c r="E629" s="2">
        <v>851.0</v>
      </c>
      <c r="F629" s="2">
        <v>1016.0</v>
      </c>
      <c r="G629" s="2">
        <v>121500.0</v>
      </c>
    </row>
    <row r="630" ht="15.75" customHeight="1">
      <c r="A630" s="2" t="s">
        <v>2244</v>
      </c>
      <c r="B630" s="2" t="s">
        <v>2246</v>
      </c>
      <c r="C630" s="2" t="s">
        <v>979</v>
      </c>
      <c r="D630" s="2">
        <v>18.0</v>
      </c>
      <c r="E630" s="2">
        <v>1525.0</v>
      </c>
      <c r="F630" s="2">
        <v>1610.0</v>
      </c>
      <c r="G630" s="2">
        <v>167500.0</v>
      </c>
    </row>
    <row r="631" ht="15.75" customHeight="1">
      <c r="A631" s="2" t="s">
        <v>2247</v>
      </c>
      <c r="B631" s="2" t="s">
        <v>2248</v>
      </c>
      <c r="C631" s="2" t="s">
        <v>979</v>
      </c>
      <c r="D631" s="2">
        <v>19.0</v>
      </c>
      <c r="E631" s="2">
        <v>2000.0</v>
      </c>
      <c r="F631" s="2">
        <v>1848.0</v>
      </c>
      <c r="G631" s="2">
        <v>210000.0</v>
      </c>
    </row>
    <row r="632" ht="15.75" customHeight="1">
      <c r="A632" s="2" t="s">
        <v>2249</v>
      </c>
      <c r="B632" s="2" t="s">
        <v>2250</v>
      </c>
      <c r="C632" s="2" t="s">
        <v>979</v>
      </c>
      <c r="D632" s="2">
        <v>7.0</v>
      </c>
      <c r="E632" s="2">
        <v>958.0</v>
      </c>
      <c r="F632" s="2">
        <v>887.0</v>
      </c>
      <c r="G632" s="2">
        <v>155000.0</v>
      </c>
    </row>
    <row r="633" ht="15.75" customHeight="1">
      <c r="A633" s="2" t="s">
        <v>2251</v>
      </c>
      <c r="B633" s="2" t="s">
        <v>2252</v>
      </c>
      <c r="C633" s="2" t="s">
        <v>979</v>
      </c>
      <c r="D633" s="2">
        <v>11.0</v>
      </c>
      <c r="E633" s="2">
        <v>1446.0</v>
      </c>
      <c r="F633" s="2">
        <v>1415.0</v>
      </c>
      <c r="G633" s="2">
        <v>178525.0</v>
      </c>
    </row>
    <row r="634" ht="15.75" customHeight="1">
      <c r="A634" s="2" t="s">
        <v>2255</v>
      </c>
      <c r="B634" s="2" t="s">
        <v>2256</v>
      </c>
      <c r="C634" s="2" t="s">
        <v>979</v>
      </c>
      <c r="D634" s="2">
        <v>14.0</v>
      </c>
      <c r="E634" s="2">
        <v>1120.0</v>
      </c>
      <c r="F634" s="2">
        <v>1323.0</v>
      </c>
      <c r="G634" s="2">
        <v>98500.0</v>
      </c>
    </row>
    <row r="635" ht="15.75" customHeight="1">
      <c r="A635" s="2" t="s">
        <v>2258</v>
      </c>
      <c r="B635" s="2" t="s">
        <v>2260</v>
      </c>
      <c r="C635" s="2" t="s">
        <v>979</v>
      </c>
      <c r="D635" s="2">
        <v>7.0</v>
      </c>
      <c r="E635" s="2">
        <v>1969.0</v>
      </c>
      <c r="F635" s="2">
        <v>1911.0</v>
      </c>
      <c r="G635" s="2">
        <v>249950.0</v>
      </c>
    </row>
    <row r="636" ht="15.75" customHeight="1">
      <c r="A636" s="2" t="s">
        <v>2263</v>
      </c>
      <c r="B636" s="2" t="s">
        <v>2264</v>
      </c>
      <c r="C636" s="2" t="s">
        <v>979</v>
      </c>
      <c r="D636" s="2">
        <v>7.0</v>
      </c>
      <c r="E636" s="2">
        <v>1086.0</v>
      </c>
      <c r="F636" s="2">
        <v>1153.0</v>
      </c>
      <c r="G636" s="2">
        <v>177000.0</v>
      </c>
    </row>
    <row r="637" ht="15.75" customHeight="1">
      <c r="A637" s="2" t="s">
        <v>2265</v>
      </c>
      <c r="B637" s="2" t="s">
        <v>2266</v>
      </c>
      <c r="C637" s="2" t="s">
        <v>979</v>
      </c>
      <c r="D637" s="2">
        <v>205.0</v>
      </c>
      <c r="E637" s="2">
        <v>2334.0</v>
      </c>
      <c r="F637" s="2">
        <v>2338.0</v>
      </c>
      <c r="G637" s="2">
        <v>182000.0</v>
      </c>
    </row>
    <row r="638" ht="15.75" customHeight="1">
      <c r="A638" s="2" t="s">
        <v>2269</v>
      </c>
      <c r="B638" s="2" t="s">
        <v>2270</v>
      </c>
      <c r="C638" s="2" t="s">
        <v>979</v>
      </c>
      <c r="D638" s="2">
        <v>157.0</v>
      </c>
      <c r="E638" s="2">
        <v>2654.0</v>
      </c>
      <c r="F638" s="2">
        <v>2722.0</v>
      </c>
      <c r="G638" s="2">
        <v>230000.0</v>
      </c>
    </row>
    <row r="639" ht="15.75" customHeight="1">
      <c r="A639" s="2" t="s">
        <v>2273</v>
      </c>
      <c r="B639" s="2" t="s">
        <v>2274</v>
      </c>
      <c r="C639" s="2" t="s">
        <v>979</v>
      </c>
      <c r="D639" s="2">
        <v>53.0</v>
      </c>
      <c r="E639" s="2">
        <v>1473.0</v>
      </c>
      <c r="F639" s="2">
        <v>1604.0</v>
      </c>
      <c r="G639" s="2">
        <v>146644.0</v>
      </c>
    </row>
    <row r="640" ht="15.75" customHeight="1">
      <c r="A640" s="2" t="s">
        <v>2277</v>
      </c>
      <c r="B640" s="2" t="s">
        <v>2278</v>
      </c>
      <c r="C640" s="2" t="s">
        <v>979</v>
      </c>
      <c r="D640" s="2">
        <v>18.0</v>
      </c>
      <c r="E640" s="2">
        <v>1558.0</v>
      </c>
      <c r="F640" s="2">
        <v>1763.0</v>
      </c>
      <c r="G640" s="2">
        <v>250000.0</v>
      </c>
    </row>
    <row r="641" ht="15.75" customHeight="1">
      <c r="A641" s="2" t="s">
        <v>2280</v>
      </c>
      <c r="B641" s="2" t="s">
        <v>2282</v>
      </c>
      <c r="C641" s="2" t="s">
        <v>979</v>
      </c>
      <c r="D641" s="2">
        <v>774.0</v>
      </c>
      <c r="E641" s="2">
        <v>1483.0</v>
      </c>
      <c r="F641" s="2">
        <v>1584.0</v>
      </c>
      <c r="G641" s="2">
        <v>114568.0</v>
      </c>
    </row>
    <row r="642" ht="15.75" customHeight="1">
      <c r="A642" s="2" t="s">
        <v>2283</v>
      </c>
      <c r="B642" s="2" t="s">
        <v>2284</v>
      </c>
      <c r="C642" s="2" t="s">
        <v>979</v>
      </c>
      <c r="D642" s="2">
        <v>55.0</v>
      </c>
      <c r="E642" s="2">
        <v>1056.0</v>
      </c>
      <c r="F642" s="2">
        <v>1141.0</v>
      </c>
      <c r="G642" s="2">
        <v>104000.0</v>
      </c>
    </row>
    <row r="643" ht="15.75" customHeight="1">
      <c r="A643" s="2" t="s">
        <v>2285</v>
      </c>
      <c r="B643" s="2" t="s">
        <v>2287</v>
      </c>
      <c r="C643" s="2" t="s">
        <v>979</v>
      </c>
      <c r="D643" s="2">
        <v>6.0</v>
      </c>
      <c r="E643" s="2">
        <v>1246.0</v>
      </c>
      <c r="F643" s="2">
        <v>1375.0</v>
      </c>
      <c r="G643" s="2">
        <v>130375.0</v>
      </c>
    </row>
    <row r="644" ht="15.75" customHeight="1">
      <c r="A644" s="2" t="s">
        <v>2289</v>
      </c>
      <c r="B644" s="2" t="s">
        <v>2290</v>
      </c>
      <c r="C644" s="2" t="s">
        <v>979</v>
      </c>
      <c r="D644" s="2">
        <v>9.0</v>
      </c>
      <c r="E644" s="2">
        <v>1640.0</v>
      </c>
      <c r="F644" s="2">
        <v>1748.0</v>
      </c>
      <c r="G644" s="2">
        <v>190000.0</v>
      </c>
    </row>
    <row r="645" ht="15.75" customHeight="1">
      <c r="A645" s="2" t="s">
        <v>2293</v>
      </c>
      <c r="B645" s="2" t="s">
        <v>2294</v>
      </c>
      <c r="C645" s="2" t="s">
        <v>979</v>
      </c>
      <c r="D645" s="2">
        <v>6.0</v>
      </c>
      <c r="E645" s="2">
        <v>1238.0</v>
      </c>
      <c r="F645" s="2">
        <v>1408.0</v>
      </c>
      <c r="G645" s="2">
        <v>208250.0</v>
      </c>
    </row>
    <row r="646" ht="15.75" customHeight="1">
      <c r="A646" s="2" t="s">
        <v>2295</v>
      </c>
      <c r="B646" s="2" t="s">
        <v>2297</v>
      </c>
      <c r="C646" s="2" t="s">
        <v>979</v>
      </c>
      <c r="D646" s="2">
        <v>20.0</v>
      </c>
      <c r="E646" s="2">
        <v>2111.0</v>
      </c>
      <c r="F646" s="2">
        <v>1954.0</v>
      </c>
      <c r="G646" s="2">
        <v>244200.0</v>
      </c>
    </row>
    <row r="647" ht="15.75" customHeight="1">
      <c r="A647" s="2" t="s">
        <v>2299</v>
      </c>
      <c r="B647" s="2" t="s">
        <v>2300</v>
      </c>
      <c r="C647" s="2" t="s">
        <v>979</v>
      </c>
      <c r="D647" s="2">
        <v>19.0</v>
      </c>
      <c r="E647" s="2">
        <v>1096.0</v>
      </c>
      <c r="F647" s="2">
        <v>1138.0</v>
      </c>
      <c r="G647" s="2">
        <v>130000.0</v>
      </c>
    </row>
    <row r="648" ht="15.75" customHeight="1">
      <c r="A648" s="2" t="s">
        <v>2301</v>
      </c>
      <c r="B648" s="2" t="s">
        <v>2302</v>
      </c>
      <c r="C648" s="2" t="s">
        <v>979</v>
      </c>
      <c r="D648" s="2">
        <v>32.0</v>
      </c>
      <c r="E648" s="2">
        <v>1442.0</v>
      </c>
      <c r="F648" s="2">
        <v>1550.0</v>
      </c>
      <c r="G648" s="2">
        <v>145350.0</v>
      </c>
    </row>
    <row r="649" ht="15.75" customHeight="1">
      <c r="A649" s="2" t="s">
        <v>2305</v>
      </c>
      <c r="B649" s="2" t="s">
        <v>2306</v>
      </c>
      <c r="C649" s="2" t="s">
        <v>979</v>
      </c>
      <c r="D649" s="2">
        <v>25.0</v>
      </c>
      <c r="E649" s="2">
        <v>1188.0</v>
      </c>
      <c r="F649" s="2">
        <v>1208.0</v>
      </c>
      <c r="G649" s="2">
        <v>105200.0</v>
      </c>
    </row>
    <row r="650" ht="15.75" customHeight="1">
      <c r="A650" s="2" t="s">
        <v>2309</v>
      </c>
      <c r="B650" s="2" t="s">
        <v>2310</v>
      </c>
      <c r="C650" s="2" t="s">
        <v>979</v>
      </c>
      <c r="D650" s="2">
        <v>5.0</v>
      </c>
      <c r="E650" s="2">
        <v>948.0</v>
      </c>
      <c r="F650" s="2">
        <v>1010.0</v>
      </c>
      <c r="G650" s="2">
        <v>78000.0</v>
      </c>
    </row>
    <row r="651" ht="15.75" customHeight="1">
      <c r="A651" s="2" t="s">
        <v>2312</v>
      </c>
      <c r="B651" s="2" t="s">
        <v>2314</v>
      </c>
      <c r="C651" s="2" t="s">
        <v>979</v>
      </c>
      <c r="D651" s="2">
        <v>20.0</v>
      </c>
      <c r="E651" s="2">
        <v>3341.0</v>
      </c>
      <c r="F651" s="2">
        <v>3207.0</v>
      </c>
      <c r="G651" s="2">
        <v>400500.0</v>
      </c>
    </row>
    <row r="652" ht="15.75" customHeight="1">
      <c r="A652" s="2" t="s">
        <v>2316</v>
      </c>
      <c r="B652" s="2" t="s">
        <v>2318</v>
      </c>
      <c r="C652" s="2" t="s">
        <v>979</v>
      </c>
      <c r="D652" s="2">
        <v>35.0</v>
      </c>
      <c r="E652" s="2">
        <v>3137.0</v>
      </c>
      <c r="F652" s="2">
        <v>3074.0</v>
      </c>
      <c r="G652" s="2">
        <v>350000.0</v>
      </c>
    </row>
    <row r="653" ht="15.75" customHeight="1">
      <c r="A653" s="2" t="s">
        <v>2319</v>
      </c>
      <c r="B653" s="2" t="s">
        <v>2320</v>
      </c>
      <c r="C653" s="2" t="s">
        <v>979</v>
      </c>
      <c r="D653" s="2">
        <v>65.0</v>
      </c>
      <c r="E653" s="2">
        <v>2252.0</v>
      </c>
      <c r="F653" s="2">
        <v>2229.0</v>
      </c>
      <c r="G653" s="2">
        <v>190000.0</v>
      </c>
    </row>
    <row r="654" ht="15.75" customHeight="1">
      <c r="A654" s="2" t="s">
        <v>2321</v>
      </c>
      <c r="B654" s="2" t="s">
        <v>2322</v>
      </c>
      <c r="C654" s="2" t="s">
        <v>979</v>
      </c>
      <c r="D654" s="2">
        <v>33.0</v>
      </c>
      <c r="E654" s="2">
        <v>878.0</v>
      </c>
      <c r="F654" s="2">
        <v>888.0</v>
      </c>
      <c r="G654" s="2">
        <v>80000.0</v>
      </c>
    </row>
    <row r="655" ht="15.75" customHeight="1">
      <c r="A655" s="2" t="s">
        <v>2325</v>
      </c>
      <c r="B655" s="2" t="s">
        <v>2326</v>
      </c>
      <c r="C655" s="2" t="s">
        <v>979</v>
      </c>
      <c r="D655" s="2">
        <v>142.0</v>
      </c>
      <c r="E655" s="2">
        <v>1527.0</v>
      </c>
      <c r="F655" s="2">
        <v>1653.0</v>
      </c>
      <c r="G655" s="2">
        <v>140000.0</v>
      </c>
    </row>
    <row r="656" ht="15.75" customHeight="1">
      <c r="A656" s="2" t="s">
        <v>2327</v>
      </c>
      <c r="B656" s="2" t="s">
        <v>2328</v>
      </c>
      <c r="C656" s="2" t="s">
        <v>979</v>
      </c>
      <c r="D656" s="2">
        <v>163.0</v>
      </c>
      <c r="E656" s="2">
        <v>3351.0</v>
      </c>
      <c r="F656" s="2">
        <v>3262.0</v>
      </c>
      <c r="G656" s="2">
        <v>226000.0</v>
      </c>
    </row>
    <row r="657" ht="15.75" customHeight="1">
      <c r="A657" s="2" t="s">
        <v>2330</v>
      </c>
      <c r="B657" s="2" t="s">
        <v>2332</v>
      </c>
      <c r="C657" s="2" t="s">
        <v>979</v>
      </c>
      <c r="D657" s="2">
        <v>13.0</v>
      </c>
      <c r="E657" s="2">
        <v>1152.0</v>
      </c>
      <c r="F657" s="2">
        <v>1093.0</v>
      </c>
      <c r="G657" s="2">
        <v>115000.0</v>
      </c>
    </row>
    <row r="658" ht="15.75" customHeight="1">
      <c r="A658" s="2" t="s">
        <v>2333</v>
      </c>
      <c r="B658" s="2" t="s">
        <v>2335</v>
      </c>
      <c r="C658" s="2" t="s">
        <v>979</v>
      </c>
      <c r="D658" s="2">
        <v>6.0</v>
      </c>
      <c r="E658" s="2">
        <v>625.0</v>
      </c>
      <c r="F658" s="2">
        <v>639.0</v>
      </c>
      <c r="G658" s="2">
        <v>33250.0</v>
      </c>
    </row>
    <row r="659" ht="15.75" customHeight="1">
      <c r="A659" s="2" t="s">
        <v>2338</v>
      </c>
      <c r="B659" s="2" t="s">
        <v>2340</v>
      </c>
      <c r="C659" s="2" t="s">
        <v>979</v>
      </c>
      <c r="D659" s="2">
        <v>19.0</v>
      </c>
      <c r="E659" s="2">
        <v>1221.0</v>
      </c>
      <c r="F659" s="2">
        <v>1221.0</v>
      </c>
      <c r="G659" s="2">
        <v>105000.0</v>
      </c>
    </row>
    <row r="660" ht="15.75" customHeight="1">
      <c r="A660" s="2" t="s">
        <v>2343</v>
      </c>
      <c r="B660" s="2" t="s">
        <v>2344</v>
      </c>
      <c r="C660" s="2" t="s">
        <v>979</v>
      </c>
      <c r="D660" s="2">
        <v>7.0</v>
      </c>
      <c r="E660" s="2">
        <v>1206.0</v>
      </c>
      <c r="F660" s="2">
        <v>1223.0</v>
      </c>
      <c r="G660" s="2">
        <v>107000.0</v>
      </c>
    </row>
    <row r="661" ht="15.75" customHeight="1">
      <c r="A661" s="2" t="s">
        <v>2347</v>
      </c>
      <c r="B661" s="2" t="s">
        <v>2348</v>
      </c>
      <c r="C661" s="2" t="s">
        <v>979</v>
      </c>
      <c r="D661" s="2">
        <v>9.0</v>
      </c>
      <c r="E661" s="2">
        <v>1841.0</v>
      </c>
      <c r="F661" s="2">
        <v>2100.0</v>
      </c>
      <c r="G661" s="2">
        <v>283760.0</v>
      </c>
    </row>
    <row r="662" ht="15.75" customHeight="1">
      <c r="A662" s="2" t="s">
        <v>2351</v>
      </c>
      <c r="B662" s="2" t="s">
        <v>2352</v>
      </c>
      <c r="C662" s="2" t="s">
        <v>979</v>
      </c>
      <c r="D662" s="2">
        <v>6.0</v>
      </c>
      <c r="E662" s="2">
        <v>1117.0</v>
      </c>
      <c r="F662" s="2">
        <v>1145.0</v>
      </c>
      <c r="G662" s="2">
        <v>135000.0</v>
      </c>
    </row>
    <row r="663" ht="15.75" customHeight="1">
      <c r="A663" s="2" t="s">
        <v>2354</v>
      </c>
      <c r="B663" s="2" t="s">
        <v>2356</v>
      </c>
      <c r="C663" s="2" t="s">
        <v>979</v>
      </c>
      <c r="D663" s="2">
        <v>10.0</v>
      </c>
      <c r="E663" s="2">
        <v>1629.0</v>
      </c>
      <c r="F663" s="2">
        <v>1812.0</v>
      </c>
      <c r="G663" s="2">
        <v>172500.0</v>
      </c>
    </row>
    <row r="664" ht="15.75" customHeight="1">
      <c r="A664" s="2" t="s">
        <v>2358</v>
      </c>
      <c r="B664" s="2" t="s">
        <v>2360</v>
      </c>
      <c r="C664" s="2" t="s">
        <v>979</v>
      </c>
      <c r="D664" s="2">
        <v>11.0</v>
      </c>
      <c r="E664" s="2">
        <v>1142.0</v>
      </c>
      <c r="F664" s="2">
        <v>1207.0</v>
      </c>
      <c r="G664" s="2">
        <v>86000.0</v>
      </c>
    </row>
    <row r="665" ht="15.75" customHeight="1">
      <c r="A665" s="2" t="s">
        <v>2362</v>
      </c>
      <c r="B665" s="2" t="s">
        <v>2363</v>
      </c>
      <c r="C665" s="2" t="s">
        <v>979</v>
      </c>
      <c r="D665" s="2">
        <v>6.0</v>
      </c>
      <c r="E665" s="2">
        <v>1264.0</v>
      </c>
      <c r="F665" s="2">
        <v>1170.0</v>
      </c>
      <c r="G665" s="2">
        <v>217988.0</v>
      </c>
    </row>
    <row r="666" ht="15.75" customHeight="1">
      <c r="A666" s="2" t="s">
        <v>2365</v>
      </c>
      <c r="B666" s="2" t="s">
        <v>2366</v>
      </c>
      <c r="C666" s="2" t="s">
        <v>979</v>
      </c>
      <c r="D666" s="2">
        <v>7.0</v>
      </c>
      <c r="E666" s="2">
        <v>598.0</v>
      </c>
      <c r="F666" s="2">
        <v>836.0</v>
      </c>
      <c r="G666" s="2">
        <v>120000.0</v>
      </c>
    </row>
    <row r="667" ht="15.75" customHeight="1">
      <c r="A667" s="2" t="s">
        <v>2369</v>
      </c>
      <c r="B667" s="2" t="s">
        <v>2370</v>
      </c>
      <c r="C667" s="2" t="s">
        <v>979</v>
      </c>
      <c r="D667" s="2">
        <v>98.0</v>
      </c>
      <c r="E667" s="2">
        <v>1807.0</v>
      </c>
      <c r="F667" s="2">
        <v>1832.0</v>
      </c>
      <c r="G667" s="2">
        <v>151000.0</v>
      </c>
    </row>
    <row r="668" ht="15.75" customHeight="1">
      <c r="A668" s="2" t="s">
        <v>2371</v>
      </c>
      <c r="B668" s="2" t="s">
        <v>2372</v>
      </c>
      <c r="C668" s="2" t="s">
        <v>979</v>
      </c>
      <c r="D668" s="2">
        <v>17.0</v>
      </c>
      <c r="E668" s="2">
        <v>736.0</v>
      </c>
      <c r="F668" s="2">
        <v>838.0</v>
      </c>
      <c r="G668" s="2">
        <v>80000.0</v>
      </c>
    </row>
    <row r="669" ht="15.75" customHeight="1">
      <c r="A669" s="2" t="s">
        <v>2375</v>
      </c>
      <c r="B669" s="2" t="s">
        <v>2376</v>
      </c>
      <c r="C669" s="2" t="s">
        <v>979</v>
      </c>
      <c r="D669" s="2">
        <v>8.0</v>
      </c>
      <c r="E669" s="2">
        <v>1555.0</v>
      </c>
      <c r="F669" s="2">
        <v>1771.0</v>
      </c>
      <c r="G669" s="2">
        <v>203500.0</v>
      </c>
    </row>
    <row r="670" ht="15.75" customHeight="1">
      <c r="A670" s="2" t="s">
        <v>2379</v>
      </c>
      <c r="B670" s="2" t="s">
        <v>2380</v>
      </c>
      <c r="C670" s="2" t="s">
        <v>979</v>
      </c>
      <c r="D670" s="2">
        <v>7.0</v>
      </c>
      <c r="E670" s="2">
        <v>1194.0</v>
      </c>
      <c r="F670" s="2">
        <v>1093.0</v>
      </c>
      <c r="G670" s="2">
        <v>120000.0</v>
      </c>
    </row>
    <row r="671" ht="15.75" customHeight="1">
      <c r="A671" s="2" t="s">
        <v>2383</v>
      </c>
      <c r="B671" s="2" t="s">
        <v>2384</v>
      </c>
      <c r="C671" s="2" t="s">
        <v>979</v>
      </c>
      <c r="D671" s="2">
        <v>5.0</v>
      </c>
      <c r="E671" s="2">
        <v>1838.0</v>
      </c>
      <c r="F671" s="2">
        <v>2086.0</v>
      </c>
      <c r="G671" s="2">
        <v>191500.0</v>
      </c>
    </row>
    <row r="672" ht="15.75" customHeight="1">
      <c r="A672" s="2" t="s">
        <v>2387</v>
      </c>
      <c r="B672" s="2" t="s">
        <v>2388</v>
      </c>
      <c r="C672" s="2" t="s">
        <v>979</v>
      </c>
      <c r="D672" s="2">
        <v>6.0</v>
      </c>
      <c r="E672" s="2">
        <v>2045.0</v>
      </c>
      <c r="F672" s="2">
        <v>1936.0</v>
      </c>
      <c r="G672" s="2">
        <v>347250.0</v>
      </c>
    </row>
    <row r="673" ht="15.75" customHeight="1">
      <c r="A673" s="2" t="s">
        <v>2391</v>
      </c>
      <c r="B673" s="2" t="s">
        <v>2392</v>
      </c>
      <c r="C673" s="2" t="s">
        <v>979</v>
      </c>
      <c r="D673" s="2">
        <v>38.0</v>
      </c>
      <c r="E673" s="2">
        <v>1905.0</v>
      </c>
      <c r="F673" s="2">
        <v>1889.0</v>
      </c>
      <c r="G673" s="2">
        <v>165733.0</v>
      </c>
    </row>
    <row r="674" ht="15.75" customHeight="1">
      <c r="A674" s="2" t="s">
        <v>2393</v>
      </c>
      <c r="B674" s="2" t="s">
        <v>2394</v>
      </c>
      <c r="C674" s="2" t="s">
        <v>979</v>
      </c>
      <c r="D674" s="2">
        <v>12.0</v>
      </c>
      <c r="E674" s="2">
        <v>1745.0</v>
      </c>
      <c r="F674" s="2">
        <v>2485.0</v>
      </c>
      <c r="G674" s="2">
        <v>319262.0</v>
      </c>
    </row>
    <row r="675" ht="15.75" customHeight="1">
      <c r="A675" s="2" t="s">
        <v>2395</v>
      </c>
      <c r="B675" s="2" t="s">
        <v>2396</v>
      </c>
      <c r="C675" s="2" t="s">
        <v>979</v>
      </c>
      <c r="D675" s="2">
        <v>62.0</v>
      </c>
      <c r="E675" s="2">
        <v>2623.0</v>
      </c>
      <c r="F675" s="2">
        <v>2697.0</v>
      </c>
      <c r="G675" s="2">
        <v>257450.0</v>
      </c>
    </row>
    <row r="676" ht="15.75" customHeight="1">
      <c r="A676" s="2" t="s">
        <v>2399</v>
      </c>
      <c r="B676" s="2" t="s">
        <v>2400</v>
      </c>
      <c r="C676" s="2" t="s">
        <v>979</v>
      </c>
      <c r="D676" s="2">
        <v>13.0</v>
      </c>
      <c r="E676" s="2">
        <v>880.0</v>
      </c>
      <c r="F676" s="2">
        <v>917.0</v>
      </c>
      <c r="G676" s="2">
        <v>70000.0</v>
      </c>
    </row>
    <row r="677" ht="15.75" customHeight="1">
      <c r="A677" s="2" t="s">
        <v>2403</v>
      </c>
      <c r="B677" s="2" t="s">
        <v>2404</v>
      </c>
      <c r="C677" s="2" t="s">
        <v>979</v>
      </c>
      <c r="D677" s="2">
        <v>6.0</v>
      </c>
      <c r="E677" s="2">
        <v>2302.0</v>
      </c>
      <c r="F677" s="2">
        <v>2131.0</v>
      </c>
      <c r="G677" s="2">
        <v>253250.0</v>
      </c>
    </row>
    <row r="678" ht="15.75" customHeight="1">
      <c r="A678" s="2" t="s">
        <v>2407</v>
      </c>
      <c r="B678" s="2" t="s">
        <v>2408</v>
      </c>
      <c r="C678" s="2" t="s">
        <v>979</v>
      </c>
      <c r="D678" s="2">
        <v>21.0</v>
      </c>
      <c r="E678" s="2">
        <v>1874.0</v>
      </c>
      <c r="F678" s="2">
        <v>1728.0</v>
      </c>
      <c r="G678" s="2">
        <v>139000.0</v>
      </c>
    </row>
    <row r="679" ht="15.75" customHeight="1">
      <c r="A679" s="2" t="s">
        <v>2409</v>
      </c>
      <c r="B679" s="2" t="s">
        <v>2410</v>
      </c>
      <c r="C679" s="2" t="s">
        <v>979</v>
      </c>
      <c r="D679" s="2">
        <v>25.0</v>
      </c>
      <c r="E679" s="2">
        <v>1288.0</v>
      </c>
      <c r="F679" s="2">
        <v>1399.0</v>
      </c>
      <c r="G679" s="2">
        <v>134000.0</v>
      </c>
    </row>
    <row r="680" ht="15.75" customHeight="1">
      <c r="A680" s="2" t="s">
        <v>2411</v>
      </c>
      <c r="B680" s="2" t="s">
        <v>2412</v>
      </c>
      <c r="C680" s="2" t="s">
        <v>979</v>
      </c>
      <c r="D680" s="2">
        <v>18.0</v>
      </c>
      <c r="E680" s="2">
        <v>1874.0</v>
      </c>
      <c r="F680" s="2">
        <v>1962.0</v>
      </c>
      <c r="G680" s="2">
        <v>269000.0</v>
      </c>
    </row>
    <row r="681" ht="15.75" customHeight="1">
      <c r="A681" s="2" t="s">
        <v>2413</v>
      </c>
      <c r="B681" s="2" t="s">
        <v>2414</v>
      </c>
      <c r="C681" s="2" t="s">
        <v>979</v>
      </c>
      <c r="D681" s="2">
        <v>120.0</v>
      </c>
      <c r="E681" s="2">
        <v>2214.0</v>
      </c>
      <c r="F681" s="2">
        <v>2274.0</v>
      </c>
      <c r="G681" s="2">
        <v>200000.0</v>
      </c>
    </row>
    <row r="682" ht="15.75" customHeight="1">
      <c r="A682" s="2" t="s">
        <v>2416</v>
      </c>
      <c r="B682" s="2" t="s">
        <v>2417</v>
      </c>
      <c r="C682" s="2" t="s">
        <v>979</v>
      </c>
      <c r="D682" s="2">
        <v>7.0</v>
      </c>
      <c r="E682" s="2">
        <v>1536.0</v>
      </c>
      <c r="F682" s="2">
        <v>1836.0</v>
      </c>
      <c r="G682" s="2">
        <v>323000.0</v>
      </c>
    </row>
    <row r="683" ht="15.75" customHeight="1">
      <c r="A683" s="2" t="s">
        <v>2419</v>
      </c>
      <c r="B683" s="2" t="s">
        <v>2421</v>
      </c>
      <c r="C683" s="2" t="s">
        <v>979</v>
      </c>
      <c r="D683" s="2">
        <v>49.0</v>
      </c>
      <c r="E683" s="2">
        <v>2738.0</v>
      </c>
      <c r="F683" s="2">
        <v>2601.0</v>
      </c>
      <c r="G683" s="2">
        <v>203500.0</v>
      </c>
    </row>
    <row r="684" ht="15.75" customHeight="1">
      <c r="A684" s="2" t="s">
        <v>2423</v>
      </c>
      <c r="B684" s="2" t="s">
        <v>2424</v>
      </c>
      <c r="C684" s="2" t="s">
        <v>979</v>
      </c>
      <c r="D684" s="2">
        <v>157.0</v>
      </c>
      <c r="E684" s="2">
        <v>1316.0</v>
      </c>
      <c r="F684" s="2">
        <v>1266.0</v>
      </c>
      <c r="G684" s="2">
        <v>109900.0</v>
      </c>
    </row>
    <row r="685" ht="15.75" customHeight="1">
      <c r="A685" s="2" t="s">
        <v>2427</v>
      </c>
      <c r="B685" s="2" t="s">
        <v>2428</v>
      </c>
      <c r="C685" s="2" t="s">
        <v>979</v>
      </c>
      <c r="D685" s="2">
        <v>8.0</v>
      </c>
      <c r="E685" s="2">
        <v>1617.0</v>
      </c>
      <c r="F685" s="2">
        <v>1830.0</v>
      </c>
      <c r="G685" s="2">
        <v>289950.0</v>
      </c>
    </row>
    <row r="686" ht="15.75" customHeight="1">
      <c r="A686" s="2" t="s">
        <v>2431</v>
      </c>
      <c r="B686" s="2" t="s">
        <v>2432</v>
      </c>
      <c r="C686" s="2" t="s">
        <v>979</v>
      </c>
      <c r="D686" s="2">
        <v>65.0</v>
      </c>
      <c r="E686" s="2">
        <v>921.0</v>
      </c>
      <c r="F686" s="2">
        <v>1080.0</v>
      </c>
      <c r="G686" s="2">
        <v>85400.0</v>
      </c>
    </row>
    <row r="687" ht="15.75" customHeight="1">
      <c r="A687" s="2" t="s">
        <v>2435</v>
      </c>
      <c r="B687" s="2" t="s">
        <v>2436</v>
      </c>
      <c r="C687" s="2" t="s">
        <v>979</v>
      </c>
      <c r="D687" s="2">
        <v>25.0</v>
      </c>
      <c r="E687" s="2">
        <v>1122.0</v>
      </c>
      <c r="F687" s="2">
        <v>1203.0</v>
      </c>
      <c r="G687" s="2">
        <v>116000.0</v>
      </c>
    </row>
    <row r="688" ht="15.75" customHeight="1">
      <c r="A688" s="2" t="s">
        <v>2439</v>
      </c>
      <c r="B688" s="2" t="s">
        <v>2440</v>
      </c>
      <c r="C688" s="2" t="s">
        <v>979</v>
      </c>
      <c r="D688" s="2">
        <v>111.0</v>
      </c>
      <c r="E688" s="2">
        <v>1318.0</v>
      </c>
      <c r="F688" s="2">
        <v>1364.0</v>
      </c>
      <c r="G688" s="2">
        <v>126100.0</v>
      </c>
    </row>
    <row r="689" ht="15.75" customHeight="1">
      <c r="A689" s="2" t="s">
        <v>2442</v>
      </c>
      <c r="B689" s="2" t="s">
        <v>2444</v>
      </c>
      <c r="C689" s="2" t="s">
        <v>979</v>
      </c>
      <c r="D689" s="2">
        <v>12.0</v>
      </c>
      <c r="E689" s="2">
        <v>2242.0</v>
      </c>
      <c r="F689" s="2">
        <v>2111.0</v>
      </c>
      <c r="G689" s="2">
        <v>234000.0</v>
      </c>
    </row>
    <row r="690" ht="15.75" customHeight="1">
      <c r="A690" s="2" t="s">
        <v>2445</v>
      </c>
      <c r="B690" s="2" t="s">
        <v>2446</v>
      </c>
      <c r="C690" s="2" t="s">
        <v>979</v>
      </c>
      <c r="D690" s="2">
        <v>10.0</v>
      </c>
      <c r="E690" s="2">
        <v>1871.0</v>
      </c>
      <c r="F690" s="2">
        <v>1807.0</v>
      </c>
      <c r="G690" s="2">
        <v>177350.0</v>
      </c>
    </row>
    <row r="691" ht="15.75" customHeight="1">
      <c r="A691" s="2" t="s">
        <v>2448</v>
      </c>
      <c r="B691" s="2" t="s">
        <v>2450</v>
      </c>
      <c r="C691" s="2" t="s">
        <v>979</v>
      </c>
      <c r="D691" s="2">
        <v>18.0</v>
      </c>
      <c r="E691" s="2">
        <v>1301.0</v>
      </c>
      <c r="F691" s="2">
        <v>1386.0</v>
      </c>
      <c r="G691" s="2">
        <v>136000.0</v>
      </c>
    </row>
    <row r="692" ht="15.75" customHeight="1">
      <c r="A692" s="2" t="s">
        <v>2452</v>
      </c>
      <c r="B692" s="2" t="s">
        <v>2453</v>
      </c>
      <c r="C692" s="2" t="s">
        <v>979</v>
      </c>
      <c r="D692" s="2">
        <v>16.0</v>
      </c>
      <c r="E692" s="2">
        <v>1720.0</v>
      </c>
      <c r="F692" s="2">
        <v>1778.0</v>
      </c>
      <c r="G692" s="2">
        <v>196000.0</v>
      </c>
    </row>
    <row r="693" ht="15.75" customHeight="1">
      <c r="A693" s="2" t="s">
        <v>2456</v>
      </c>
      <c r="B693" s="2" t="s">
        <v>2458</v>
      </c>
      <c r="C693" s="2" t="s">
        <v>979</v>
      </c>
      <c r="D693" s="2">
        <v>49.0</v>
      </c>
      <c r="E693" s="2">
        <v>1670.0</v>
      </c>
      <c r="F693" s="2">
        <v>1868.0</v>
      </c>
      <c r="G693" s="2">
        <v>195000.0</v>
      </c>
    </row>
    <row r="694" ht="15.75" customHeight="1">
      <c r="A694" s="2" t="s">
        <v>2459</v>
      </c>
      <c r="B694" s="2" t="s">
        <v>2460</v>
      </c>
      <c r="C694" s="2" t="s">
        <v>979</v>
      </c>
      <c r="D694" s="2">
        <v>35.0</v>
      </c>
      <c r="E694" s="2">
        <v>1634.0</v>
      </c>
      <c r="F694" s="2">
        <v>1809.0</v>
      </c>
      <c r="G694" s="2">
        <v>170000.0</v>
      </c>
    </row>
    <row r="695" ht="15.75" customHeight="1">
      <c r="A695" s="2" t="s">
        <v>2461</v>
      </c>
      <c r="B695" s="2" t="s">
        <v>2462</v>
      </c>
      <c r="C695" s="2" t="s">
        <v>979</v>
      </c>
      <c r="D695" s="2">
        <v>10.0</v>
      </c>
      <c r="E695" s="2">
        <v>2613.0</v>
      </c>
      <c r="F695" s="2">
        <v>2400.0</v>
      </c>
      <c r="G695" s="2">
        <v>207500.0</v>
      </c>
    </row>
    <row r="696" ht="15.75" customHeight="1">
      <c r="A696" s="2" t="s">
        <v>2465</v>
      </c>
      <c r="B696" s="2" t="s">
        <v>2466</v>
      </c>
      <c r="C696" s="2" t="s">
        <v>979</v>
      </c>
      <c r="D696" s="2">
        <v>5.0</v>
      </c>
      <c r="E696" s="2">
        <v>917.0</v>
      </c>
      <c r="F696" s="2">
        <v>1116.0</v>
      </c>
      <c r="G696" s="2">
        <v>169194.0</v>
      </c>
    </row>
    <row r="697" ht="15.75" customHeight="1">
      <c r="A697" s="2" t="s">
        <v>2469</v>
      </c>
      <c r="B697" s="2" t="s">
        <v>2470</v>
      </c>
      <c r="C697" s="2" t="s">
        <v>979</v>
      </c>
      <c r="D697" s="2">
        <v>5.0</v>
      </c>
      <c r="E697" s="2">
        <v>1217.0</v>
      </c>
      <c r="F697" s="2">
        <v>1174.0</v>
      </c>
      <c r="G697" s="2">
        <v>140000.0</v>
      </c>
    </row>
    <row r="698" ht="15.75" customHeight="1">
      <c r="A698" s="2" t="s">
        <v>2471</v>
      </c>
      <c r="B698" s="2" t="s">
        <v>2472</v>
      </c>
      <c r="C698" s="2" t="s">
        <v>979</v>
      </c>
      <c r="D698" s="2">
        <v>15.0</v>
      </c>
      <c r="E698" s="2">
        <v>1190.0</v>
      </c>
      <c r="F698" s="2">
        <v>1260.0</v>
      </c>
      <c r="G698" s="2">
        <v>204000.0</v>
      </c>
    </row>
    <row r="699" ht="15.75" customHeight="1">
      <c r="A699" s="2" t="s">
        <v>2474</v>
      </c>
      <c r="B699" s="2" t="s">
        <v>2476</v>
      </c>
      <c r="C699" s="2" t="s">
        <v>979</v>
      </c>
      <c r="D699" s="2">
        <v>34.0</v>
      </c>
      <c r="E699" s="2">
        <v>2826.0</v>
      </c>
      <c r="F699" s="2">
        <v>2602.0</v>
      </c>
      <c r="G699" s="2">
        <v>232500.0</v>
      </c>
    </row>
    <row r="700" ht="15.75" customHeight="1">
      <c r="A700" s="2" t="s">
        <v>2479</v>
      </c>
      <c r="B700" s="2" t="s">
        <v>2480</v>
      </c>
      <c r="C700" s="2" t="s">
        <v>979</v>
      </c>
      <c r="D700" s="2">
        <v>84.0</v>
      </c>
      <c r="E700" s="2">
        <v>2709.0</v>
      </c>
      <c r="F700" s="2">
        <v>2666.0</v>
      </c>
      <c r="G700" s="2">
        <v>250000.0</v>
      </c>
    </row>
    <row r="701" ht="15.75" customHeight="1">
      <c r="A701" s="2" t="s">
        <v>2481</v>
      </c>
      <c r="B701" s="2" t="s">
        <v>2482</v>
      </c>
      <c r="C701" s="2" t="s">
        <v>979</v>
      </c>
      <c r="D701" s="2">
        <v>24.0</v>
      </c>
      <c r="E701" s="2">
        <v>1239.0</v>
      </c>
      <c r="F701" s="2">
        <v>1318.0</v>
      </c>
      <c r="G701" s="2">
        <v>126990.0</v>
      </c>
    </row>
    <row r="702" ht="15.75" customHeight="1">
      <c r="A702" s="2" t="s">
        <v>2483</v>
      </c>
      <c r="B702" s="2" t="s">
        <v>2484</v>
      </c>
      <c r="C702" s="2" t="s">
        <v>979</v>
      </c>
      <c r="D702" s="2">
        <v>50.0</v>
      </c>
      <c r="E702" s="2">
        <v>2165.0</v>
      </c>
      <c r="F702" s="2">
        <v>2141.0</v>
      </c>
      <c r="G702" s="2">
        <v>195150.0</v>
      </c>
    </row>
    <row r="703" ht="15.75" customHeight="1">
      <c r="A703" s="2" t="s">
        <v>2487</v>
      </c>
      <c r="B703" s="2" t="s">
        <v>2488</v>
      </c>
      <c r="C703" s="2" t="s">
        <v>979</v>
      </c>
      <c r="D703" s="2">
        <v>14.0</v>
      </c>
      <c r="E703" s="2">
        <v>1692.0</v>
      </c>
      <c r="F703" s="2">
        <v>1684.0</v>
      </c>
      <c r="G703" s="2">
        <v>195750.0</v>
      </c>
    </row>
    <row r="704" ht="15.75" customHeight="1">
      <c r="A704" s="2" t="s">
        <v>2491</v>
      </c>
      <c r="B704" s="2" t="s">
        <v>2492</v>
      </c>
      <c r="C704" s="2" t="s">
        <v>979</v>
      </c>
      <c r="D704" s="2">
        <v>7.0</v>
      </c>
      <c r="E704" s="2">
        <v>1315.0</v>
      </c>
      <c r="F704" s="2">
        <v>1553.0</v>
      </c>
      <c r="G704" s="2">
        <v>159400.0</v>
      </c>
    </row>
    <row r="705" ht="15.75" customHeight="1">
      <c r="A705" s="2" t="s">
        <v>2493</v>
      </c>
      <c r="B705" s="2" t="s">
        <v>2494</v>
      </c>
      <c r="C705" s="2" t="s">
        <v>979</v>
      </c>
      <c r="D705" s="2">
        <v>9.0</v>
      </c>
      <c r="E705" s="2">
        <v>1229.0</v>
      </c>
      <c r="F705" s="2">
        <v>1195.0</v>
      </c>
      <c r="G705" s="2">
        <v>225900.0</v>
      </c>
    </row>
    <row r="706" ht="15.75" customHeight="1">
      <c r="A706" s="2" t="s">
        <v>2495</v>
      </c>
      <c r="B706" s="2" t="s">
        <v>2496</v>
      </c>
      <c r="C706" s="2" t="s">
        <v>979</v>
      </c>
      <c r="D706" s="2">
        <v>36.0</v>
      </c>
      <c r="E706" s="2">
        <v>2760.0</v>
      </c>
      <c r="F706" s="2">
        <v>2608.0</v>
      </c>
      <c r="G706" s="2">
        <v>259500.0</v>
      </c>
    </row>
    <row r="707" ht="15.75" customHeight="1">
      <c r="A707" s="2" t="s">
        <v>2499</v>
      </c>
      <c r="B707" s="2" t="s">
        <v>2500</v>
      </c>
      <c r="C707" s="2" t="s">
        <v>979</v>
      </c>
      <c r="D707" s="2">
        <v>1092.0</v>
      </c>
      <c r="E707" s="2">
        <v>1724.0</v>
      </c>
      <c r="F707" s="2">
        <v>1809.0</v>
      </c>
      <c r="G707" s="2">
        <v>133005.0</v>
      </c>
    </row>
    <row r="708" ht="15.75" customHeight="1">
      <c r="A708" s="2" t="s">
        <v>2501</v>
      </c>
      <c r="B708" s="2" t="s">
        <v>2502</v>
      </c>
      <c r="C708" s="2" t="s">
        <v>979</v>
      </c>
      <c r="D708" s="2">
        <v>5.0</v>
      </c>
      <c r="E708" s="2">
        <v>1846.0</v>
      </c>
      <c r="F708" s="2">
        <v>1899.0</v>
      </c>
      <c r="G708" s="2">
        <v>238000.0</v>
      </c>
    </row>
    <row r="709" ht="15.75" customHeight="1">
      <c r="A709" s="2" t="s">
        <v>2505</v>
      </c>
      <c r="B709" s="2" t="s">
        <v>2506</v>
      </c>
      <c r="C709" s="2" t="s">
        <v>979</v>
      </c>
      <c r="D709" s="2">
        <v>13.0</v>
      </c>
      <c r="E709" s="2">
        <v>3101.0</v>
      </c>
      <c r="F709" s="2">
        <v>3152.0</v>
      </c>
      <c r="G709" s="2">
        <v>295000.0</v>
      </c>
    </row>
    <row r="710" ht="15.75" customHeight="1">
      <c r="A710" s="2" t="s">
        <v>2509</v>
      </c>
      <c r="B710" s="2" t="s">
        <v>2510</v>
      </c>
      <c r="C710" s="2" t="s">
        <v>979</v>
      </c>
      <c r="D710" s="2">
        <v>78.0</v>
      </c>
      <c r="E710" s="2">
        <v>1253.0</v>
      </c>
      <c r="F710" s="2">
        <v>1324.0</v>
      </c>
      <c r="G710" s="2">
        <v>108500.0</v>
      </c>
    </row>
    <row r="711" ht="15.75" customHeight="1">
      <c r="A711" s="2" t="s">
        <v>2513</v>
      </c>
      <c r="B711" s="2" t="s">
        <v>2514</v>
      </c>
      <c r="C711" s="2" t="s">
        <v>979</v>
      </c>
      <c r="D711" s="2">
        <v>9.0</v>
      </c>
      <c r="E711" s="2">
        <v>926.0</v>
      </c>
      <c r="F711" s="2">
        <v>1044.0</v>
      </c>
      <c r="G711" s="2">
        <v>130000.0</v>
      </c>
    </row>
    <row r="712" ht="15.75" customHeight="1">
      <c r="A712" s="2" t="s">
        <v>2515</v>
      </c>
      <c r="B712" s="2" t="s">
        <v>2516</v>
      </c>
      <c r="C712" s="2" t="s">
        <v>979</v>
      </c>
      <c r="D712" s="2">
        <v>26.0</v>
      </c>
      <c r="E712" s="2">
        <v>835.0</v>
      </c>
      <c r="F712" s="2">
        <v>920.0</v>
      </c>
      <c r="G712" s="2">
        <v>80450.0</v>
      </c>
    </row>
    <row r="713" ht="15.75" customHeight="1">
      <c r="A713" s="2" t="s">
        <v>2519</v>
      </c>
      <c r="B713" s="2" t="s">
        <v>2520</v>
      </c>
      <c r="C713" s="2" t="s">
        <v>979</v>
      </c>
      <c r="D713" s="2">
        <v>81.0</v>
      </c>
      <c r="E713" s="2">
        <v>2466.0</v>
      </c>
      <c r="F713" s="2">
        <v>2371.0</v>
      </c>
      <c r="G713" s="2">
        <v>253000.0</v>
      </c>
    </row>
    <row r="714" ht="15.75" customHeight="1">
      <c r="A714" s="2" t="s">
        <v>2521</v>
      </c>
      <c r="B714" s="2" t="s">
        <v>2523</v>
      </c>
      <c r="C714" s="2" t="s">
        <v>979</v>
      </c>
      <c r="D714" s="2">
        <v>17.0</v>
      </c>
      <c r="E714" s="2">
        <v>2360.0</v>
      </c>
      <c r="F714" s="2">
        <v>2303.0</v>
      </c>
      <c r="G714" s="2">
        <v>228000.0</v>
      </c>
    </row>
    <row r="715" ht="15.75" customHeight="1">
      <c r="A715" s="2" t="s">
        <v>2525</v>
      </c>
      <c r="B715" s="2" t="s">
        <v>2526</v>
      </c>
      <c r="C715" s="2" t="s">
        <v>979</v>
      </c>
      <c r="D715" s="2">
        <v>549.0</v>
      </c>
      <c r="E715" s="2">
        <v>1761.0</v>
      </c>
      <c r="F715" s="2">
        <v>1779.0</v>
      </c>
      <c r="G715" s="2">
        <v>120000.0</v>
      </c>
    </row>
    <row r="716" ht="15.75" customHeight="1">
      <c r="A716" s="2" t="s">
        <v>2527</v>
      </c>
      <c r="B716" s="2" t="s">
        <v>2528</v>
      </c>
      <c r="C716" s="2" t="s">
        <v>979</v>
      </c>
      <c r="D716" s="2">
        <v>10.0</v>
      </c>
      <c r="E716" s="2">
        <v>1925.0</v>
      </c>
      <c r="F716" s="2">
        <v>1982.0</v>
      </c>
      <c r="G716" s="2">
        <v>220550.0</v>
      </c>
    </row>
    <row r="717" ht="15.75" customHeight="1">
      <c r="A717" s="2" t="s">
        <v>2531</v>
      </c>
      <c r="B717" s="2" t="s">
        <v>2532</v>
      </c>
      <c r="C717" s="2" t="s">
        <v>979</v>
      </c>
      <c r="D717" s="2">
        <v>19.0</v>
      </c>
      <c r="E717" s="2">
        <v>3126.0</v>
      </c>
      <c r="F717" s="2">
        <v>2788.0</v>
      </c>
      <c r="G717" s="2">
        <v>270000.0</v>
      </c>
    </row>
    <row r="718" ht="15.75" customHeight="1">
      <c r="A718" s="2" t="s">
        <v>2535</v>
      </c>
      <c r="B718" s="2" t="s">
        <v>2536</v>
      </c>
      <c r="C718" s="2" t="s">
        <v>979</v>
      </c>
      <c r="D718" s="2">
        <v>10.0</v>
      </c>
      <c r="E718" s="2">
        <v>1355.0</v>
      </c>
      <c r="F718" s="2">
        <v>1298.0</v>
      </c>
      <c r="G718" s="2">
        <v>166500.0</v>
      </c>
    </row>
    <row r="719" ht="15.75" customHeight="1">
      <c r="A719" s="2" t="s">
        <v>2539</v>
      </c>
      <c r="B719" s="2" t="s">
        <v>2540</v>
      </c>
      <c r="C719" s="2" t="s">
        <v>979</v>
      </c>
      <c r="D719" s="2">
        <v>24.0</v>
      </c>
      <c r="E719" s="2">
        <v>2982.0</v>
      </c>
      <c r="F719" s="2">
        <v>2864.0</v>
      </c>
      <c r="G719" s="2">
        <v>329160.0</v>
      </c>
    </row>
    <row r="720" ht="15.75" customHeight="1">
      <c r="A720" s="2" t="s">
        <v>2541</v>
      </c>
      <c r="B720" s="2" t="s">
        <v>2542</v>
      </c>
      <c r="C720" s="2" t="s">
        <v>979</v>
      </c>
      <c r="D720" s="2">
        <v>6.0</v>
      </c>
      <c r="E720" s="2">
        <v>977.0</v>
      </c>
      <c r="F720" s="2">
        <v>1050.0</v>
      </c>
      <c r="G720" s="2">
        <v>120750.0</v>
      </c>
    </row>
    <row r="721" ht="15.75" customHeight="1">
      <c r="A721" s="2" t="s">
        <v>2544</v>
      </c>
      <c r="B721" s="2" t="s">
        <v>2546</v>
      </c>
      <c r="C721" s="2" t="s">
        <v>979</v>
      </c>
      <c r="D721" s="2">
        <v>16.0</v>
      </c>
      <c r="E721" s="2">
        <v>1310.0</v>
      </c>
      <c r="F721" s="2">
        <v>1349.0</v>
      </c>
      <c r="G721" s="2">
        <v>164450.0</v>
      </c>
    </row>
    <row r="722" ht="15.75" customHeight="1">
      <c r="A722" s="2" t="s">
        <v>2548</v>
      </c>
      <c r="B722" s="2" t="s">
        <v>2550</v>
      </c>
      <c r="C722" s="2" t="s">
        <v>979</v>
      </c>
      <c r="D722" s="2">
        <v>21.0</v>
      </c>
      <c r="E722" s="2">
        <v>786.0</v>
      </c>
      <c r="F722" s="2">
        <v>914.0</v>
      </c>
      <c r="G722" s="2">
        <v>76000.0</v>
      </c>
    </row>
    <row r="723" ht="15.75" customHeight="1">
      <c r="A723" s="2" t="s">
        <v>2552</v>
      </c>
      <c r="B723" s="2" t="s">
        <v>2553</v>
      </c>
      <c r="C723" s="2" t="s">
        <v>979</v>
      </c>
      <c r="D723" s="2">
        <v>19.0</v>
      </c>
      <c r="E723" s="2">
        <v>1416.0</v>
      </c>
      <c r="F723" s="2">
        <v>1598.0</v>
      </c>
      <c r="G723" s="2">
        <v>206250.0</v>
      </c>
    </row>
    <row r="724" ht="15.75" customHeight="1">
      <c r="A724" s="2" t="s">
        <v>2555</v>
      </c>
      <c r="B724" s="2" t="s">
        <v>2556</v>
      </c>
      <c r="C724" s="2" t="s">
        <v>979</v>
      </c>
      <c r="D724" s="2">
        <v>70.0</v>
      </c>
      <c r="E724" s="2">
        <v>1198.0</v>
      </c>
      <c r="F724" s="2">
        <v>1242.0</v>
      </c>
      <c r="G724" s="2">
        <v>130000.0</v>
      </c>
    </row>
    <row r="725" ht="15.75" customHeight="1">
      <c r="A725" s="2" t="s">
        <v>2559</v>
      </c>
      <c r="B725" s="2" t="s">
        <v>2560</v>
      </c>
      <c r="C725" s="2" t="s">
        <v>979</v>
      </c>
      <c r="D725" s="2">
        <v>6.0</v>
      </c>
      <c r="E725" s="2">
        <v>1004.0</v>
      </c>
      <c r="F725" s="2">
        <v>1047.0</v>
      </c>
      <c r="G725" s="2">
        <v>232250.0</v>
      </c>
    </row>
    <row r="726" ht="15.75" customHeight="1">
      <c r="A726" s="2" t="s">
        <v>2563</v>
      </c>
      <c r="B726" s="2" t="s">
        <v>2564</v>
      </c>
      <c r="C726" s="2" t="s">
        <v>979</v>
      </c>
      <c r="D726" s="2">
        <v>5.0</v>
      </c>
      <c r="E726" s="2">
        <v>1316.0</v>
      </c>
      <c r="F726" s="2">
        <v>1292.0</v>
      </c>
      <c r="G726" s="2">
        <v>100000.0</v>
      </c>
    </row>
    <row r="727" ht="15.75" customHeight="1">
      <c r="A727" s="2" t="s">
        <v>2567</v>
      </c>
      <c r="B727" s="2" t="s">
        <v>2568</v>
      </c>
      <c r="C727" s="2" t="s">
        <v>979</v>
      </c>
      <c r="D727" s="2">
        <v>568.0</v>
      </c>
      <c r="E727" s="2">
        <v>2787.0</v>
      </c>
      <c r="F727" s="2">
        <v>2854.0</v>
      </c>
      <c r="G727" s="2">
        <v>233000.0</v>
      </c>
    </row>
    <row r="728" ht="15.75" customHeight="1">
      <c r="A728" s="2" t="s">
        <v>2570</v>
      </c>
      <c r="B728" s="2" t="s">
        <v>2572</v>
      </c>
      <c r="C728" s="2" t="s">
        <v>979</v>
      </c>
      <c r="D728" s="2">
        <v>8.0</v>
      </c>
      <c r="E728" s="2">
        <v>834.0</v>
      </c>
      <c r="F728" s="2">
        <v>908.0</v>
      </c>
      <c r="G728" s="2">
        <v>117500.0</v>
      </c>
    </row>
    <row r="729" ht="15.75" customHeight="1">
      <c r="A729" s="2" t="s">
        <v>2574</v>
      </c>
      <c r="B729" s="2" t="s">
        <v>2576</v>
      </c>
      <c r="C729" s="2" t="s">
        <v>979</v>
      </c>
      <c r="D729" s="2">
        <v>22.0</v>
      </c>
      <c r="E729" s="2">
        <v>824.0</v>
      </c>
      <c r="F729" s="2">
        <v>871.0</v>
      </c>
      <c r="G729" s="2">
        <v>113925.0</v>
      </c>
    </row>
    <row r="730" ht="15.75" customHeight="1">
      <c r="A730" s="2" t="s">
        <v>2578</v>
      </c>
      <c r="B730" s="2" t="s">
        <v>2580</v>
      </c>
      <c r="C730" s="2" t="s">
        <v>979</v>
      </c>
      <c r="D730" s="2">
        <v>5.0</v>
      </c>
      <c r="E730" s="2">
        <v>692.0</v>
      </c>
      <c r="F730" s="2">
        <v>731.0</v>
      </c>
      <c r="G730" s="2">
        <v>58333.0</v>
      </c>
    </row>
    <row r="731" ht="15.75" customHeight="1">
      <c r="A731" s="2" t="s">
        <v>2581</v>
      </c>
      <c r="B731" s="2" t="s">
        <v>2582</v>
      </c>
      <c r="C731" s="2" t="s">
        <v>979</v>
      </c>
      <c r="D731" s="2">
        <v>21.0</v>
      </c>
      <c r="E731" s="2">
        <v>1427.0</v>
      </c>
      <c r="F731" s="2">
        <v>1535.0</v>
      </c>
      <c r="G731" s="2">
        <v>172830.0</v>
      </c>
    </row>
    <row r="732" ht="15.75" customHeight="1">
      <c r="A732" s="2" t="s">
        <v>2585</v>
      </c>
      <c r="B732" s="2" t="s">
        <v>2586</v>
      </c>
      <c r="C732" s="2" t="s">
        <v>979</v>
      </c>
      <c r="D732" s="2">
        <v>6.0</v>
      </c>
      <c r="E732" s="2">
        <v>992.0</v>
      </c>
      <c r="F732" s="2">
        <v>1185.0</v>
      </c>
      <c r="G732" s="2">
        <v>147500.0</v>
      </c>
    </row>
    <row r="733" ht="15.75" customHeight="1">
      <c r="A733" s="2" t="s">
        <v>2587</v>
      </c>
      <c r="B733" s="2" t="s">
        <v>2588</v>
      </c>
      <c r="C733" s="2" t="s">
        <v>979</v>
      </c>
      <c r="D733" s="2">
        <v>13.0</v>
      </c>
      <c r="E733" s="2">
        <v>1506.0</v>
      </c>
      <c r="F733" s="2">
        <v>1550.0</v>
      </c>
      <c r="G733" s="2">
        <v>125000.0</v>
      </c>
    </row>
    <row r="734" ht="15.75" customHeight="1">
      <c r="A734" s="2" t="s">
        <v>2591</v>
      </c>
      <c r="B734" s="2" t="s">
        <v>2592</v>
      </c>
      <c r="C734" s="2" t="s">
        <v>979</v>
      </c>
      <c r="D734" s="2">
        <v>9.0</v>
      </c>
      <c r="E734" s="2">
        <v>969.0</v>
      </c>
      <c r="F734" s="2">
        <v>920.0</v>
      </c>
      <c r="G734" s="2">
        <v>140000.0</v>
      </c>
    </row>
    <row r="735" ht="15.75" customHeight="1">
      <c r="A735" s="2" t="s">
        <v>2597</v>
      </c>
      <c r="B735" s="2" t="s">
        <v>2598</v>
      </c>
      <c r="C735" s="2" t="s">
        <v>979</v>
      </c>
      <c r="D735" s="2">
        <v>20.0</v>
      </c>
      <c r="E735" s="2">
        <v>1779.0</v>
      </c>
      <c r="F735" s="2">
        <v>1782.0</v>
      </c>
      <c r="G735" s="2">
        <v>168500.0</v>
      </c>
    </row>
    <row r="736" ht="15.75" customHeight="1">
      <c r="A736" s="2" t="s">
        <v>2600</v>
      </c>
      <c r="B736" s="2" t="s">
        <v>2601</v>
      </c>
      <c r="C736" s="2" t="s">
        <v>979</v>
      </c>
      <c r="D736" s="2">
        <v>25.0</v>
      </c>
      <c r="E736" s="2">
        <v>2132.0</v>
      </c>
      <c r="F736" s="2">
        <v>1860.0</v>
      </c>
      <c r="G736" s="2">
        <v>171400.0</v>
      </c>
    </row>
    <row r="737" ht="15.75" customHeight="1">
      <c r="A737" s="2" t="s">
        <v>2603</v>
      </c>
      <c r="B737" s="2" t="s">
        <v>2604</v>
      </c>
      <c r="C737" s="2" t="s">
        <v>979</v>
      </c>
      <c r="D737" s="2">
        <v>22.0</v>
      </c>
      <c r="E737" s="2">
        <v>916.0</v>
      </c>
      <c r="F737" s="2">
        <v>955.0</v>
      </c>
      <c r="G737" s="2">
        <v>90300.0</v>
      </c>
    </row>
    <row r="738" ht="15.75" customHeight="1">
      <c r="A738" s="2" t="s">
        <v>2605</v>
      </c>
      <c r="B738" s="2" t="s">
        <v>2606</v>
      </c>
      <c r="C738" s="2" t="s">
        <v>979</v>
      </c>
      <c r="D738" s="2">
        <v>40.0</v>
      </c>
      <c r="E738" s="2">
        <v>1476.0</v>
      </c>
      <c r="F738" s="2">
        <v>1468.0</v>
      </c>
      <c r="G738" s="2">
        <v>141370.0</v>
      </c>
    </row>
    <row r="739" ht="15.75" customHeight="1">
      <c r="A739" s="2" t="s">
        <v>2609</v>
      </c>
      <c r="B739" s="2" t="s">
        <v>2610</v>
      </c>
      <c r="C739" s="2" t="s">
        <v>979</v>
      </c>
      <c r="D739" s="2">
        <v>6.0</v>
      </c>
      <c r="E739" s="2">
        <v>1523.0</v>
      </c>
      <c r="F739" s="2">
        <v>1768.0</v>
      </c>
      <c r="G739" s="2">
        <v>205590.0</v>
      </c>
    </row>
    <row r="740" ht="15.75" customHeight="1">
      <c r="A740" s="2" t="s">
        <v>2611</v>
      </c>
      <c r="B740" s="2" t="s">
        <v>2612</v>
      </c>
      <c r="C740" s="2" t="s">
        <v>979</v>
      </c>
      <c r="D740" s="2">
        <v>7.0</v>
      </c>
      <c r="E740" s="2">
        <v>839.0</v>
      </c>
      <c r="F740" s="2">
        <v>885.0</v>
      </c>
      <c r="G740" s="2">
        <v>147000.0</v>
      </c>
    </row>
    <row r="741" ht="15.75" customHeight="1">
      <c r="A741" s="2" t="s">
        <v>2614</v>
      </c>
      <c r="B741" s="2" t="s">
        <v>2616</v>
      </c>
      <c r="C741" s="2" t="s">
        <v>979</v>
      </c>
      <c r="D741" s="2">
        <v>122.0</v>
      </c>
      <c r="E741" s="2">
        <v>3349.0</v>
      </c>
      <c r="F741" s="2">
        <v>3257.0</v>
      </c>
      <c r="G741" s="2">
        <v>278000.0</v>
      </c>
    </row>
    <row r="742" ht="15.75" customHeight="1">
      <c r="A742" s="2" t="s">
        <v>2617</v>
      </c>
      <c r="B742" s="2" t="s">
        <v>2618</v>
      </c>
      <c r="C742" s="2" t="s">
        <v>979</v>
      </c>
      <c r="D742" s="2">
        <v>17.0</v>
      </c>
      <c r="E742" s="2">
        <v>1587.0</v>
      </c>
      <c r="F742" s="2">
        <v>1671.0</v>
      </c>
      <c r="G742" s="2">
        <v>208000.0</v>
      </c>
    </row>
    <row r="743" ht="15.75" customHeight="1">
      <c r="A743" s="2" t="s">
        <v>2619</v>
      </c>
      <c r="B743" s="2" t="s">
        <v>2620</v>
      </c>
      <c r="C743" s="2" t="s">
        <v>979</v>
      </c>
      <c r="D743" s="2">
        <v>8.0</v>
      </c>
      <c r="E743" s="2">
        <v>3335.0</v>
      </c>
      <c r="F743" s="2">
        <v>3133.0</v>
      </c>
      <c r="G743" s="2">
        <v>280380.0</v>
      </c>
    </row>
    <row r="744" ht="15.75" customHeight="1">
      <c r="A744" s="2" t="s">
        <v>2621</v>
      </c>
      <c r="B744" s="2" t="s">
        <v>2622</v>
      </c>
      <c r="C744" s="2" t="s">
        <v>979</v>
      </c>
      <c r="D744" s="2">
        <v>17.0</v>
      </c>
      <c r="E744" s="2">
        <v>1687.0</v>
      </c>
      <c r="F744" s="2">
        <v>1613.0</v>
      </c>
      <c r="G744" s="2">
        <v>176250.0</v>
      </c>
    </row>
    <row r="745" ht="15.75" customHeight="1">
      <c r="A745" s="2" t="s">
        <v>2625</v>
      </c>
      <c r="B745" s="2" t="s">
        <v>2626</v>
      </c>
      <c r="C745" s="2" t="s">
        <v>979</v>
      </c>
      <c r="D745" s="2">
        <v>5.0</v>
      </c>
      <c r="E745" s="2">
        <v>1527.0</v>
      </c>
      <c r="F745" s="2">
        <v>1518.0</v>
      </c>
      <c r="G745" s="2">
        <v>168000.0</v>
      </c>
    </row>
    <row r="746" ht="15.75" customHeight="1">
      <c r="A746" s="2" t="s">
        <v>2629</v>
      </c>
      <c r="B746" s="2" t="s">
        <v>2630</v>
      </c>
      <c r="C746" s="2" t="s">
        <v>979</v>
      </c>
      <c r="D746" s="2">
        <v>23.0</v>
      </c>
      <c r="E746" s="2">
        <v>1715.0</v>
      </c>
      <c r="F746" s="2">
        <v>1640.0</v>
      </c>
      <c r="G746" s="2">
        <v>200100.0</v>
      </c>
    </row>
    <row r="747" ht="15.75" customHeight="1">
      <c r="A747" s="2" t="s">
        <v>2632</v>
      </c>
      <c r="B747" s="2" t="s">
        <v>2634</v>
      </c>
      <c r="C747" s="2" t="s">
        <v>979</v>
      </c>
      <c r="D747" s="2">
        <v>6.0</v>
      </c>
      <c r="E747" s="2">
        <v>1291.0</v>
      </c>
      <c r="F747" s="2">
        <v>1331.0</v>
      </c>
      <c r="G747" s="2">
        <v>158250.0</v>
      </c>
    </row>
    <row r="748" ht="15.75" customHeight="1">
      <c r="A748" s="2" t="s">
        <v>2636</v>
      </c>
      <c r="B748" s="2" t="s">
        <v>2637</v>
      </c>
      <c r="C748" s="2" t="s">
        <v>979</v>
      </c>
      <c r="D748" s="2">
        <v>230.0</v>
      </c>
      <c r="E748" s="2">
        <v>3214.0</v>
      </c>
      <c r="F748" s="2">
        <v>3241.0</v>
      </c>
      <c r="G748" s="2">
        <v>250000.0</v>
      </c>
    </row>
    <row r="749" ht="15.75" customHeight="1">
      <c r="A749" s="2" t="s">
        <v>2640</v>
      </c>
      <c r="B749" s="2" t="s">
        <v>2642</v>
      </c>
      <c r="C749" s="2" t="s">
        <v>979</v>
      </c>
      <c r="D749" s="2">
        <v>28.0</v>
      </c>
      <c r="E749" s="2">
        <v>1266.0</v>
      </c>
      <c r="F749" s="2">
        <v>1274.0</v>
      </c>
      <c r="G749" s="2">
        <v>126500.0</v>
      </c>
    </row>
    <row r="750" ht="15.75" customHeight="1">
      <c r="A750" s="2" t="s">
        <v>2644</v>
      </c>
      <c r="B750" s="2" t="s">
        <v>2646</v>
      </c>
      <c r="C750" s="2" t="s">
        <v>979</v>
      </c>
      <c r="D750" s="2">
        <v>149.0</v>
      </c>
      <c r="E750" s="2">
        <v>2093.0</v>
      </c>
      <c r="F750" s="2">
        <v>2144.0</v>
      </c>
      <c r="G750" s="2">
        <v>174450.0</v>
      </c>
    </row>
    <row r="751" ht="15.75" customHeight="1">
      <c r="A751" s="2" t="s">
        <v>2647</v>
      </c>
      <c r="B751" s="2" t="s">
        <v>2648</v>
      </c>
      <c r="C751" s="2" t="s">
        <v>979</v>
      </c>
      <c r="D751" s="2">
        <v>366.0</v>
      </c>
      <c r="E751" s="2">
        <v>1804.0</v>
      </c>
      <c r="F751" s="2">
        <v>1852.0</v>
      </c>
      <c r="G751" s="2">
        <v>148475.0</v>
      </c>
    </row>
    <row r="752" ht="15.75" customHeight="1">
      <c r="A752" s="2" t="s">
        <v>2651</v>
      </c>
      <c r="B752" s="2" t="s">
        <v>2652</v>
      </c>
      <c r="C752" s="2" t="s">
        <v>979</v>
      </c>
      <c r="D752" s="2">
        <v>11.0</v>
      </c>
      <c r="E752" s="2">
        <v>1221.0</v>
      </c>
      <c r="F752" s="2">
        <v>1168.0</v>
      </c>
      <c r="G752" s="2">
        <v>85500.0</v>
      </c>
    </row>
    <row r="753" ht="15.75" customHeight="1">
      <c r="A753" s="2" t="s">
        <v>2654</v>
      </c>
      <c r="B753" s="2" t="s">
        <v>2655</v>
      </c>
      <c r="C753" s="2" t="s">
        <v>979</v>
      </c>
      <c r="D753" s="2">
        <v>63.0</v>
      </c>
      <c r="E753" s="2">
        <v>2503.0</v>
      </c>
      <c r="F753" s="2">
        <v>2501.0</v>
      </c>
      <c r="G753" s="2">
        <v>200000.0</v>
      </c>
    </row>
    <row r="754" ht="15.75" customHeight="1">
      <c r="A754" s="2" t="s">
        <v>2657</v>
      </c>
      <c r="B754" s="2" t="s">
        <v>2659</v>
      </c>
      <c r="C754" s="2" t="s">
        <v>979</v>
      </c>
      <c r="D754" s="2">
        <v>46.0</v>
      </c>
      <c r="E754" s="2">
        <v>1150.0</v>
      </c>
      <c r="F754" s="2">
        <v>1296.0</v>
      </c>
      <c r="G754" s="2">
        <v>127838.0</v>
      </c>
    </row>
    <row r="755" ht="15.75" customHeight="1">
      <c r="A755" s="2" t="s">
        <v>2661</v>
      </c>
      <c r="B755" s="2" t="s">
        <v>2663</v>
      </c>
      <c r="C755" s="2" t="s">
        <v>979</v>
      </c>
      <c r="D755" s="2">
        <v>50.0</v>
      </c>
      <c r="E755" s="2">
        <v>2594.0</v>
      </c>
      <c r="F755" s="2">
        <v>2616.0</v>
      </c>
      <c r="G755" s="2">
        <v>237350.0</v>
      </c>
    </row>
    <row r="756" ht="15.75" customHeight="1">
      <c r="A756" s="2" t="s">
        <v>2665</v>
      </c>
      <c r="B756" s="2" t="s">
        <v>2666</v>
      </c>
      <c r="C756" s="2" t="s">
        <v>979</v>
      </c>
      <c r="D756" s="2">
        <v>13.0</v>
      </c>
      <c r="E756" s="2">
        <v>1571.0</v>
      </c>
      <c r="F756" s="2">
        <v>1645.0</v>
      </c>
      <c r="G756" s="2">
        <v>200000.0</v>
      </c>
    </row>
    <row r="757" ht="15.75" customHeight="1">
      <c r="A757" s="2" t="s">
        <v>2667</v>
      </c>
      <c r="B757" s="2" t="s">
        <v>2668</v>
      </c>
      <c r="C757" s="2" t="s">
        <v>979</v>
      </c>
      <c r="D757" s="2">
        <v>5.0</v>
      </c>
      <c r="E757" s="2">
        <v>2073.0</v>
      </c>
      <c r="F757" s="2">
        <v>1929.0</v>
      </c>
      <c r="G757" s="2">
        <v>170000.0</v>
      </c>
    </row>
    <row r="758" ht="15.75" customHeight="1">
      <c r="A758" s="2" t="s">
        <v>2671</v>
      </c>
      <c r="B758" s="2" t="s">
        <v>2672</v>
      </c>
      <c r="C758" s="2" t="s">
        <v>979</v>
      </c>
      <c r="D758" s="2">
        <v>40.0</v>
      </c>
      <c r="E758" s="2">
        <v>815.0</v>
      </c>
      <c r="F758" s="2">
        <v>1027.0</v>
      </c>
      <c r="G758" s="2">
        <v>89230.0</v>
      </c>
    </row>
    <row r="759" ht="15.75" customHeight="1">
      <c r="A759" s="2" t="s">
        <v>2673</v>
      </c>
      <c r="B759" s="2" t="s">
        <v>2674</v>
      </c>
      <c r="C759" s="2" t="s">
        <v>979</v>
      </c>
      <c r="D759" s="2">
        <v>42.0</v>
      </c>
      <c r="E759" s="2">
        <v>2696.0</v>
      </c>
      <c r="F759" s="2">
        <v>2584.0</v>
      </c>
      <c r="G759" s="2">
        <v>272500.0</v>
      </c>
    </row>
    <row r="760" ht="15.75" customHeight="1">
      <c r="A760" s="2" t="s">
        <v>2675</v>
      </c>
      <c r="B760" s="2" t="s">
        <v>2676</v>
      </c>
      <c r="C760" s="2" t="s">
        <v>979</v>
      </c>
      <c r="D760" s="2">
        <v>10.0</v>
      </c>
      <c r="E760" s="2">
        <v>1265.0</v>
      </c>
      <c r="F760" s="2">
        <v>1330.0</v>
      </c>
      <c r="G760" s="2">
        <v>191734.0</v>
      </c>
    </row>
    <row r="761" ht="15.75" customHeight="1">
      <c r="A761" s="2" t="s">
        <v>2677</v>
      </c>
      <c r="B761" s="2" t="s">
        <v>2678</v>
      </c>
      <c r="C761" s="2" t="s">
        <v>979</v>
      </c>
      <c r="D761" s="2">
        <v>54.0</v>
      </c>
      <c r="E761" s="2">
        <v>1894.0</v>
      </c>
      <c r="F761" s="2">
        <v>1890.0</v>
      </c>
      <c r="G761" s="2">
        <v>184250.0</v>
      </c>
    </row>
    <row r="762" ht="15.75" customHeight="1">
      <c r="A762" s="2" t="s">
        <v>2679</v>
      </c>
      <c r="B762" s="2" t="s">
        <v>2680</v>
      </c>
      <c r="C762" s="2" t="s">
        <v>979</v>
      </c>
      <c r="D762" s="2">
        <v>17.0</v>
      </c>
      <c r="E762" s="2">
        <v>1502.0</v>
      </c>
      <c r="F762" s="2">
        <v>1554.0</v>
      </c>
      <c r="G762" s="2">
        <v>177700.0</v>
      </c>
    </row>
    <row r="763" ht="15.75" customHeight="1">
      <c r="A763" s="2" t="s">
        <v>2681</v>
      </c>
      <c r="B763" s="2" t="s">
        <v>2682</v>
      </c>
      <c r="C763" s="2" t="s">
        <v>979</v>
      </c>
      <c r="D763" s="2">
        <v>20.0</v>
      </c>
      <c r="E763" s="2">
        <v>2659.0</v>
      </c>
      <c r="F763" s="2">
        <v>2726.0</v>
      </c>
      <c r="G763" s="2">
        <v>223275.0</v>
      </c>
    </row>
    <row r="764" ht="15.75" customHeight="1">
      <c r="A764" s="2" t="s">
        <v>2684</v>
      </c>
      <c r="B764" s="2" t="s">
        <v>2686</v>
      </c>
      <c r="C764" s="2" t="s">
        <v>979</v>
      </c>
      <c r="D764" s="2">
        <v>7.0</v>
      </c>
      <c r="E764" s="2">
        <v>1221.0</v>
      </c>
      <c r="F764" s="2">
        <v>1303.0</v>
      </c>
      <c r="G764" s="2">
        <v>152000.0</v>
      </c>
    </row>
    <row r="765" ht="15.75" customHeight="1">
      <c r="A765" s="2" t="s">
        <v>2687</v>
      </c>
      <c r="B765" s="2" t="s">
        <v>2689</v>
      </c>
      <c r="C765" s="2" t="s">
        <v>979</v>
      </c>
      <c r="D765" s="2">
        <v>10.0</v>
      </c>
      <c r="E765" s="2">
        <v>1015.0</v>
      </c>
      <c r="F765" s="2">
        <v>1152.0</v>
      </c>
      <c r="G765" s="2">
        <v>119925.0</v>
      </c>
    </row>
    <row r="766" ht="15.75" customHeight="1">
      <c r="A766" s="2" t="s">
        <v>2691</v>
      </c>
      <c r="B766" s="2" t="s">
        <v>2692</v>
      </c>
      <c r="C766" s="2" t="s">
        <v>979</v>
      </c>
      <c r="D766" s="2">
        <v>9.0</v>
      </c>
      <c r="E766" s="2">
        <v>1049.0</v>
      </c>
      <c r="F766" s="2">
        <v>1096.0</v>
      </c>
      <c r="G766" s="2">
        <v>86000.0</v>
      </c>
    </row>
    <row r="767" ht="15.75" customHeight="1">
      <c r="A767" s="2" t="s">
        <v>2694</v>
      </c>
      <c r="B767" s="2" t="s">
        <v>2696</v>
      </c>
      <c r="C767" s="2" t="s">
        <v>979</v>
      </c>
      <c r="D767" s="2">
        <v>7.0</v>
      </c>
      <c r="E767" s="2">
        <v>1342.0</v>
      </c>
      <c r="F767" s="2">
        <v>1347.0</v>
      </c>
      <c r="G767" s="2">
        <v>142500.0</v>
      </c>
    </row>
    <row r="768" ht="15.75" customHeight="1">
      <c r="A768" s="2" t="s">
        <v>2697</v>
      </c>
      <c r="B768" s="2" t="s">
        <v>2699</v>
      </c>
      <c r="C768" s="2" t="s">
        <v>979</v>
      </c>
      <c r="D768" s="2">
        <v>10.0</v>
      </c>
      <c r="E768" s="2">
        <v>804.0</v>
      </c>
      <c r="F768" s="2">
        <v>770.0</v>
      </c>
      <c r="G768" s="2">
        <v>98350.0</v>
      </c>
    </row>
    <row r="769" ht="15.75" customHeight="1">
      <c r="A769" s="2" t="s">
        <v>2701</v>
      </c>
      <c r="B769" s="2" t="s">
        <v>2702</v>
      </c>
      <c r="C769" s="2" t="s">
        <v>2703</v>
      </c>
      <c r="D769" s="2">
        <v>8.0</v>
      </c>
      <c r="E769" s="2">
        <v>1071.0</v>
      </c>
      <c r="F769" s="2">
        <v>1242.0</v>
      </c>
      <c r="G769" s="2">
        <v>96500.0</v>
      </c>
    </row>
    <row r="770" ht="15.75" customHeight="1">
      <c r="A770" s="2" t="s">
        <v>2706</v>
      </c>
      <c r="B770" s="2" t="s">
        <v>2707</v>
      </c>
      <c r="C770" s="2" t="s">
        <v>2703</v>
      </c>
      <c r="D770" s="2">
        <v>10.0</v>
      </c>
      <c r="E770" s="2">
        <v>1791.0</v>
      </c>
      <c r="F770" s="2">
        <v>1996.0</v>
      </c>
      <c r="G770" s="2">
        <v>204000.0</v>
      </c>
    </row>
    <row r="771" ht="15.75" customHeight="1">
      <c r="A771" s="2" t="s">
        <v>2708</v>
      </c>
      <c r="B771" s="2" t="s">
        <v>2709</v>
      </c>
      <c r="C771" s="2" t="s">
        <v>2703</v>
      </c>
      <c r="D771" s="2">
        <v>8.0</v>
      </c>
      <c r="E771" s="2">
        <v>2311.0</v>
      </c>
      <c r="F771" s="2">
        <v>2251.0</v>
      </c>
      <c r="G771" s="2">
        <v>255000.0</v>
      </c>
    </row>
    <row r="772" ht="15.75" customHeight="1">
      <c r="A772" s="2" t="s">
        <v>2712</v>
      </c>
      <c r="B772" s="2" t="s">
        <v>2715</v>
      </c>
      <c r="C772" s="2" t="s">
        <v>2703</v>
      </c>
      <c r="D772" s="2">
        <v>25.0</v>
      </c>
      <c r="E772" s="2">
        <v>1679.0</v>
      </c>
      <c r="F772" s="2">
        <v>1820.0</v>
      </c>
      <c r="G772" s="2">
        <v>209000.0</v>
      </c>
    </row>
    <row r="773" ht="15.75" customHeight="1">
      <c r="A773" s="2" t="s">
        <v>2717</v>
      </c>
      <c r="B773" s="2" t="s">
        <v>2718</v>
      </c>
      <c r="C773" s="2" t="s">
        <v>2703</v>
      </c>
      <c r="D773" s="2">
        <v>6.0</v>
      </c>
      <c r="E773" s="2">
        <v>1496.0</v>
      </c>
      <c r="F773" s="2">
        <v>1510.0</v>
      </c>
      <c r="G773" s="2">
        <v>197500.0</v>
      </c>
    </row>
    <row r="774" ht="15.75" customHeight="1">
      <c r="A774" s="2" t="s">
        <v>2720</v>
      </c>
      <c r="B774" s="2" t="s">
        <v>2721</v>
      </c>
      <c r="C774" s="2" t="s">
        <v>2703</v>
      </c>
      <c r="D774" s="2">
        <v>13.0</v>
      </c>
      <c r="E774" s="2">
        <v>1913.0</v>
      </c>
      <c r="F774" s="2">
        <v>2000.0</v>
      </c>
      <c r="G774" s="2">
        <v>255000.0</v>
      </c>
    </row>
    <row r="775" ht="15.75" customHeight="1">
      <c r="A775" s="2" t="s">
        <v>2722</v>
      </c>
      <c r="B775" s="2" t="s">
        <v>2723</v>
      </c>
      <c r="C775" s="2" t="s">
        <v>2703</v>
      </c>
      <c r="D775" s="2">
        <v>20.0</v>
      </c>
      <c r="E775" s="2">
        <v>2741.0</v>
      </c>
      <c r="F775" s="2">
        <v>2675.0</v>
      </c>
      <c r="G775" s="2">
        <v>284000.0</v>
      </c>
    </row>
    <row r="776" ht="15.75" customHeight="1">
      <c r="A776" s="2" t="s">
        <v>2726</v>
      </c>
      <c r="B776" s="2" t="s">
        <v>2727</v>
      </c>
      <c r="C776" s="2" t="s">
        <v>2703</v>
      </c>
      <c r="D776" s="2">
        <v>5.0</v>
      </c>
      <c r="E776" s="2">
        <v>688.0</v>
      </c>
      <c r="F776" s="2">
        <v>1107.0</v>
      </c>
      <c r="G776" s="2">
        <v>190000.0</v>
      </c>
    </row>
    <row r="777" ht="15.75" customHeight="1">
      <c r="A777" s="2" t="s">
        <v>2729</v>
      </c>
      <c r="B777" s="2" t="s">
        <v>2731</v>
      </c>
      <c r="C777" s="2" t="s">
        <v>2703</v>
      </c>
      <c r="D777" s="2">
        <v>32.0</v>
      </c>
      <c r="E777" s="2">
        <v>2438.0</v>
      </c>
      <c r="F777" s="2">
        <v>2210.0</v>
      </c>
      <c r="G777" s="2">
        <v>215000.0</v>
      </c>
    </row>
    <row r="778" ht="15.75" customHeight="1">
      <c r="A778" s="2" t="s">
        <v>2732</v>
      </c>
      <c r="B778" s="2" t="s">
        <v>2734</v>
      </c>
      <c r="C778" s="2" t="s">
        <v>2703</v>
      </c>
      <c r="D778" s="2">
        <v>15.0</v>
      </c>
      <c r="E778" s="2">
        <v>2026.0</v>
      </c>
      <c r="F778" s="2">
        <v>2034.0</v>
      </c>
      <c r="G778" s="2">
        <v>225000.0</v>
      </c>
    </row>
    <row r="779" ht="15.75" customHeight="1">
      <c r="A779" s="2" t="s">
        <v>2736</v>
      </c>
      <c r="B779" s="2" t="s">
        <v>2738</v>
      </c>
      <c r="C779" s="2" t="s">
        <v>2703</v>
      </c>
      <c r="D779" s="2">
        <v>14.0</v>
      </c>
      <c r="E779" s="2">
        <v>1619.0</v>
      </c>
      <c r="F779" s="2">
        <v>1721.0</v>
      </c>
      <c r="G779" s="2">
        <v>194250.0</v>
      </c>
    </row>
    <row r="780" ht="15.75" customHeight="1">
      <c r="A780" s="2" t="s">
        <v>2740</v>
      </c>
      <c r="B780" s="2" t="s">
        <v>2741</v>
      </c>
      <c r="C780" s="2" t="s">
        <v>2703</v>
      </c>
      <c r="D780" s="2">
        <v>17.0</v>
      </c>
      <c r="E780" s="2">
        <v>1288.0</v>
      </c>
      <c r="F780" s="2">
        <v>1353.0</v>
      </c>
      <c r="G780" s="2">
        <v>148500.0</v>
      </c>
    </row>
    <row r="781" ht="15.75" customHeight="1">
      <c r="A781" s="2" t="s">
        <v>2742</v>
      </c>
      <c r="B781" s="2" t="s">
        <v>2743</v>
      </c>
      <c r="C781" s="2" t="s">
        <v>2703</v>
      </c>
      <c r="D781" s="2">
        <v>5.0</v>
      </c>
      <c r="E781" s="2">
        <v>654.0</v>
      </c>
      <c r="F781" s="2">
        <v>890.0</v>
      </c>
      <c r="G781" s="2">
        <v>106700.0</v>
      </c>
    </row>
    <row r="782" ht="15.75" customHeight="1">
      <c r="A782" s="2" t="s">
        <v>2744</v>
      </c>
      <c r="B782" s="2" t="s">
        <v>2745</v>
      </c>
      <c r="C782" s="2" t="s">
        <v>2703</v>
      </c>
      <c r="D782" s="2">
        <v>14.0</v>
      </c>
      <c r="E782" s="2">
        <v>3287.0</v>
      </c>
      <c r="F782" s="2">
        <v>3473.0</v>
      </c>
      <c r="G782" s="2">
        <v>453575.0</v>
      </c>
    </row>
    <row r="783" ht="15.75" customHeight="1">
      <c r="A783" s="2" t="s">
        <v>2748</v>
      </c>
      <c r="B783" s="2" t="s">
        <v>2749</v>
      </c>
      <c r="C783" s="2" t="s">
        <v>2703</v>
      </c>
      <c r="D783" s="2">
        <v>7.0</v>
      </c>
      <c r="E783" s="2">
        <v>1806.0</v>
      </c>
      <c r="F783" s="2">
        <v>1904.0</v>
      </c>
      <c r="G783" s="2">
        <v>165000.0</v>
      </c>
    </row>
    <row r="784" ht="15.75" customHeight="1">
      <c r="A784" s="2" t="s">
        <v>2752</v>
      </c>
      <c r="B784" s="2" t="s">
        <v>2753</v>
      </c>
      <c r="C784" s="2" t="s">
        <v>2703</v>
      </c>
      <c r="D784" s="2">
        <v>21.0</v>
      </c>
      <c r="E784" s="2">
        <v>1991.0</v>
      </c>
      <c r="F784" s="2">
        <v>1927.0</v>
      </c>
      <c r="G784" s="2">
        <v>172000.0</v>
      </c>
    </row>
    <row r="785" ht="15.75" customHeight="1">
      <c r="A785" s="2" t="s">
        <v>2754</v>
      </c>
      <c r="B785" s="2" t="s">
        <v>2755</v>
      </c>
      <c r="C785" s="2" t="s">
        <v>2703</v>
      </c>
      <c r="D785" s="2">
        <v>7.0</v>
      </c>
      <c r="E785" s="2">
        <v>2500.0</v>
      </c>
      <c r="F785" s="2">
        <v>2540.0</v>
      </c>
      <c r="G785" s="2">
        <v>270000.0</v>
      </c>
    </row>
    <row r="786" ht="15.75" customHeight="1">
      <c r="A786" s="2" t="s">
        <v>2757</v>
      </c>
      <c r="B786" s="2" t="s">
        <v>2759</v>
      </c>
      <c r="C786" s="2" t="s">
        <v>2703</v>
      </c>
      <c r="D786" s="2">
        <v>21.0</v>
      </c>
      <c r="E786" s="2">
        <v>1871.0</v>
      </c>
      <c r="F786" s="2">
        <v>1878.0</v>
      </c>
      <c r="G786" s="2">
        <v>214748.0</v>
      </c>
    </row>
    <row r="787" ht="15.75" customHeight="1">
      <c r="A787" s="2" t="s">
        <v>2760</v>
      </c>
      <c r="B787" s="2" t="s">
        <v>2761</v>
      </c>
      <c r="C787" s="2" t="s">
        <v>2703</v>
      </c>
      <c r="D787" s="2">
        <v>6.0</v>
      </c>
      <c r="E787" s="2">
        <v>1787.0</v>
      </c>
      <c r="F787" s="2">
        <v>1853.0</v>
      </c>
      <c r="G787" s="2">
        <v>194250.0</v>
      </c>
    </row>
    <row r="788" ht="15.75" customHeight="1">
      <c r="A788" s="2" t="s">
        <v>2762</v>
      </c>
      <c r="B788" s="2" t="s">
        <v>2764</v>
      </c>
      <c r="C788" s="2" t="s">
        <v>2703</v>
      </c>
      <c r="D788" s="2">
        <v>8.0</v>
      </c>
      <c r="E788" s="2">
        <v>1137.0</v>
      </c>
      <c r="F788" s="2">
        <v>1204.0</v>
      </c>
      <c r="G788" s="2">
        <v>119500.0</v>
      </c>
    </row>
    <row r="789" ht="15.75" customHeight="1">
      <c r="A789" s="2" t="s">
        <v>2766</v>
      </c>
      <c r="B789" s="2" t="s">
        <v>2767</v>
      </c>
      <c r="C789" s="2" t="s">
        <v>2703</v>
      </c>
      <c r="D789" s="2">
        <v>5.0</v>
      </c>
      <c r="E789" s="2">
        <v>1648.0</v>
      </c>
      <c r="F789" s="2">
        <v>1954.0</v>
      </c>
      <c r="G789" s="2">
        <v>273400.0</v>
      </c>
    </row>
    <row r="790" ht="15.75" customHeight="1">
      <c r="A790" s="2" t="s">
        <v>2770</v>
      </c>
      <c r="B790" s="2" t="s">
        <v>2771</v>
      </c>
      <c r="C790" s="2" t="s">
        <v>2703</v>
      </c>
      <c r="D790" s="2">
        <v>12.0</v>
      </c>
      <c r="E790" s="2">
        <v>2861.0</v>
      </c>
      <c r="F790" s="2">
        <v>3062.0</v>
      </c>
      <c r="G790" s="2">
        <v>390000.0</v>
      </c>
    </row>
    <row r="791" ht="15.75" customHeight="1">
      <c r="A791" s="2" t="s">
        <v>2772</v>
      </c>
      <c r="B791" s="2" t="s">
        <v>2773</v>
      </c>
      <c r="C791" s="2" t="s">
        <v>2703</v>
      </c>
      <c r="D791" s="2">
        <v>8.0</v>
      </c>
      <c r="E791" s="2">
        <v>2056.0</v>
      </c>
      <c r="F791" s="2">
        <v>2122.0</v>
      </c>
      <c r="G791" s="2">
        <v>192000.0</v>
      </c>
    </row>
    <row r="792" ht="15.75" customHeight="1">
      <c r="A792" s="2" t="s">
        <v>2775</v>
      </c>
      <c r="B792" s="2" t="s">
        <v>2777</v>
      </c>
      <c r="C792" s="2" t="s">
        <v>2703</v>
      </c>
      <c r="D792" s="2">
        <v>7.0</v>
      </c>
      <c r="E792" s="2">
        <v>1959.0</v>
      </c>
      <c r="F792" s="2">
        <v>1903.0</v>
      </c>
      <c r="G792" s="2">
        <v>179000.0</v>
      </c>
    </row>
    <row r="793" ht="15.75" customHeight="1">
      <c r="A793" s="2" t="s">
        <v>2778</v>
      </c>
      <c r="B793" s="2" t="s">
        <v>2779</v>
      </c>
      <c r="C793" s="2" t="s">
        <v>2703</v>
      </c>
      <c r="D793" s="2">
        <v>7.0</v>
      </c>
      <c r="E793" s="2">
        <v>743.0</v>
      </c>
      <c r="F793" s="2">
        <v>880.0</v>
      </c>
      <c r="G793" s="2">
        <v>135000.0</v>
      </c>
    </row>
    <row r="794" ht="15.75" customHeight="1">
      <c r="A794" s="2" t="s">
        <v>2780</v>
      </c>
      <c r="B794" s="2" t="s">
        <v>2782</v>
      </c>
      <c r="C794" s="2" t="s">
        <v>2703</v>
      </c>
      <c r="D794" s="2">
        <v>7.0</v>
      </c>
      <c r="E794" s="2">
        <v>1600.0</v>
      </c>
      <c r="F794" s="2">
        <v>1537.0</v>
      </c>
      <c r="G794" s="2">
        <v>149900.0</v>
      </c>
    </row>
    <row r="795" ht="15.75" customHeight="1">
      <c r="A795" s="2" t="s">
        <v>2784</v>
      </c>
      <c r="B795" s="2" t="s">
        <v>2785</v>
      </c>
      <c r="C795" s="2" t="s">
        <v>2703</v>
      </c>
      <c r="D795" s="2">
        <v>13.0</v>
      </c>
      <c r="E795" s="2">
        <v>2111.0</v>
      </c>
      <c r="F795" s="2">
        <v>1817.0</v>
      </c>
      <c r="G795" s="2">
        <v>205000.0</v>
      </c>
    </row>
    <row r="796" ht="15.75" customHeight="1">
      <c r="A796" s="2" t="s">
        <v>2786</v>
      </c>
      <c r="B796" s="2" t="s">
        <v>2787</v>
      </c>
      <c r="C796" s="2" t="s">
        <v>2703</v>
      </c>
      <c r="D796" s="2">
        <v>12.0</v>
      </c>
      <c r="E796" s="2">
        <v>2378.0</v>
      </c>
      <c r="F796" s="2">
        <v>2156.0</v>
      </c>
      <c r="G796" s="2">
        <v>170500.0</v>
      </c>
    </row>
    <row r="797" ht="15.75" customHeight="1">
      <c r="A797" s="2" t="s">
        <v>2790</v>
      </c>
      <c r="B797" s="2" t="s">
        <v>2791</v>
      </c>
      <c r="C797" s="2" t="s">
        <v>2703</v>
      </c>
      <c r="D797" s="2">
        <v>7.0</v>
      </c>
      <c r="E797" s="2">
        <v>1133.0</v>
      </c>
      <c r="F797" s="2">
        <v>1281.0</v>
      </c>
      <c r="G797" s="2">
        <v>199550.0</v>
      </c>
    </row>
    <row r="798" ht="15.75" customHeight="1">
      <c r="A798" s="2" t="s">
        <v>2792</v>
      </c>
      <c r="B798" s="2" t="s">
        <v>2793</v>
      </c>
      <c r="C798" s="2" t="s">
        <v>2703</v>
      </c>
      <c r="D798" s="2">
        <v>12.0</v>
      </c>
      <c r="E798" s="2">
        <v>1722.0</v>
      </c>
      <c r="F798" s="2">
        <v>1922.0</v>
      </c>
      <c r="G798" s="2">
        <v>176500.0</v>
      </c>
    </row>
    <row r="799" ht="15.75" customHeight="1">
      <c r="A799" s="2" t="s">
        <v>2794</v>
      </c>
      <c r="B799" s="2" t="s">
        <v>2795</v>
      </c>
      <c r="C799" s="2" t="s">
        <v>2703</v>
      </c>
      <c r="D799" s="2">
        <v>5.0</v>
      </c>
      <c r="E799" s="2">
        <v>2890.0</v>
      </c>
      <c r="F799" s="2">
        <v>3381.0</v>
      </c>
      <c r="G799" s="2">
        <v>310000.0</v>
      </c>
    </row>
    <row r="800" ht="15.75" customHeight="1">
      <c r="A800" s="2" t="s">
        <v>2798</v>
      </c>
      <c r="B800" s="2" t="s">
        <v>2799</v>
      </c>
      <c r="C800" s="2" t="s">
        <v>2703</v>
      </c>
      <c r="D800" s="2">
        <v>6.0</v>
      </c>
      <c r="E800" s="2">
        <v>2609.0</v>
      </c>
      <c r="F800" s="2">
        <v>2609.0</v>
      </c>
      <c r="G800" s="2">
        <v>239000.0</v>
      </c>
    </row>
    <row r="801" ht="15.75" customHeight="1">
      <c r="A801" s="2" t="s">
        <v>2802</v>
      </c>
      <c r="B801" s="2" t="s">
        <v>2803</v>
      </c>
      <c r="C801" s="2" t="s">
        <v>2703</v>
      </c>
      <c r="D801" s="2">
        <v>9.0</v>
      </c>
      <c r="E801" s="2">
        <v>927.0</v>
      </c>
      <c r="F801" s="2">
        <v>946.0</v>
      </c>
      <c r="G801" s="2">
        <v>108000.0</v>
      </c>
    </row>
    <row r="802" ht="15.75" customHeight="1">
      <c r="A802" s="2" t="s">
        <v>2806</v>
      </c>
      <c r="B802" s="2" t="s">
        <v>2808</v>
      </c>
      <c r="C802" s="2" t="s">
        <v>2703</v>
      </c>
      <c r="D802" s="2">
        <v>7.0</v>
      </c>
      <c r="E802" s="2">
        <v>1398.0</v>
      </c>
      <c r="F802" s="2">
        <v>1404.0</v>
      </c>
      <c r="G802" s="2">
        <v>139900.0</v>
      </c>
    </row>
    <row r="803" ht="15.75" customHeight="1">
      <c r="A803" s="2" t="s">
        <v>2810</v>
      </c>
      <c r="B803" s="2" t="s">
        <v>2811</v>
      </c>
      <c r="C803" s="2" t="s">
        <v>2703</v>
      </c>
      <c r="D803" s="2">
        <v>597.0</v>
      </c>
      <c r="E803" s="2">
        <v>1844.0</v>
      </c>
      <c r="F803" s="2">
        <v>1884.0</v>
      </c>
      <c r="G803" s="2">
        <v>120000.0</v>
      </c>
    </row>
    <row r="804" ht="15.75" customHeight="1">
      <c r="A804" s="2" t="s">
        <v>2812</v>
      </c>
      <c r="B804" s="2" t="s">
        <v>2813</v>
      </c>
      <c r="C804" s="2" t="s">
        <v>2703</v>
      </c>
      <c r="D804" s="2">
        <v>7.0</v>
      </c>
      <c r="E804" s="2">
        <v>2766.0</v>
      </c>
      <c r="F804" s="2">
        <v>2715.0</v>
      </c>
      <c r="G804" s="2">
        <v>246200.0</v>
      </c>
    </row>
    <row r="805" ht="15.75" customHeight="1">
      <c r="A805" s="2" t="s">
        <v>2814</v>
      </c>
      <c r="B805" s="2" t="s">
        <v>2815</v>
      </c>
      <c r="C805" s="2" t="s">
        <v>2703</v>
      </c>
      <c r="D805" s="2">
        <v>14.0</v>
      </c>
      <c r="E805" s="2">
        <v>2010.0</v>
      </c>
      <c r="F805" s="2">
        <v>1852.0</v>
      </c>
      <c r="G805" s="2">
        <v>224500.0</v>
      </c>
    </row>
    <row r="806" ht="15.75" customHeight="1">
      <c r="A806" s="2" t="s">
        <v>2816</v>
      </c>
      <c r="B806" s="2" t="s">
        <v>2817</v>
      </c>
      <c r="C806" s="2" t="s">
        <v>2703</v>
      </c>
      <c r="D806" s="2">
        <v>10.0</v>
      </c>
      <c r="E806" s="2">
        <v>1417.0</v>
      </c>
      <c r="F806" s="2">
        <v>1568.0</v>
      </c>
      <c r="G806" s="2">
        <v>187450.0</v>
      </c>
    </row>
    <row r="807" ht="15.75" customHeight="1">
      <c r="A807" s="2" t="s">
        <v>2818</v>
      </c>
      <c r="B807" s="2" t="s">
        <v>2819</v>
      </c>
      <c r="C807" s="2" t="s">
        <v>2703</v>
      </c>
      <c r="D807" s="2">
        <v>17.0</v>
      </c>
      <c r="E807" s="2">
        <v>2328.0</v>
      </c>
      <c r="F807" s="2">
        <v>2413.0</v>
      </c>
      <c r="G807" s="2">
        <v>200000.0</v>
      </c>
    </row>
    <row r="808" ht="15.75" customHeight="1">
      <c r="A808" s="2" t="s">
        <v>2820</v>
      </c>
      <c r="B808" s="2" t="s">
        <v>2821</v>
      </c>
      <c r="C808" s="2" t="s">
        <v>2703</v>
      </c>
      <c r="D808" s="2">
        <v>6.0</v>
      </c>
      <c r="E808" s="2">
        <v>2651.0</v>
      </c>
      <c r="F808" s="2">
        <v>2494.0</v>
      </c>
      <c r="G808" s="2">
        <v>255500.0</v>
      </c>
    </row>
    <row r="809" ht="15.75" customHeight="1">
      <c r="A809" s="2" t="s">
        <v>2822</v>
      </c>
      <c r="B809" s="2" t="s">
        <v>2824</v>
      </c>
      <c r="C809" s="2" t="s">
        <v>2703</v>
      </c>
      <c r="D809" s="2">
        <v>10.0</v>
      </c>
      <c r="E809" s="2">
        <v>1969.0</v>
      </c>
      <c r="F809" s="2">
        <v>2183.0</v>
      </c>
      <c r="G809" s="2">
        <v>218925.0</v>
      </c>
    </row>
    <row r="810" ht="15.75" customHeight="1">
      <c r="A810" s="2" t="s">
        <v>2826</v>
      </c>
      <c r="B810" s="2" t="s">
        <v>2828</v>
      </c>
      <c r="C810" s="2" t="s">
        <v>2703</v>
      </c>
      <c r="D810" s="2">
        <v>14.0</v>
      </c>
      <c r="E810" s="2">
        <v>3097.0</v>
      </c>
      <c r="F810" s="2">
        <v>3149.0</v>
      </c>
      <c r="G810" s="2">
        <v>270000.0</v>
      </c>
    </row>
    <row r="811" ht="15.75" customHeight="1">
      <c r="A811" s="2" t="s">
        <v>2830</v>
      </c>
      <c r="B811" s="2" t="s">
        <v>2831</v>
      </c>
      <c r="C811" s="2" t="s">
        <v>2703</v>
      </c>
      <c r="D811" s="2">
        <v>12.0</v>
      </c>
      <c r="E811" s="2">
        <v>1949.0</v>
      </c>
      <c r="F811" s="2">
        <v>2107.0</v>
      </c>
      <c r="G811" s="2">
        <v>269500.0</v>
      </c>
    </row>
    <row r="812" ht="15.75" customHeight="1">
      <c r="A812" s="2" t="s">
        <v>2834</v>
      </c>
      <c r="B812" s="2" t="s">
        <v>2835</v>
      </c>
      <c r="C812" s="2" t="s">
        <v>2703</v>
      </c>
      <c r="D812" s="2">
        <v>12.0</v>
      </c>
      <c r="E812" s="2">
        <v>1923.0</v>
      </c>
      <c r="F812" s="2">
        <v>1772.0</v>
      </c>
      <c r="G812" s="2">
        <v>221500.0</v>
      </c>
    </row>
    <row r="813" ht="15.75" customHeight="1">
      <c r="A813" s="2" t="s">
        <v>2838</v>
      </c>
      <c r="B813" s="2" t="s">
        <v>2839</v>
      </c>
      <c r="C813" s="2" t="s">
        <v>2703</v>
      </c>
      <c r="D813" s="2">
        <v>7.0</v>
      </c>
      <c r="E813" s="2">
        <v>1573.0</v>
      </c>
      <c r="F813" s="2">
        <v>1565.0</v>
      </c>
      <c r="G813" s="2">
        <v>170000.0</v>
      </c>
    </row>
    <row r="814" ht="15.75" customHeight="1">
      <c r="A814" s="2" t="s">
        <v>2841</v>
      </c>
      <c r="B814" s="2" t="s">
        <v>2843</v>
      </c>
      <c r="C814" s="2" t="s">
        <v>2703</v>
      </c>
      <c r="D814" s="2">
        <v>21.0</v>
      </c>
      <c r="E814" s="2">
        <v>2837.0</v>
      </c>
      <c r="F814" s="2">
        <v>2948.0</v>
      </c>
      <c r="G814" s="2">
        <v>260000.0</v>
      </c>
    </row>
    <row r="815" ht="15.75" customHeight="1">
      <c r="A815" s="2" t="s">
        <v>2845</v>
      </c>
      <c r="B815" s="2" t="s">
        <v>2847</v>
      </c>
      <c r="C815" s="2" t="s">
        <v>2703</v>
      </c>
      <c r="D815" s="2">
        <v>43.0</v>
      </c>
      <c r="E815" s="2">
        <v>2692.0</v>
      </c>
      <c r="F815" s="2">
        <v>2673.0</v>
      </c>
      <c r="G815" s="2">
        <v>225000.0</v>
      </c>
    </row>
    <row r="816" ht="15.75" customHeight="1">
      <c r="A816" s="2" t="s">
        <v>2850</v>
      </c>
      <c r="B816" s="2" t="s">
        <v>2851</v>
      </c>
      <c r="C816" s="2" t="s">
        <v>2703</v>
      </c>
      <c r="D816" s="2">
        <v>5.0</v>
      </c>
      <c r="E816" s="2">
        <v>2095.0</v>
      </c>
      <c r="F816" s="2">
        <v>2322.0</v>
      </c>
      <c r="G816" s="2">
        <v>270000.0</v>
      </c>
    </row>
    <row r="817" ht="15.75" customHeight="1">
      <c r="A817" s="2" t="s">
        <v>2852</v>
      </c>
      <c r="B817" s="2" t="s">
        <v>2853</v>
      </c>
      <c r="C817" s="2" t="s">
        <v>2703</v>
      </c>
      <c r="D817" s="2">
        <v>6.0</v>
      </c>
      <c r="E817" s="2">
        <v>2172.0</v>
      </c>
      <c r="F817" s="2">
        <v>2388.0</v>
      </c>
      <c r="G817" s="2">
        <v>208500.0</v>
      </c>
    </row>
    <row r="818" ht="15.75" customHeight="1">
      <c r="A818" s="2" t="s">
        <v>2854</v>
      </c>
      <c r="B818" s="2" t="s">
        <v>2856</v>
      </c>
      <c r="C818" s="2" t="s">
        <v>2703</v>
      </c>
      <c r="D818" s="2">
        <v>20.0</v>
      </c>
      <c r="E818" s="2">
        <v>2435.0</v>
      </c>
      <c r="F818" s="2">
        <v>2460.0</v>
      </c>
      <c r="G818" s="2">
        <v>240500.0</v>
      </c>
    </row>
    <row r="819" ht="15.75" customHeight="1">
      <c r="A819" s="2" t="s">
        <v>2860</v>
      </c>
      <c r="B819" s="2" t="s">
        <v>2861</v>
      </c>
      <c r="C819" s="2" t="s">
        <v>2703</v>
      </c>
      <c r="D819" s="2">
        <v>25.0</v>
      </c>
      <c r="E819" s="2">
        <v>1845.0</v>
      </c>
      <c r="F819" s="2">
        <v>1952.0</v>
      </c>
      <c r="G819" s="2">
        <v>140000.0</v>
      </c>
    </row>
    <row r="820" ht="15.75" customHeight="1">
      <c r="A820" s="2" t="s">
        <v>2864</v>
      </c>
      <c r="B820" s="2" t="s">
        <v>2865</v>
      </c>
      <c r="C820" s="2" t="s">
        <v>2703</v>
      </c>
      <c r="D820" s="2">
        <v>47.0</v>
      </c>
      <c r="E820" s="2">
        <v>1800.0</v>
      </c>
      <c r="F820" s="2">
        <v>1740.0</v>
      </c>
      <c r="G820" s="2">
        <v>130000.0</v>
      </c>
    </row>
    <row r="821" ht="15.75" customHeight="1">
      <c r="A821" s="2" t="s">
        <v>2868</v>
      </c>
      <c r="B821" s="2" t="s">
        <v>2869</v>
      </c>
      <c r="C821" s="2" t="s">
        <v>2703</v>
      </c>
      <c r="D821" s="2">
        <v>18.0</v>
      </c>
      <c r="E821" s="2">
        <v>2144.0</v>
      </c>
      <c r="F821" s="2">
        <v>2091.0</v>
      </c>
      <c r="G821" s="2">
        <v>207500.0</v>
      </c>
    </row>
    <row r="822" ht="15.75" customHeight="1">
      <c r="A822" s="2" t="s">
        <v>2870</v>
      </c>
      <c r="B822" s="2" t="s">
        <v>2871</v>
      </c>
      <c r="C822" s="2" t="s">
        <v>2703</v>
      </c>
      <c r="D822" s="2">
        <v>38.0</v>
      </c>
      <c r="E822" s="2">
        <v>2101.0</v>
      </c>
      <c r="F822" s="2">
        <v>2106.0</v>
      </c>
      <c r="G822" s="2">
        <v>225250.0</v>
      </c>
    </row>
    <row r="823" ht="15.75" customHeight="1">
      <c r="A823" s="2" t="s">
        <v>2874</v>
      </c>
      <c r="B823" s="2" t="s">
        <v>2875</v>
      </c>
      <c r="C823" s="2" t="s">
        <v>2703</v>
      </c>
      <c r="D823" s="2">
        <v>7.0</v>
      </c>
      <c r="E823" s="2">
        <v>972.0</v>
      </c>
      <c r="F823" s="2">
        <v>961.0</v>
      </c>
      <c r="G823" s="2">
        <v>100000.0</v>
      </c>
    </row>
    <row r="824" ht="15.75" customHeight="1">
      <c r="A824" s="2" t="s">
        <v>2878</v>
      </c>
      <c r="B824" s="2" t="s">
        <v>2879</v>
      </c>
      <c r="C824" s="2" t="s">
        <v>2703</v>
      </c>
      <c r="D824" s="2">
        <v>6.0</v>
      </c>
      <c r="E824" s="2">
        <v>1760.0</v>
      </c>
      <c r="F824" s="2">
        <v>2279.0</v>
      </c>
      <c r="G824" s="2">
        <v>173000.0</v>
      </c>
    </row>
    <row r="825" ht="15.75" customHeight="1">
      <c r="A825" s="2" t="s">
        <v>2881</v>
      </c>
      <c r="B825" s="2" t="s">
        <v>2883</v>
      </c>
      <c r="C825" s="2" t="s">
        <v>2703</v>
      </c>
      <c r="D825" s="2">
        <v>7.0</v>
      </c>
      <c r="E825" s="2">
        <v>1852.0</v>
      </c>
      <c r="F825" s="2">
        <v>2179.0</v>
      </c>
      <c r="G825" s="2">
        <v>190000.0</v>
      </c>
    </row>
    <row r="826" ht="15.75" customHeight="1">
      <c r="A826" s="2" t="s">
        <v>2884</v>
      </c>
      <c r="B826" s="2" t="s">
        <v>2886</v>
      </c>
      <c r="C826" s="2" t="s">
        <v>2703</v>
      </c>
      <c r="D826" s="2">
        <v>8.0</v>
      </c>
      <c r="E826" s="2">
        <v>1225.0</v>
      </c>
      <c r="F826" s="2">
        <v>1301.0</v>
      </c>
      <c r="G826" s="2">
        <v>128025.0</v>
      </c>
    </row>
    <row r="827" ht="15.75" customHeight="1">
      <c r="A827" s="2" t="s">
        <v>2888</v>
      </c>
      <c r="B827" s="2" t="s">
        <v>2889</v>
      </c>
      <c r="C827" s="2" t="s">
        <v>2703</v>
      </c>
      <c r="D827" s="2">
        <v>13.0</v>
      </c>
      <c r="E827" s="2">
        <v>1415.0</v>
      </c>
      <c r="F827" s="2">
        <v>1432.0</v>
      </c>
      <c r="G827" s="2">
        <v>155000.0</v>
      </c>
    </row>
    <row r="828" ht="15.75" customHeight="1">
      <c r="A828" s="2" t="s">
        <v>2890</v>
      </c>
      <c r="B828" s="2" t="s">
        <v>2891</v>
      </c>
      <c r="C828" s="2" t="s">
        <v>2703</v>
      </c>
      <c r="D828" s="2">
        <v>35.0</v>
      </c>
      <c r="E828" s="2">
        <v>1839.0</v>
      </c>
      <c r="F828" s="2">
        <v>1882.0</v>
      </c>
      <c r="G828" s="2">
        <v>154000.0</v>
      </c>
    </row>
    <row r="829" ht="15.75" customHeight="1">
      <c r="A829" s="2" t="s">
        <v>2892</v>
      </c>
      <c r="B829" s="2" t="s">
        <v>2893</v>
      </c>
      <c r="C829" s="2" t="s">
        <v>2703</v>
      </c>
      <c r="D829" s="2">
        <v>13.0</v>
      </c>
      <c r="E829" s="2">
        <v>2000.0</v>
      </c>
      <c r="F829" s="2">
        <v>1931.0</v>
      </c>
      <c r="G829" s="2">
        <v>150000.0</v>
      </c>
    </row>
    <row r="830" ht="15.75" customHeight="1">
      <c r="A830" s="2" t="s">
        <v>2894</v>
      </c>
      <c r="B830" s="2" t="s">
        <v>2895</v>
      </c>
      <c r="C830" s="2" t="s">
        <v>2703</v>
      </c>
      <c r="D830" s="2">
        <v>33.0</v>
      </c>
      <c r="E830" s="2">
        <v>2147.0</v>
      </c>
      <c r="F830" s="2">
        <v>2117.0</v>
      </c>
      <c r="G830" s="2">
        <v>172800.0</v>
      </c>
    </row>
    <row r="831" ht="15.75" customHeight="1">
      <c r="A831" s="2" t="s">
        <v>2896</v>
      </c>
      <c r="B831" s="2" t="s">
        <v>2897</v>
      </c>
      <c r="C831" s="2" t="s">
        <v>2703</v>
      </c>
      <c r="D831" s="2">
        <v>9.0</v>
      </c>
      <c r="E831" s="2">
        <v>2053.0</v>
      </c>
      <c r="F831" s="2">
        <v>2259.0</v>
      </c>
      <c r="G831" s="2">
        <v>237000.0</v>
      </c>
    </row>
    <row r="832" ht="15.75" customHeight="1">
      <c r="A832" s="2" t="s">
        <v>2898</v>
      </c>
      <c r="B832" s="2" t="s">
        <v>2899</v>
      </c>
      <c r="C832" s="2" t="s">
        <v>2703</v>
      </c>
      <c r="D832" s="2">
        <v>22.0</v>
      </c>
      <c r="E832" s="2">
        <v>1180.0</v>
      </c>
      <c r="F832" s="2">
        <v>1337.0</v>
      </c>
      <c r="G832" s="2">
        <v>172500.0</v>
      </c>
    </row>
    <row r="833" ht="15.75" customHeight="1">
      <c r="A833" s="2" t="s">
        <v>2901</v>
      </c>
      <c r="B833" s="2" t="s">
        <v>2903</v>
      </c>
      <c r="C833" s="2" t="s">
        <v>2703</v>
      </c>
      <c r="D833" s="2">
        <v>5.0</v>
      </c>
      <c r="E833" s="2">
        <v>1046.0</v>
      </c>
      <c r="F833" s="2">
        <v>1163.0</v>
      </c>
      <c r="G833" s="2">
        <v>110000.0</v>
      </c>
    </row>
    <row r="834" ht="15.75" customHeight="1">
      <c r="A834" s="2" t="s">
        <v>2904</v>
      </c>
      <c r="B834" s="2" t="s">
        <v>2905</v>
      </c>
      <c r="C834" s="2" t="s">
        <v>2703</v>
      </c>
      <c r="D834" s="2">
        <v>8.0</v>
      </c>
      <c r="E834" s="2">
        <v>1713.0</v>
      </c>
      <c r="F834" s="2">
        <v>1710.0</v>
      </c>
      <c r="G834" s="2">
        <v>162000.0</v>
      </c>
    </row>
    <row r="835" ht="15.75" customHeight="1">
      <c r="A835" s="2" t="s">
        <v>2906</v>
      </c>
      <c r="B835" s="2" t="s">
        <v>2907</v>
      </c>
      <c r="C835" s="2" t="s">
        <v>2703</v>
      </c>
      <c r="D835" s="2">
        <v>11.0</v>
      </c>
      <c r="E835" s="2">
        <v>1718.0</v>
      </c>
      <c r="F835" s="2">
        <v>1732.0</v>
      </c>
      <c r="G835" s="2">
        <v>160000.0</v>
      </c>
    </row>
    <row r="836" ht="15.75" customHeight="1">
      <c r="A836" s="2" t="s">
        <v>2910</v>
      </c>
      <c r="B836" s="2" t="s">
        <v>2911</v>
      </c>
      <c r="C836" s="2" t="s">
        <v>2703</v>
      </c>
      <c r="D836" s="2">
        <v>14.0</v>
      </c>
      <c r="E836" s="2">
        <v>2329.0</v>
      </c>
      <c r="F836" s="2">
        <v>2163.0</v>
      </c>
      <c r="G836" s="2">
        <v>185500.0</v>
      </c>
    </row>
    <row r="837" ht="15.75" customHeight="1">
      <c r="A837" s="2" t="s">
        <v>2912</v>
      </c>
      <c r="B837" s="2" t="s">
        <v>2913</v>
      </c>
      <c r="C837" s="2" t="s">
        <v>2703</v>
      </c>
      <c r="D837" s="2">
        <v>5.0</v>
      </c>
      <c r="E837" s="2">
        <v>1535.0</v>
      </c>
      <c r="F837" s="2">
        <v>1562.0</v>
      </c>
      <c r="G837" s="2">
        <v>141200.0</v>
      </c>
    </row>
    <row r="838" ht="15.75" customHeight="1">
      <c r="A838" s="2" t="s">
        <v>2914</v>
      </c>
      <c r="B838" s="2" t="s">
        <v>2915</v>
      </c>
      <c r="C838" s="2" t="s">
        <v>2703</v>
      </c>
      <c r="D838" s="2">
        <v>31.0</v>
      </c>
      <c r="E838" s="2">
        <v>1939.0</v>
      </c>
      <c r="F838" s="2">
        <v>1879.0</v>
      </c>
      <c r="G838" s="2">
        <v>171000.0</v>
      </c>
    </row>
    <row r="839" ht="15.75" customHeight="1">
      <c r="A839" s="2" t="s">
        <v>2916</v>
      </c>
      <c r="B839" s="2" t="s">
        <v>2919</v>
      </c>
      <c r="C839" s="2" t="s">
        <v>2703</v>
      </c>
      <c r="D839" s="2">
        <v>10.0</v>
      </c>
      <c r="E839" s="2">
        <v>1795.0</v>
      </c>
      <c r="F839" s="2">
        <v>1876.0</v>
      </c>
      <c r="G839" s="2">
        <v>210000.0</v>
      </c>
    </row>
    <row r="840" ht="15.75" customHeight="1">
      <c r="A840" s="2" t="s">
        <v>2932</v>
      </c>
      <c r="B840" s="2" t="s">
        <v>2934</v>
      </c>
      <c r="C840" s="2" t="s">
        <v>2703</v>
      </c>
      <c r="D840" s="2">
        <v>8.0</v>
      </c>
      <c r="E840" s="2">
        <v>884.0</v>
      </c>
      <c r="F840" s="2">
        <v>1055.0</v>
      </c>
      <c r="G840" s="2">
        <v>150000.0</v>
      </c>
    </row>
    <row r="841" ht="15.75" customHeight="1">
      <c r="A841" s="2" t="s">
        <v>2935</v>
      </c>
      <c r="B841" s="2" t="s">
        <v>2936</v>
      </c>
      <c r="C841" s="2" t="s">
        <v>2703</v>
      </c>
      <c r="D841" s="2">
        <v>8.0</v>
      </c>
      <c r="E841" s="2">
        <v>4031.0</v>
      </c>
      <c r="F841" s="2">
        <v>4172.0</v>
      </c>
      <c r="G841" s="2">
        <v>345000.0</v>
      </c>
    </row>
    <row r="842" ht="15.75" customHeight="1">
      <c r="A842" s="2" t="s">
        <v>2938</v>
      </c>
      <c r="B842" s="2" t="s">
        <v>2939</v>
      </c>
      <c r="C842" s="2" t="s">
        <v>2703</v>
      </c>
      <c r="D842" s="2">
        <v>98.0</v>
      </c>
      <c r="E842" s="2">
        <v>3159.0</v>
      </c>
      <c r="F842" s="2">
        <v>3214.0</v>
      </c>
      <c r="G842" s="2">
        <v>200500.0</v>
      </c>
    </row>
    <row r="843" ht="15.75" customHeight="1">
      <c r="A843" s="2" t="s">
        <v>2942</v>
      </c>
      <c r="B843" s="2" t="s">
        <v>2943</v>
      </c>
      <c r="C843" s="2" t="s">
        <v>2703</v>
      </c>
      <c r="D843" s="2">
        <v>6.0</v>
      </c>
      <c r="E843" s="2">
        <v>2632.0</v>
      </c>
      <c r="F843" s="2">
        <v>2770.0</v>
      </c>
      <c r="G843" s="2">
        <v>165000.0</v>
      </c>
    </row>
    <row r="844" ht="15.75" customHeight="1">
      <c r="A844" s="2" t="s">
        <v>2944</v>
      </c>
      <c r="B844" s="2" t="s">
        <v>2945</v>
      </c>
      <c r="C844" s="2" t="s">
        <v>2703</v>
      </c>
      <c r="D844" s="2">
        <v>131.0</v>
      </c>
      <c r="E844" s="2">
        <v>3733.0</v>
      </c>
      <c r="F844" s="2">
        <v>3900.0</v>
      </c>
      <c r="G844" s="2">
        <v>225000.0</v>
      </c>
    </row>
    <row r="845" ht="15.75" customHeight="1">
      <c r="A845" s="2" t="s">
        <v>2946</v>
      </c>
      <c r="B845" s="2" t="s">
        <v>2947</v>
      </c>
      <c r="C845" s="2" t="s">
        <v>2703</v>
      </c>
      <c r="D845" s="2">
        <v>30.0</v>
      </c>
      <c r="E845" s="2">
        <v>2366.0</v>
      </c>
      <c r="F845" s="2">
        <v>2473.0</v>
      </c>
      <c r="G845" s="2">
        <v>199475.0</v>
      </c>
    </row>
    <row r="846" ht="15.75" customHeight="1">
      <c r="A846" s="2" t="s">
        <v>2949</v>
      </c>
      <c r="B846" s="2" t="s">
        <v>2950</v>
      </c>
      <c r="C846" s="2" t="s">
        <v>2703</v>
      </c>
      <c r="D846" s="2">
        <v>5.0</v>
      </c>
      <c r="E846" s="2">
        <v>1290.0</v>
      </c>
      <c r="F846" s="2">
        <v>1996.0</v>
      </c>
      <c r="G846" s="2">
        <v>218000.0</v>
      </c>
    </row>
    <row r="847" ht="15.75" customHeight="1">
      <c r="A847" s="2" t="s">
        <v>2952</v>
      </c>
      <c r="B847" s="2" t="s">
        <v>2953</v>
      </c>
      <c r="C847" s="2" t="s">
        <v>2703</v>
      </c>
      <c r="D847" s="2">
        <v>10.0</v>
      </c>
      <c r="E847" s="2">
        <v>1611.0</v>
      </c>
      <c r="F847" s="2">
        <v>1495.0</v>
      </c>
      <c r="G847" s="2">
        <v>139000.0</v>
      </c>
    </row>
    <row r="848" ht="15.75" customHeight="1">
      <c r="A848" s="2" t="s">
        <v>2954</v>
      </c>
      <c r="B848" s="2" t="s">
        <v>2955</v>
      </c>
      <c r="C848" s="2" t="s">
        <v>2703</v>
      </c>
      <c r="D848" s="2">
        <v>6.0</v>
      </c>
      <c r="E848" s="2">
        <v>1576.0</v>
      </c>
      <c r="F848" s="2">
        <v>1660.0</v>
      </c>
      <c r="G848" s="2">
        <v>156000.0</v>
      </c>
    </row>
    <row r="849" ht="15.75" customHeight="1">
      <c r="A849" s="2" t="s">
        <v>2958</v>
      </c>
      <c r="B849" s="2" t="s">
        <v>2959</v>
      </c>
      <c r="C849" s="2" t="s">
        <v>2703</v>
      </c>
      <c r="D849" s="2">
        <v>26.0</v>
      </c>
      <c r="E849" s="2">
        <v>1713.0</v>
      </c>
      <c r="F849" s="2">
        <v>1875.0</v>
      </c>
      <c r="G849" s="2">
        <v>185234.0</v>
      </c>
    </row>
    <row r="850" ht="15.75" customHeight="1">
      <c r="A850" s="2" t="s">
        <v>2960</v>
      </c>
      <c r="B850" s="2" t="s">
        <v>2961</v>
      </c>
      <c r="C850" s="2" t="s">
        <v>2703</v>
      </c>
      <c r="D850" s="2">
        <v>12.0</v>
      </c>
      <c r="E850" s="2">
        <v>1625.0</v>
      </c>
      <c r="F850" s="2">
        <v>1694.0</v>
      </c>
      <c r="G850" s="2">
        <v>178750.0</v>
      </c>
    </row>
    <row r="851" ht="15.75" customHeight="1">
      <c r="A851" s="2" t="s">
        <v>2963</v>
      </c>
      <c r="B851" s="2" t="s">
        <v>2965</v>
      </c>
      <c r="C851" s="2" t="s">
        <v>2703</v>
      </c>
      <c r="D851" s="2">
        <v>34.0</v>
      </c>
      <c r="E851" s="2">
        <v>2171.0</v>
      </c>
      <c r="F851" s="2">
        <v>2246.0</v>
      </c>
      <c r="G851" s="2">
        <v>196000.0</v>
      </c>
    </row>
    <row r="852" ht="15.75" customHeight="1">
      <c r="A852" s="2" t="s">
        <v>2966</v>
      </c>
      <c r="B852" s="2" t="s">
        <v>2967</v>
      </c>
      <c r="C852" s="2" t="s">
        <v>2703</v>
      </c>
      <c r="D852" s="2">
        <v>27.0</v>
      </c>
      <c r="E852" s="2">
        <v>2217.0</v>
      </c>
      <c r="F852" s="2">
        <v>2158.0</v>
      </c>
      <c r="G852" s="2">
        <v>249000.0</v>
      </c>
    </row>
    <row r="853" ht="15.75" customHeight="1">
      <c r="A853" s="2" t="s">
        <v>2970</v>
      </c>
      <c r="B853" s="2" t="s">
        <v>2971</v>
      </c>
      <c r="C853" s="2" t="s">
        <v>2703</v>
      </c>
      <c r="D853" s="2">
        <v>32.0</v>
      </c>
      <c r="E853" s="2">
        <v>2177.0</v>
      </c>
      <c r="F853" s="2">
        <v>2213.0</v>
      </c>
      <c r="G853" s="2">
        <v>230000.0</v>
      </c>
    </row>
    <row r="854" ht="15.75" customHeight="1">
      <c r="A854" s="2" t="s">
        <v>2972</v>
      </c>
      <c r="B854" s="2" t="s">
        <v>2973</v>
      </c>
      <c r="C854" s="2" t="s">
        <v>2703</v>
      </c>
      <c r="D854" s="2">
        <v>20.0</v>
      </c>
      <c r="E854" s="2">
        <v>1779.0</v>
      </c>
      <c r="F854" s="2">
        <v>1864.0</v>
      </c>
      <c r="G854" s="2">
        <v>175000.0</v>
      </c>
    </row>
    <row r="855" ht="15.75" customHeight="1">
      <c r="A855" s="2" t="s">
        <v>2976</v>
      </c>
      <c r="B855" s="2" t="s">
        <v>2977</v>
      </c>
      <c r="C855" s="2" t="s">
        <v>2703</v>
      </c>
      <c r="D855" s="2">
        <v>124.0</v>
      </c>
      <c r="E855" s="2">
        <v>1973.0</v>
      </c>
      <c r="F855" s="2">
        <v>2014.0</v>
      </c>
      <c r="G855" s="2">
        <v>149600.0</v>
      </c>
    </row>
    <row r="856" ht="15.75" customHeight="1">
      <c r="A856" s="2" t="s">
        <v>2980</v>
      </c>
      <c r="B856" s="2" t="s">
        <v>2981</v>
      </c>
      <c r="C856" s="2" t="s">
        <v>2703</v>
      </c>
      <c r="D856" s="2">
        <v>492.0</v>
      </c>
      <c r="E856" s="2">
        <v>2443.0</v>
      </c>
      <c r="F856" s="2">
        <v>2555.0</v>
      </c>
      <c r="G856" s="2">
        <v>146750.0</v>
      </c>
    </row>
    <row r="857" ht="15.75" customHeight="1">
      <c r="A857" s="2" t="s">
        <v>2984</v>
      </c>
      <c r="B857" s="2" t="s">
        <v>2985</v>
      </c>
      <c r="C857" s="2" t="s">
        <v>2703</v>
      </c>
      <c r="D857" s="2">
        <v>5.0</v>
      </c>
      <c r="E857" s="2">
        <v>1818.0</v>
      </c>
      <c r="F857" s="2">
        <v>1795.0</v>
      </c>
      <c r="G857" s="2">
        <v>108000.0</v>
      </c>
    </row>
    <row r="858" ht="15.75" customHeight="1">
      <c r="A858" s="2" t="s">
        <v>2988</v>
      </c>
      <c r="B858" s="2" t="s">
        <v>2989</v>
      </c>
      <c r="C858" s="2" t="s">
        <v>2703</v>
      </c>
      <c r="D858" s="2">
        <v>14.0</v>
      </c>
      <c r="E858" s="2">
        <v>2242.0</v>
      </c>
      <c r="F858" s="2">
        <v>2211.0</v>
      </c>
      <c r="G858" s="2">
        <v>222000.0</v>
      </c>
    </row>
    <row r="859" ht="15.75" customHeight="1">
      <c r="A859" s="2" t="s">
        <v>2990</v>
      </c>
      <c r="B859" s="2" t="s">
        <v>2991</v>
      </c>
      <c r="C859" s="2" t="s">
        <v>2703</v>
      </c>
      <c r="D859" s="2">
        <v>5.0</v>
      </c>
      <c r="E859" s="2">
        <v>1527.0</v>
      </c>
      <c r="F859" s="2">
        <v>1812.0</v>
      </c>
      <c r="G859" s="2">
        <v>165000.0</v>
      </c>
    </row>
    <row r="860" ht="15.75" customHeight="1">
      <c r="A860" s="2" t="s">
        <v>2993</v>
      </c>
      <c r="B860" s="2" t="s">
        <v>2995</v>
      </c>
      <c r="C860" s="2" t="s">
        <v>2703</v>
      </c>
      <c r="D860" s="2">
        <v>12.0</v>
      </c>
      <c r="E860" s="2">
        <v>2117.0</v>
      </c>
      <c r="F860" s="2">
        <v>2304.0</v>
      </c>
      <c r="G860" s="2">
        <v>198250.0</v>
      </c>
    </row>
    <row r="861" ht="15.75" customHeight="1">
      <c r="A861" s="2" t="s">
        <v>2996</v>
      </c>
      <c r="B861" s="2" t="s">
        <v>2997</v>
      </c>
      <c r="C861" s="2" t="s">
        <v>2703</v>
      </c>
      <c r="D861" s="2">
        <v>8.0</v>
      </c>
      <c r="E861" s="2">
        <v>2538.0</v>
      </c>
      <c r="F861" s="2">
        <v>2599.0</v>
      </c>
      <c r="G861" s="2">
        <v>453330.0</v>
      </c>
    </row>
    <row r="862" ht="15.75" customHeight="1">
      <c r="A862" s="2" t="s">
        <v>2998</v>
      </c>
      <c r="B862" s="2" t="s">
        <v>2999</v>
      </c>
      <c r="C862" s="2" t="s">
        <v>2703</v>
      </c>
      <c r="D862" s="2">
        <v>45.0</v>
      </c>
      <c r="E862" s="2">
        <v>3255.0</v>
      </c>
      <c r="F862" s="2">
        <v>3394.0</v>
      </c>
      <c r="G862" s="2">
        <v>273500.0</v>
      </c>
    </row>
    <row r="863" ht="15.75" customHeight="1">
      <c r="A863" s="2" t="s">
        <v>3002</v>
      </c>
      <c r="B863" s="2" t="s">
        <v>3003</v>
      </c>
      <c r="C863" s="2" t="s">
        <v>2703</v>
      </c>
      <c r="D863" s="2">
        <v>6.0</v>
      </c>
      <c r="E863" s="2">
        <v>1215.0</v>
      </c>
      <c r="F863" s="2">
        <v>1530.0</v>
      </c>
      <c r="G863" s="2">
        <v>122000.0</v>
      </c>
    </row>
    <row r="864" ht="15.75" customHeight="1">
      <c r="A864" s="2" t="s">
        <v>3005</v>
      </c>
      <c r="B864" s="2" t="s">
        <v>3007</v>
      </c>
      <c r="C864" s="2" t="s">
        <v>2703</v>
      </c>
      <c r="D864" s="2">
        <v>7.0</v>
      </c>
      <c r="E864" s="2">
        <v>1081.0</v>
      </c>
      <c r="F864" s="2">
        <v>953.0</v>
      </c>
      <c r="G864" s="2">
        <v>80000.0</v>
      </c>
    </row>
    <row r="865" ht="15.75" customHeight="1">
      <c r="A865" s="2" t="s">
        <v>3009</v>
      </c>
      <c r="B865" s="2" t="s">
        <v>3011</v>
      </c>
      <c r="C865" s="2" t="s">
        <v>2703</v>
      </c>
      <c r="D865" s="2">
        <v>154.0</v>
      </c>
      <c r="E865" s="2">
        <v>1840.0</v>
      </c>
      <c r="F865" s="2">
        <v>1873.0</v>
      </c>
      <c r="G865" s="2">
        <v>102000.0</v>
      </c>
    </row>
    <row r="866" ht="15.75" customHeight="1">
      <c r="A866" s="2" t="s">
        <v>3013</v>
      </c>
      <c r="B866" s="2" t="s">
        <v>3014</v>
      </c>
      <c r="C866" s="2" t="s">
        <v>2703</v>
      </c>
      <c r="D866" s="2">
        <v>11.0</v>
      </c>
      <c r="E866" s="2">
        <v>1107.0</v>
      </c>
      <c r="F866" s="2">
        <v>1197.0</v>
      </c>
      <c r="G866" s="2">
        <v>155000.0</v>
      </c>
    </row>
    <row r="867" ht="15.75" customHeight="1">
      <c r="A867" s="2" t="s">
        <v>3016</v>
      </c>
      <c r="B867" s="2" t="s">
        <v>3017</v>
      </c>
      <c r="C867" s="2" t="s">
        <v>2703</v>
      </c>
      <c r="D867" s="2">
        <v>11.0</v>
      </c>
      <c r="E867" s="2">
        <v>1640.0</v>
      </c>
      <c r="F867" s="2">
        <v>1683.0</v>
      </c>
      <c r="G867" s="2">
        <v>138000.0</v>
      </c>
    </row>
    <row r="868" ht="15.75" customHeight="1">
      <c r="A868" s="2" t="s">
        <v>3018</v>
      </c>
      <c r="B868" s="2" t="s">
        <v>3021</v>
      </c>
      <c r="C868" s="2" t="s">
        <v>2703</v>
      </c>
      <c r="D868" s="2">
        <v>9.0</v>
      </c>
      <c r="E868" s="2">
        <v>2256.0</v>
      </c>
      <c r="F868" s="2">
        <v>2318.0</v>
      </c>
      <c r="G868" s="2">
        <v>240000.0</v>
      </c>
    </row>
    <row r="869" ht="15.75" customHeight="1">
      <c r="A869" s="2" t="s">
        <v>3022</v>
      </c>
      <c r="B869" s="2" t="s">
        <v>3025</v>
      </c>
      <c r="C869" s="2" t="s">
        <v>2703</v>
      </c>
      <c r="D869" s="2">
        <v>33.0</v>
      </c>
      <c r="E869" s="2">
        <v>1628.0</v>
      </c>
      <c r="F869" s="2">
        <v>1563.0</v>
      </c>
      <c r="G869" s="2">
        <v>145000.0</v>
      </c>
    </row>
    <row r="870" ht="15.75" customHeight="1">
      <c r="A870" s="2" t="s">
        <v>3026</v>
      </c>
      <c r="B870" s="2" t="s">
        <v>3027</v>
      </c>
      <c r="C870" s="2" t="s">
        <v>2703</v>
      </c>
      <c r="D870" s="2">
        <v>149.0</v>
      </c>
      <c r="E870" s="2">
        <v>2554.0</v>
      </c>
      <c r="F870" s="2">
        <v>2643.0</v>
      </c>
      <c r="G870" s="2">
        <v>171000.0</v>
      </c>
    </row>
    <row r="871" ht="15.75" customHeight="1">
      <c r="A871" s="2" t="s">
        <v>3029</v>
      </c>
      <c r="B871" s="2" t="s">
        <v>3031</v>
      </c>
      <c r="C871" s="2" t="s">
        <v>2703</v>
      </c>
      <c r="D871" s="2">
        <v>9.0</v>
      </c>
      <c r="E871" s="2">
        <v>969.0</v>
      </c>
      <c r="F871" s="2">
        <v>1149.0</v>
      </c>
      <c r="G871" s="2">
        <v>120000.0</v>
      </c>
    </row>
    <row r="872" ht="15.75" customHeight="1">
      <c r="A872" s="2" t="s">
        <v>3034</v>
      </c>
      <c r="B872" s="2" t="s">
        <v>3035</v>
      </c>
      <c r="C872" s="2" t="s">
        <v>2703</v>
      </c>
      <c r="D872" s="2">
        <v>17.0</v>
      </c>
      <c r="E872" s="2">
        <v>1396.0</v>
      </c>
      <c r="F872" s="2">
        <v>1686.0</v>
      </c>
      <c r="G872" s="2">
        <v>145600.0</v>
      </c>
    </row>
    <row r="873" ht="15.75" customHeight="1">
      <c r="A873" s="2" t="s">
        <v>3038</v>
      </c>
      <c r="B873" s="2" t="s">
        <v>3039</v>
      </c>
      <c r="C873" s="2" t="s">
        <v>2703</v>
      </c>
      <c r="D873" s="2">
        <v>10.0</v>
      </c>
      <c r="E873" s="2">
        <v>1054.0</v>
      </c>
      <c r="F873" s="2">
        <v>1196.0</v>
      </c>
      <c r="G873" s="2">
        <v>198000.0</v>
      </c>
    </row>
    <row r="874" ht="15.75" customHeight="1">
      <c r="A874" s="2" t="s">
        <v>3042</v>
      </c>
      <c r="B874" s="2" t="s">
        <v>3043</v>
      </c>
      <c r="C874" s="2" t="s">
        <v>2703</v>
      </c>
      <c r="D874" s="2">
        <v>8.0</v>
      </c>
      <c r="E874" s="2">
        <v>1717.0</v>
      </c>
      <c r="F874" s="2">
        <v>2106.0</v>
      </c>
      <c r="G874" s="2">
        <v>219200.0</v>
      </c>
    </row>
    <row r="875" ht="15.75" customHeight="1">
      <c r="A875" s="2" t="s">
        <v>3045</v>
      </c>
      <c r="B875" s="2" t="s">
        <v>3046</v>
      </c>
      <c r="C875" s="2" t="s">
        <v>2703</v>
      </c>
      <c r="D875" s="2">
        <v>5.0</v>
      </c>
      <c r="E875" s="2">
        <v>1304.0</v>
      </c>
      <c r="F875" s="2">
        <v>1364.0</v>
      </c>
      <c r="G875" s="2">
        <v>182500.0</v>
      </c>
    </row>
    <row r="876" ht="15.75" customHeight="1">
      <c r="A876" s="2" t="s">
        <v>3047</v>
      </c>
      <c r="B876" s="2" t="s">
        <v>3048</v>
      </c>
      <c r="C876" s="2" t="s">
        <v>2703</v>
      </c>
      <c r="D876" s="2">
        <v>7.0</v>
      </c>
      <c r="E876" s="2">
        <v>1479.0</v>
      </c>
      <c r="F876" s="2">
        <v>1256.0</v>
      </c>
      <c r="G876" s="2">
        <v>70000.0</v>
      </c>
    </row>
    <row r="877" ht="15.75" customHeight="1">
      <c r="A877" s="2" t="s">
        <v>3051</v>
      </c>
      <c r="B877" s="2" t="s">
        <v>3052</v>
      </c>
      <c r="C877" s="2" t="s">
        <v>2703</v>
      </c>
      <c r="D877" s="2">
        <v>12.0</v>
      </c>
      <c r="E877" s="2">
        <v>2209.0</v>
      </c>
      <c r="F877" s="2">
        <v>2168.0</v>
      </c>
      <c r="G877" s="2">
        <v>241925.0</v>
      </c>
    </row>
    <row r="878" ht="15.75" customHeight="1">
      <c r="A878" s="2" t="s">
        <v>3053</v>
      </c>
      <c r="B878" s="2" t="s">
        <v>3054</v>
      </c>
      <c r="C878" s="2" t="s">
        <v>2703</v>
      </c>
      <c r="D878" s="2">
        <v>6.0</v>
      </c>
      <c r="E878" s="2">
        <v>1202.0</v>
      </c>
      <c r="F878" s="2">
        <v>1341.0</v>
      </c>
      <c r="G878" s="2">
        <v>139500.0</v>
      </c>
    </row>
    <row r="879" ht="15.75" customHeight="1">
      <c r="A879" s="2" t="s">
        <v>3057</v>
      </c>
      <c r="B879" s="2" t="s">
        <v>3058</v>
      </c>
      <c r="C879" s="2" t="s">
        <v>2703</v>
      </c>
      <c r="D879" s="2">
        <v>7.0</v>
      </c>
      <c r="E879" s="2">
        <v>1100.0</v>
      </c>
      <c r="F879" s="2">
        <v>1213.0</v>
      </c>
      <c r="G879" s="2">
        <v>110000.0</v>
      </c>
    </row>
    <row r="880" ht="15.75" customHeight="1">
      <c r="A880" s="2" t="s">
        <v>3059</v>
      </c>
      <c r="B880" s="2" t="s">
        <v>3060</v>
      </c>
      <c r="C880" s="2" t="s">
        <v>2703</v>
      </c>
      <c r="D880" s="2">
        <v>5.0</v>
      </c>
      <c r="E880" s="2">
        <v>1786.0</v>
      </c>
      <c r="F880" s="2">
        <v>1855.0</v>
      </c>
      <c r="G880" s="2">
        <v>166750.0</v>
      </c>
    </row>
    <row r="881" ht="15.75" customHeight="1">
      <c r="A881" s="2" t="s">
        <v>3061</v>
      </c>
      <c r="B881" s="2" t="s">
        <v>3062</v>
      </c>
      <c r="C881" s="2" t="s">
        <v>2703</v>
      </c>
      <c r="D881" s="2">
        <v>16.0</v>
      </c>
      <c r="E881" s="2">
        <v>2250.0</v>
      </c>
      <c r="F881" s="2">
        <v>2364.0</v>
      </c>
      <c r="G881" s="2">
        <v>250000.0</v>
      </c>
    </row>
    <row r="882" ht="15.75" customHeight="1">
      <c r="A882" s="2" t="s">
        <v>3063</v>
      </c>
      <c r="B882" s="2" t="s">
        <v>3064</v>
      </c>
      <c r="C882" s="2" t="s">
        <v>2703</v>
      </c>
      <c r="D882" s="2">
        <v>6.0</v>
      </c>
      <c r="E882" s="2">
        <v>2089.0</v>
      </c>
      <c r="F882" s="2">
        <v>2246.0</v>
      </c>
      <c r="G882" s="2">
        <v>321000.0</v>
      </c>
    </row>
    <row r="883" ht="15.75" customHeight="1">
      <c r="A883" s="2" t="s">
        <v>3065</v>
      </c>
      <c r="B883" s="2" t="s">
        <v>3066</v>
      </c>
      <c r="C883" s="2" t="s">
        <v>2703</v>
      </c>
      <c r="D883" s="2">
        <v>8.0</v>
      </c>
      <c r="E883" s="2">
        <v>2370.0</v>
      </c>
      <c r="F883" s="2">
        <v>2091.0</v>
      </c>
      <c r="G883" s="2">
        <v>278000.0</v>
      </c>
    </row>
    <row r="884" ht="15.75" customHeight="1">
      <c r="A884" s="2" t="s">
        <v>3067</v>
      </c>
      <c r="B884" s="2" t="s">
        <v>3068</v>
      </c>
      <c r="C884" s="2" t="s">
        <v>2703</v>
      </c>
      <c r="D884" s="2">
        <v>5.0</v>
      </c>
      <c r="E884" s="2">
        <v>1064.0</v>
      </c>
      <c r="F884" s="2">
        <v>1069.0</v>
      </c>
      <c r="G884" s="2">
        <v>85000.0</v>
      </c>
    </row>
    <row r="885" ht="15.75" customHeight="1">
      <c r="A885" s="2" t="s">
        <v>3069</v>
      </c>
      <c r="B885" s="2" t="s">
        <v>3070</v>
      </c>
      <c r="C885" s="2" t="s">
        <v>2703</v>
      </c>
      <c r="D885" s="2">
        <v>6.0</v>
      </c>
      <c r="E885" s="2">
        <v>2060.0</v>
      </c>
      <c r="F885" s="2">
        <v>2071.0</v>
      </c>
      <c r="G885" s="2">
        <v>216500.0</v>
      </c>
    </row>
    <row r="886" ht="15.75" customHeight="1">
      <c r="A886" s="2" t="s">
        <v>3071</v>
      </c>
      <c r="B886" s="2" t="s">
        <v>3072</v>
      </c>
      <c r="C886" s="2" t="s">
        <v>2703</v>
      </c>
      <c r="D886" s="2">
        <v>31.0</v>
      </c>
      <c r="E886" s="2">
        <v>1950.0</v>
      </c>
      <c r="F886" s="2">
        <v>1937.0</v>
      </c>
      <c r="G886" s="2">
        <v>192000.0</v>
      </c>
    </row>
    <row r="887" ht="15.75" customHeight="1">
      <c r="A887" s="2" t="s">
        <v>3073</v>
      </c>
      <c r="B887" s="2" t="s">
        <v>3074</v>
      </c>
      <c r="C887" s="2" t="s">
        <v>2703</v>
      </c>
      <c r="D887" s="2">
        <v>11.0</v>
      </c>
      <c r="E887" s="2">
        <v>1200.0</v>
      </c>
      <c r="F887" s="2">
        <v>1074.0</v>
      </c>
      <c r="G887" s="2">
        <v>94500.0</v>
      </c>
    </row>
    <row r="888" ht="15.75" customHeight="1">
      <c r="A888" s="2" t="s">
        <v>3075</v>
      </c>
      <c r="B888" s="2" t="s">
        <v>3076</v>
      </c>
      <c r="C888" s="2" t="s">
        <v>2703</v>
      </c>
      <c r="D888" s="2">
        <v>32.0</v>
      </c>
      <c r="E888" s="2">
        <v>2003.0</v>
      </c>
      <c r="F888" s="2">
        <v>1918.0</v>
      </c>
      <c r="G888" s="2">
        <v>154875.0</v>
      </c>
    </row>
    <row r="889" ht="15.75" customHeight="1">
      <c r="A889" s="2" t="s">
        <v>3077</v>
      </c>
      <c r="B889" s="2" t="s">
        <v>3078</v>
      </c>
      <c r="C889" s="2" t="s">
        <v>2703</v>
      </c>
      <c r="D889" s="2">
        <v>7.0</v>
      </c>
      <c r="E889" s="2">
        <v>1933.0</v>
      </c>
      <c r="F889" s="2">
        <v>2226.0</v>
      </c>
      <c r="G889" s="2">
        <v>176000.0</v>
      </c>
    </row>
    <row r="890" ht="15.75" customHeight="1">
      <c r="A890" s="2" t="s">
        <v>3079</v>
      </c>
      <c r="B890" s="2" t="s">
        <v>3080</v>
      </c>
      <c r="C890" s="2" t="s">
        <v>2703</v>
      </c>
      <c r="D890" s="2">
        <v>20.0</v>
      </c>
      <c r="E890" s="2">
        <v>2760.0</v>
      </c>
      <c r="F890" s="2">
        <v>2603.0</v>
      </c>
      <c r="G890" s="2">
        <v>283400.0</v>
      </c>
    </row>
    <row r="891" ht="15.75" customHeight="1">
      <c r="A891" s="2" t="s">
        <v>3081</v>
      </c>
      <c r="B891" s="2" t="s">
        <v>1260</v>
      </c>
      <c r="C891" s="2" t="s">
        <v>2703</v>
      </c>
      <c r="D891" s="2">
        <v>9.0</v>
      </c>
      <c r="E891" s="2">
        <v>3016.0</v>
      </c>
      <c r="F891" s="2">
        <v>2712.0</v>
      </c>
      <c r="G891" s="2">
        <v>192000.0</v>
      </c>
    </row>
    <row r="892" ht="15.75" customHeight="1">
      <c r="A892" s="2" t="s">
        <v>3082</v>
      </c>
      <c r="B892" s="2" t="s">
        <v>3083</v>
      </c>
      <c r="C892" s="2" t="s">
        <v>2703</v>
      </c>
      <c r="D892" s="2">
        <v>6.0</v>
      </c>
      <c r="E892" s="2">
        <v>1358.0</v>
      </c>
      <c r="F892" s="2">
        <v>1795.0</v>
      </c>
      <c r="G892" s="2">
        <v>167500.0</v>
      </c>
    </row>
    <row r="893" ht="15.75" customHeight="1">
      <c r="A893" s="2" t="s">
        <v>3084</v>
      </c>
      <c r="B893" s="2" t="s">
        <v>3085</v>
      </c>
      <c r="C893" s="2" t="s">
        <v>2703</v>
      </c>
      <c r="D893" s="2">
        <v>36.0</v>
      </c>
      <c r="E893" s="2">
        <v>1428.0</v>
      </c>
      <c r="F893" s="2">
        <v>1418.0</v>
      </c>
      <c r="G893" s="2">
        <v>117240.0</v>
      </c>
    </row>
    <row r="894" ht="15.75" customHeight="1">
      <c r="A894" s="2" t="s">
        <v>3086</v>
      </c>
      <c r="B894" s="2" t="s">
        <v>3087</v>
      </c>
      <c r="C894" s="2" t="s">
        <v>2703</v>
      </c>
      <c r="D894" s="2">
        <v>6.0</v>
      </c>
      <c r="E894" s="2">
        <v>1187.0</v>
      </c>
      <c r="F894" s="2">
        <v>1245.0</v>
      </c>
      <c r="G894" s="2">
        <v>185000.0</v>
      </c>
    </row>
    <row r="895" ht="15.75" customHeight="1">
      <c r="A895" s="2" t="s">
        <v>3088</v>
      </c>
      <c r="B895" s="2" t="s">
        <v>3089</v>
      </c>
      <c r="C895" s="2" t="s">
        <v>2703</v>
      </c>
      <c r="D895" s="2">
        <v>9.0</v>
      </c>
      <c r="E895" s="2">
        <v>1944.0</v>
      </c>
      <c r="F895" s="2">
        <v>1915.0</v>
      </c>
      <c r="G895" s="2">
        <v>228000.0</v>
      </c>
    </row>
    <row r="896" ht="15.75" customHeight="1">
      <c r="A896" s="2" t="s">
        <v>3090</v>
      </c>
      <c r="B896" s="2" t="s">
        <v>3091</v>
      </c>
      <c r="C896" s="2" t="s">
        <v>2703</v>
      </c>
      <c r="D896" s="2">
        <v>11.0</v>
      </c>
      <c r="E896" s="2">
        <v>2759.0</v>
      </c>
      <c r="F896" s="2">
        <v>2630.0</v>
      </c>
      <c r="G896" s="2">
        <v>255000.0</v>
      </c>
    </row>
    <row r="897" ht="15.75" customHeight="1">
      <c r="A897" s="2" t="s">
        <v>3092</v>
      </c>
      <c r="B897" s="2" t="s">
        <v>3093</v>
      </c>
      <c r="C897" s="2" t="s">
        <v>2703</v>
      </c>
      <c r="D897" s="2">
        <v>7.0</v>
      </c>
      <c r="E897" s="2">
        <v>1948.0</v>
      </c>
      <c r="F897" s="2">
        <v>1933.0</v>
      </c>
      <c r="G897" s="2">
        <v>250540.0</v>
      </c>
    </row>
    <row r="898" ht="15.75" customHeight="1">
      <c r="A898" s="2" t="s">
        <v>3094</v>
      </c>
      <c r="B898" s="2" t="s">
        <v>3095</v>
      </c>
      <c r="C898" s="2" t="s">
        <v>2703</v>
      </c>
      <c r="D898" s="2">
        <v>8.0</v>
      </c>
      <c r="E898" s="2">
        <v>2416.0</v>
      </c>
      <c r="F898" s="2">
        <v>2423.0</v>
      </c>
      <c r="G898" s="2">
        <v>208300.0</v>
      </c>
    </row>
    <row r="899" ht="15.75" customHeight="1">
      <c r="A899" s="2" t="s">
        <v>3096</v>
      </c>
      <c r="B899" s="2" t="s">
        <v>3097</v>
      </c>
      <c r="C899" s="2" t="s">
        <v>2703</v>
      </c>
      <c r="D899" s="2">
        <v>7.0</v>
      </c>
      <c r="E899" s="2">
        <v>2150.0</v>
      </c>
      <c r="F899" s="2">
        <v>1852.0</v>
      </c>
      <c r="G899" s="2">
        <v>210000.0</v>
      </c>
    </row>
    <row r="900" ht="15.75" customHeight="1">
      <c r="A900" s="2" t="s">
        <v>3098</v>
      </c>
      <c r="B900" s="2" t="s">
        <v>3099</v>
      </c>
      <c r="C900" s="2" t="s">
        <v>2703</v>
      </c>
      <c r="D900" s="2">
        <v>8.0</v>
      </c>
      <c r="E900" s="2">
        <v>1344.0</v>
      </c>
      <c r="F900" s="2">
        <v>1340.0</v>
      </c>
      <c r="G900" s="2">
        <v>127000.0</v>
      </c>
    </row>
    <row r="901" ht="15.75" customHeight="1">
      <c r="A901" s="2" t="s">
        <v>3100</v>
      </c>
      <c r="B901" s="2" t="s">
        <v>3101</v>
      </c>
      <c r="C901" s="2" t="s">
        <v>2703</v>
      </c>
      <c r="D901" s="2">
        <v>7.0</v>
      </c>
      <c r="E901" s="2">
        <v>1663.0</v>
      </c>
      <c r="F901" s="2">
        <v>1662.0</v>
      </c>
      <c r="G901" s="2">
        <v>190000.0</v>
      </c>
    </row>
    <row r="902" ht="15.75" customHeight="1">
      <c r="A902" s="2" t="s">
        <v>3102</v>
      </c>
      <c r="B902" s="2" t="s">
        <v>3103</v>
      </c>
      <c r="C902" s="2" t="s">
        <v>2703</v>
      </c>
      <c r="D902" s="2">
        <v>5.0</v>
      </c>
      <c r="E902" s="2">
        <v>1967.0</v>
      </c>
      <c r="F902" s="2">
        <v>1671.0</v>
      </c>
      <c r="G902" s="2">
        <v>116000.0</v>
      </c>
    </row>
    <row r="903" ht="15.75" customHeight="1">
      <c r="A903" s="2" t="s">
        <v>3104</v>
      </c>
      <c r="B903" s="2" t="s">
        <v>3105</v>
      </c>
      <c r="C903" s="2" t="s">
        <v>2703</v>
      </c>
      <c r="D903" s="2">
        <v>7.0</v>
      </c>
      <c r="E903" s="2">
        <v>1429.0</v>
      </c>
      <c r="F903" s="2">
        <v>1849.0</v>
      </c>
      <c r="G903" s="2">
        <v>130000.0</v>
      </c>
    </row>
    <row r="904" ht="15.75" customHeight="1">
      <c r="A904" s="2" t="s">
        <v>3106</v>
      </c>
      <c r="B904" s="2" t="s">
        <v>3107</v>
      </c>
      <c r="C904" s="2" t="s">
        <v>2703</v>
      </c>
      <c r="D904" s="2">
        <v>90.0</v>
      </c>
      <c r="E904" s="2">
        <v>3522.0</v>
      </c>
      <c r="F904" s="2">
        <v>3522.0</v>
      </c>
      <c r="G904" s="2">
        <v>289925.0</v>
      </c>
    </row>
    <row r="905" ht="15.75" customHeight="1">
      <c r="A905" s="2" t="s">
        <v>3108</v>
      </c>
      <c r="B905" s="2" t="s">
        <v>3109</v>
      </c>
      <c r="C905" s="2" t="s">
        <v>2703</v>
      </c>
      <c r="D905" s="2">
        <v>15.0</v>
      </c>
      <c r="E905" s="2">
        <v>1884.0</v>
      </c>
      <c r="F905" s="2">
        <v>1874.0</v>
      </c>
      <c r="G905" s="2">
        <v>212000.0</v>
      </c>
    </row>
    <row r="906" ht="15.75" customHeight="1">
      <c r="A906" s="2" t="s">
        <v>3110</v>
      </c>
      <c r="B906" s="2" t="s">
        <v>3111</v>
      </c>
      <c r="C906" s="2" t="s">
        <v>2703</v>
      </c>
      <c r="D906" s="2">
        <v>28.0</v>
      </c>
      <c r="E906" s="2">
        <v>1525.0</v>
      </c>
      <c r="F906" s="2">
        <v>1695.0</v>
      </c>
      <c r="G906" s="2">
        <v>158000.0</v>
      </c>
    </row>
    <row r="907" ht="15.75" customHeight="1">
      <c r="A907" s="2" t="s">
        <v>3112</v>
      </c>
      <c r="B907" s="2" t="s">
        <v>3113</v>
      </c>
      <c r="C907" s="2" t="s">
        <v>2703</v>
      </c>
      <c r="D907" s="2">
        <v>6.0</v>
      </c>
      <c r="E907" s="2">
        <v>1657.0</v>
      </c>
      <c r="F907" s="2">
        <v>1588.0</v>
      </c>
      <c r="G907" s="2">
        <v>155000.0</v>
      </c>
    </row>
    <row r="908" ht="15.75" customHeight="1">
      <c r="A908" s="2" t="s">
        <v>3114</v>
      </c>
      <c r="B908" s="2" t="s">
        <v>3115</v>
      </c>
      <c r="C908" s="2" t="s">
        <v>2703</v>
      </c>
      <c r="D908" s="2">
        <v>12.0</v>
      </c>
      <c r="E908" s="2">
        <v>1423.0</v>
      </c>
      <c r="F908" s="2">
        <v>1516.0</v>
      </c>
      <c r="G908" s="2">
        <v>106000.0</v>
      </c>
    </row>
    <row r="909" ht="15.75" customHeight="1">
      <c r="A909" s="2" t="s">
        <v>3116</v>
      </c>
      <c r="B909" s="2" t="s">
        <v>3117</v>
      </c>
      <c r="C909" s="2" t="s">
        <v>2703</v>
      </c>
      <c r="D909" s="2">
        <v>8.0</v>
      </c>
      <c r="E909" s="2">
        <v>1092.0</v>
      </c>
      <c r="F909" s="2">
        <v>1215.0</v>
      </c>
      <c r="G909" s="2">
        <v>131000.0</v>
      </c>
    </row>
    <row r="910" ht="15.75" customHeight="1">
      <c r="A910" s="2" t="s">
        <v>3118</v>
      </c>
      <c r="B910" s="2" t="s">
        <v>3119</v>
      </c>
      <c r="C910" s="2" t="s">
        <v>2703</v>
      </c>
      <c r="D910" s="2">
        <v>5.0</v>
      </c>
      <c r="E910" s="2">
        <v>1150.0</v>
      </c>
      <c r="F910" s="2">
        <v>1250.0</v>
      </c>
      <c r="G910" s="2">
        <v>115000.0</v>
      </c>
    </row>
    <row r="911" ht="15.75" customHeight="1">
      <c r="A911" s="2" t="s">
        <v>3120</v>
      </c>
      <c r="B911" s="2" t="s">
        <v>3121</v>
      </c>
      <c r="C911" s="2" t="s">
        <v>2703</v>
      </c>
      <c r="D911" s="2">
        <v>9.0</v>
      </c>
      <c r="E911" s="2">
        <v>1675.0</v>
      </c>
      <c r="F911" s="2">
        <v>1678.0</v>
      </c>
      <c r="G911" s="2">
        <v>125000.0</v>
      </c>
    </row>
    <row r="912" ht="15.75" customHeight="1">
      <c r="A912" s="2" t="s">
        <v>3122</v>
      </c>
      <c r="B912" s="2" t="s">
        <v>3123</v>
      </c>
      <c r="C912" s="2" t="s">
        <v>2703</v>
      </c>
      <c r="D912" s="2">
        <v>11.0</v>
      </c>
      <c r="E912" s="2">
        <v>1875.0</v>
      </c>
      <c r="F912" s="2">
        <v>1897.0</v>
      </c>
      <c r="G912" s="2">
        <v>220000.0</v>
      </c>
    </row>
    <row r="913" ht="15.75" customHeight="1">
      <c r="A913" s="2" t="s">
        <v>3124</v>
      </c>
      <c r="B913" s="2" t="s">
        <v>3125</v>
      </c>
      <c r="C913" s="2" t="s">
        <v>2703</v>
      </c>
      <c r="D913" s="2">
        <v>7.0</v>
      </c>
      <c r="E913" s="2">
        <v>1961.0</v>
      </c>
      <c r="F913" s="2">
        <v>1945.0</v>
      </c>
      <c r="G913" s="2">
        <v>175350.0</v>
      </c>
    </row>
    <row r="914" ht="15.75" customHeight="1">
      <c r="A914" s="2" t="s">
        <v>3126</v>
      </c>
      <c r="B914" s="2" t="s">
        <v>3127</v>
      </c>
      <c r="C914" s="2" t="s">
        <v>2703</v>
      </c>
      <c r="D914" s="2">
        <v>25.0</v>
      </c>
      <c r="E914" s="2">
        <v>2014.0</v>
      </c>
      <c r="F914" s="2">
        <v>1984.0</v>
      </c>
      <c r="G914" s="2">
        <v>185000.0</v>
      </c>
    </row>
    <row r="915" ht="15.75" customHeight="1">
      <c r="A915" s="2" t="s">
        <v>3129</v>
      </c>
      <c r="B915" s="2" t="s">
        <v>3131</v>
      </c>
      <c r="C915" s="2" t="s">
        <v>2703</v>
      </c>
      <c r="D915" s="2">
        <v>7.0</v>
      </c>
      <c r="E915" s="2">
        <v>2160.0</v>
      </c>
      <c r="F915" s="2">
        <v>2048.0</v>
      </c>
      <c r="G915" s="2">
        <v>203000.0</v>
      </c>
    </row>
    <row r="916" ht="15.75" customHeight="1">
      <c r="A916" s="2" t="s">
        <v>3132</v>
      </c>
      <c r="B916" s="2" t="s">
        <v>3133</v>
      </c>
      <c r="C916" s="2" t="s">
        <v>2703</v>
      </c>
      <c r="D916" s="2">
        <v>11.0</v>
      </c>
      <c r="E916" s="2">
        <v>2634.0</v>
      </c>
      <c r="F916" s="2">
        <v>2388.0</v>
      </c>
      <c r="G916" s="2">
        <v>202000.0</v>
      </c>
    </row>
    <row r="917" ht="15.75" customHeight="1">
      <c r="A917" s="2" t="s">
        <v>3134</v>
      </c>
      <c r="B917" s="2" t="s">
        <v>3135</v>
      </c>
      <c r="C917" s="2" t="s">
        <v>2703</v>
      </c>
      <c r="D917" s="2">
        <v>11.0</v>
      </c>
      <c r="E917" s="2">
        <v>2697.0</v>
      </c>
      <c r="F917" s="2">
        <v>2515.0</v>
      </c>
      <c r="G917" s="2">
        <v>237000.0</v>
      </c>
    </row>
    <row r="918" ht="15.75" customHeight="1">
      <c r="A918" s="2" t="s">
        <v>3138</v>
      </c>
      <c r="B918" s="2" t="s">
        <v>3139</v>
      </c>
      <c r="C918" s="2" t="s">
        <v>2703</v>
      </c>
      <c r="D918" s="2">
        <v>5.0</v>
      </c>
      <c r="E918" s="2">
        <v>1547.0</v>
      </c>
      <c r="F918" s="2">
        <v>1726.0</v>
      </c>
      <c r="G918" s="2">
        <v>250000.0</v>
      </c>
    </row>
    <row r="919" ht="15.75" customHeight="1">
      <c r="A919" s="2" t="s">
        <v>3140</v>
      </c>
      <c r="B919" s="2" t="s">
        <v>3141</v>
      </c>
      <c r="C919" s="2" t="s">
        <v>2703</v>
      </c>
      <c r="D919" s="2">
        <v>9.0</v>
      </c>
      <c r="E919" s="2">
        <v>1712.0</v>
      </c>
      <c r="F919" s="2">
        <v>2115.0</v>
      </c>
      <c r="G919" s="2">
        <v>178000.0</v>
      </c>
    </row>
    <row r="920" ht="15.75" customHeight="1">
      <c r="A920" s="2" t="s">
        <v>3144</v>
      </c>
      <c r="B920" s="2" t="s">
        <v>3145</v>
      </c>
      <c r="C920" s="2" t="s">
        <v>2703</v>
      </c>
      <c r="D920" s="2">
        <v>11.0</v>
      </c>
      <c r="E920" s="2">
        <v>1707.0</v>
      </c>
      <c r="F920" s="2">
        <v>1534.0</v>
      </c>
      <c r="G920" s="2">
        <v>128000.0</v>
      </c>
    </row>
    <row r="921" ht="15.75" customHeight="1">
      <c r="A921" s="2" t="s">
        <v>3148</v>
      </c>
      <c r="B921" s="2" t="s">
        <v>3149</v>
      </c>
      <c r="C921" s="2" t="s">
        <v>2703</v>
      </c>
      <c r="D921" s="2">
        <v>20.0</v>
      </c>
      <c r="E921" s="2">
        <v>2480.0</v>
      </c>
      <c r="F921" s="2">
        <v>2324.0</v>
      </c>
      <c r="G921" s="2">
        <v>228500.0</v>
      </c>
    </row>
    <row r="922" ht="15.75" customHeight="1">
      <c r="A922" s="2" t="s">
        <v>3150</v>
      </c>
      <c r="B922" s="2" t="s">
        <v>3151</v>
      </c>
      <c r="C922" s="2" t="s">
        <v>2703</v>
      </c>
      <c r="D922" s="2">
        <v>7.0</v>
      </c>
      <c r="E922" s="2">
        <v>2794.0</v>
      </c>
      <c r="F922" s="2">
        <v>2837.0</v>
      </c>
      <c r="G922" s="2">
        <v>250000.0</v>
      </c>
    </row>
    <row r="923" ht="15.75" customHeight="1">
      <c r="A923" s="2" t="s">
        <v>3152</v>
      </c>
      <c r="B923" s="2" t="s">
        <v>3153</v>
      </c>
      <c r="C923" s="2" t="s">
        <v>2703</v>
      </c>
      <c r="D923" s="2">
        <v>9.0</v>
      </c>
      <c r="E923" s="2">
        <v>1667.0</v>
      </c>
      <c r="F923" s="2">
        <v>1677.0</v>
      </c>
      <c r="G923" s="2">
        <v>145000.0</v>
      </c>
    </row>
    <row r="924" ht="15.75" customHeight="1">
      <c r="A924" s="2" t="s">
        <v>3154</v>
      </c>
      <c r="B924" s="2" t="s">
        <v>3155</v>
      </c>
      <c r="C924" s="2" t="s">
        <v>2703</v>
      </c>
      <c r="D924" s="2">
        <v>27.0</v>
      </c>
      <c r="E924" s="2">
        <v>3168.0</v>
      </c>
      <c r="F924" s="2">
        <v>3221.0</v>
      </c>
      <c r="G924" s="2">
        <v>290000.0</v>
      </c>
    </row>
    <row r="925" ht="15.75" customHeight="1">
      <c r="A925" s="2" t="s">
        <v>3156</v>
      </c>
      <c r="B925" s="2" t="s">
        <v>3157</v>
      </c>
      <c r="C925" s="2" t="s">
        <v>2703</v>
      </c>
      <c r="D925" s="2">
        <v>6.0</v>
      </c>
      <c r="E925" s="2">
        <v>2212.0</v>
      </c>
      <c r="F925" s="2">
        <v>2163.0</v>
      </c>
      <c r="G925" s="2">
        <v>170000.0</v>
      </c>
    </row>
    <row r="926" ht="15.75" customHeight="1">
      <c r="A926" s="2" t="s">
        <v>3158</v>
      </c>
      <c r="B926" s="2" t="s">
        <v>3159</v>
      </c>
      <c r="C926" s="2" t="s">
        <v>2703</v>
      </c>
      <c r="D926" s="2">
        <v>20.0</v>
      </c>
      <c r="E926" s="2">
        <v>2064.0</v>
      </c>
      <c r="F926" s="2">
        <v>2015.0</v>
      </c>
      <c r="G926" s="2">
        <v>221000.0</v>
      </c>
    </row>
    <row r="927" ht="15.75" customHeight="1">
      <c r="A927" s="2" t="s">
        <v>3160</v>
      </c>
      <c r="B927" s="2" t="s">
        <v>3161</v>
      </c>
      <c r="C927" s="2" t="s">
        <v>2703</v>
      </c>
      <c r="D927" s="2">
        <v>12.0</v>
      </c>
      <c r="E927" s="2">
        <v>2065.0</v>
      </c>
      <c r="F927" s="2">
        <v>1999.0</v>
      </c>
      <c r="G927" s="2">
        <v>167500.0</v>
      </c>
    </row>
    <row r="928" ht="15.75" customHeight="1">
      <c r="A928" s="2" t="s">
        <v>3162</v>
      </c>
      <c r="B928" s="2" t="s">
        <v>3165</v>
      </c>
      <c r="C928" s="2" t="s">
        <v>2703</v>
      </c>
      <c r="D928" s="2">
        <v>5.0</v>
      </c>
      <c r="E928" s="2">
        <v>1000.0</v>
      </c>
      <c r="F928" s="2">
        <v>1283.0</v>
      </c>
      <c r="G928" s="2">
        <v>127000.0</v>
      </c>
    </row>
    <row r="929" ht="15.75" customHeight="1">
      <c r="A929" s="2" t="s">
        <v>3166</v>
      </c>
      <c r="B929" s="2" t="s">
        <v>3167</v>
      </c>
      <c r="C929" s="2" t="s">
        <v>2703</v>
      </c>
      <c r="D929" s="2">
        <v>9.0</v>
      </c>
      <c r="E929" s="2">
        <v>1410.0</v>
      </c>
      <c r="F929" s="2">
        <v>1678.0</v>
      </c>
      <c r="G929" s="2">
        <v>160000.0</v>
      </c>
    </row>
    <row r="930" ht="15.75" customHeight="1">
      <c r="A930" s="2" t="s">
        <v>3170</v>
      </c>
      <c r="B930" s="2" t="s">
        <v>3171</v>
      </c>
      <c r="C930" s="2" t="s">
        <v>2703</v>
      </c>
      <c r="D930" s="2">
        <v>7.0</v>
      </c>
      <c r="E930" s="2">
        <v>1722.0</v>
      </c>
      <c r="F930" s="2">
        <v>2106.0</v>
      </c>
      <c r="G930" s="2">
        <v>163000.0</v>
      </c>
    </row>
    <row r="931" ht="15.75" customHeight="1">
      <c r="A931" s="2" t="s">
        <v>3174</v>
      </c>
      <c r="B931" s="2" t="s">
        <v>3175</v>
      </c>
      <c r="C931" s="2" t="s">
        <v>2703</v>
      </c>
      <c r="D931" s="2">
        <v>7.0</v>
      </c>
      <c r="E931" s="2">
        <v>2252.0</v>
      </c>
      <c r="F931" s="2">
        <v>2319.0</v>
      </c>
      <c r="G931" s="2">
        <v>194000.0</v>
      </c>
    </row>
    <row r="932" ht="15.75" customHeight="1">
      <c r="A932" s="2" t="s">
        <v>3178</v>
      </c>
      <c r="B932" s="2" t="s">
        <v>3179</v>
      </c>
      <c r="C932" s="2" t="s">
        <v>2703</v>
      </c>
      <c r="D932" s="2">
        <v>8.0</v>
      </c>
      <c r="E932" s="2">
        <v>2270.0</v>
      </c>
      <c r="F932" s="2">
        <v>2040.0</v>
      </c>
      <c r="G932" s="2">
        <v>219850.0</v>
      </c>
    </row>
    <row r="933" ht="15.75" customHeight="1">
      <c r="A933" s="2" t="s">
        <v>3181</v>
      </c>
      <c r="B933" s="2" t="s">
        <v>3182</v>
      </c>
      <c r="C933" s="2" t="s">
        <v>2703</v>
      </c>
      <c r="D933" s="2">
        <v>13.0</v>
      </c>
      <c r="E933" s="2">
        <v>1717.0</v>
      </c>
      <c r="F933" s="2">
        <v>1762.0</v>
      </c>
      <c r="G933" s="2">
        <v>210000.0</v>
      </c>
    </row>
    <row r="934" ht="15.75" customHeight="1">
      <c r="A934" s="2" t="s">
        <v>3183</v>
      </c>
      <c r="B934" s="2" t="s">
        <v>3184</v>
      </c>
      <c r="C934" s="2" t="s">
        <v>2703</v>
      </c>
      <c r="D934" s="2">
        <v>14.0</v>
      </c>
      <c r="E934" s="2">
        <v>1425.0</v>
      </c>
      <c r="F934" s="2">
        <v>1903.0</v>
      </c>
      <c r="G934" s="2">
        <v>182560.0</v>
      </c>
    </row>
    <row r="935" ht="15.75" customHeight="1">
      <c r="A935" s="2" t="s">
        <v>3185</v>
      </c>
      <c r="B935" s="2" t="s">
        <v>3186</v>
      </c>
      <c r="C935" s="2" t="s">
        <v>2703</v>
      </c>
      <c r="D935" s="2">
        <v>7.0</v>
      </c>
      <c r="E935" s="2">
        <v>2975.0</v>
      </c>
      <c r="F935" s="2">
        <v>2981.0</v>
      </c>
      <c r="G935" s="2">
        <v>282000.0</v>
      </c>
    </row>
    <row r="936" ht="15.75" customHeight="1">
      <c r="A936" s="2" t="s">
        <v>3187</v>
      </c>
      <c r="B936" s="2" t="s">
        <v>3188</v>
      </c>
      <c r="C936" s="2" t="s">
        <v>2703</v>
      </c>
      <c r="D936" s="2">
        <v>61.0</v>
      </c>
      <c r="E936" s="2">
        <v>2273.0</v>
      </c>
      <c r="F936" s="2">
        <v>2365.0</v>
      </c>
      <c r="G936" s="2">
        <v>213000.0</v>
      </c>
    </row>
    <row r="937" ht="15.75" customHeight="1">
      <c r="A937" s="2" t="s">
        <v>3191</v>
      </c>
      <c r="B937" s="2" t="s">
        <v>3192</v>
      </c>
      <c r="C937" s="2" t="s">
        <v>2703</v>
      </c>
      <c r="D937" s="2">
        <v>5.0</v>
      </c>
      <c r="E937" s="2">
        <v>1538.0</v>
      </c>
      <c r="F937" s="2">
        <v>1522.0</v>
      </c>
      <c r="G937" s="2">
        <v>160000.0</v>
      </c>
    </row>
    <row r="938" ht="15.75" customHeight="1">
      <c r="A938" s="2" t="s">
        <v>3193</v>
      </c>
      <c r="B938" s="2" t="s">
        <v>3194</v>
      </c>
      <c r="C938" s="2" t="s">
        <v>2703</v>
      </c>
      <c r="D938" s="2">
        <v>18.0</v>
      </c>
      <c r="E938" s="2">
        <v>2577.0</v>
      </c>
      <c r="F938" s="2">
        <v>2699.0</v>
      </c>
      <c r="G938" s="2">
        <v>281250.0</v>
      </c>
    </row>
    <row r="939" ht="15.75" customHeight="1">
      <c r="A939" s="2" t="s">
        <v>3195</v>
      </c>
      <c r="B939" s="2" t="s">
        <v>3196</v>
      </c>
      <c r="C939" s="2" t="s">
        <v>2703</v>
      </c>
      <c r="D939" s="2">
        <v>49.0</v>
      </c>
      <c r="E939" s="2">
        <v>2014.0</v>
      </c>
      <c r="F939" s="2">
        <v>2109.0</v>
      </c>
      <c r="G939" s="2">
        <v>170000.0</v>
      </c>
    </row>
    <row r="940" ht="15.75" customHeight="1">
      <c r="A940" s="2" t="s">
        <v>3197</v>
      </c>
      <c r="B940" s="2" t="s">
        <v>3198</v>
      </c>
      <c r="C940" s="2" t="s">
        <v>2703</v>
      </c>
      <c r="D940" s="2">
        <v>10.0</v>
      </c>
      <c r="E940" s="2">
        <v>2099.0</v>
      </c>
      <c r="F940" s="2">
        <v>1935.0</v>
      </c>
      <c r="G940" s="2">
        <v>197000.0</v>
      </c>
    </row>
    <row r="941" ht="15.75" customHeight="1">
      <c r="A941" s="2" t="s">
        <v>3201</v>
      </c>
      <c r="B941" s="2" t="s">
        <v>3202</v>
      </c>
      <c r="C941" s="2" t="s">
        <v>2703</v>
      </c>
      <c r="D941" s="2">
        <v>97.0</v>
      </c>
      <c r="E941" s="2">
        <v>3255.0</v>
      </c>
      <c r="F941" s="2">
        <v>3405.0</v>
      </c>
      <c r="G941" s="2">
        <v>320000.0</v>
      </c>
    </row>
    <row r="942" ht="15.75" customHeight="1">
      <c r="A942" s="2" t="s">
        <v>3205</v>
      </c>
      <c r="B942" s="2" t="s">
        <v>3206</v>
      </c>
      <c r="C942" s="2" t="s">
        <v>2703</v>
      </c>
      <c r="D942" s="2">
        <v>7.0</v>
      </c>
      <c r="E942" s="2">
        <v>1310.0</v>
      </c>
      <c r="F942" s="2">
        <v>1242.0</v>
      </c>
      <c r="G942" s="2">
        <v>142977.0</v>
      </c>
    </row>
    <row r="943" ht="15.75" customHeight="1">
      <c r="A943" s="2" t="s">
        <v>3207</v>
      </c>
      <c r="B943" s="2" t="s">
        <v>3208</v>
      </c>
      <c r="C943" s="2" t="s">
        <v>2703</v>
      </c>
      <c r="D943" s="2">
        <v>17.0</v>
      </c>
      <c r="E943" s="2">
        <v>1650.0</v>
      </c>
      <c r="F943" s="2">
        <v>1548.0</v>
      </c>
      <c r="G943" s="2">
        <v>150000.0</v>
      </c>
    </row>
    <row r="944" ht="15.75" customHeight="1">
      <c r="A944" s="2" t="s">
        <v>3210</v>
      </c>
      <c r="B944" s="2" t="s">
        <v>3212</v>
      </c>
      <c r="C944" s="2" t="s">
        <v>2703</v>
      </c>
      <c r="D944" s="2">
        <v>13.0</v>
      </c>
      <c r="E944" s="2">
        <v>1408.0</v>
      </c>
      <c r="F944" s="2">
        <v>1612.0</v>
      </c>
      <c r="G944" s="2">
        <v>213000.0</v>
      </c>
    </row>
    <row r="945" ht="15.75" customHeight="1">
      <c r="A945" s="2" t="s">
        <v>3214</v>
      </c>
      <c r="B945" s="2" t="s">
        <v>3216</v>
      </c>
      <c r="C945" s="2" t="s">
        <v>2703</v>
      </c>
      <c r="D945" s="2">
        <v>11.0</v>
      </c>
      <c r="E945" s="2">
        <v>2517.0</v>
      </c>
      <c r="F945" s="2">
        <v>2659.0</v>
      </c>
      <c r="G945" s="2">
        <v>220000.0</v>
      </c>
    </row>
    <row r="946" ht="15.75" customHeight="1">
      <c r="A946" s="2" t="s">
        <v>3217</v>
      </c>
      <c r="B946" s="2" t="s">
        <v>3218</v>
      </c>
      <c r="C946" s="2" t="s">
        <v>2703</v>
      </c>
      <c r="D946" s="2">
        <v>5.0</v>
      </c>
      <c r="E946" s="2">
        <v>1286.0</v>
      </c>
      <c r="F946" s="2">
        <v>1346.0</v>
      </c>
      <c r="G946" s="2">
        <v>178000.0</v>
      </c>
    </row>
    <row r="947" ht="15.75" customHeight="1">
      <c r="A947" s="2" t="s">
        <v>3219</v>
      </c>
      <c r="B947" s="2" t="s">
        <v>3220</v>
      </c>
      <c r="C947" s="2" t="s">
        <v>2703</v>
      </c>
      <c r="D947" s="2">
        <v>6.0</v>
      </c>
      <c r="E947" s="2">
        <v>2038.0</v>
      </c>
      <c r="F947" s="2">
        <v>1920.0</v>
      </c>
      <c r="G947" s="2">
        <v>188300.0</v>
      </c>
    </row>
    <row r="948" ht="15.75" customHeight="1">
      <c r="A948" s="2" t="s">
        <v>3221</v>
      </c>
      <c r="B948" s="2" t="s">
        <v>3222</v>
      </c>
      <c r="C948" s="2" t="s">
        <v>2703</v>
      </c>
      <c r="D948" s="2">
        <v>5.0</v>
      </c>
      <c r="E948" s="2">
        <v>766.0</v>
      </c>
      <c r="F948" s="2">
        <v>935.0</v>
      </c>
      <c r="G948" s="2">
        <v>144000.0</v>
      </c>
    </row>
    <row r="949" ht="15.75" customHeight="1">
      <c r="A949" s="2" t="s">
        <v>3223</v>
      </c>
      <c r="B949" s="2" t="s">
        <v>3224</v>
      </c>
      <c r="C949" s="2" t="s">
        <v>2703</v>
      </c>
      <c r="D949" s="2">
        <v>10.0</v>
      </c>
      <c r="E949" s="2">
        <v>1842.0</v>
      </c>
      <c r="F949" s="2">
        <v>1811.0</v>
      </c>
      <c r="G949" s="2">
        <v>230000.0</v>
      </c>
    </row>
    <row r="950" ht="15.75" customHeight="1">
      <c r="A950" s="2" t="s">
        <v>3225</v>
      </c>
      <c r="B950" s="2" t="s">
        <v>3228</v>
      </c>
      <c r="C950" s="2" t="s">
        <v>2703</v>
      </c>
      <c r="D950" s="2">
        <v>37.0</v>
      </c>
      <c r="E950" s="2">
        <v>2746.0</v>
      </c>
      <c r="F950" s="2">
        <v>2611.0</v>
      </c>
      <c r="G950" s="2">
        <v>267000.0</v>
      </c>
    </row>
    <row r="951" ht="15.75" customHeight="1">
      <c r="A951" s="2" t="s">
        <v>3229</v>
      </c>
      <c r="B951" s="2" t="s">
        <v>3230</v>
      </c>
      <c r="C951" s="2" t="s">
        <v>2703</v>
      </c>
      <c r="D951" s="2">
        <v>19.0</v>
      </c>
      <c r="E951" s="2">
        <v>2500.0</v>
      </c>
      <c r="F951" s="2">
        <v>2462.0</v>
      </c>
      <c r="G951" s="2">
        <v>242000.0</v>
      </c>
    </row>
    <row r="952" ht="15.75" customHeight="1">
      <c r="A952" s="2" t="s">
        <v>3232</v>
      </c>
      <c r="B952" s="2" t="s">
        <v>3234</v>
      </c>
      <c r="C952" s="2" t="s">
        <v>2703</v>
      </c>
      <c r="D952" s="2">
        <v>6.0</v>
      </c>
      <c r="E952" s="2">
        <v>1323.0</v>
      </c>
      <c r="F952" s="2">
        <v>1471.0</v>
      </c>
      <c r="G952" s="2">
        <v>268500.0</v>
      </c>
    </row>
    <row r="953" ht="15.75" customHeight="1">
      <c r="A953" s="2" t="s">
        <v>3235</v>
      </c>
      <c r="B953" s="2" t="s">
        <v>3236</v>
      </c>
      <c r="C953" s="2" t="s">
        <v>2703</v>
      </c>
      <c r="D953" s="2">
        <v>10.0</v>
      </c>
      <c r="E953" s="2">
        <v>2010.0</v>
      </c>
      <c r="F953" s="2">
        <v>1827.0</v>
      </c>
      <c r="G953" s="2">
        <v>140000.0</v>
      </c>
    </row>
    <row r="954" ht="15.75" customHeight="1">
      <c r="A954" s="2" t="s">
        <v>3239</v>
      </c>
      <c r="B954" s="2" t="s">
        <v>3240</v>
      </c>
      <c r="C954" s="2" t="s">
        <v>2703</v>
      </c>
      <c r="D954" s="2">
        <v>42.0</v>
      </c>
      <c r="E954" s="2">
        <v>2867.0</v>
      </c>
      <c r="F954" s="2">
        <v>2840.0</v>
      </c>
      <c r="G954" s="2">
        <v>207500.0</v>
      </c>
    </row>
    <row r="955" ht="15.75" customHeight="1">
      <c r="A955" s="2" t="s">
        <v>3241</v>
      </c>
      <c r="B955" s="2" t="s">
        <v>3242</v>
      </c>
      <c r="C955" s="2" t="s">
        <v>2703</v>
      </c>
      <c r="D955" s="2">
        <v>21.0</v>
      </c>
      <c r="E955" s="2">
        <v>2211.0</v>
      </c>
      <c r="F955" s="2">
        <v>2136.0</v>
      </c>
      <c r="G955" s="2">
        <v>158500.0</v>
      </c>
    </row>
    <row r="956" ht="15.75" customHeight="1">
      <c r="A956" s="2" t="s">
        <v>3243</v>
      </c>
      <c r="B956" s="2" t="s">
        <v>3244</v>
      </c>
      <c r="C956" s="2" t="s">
        <v>2703</v>
      </c>
      <c r="D956" s="2">
        <v>5.0</v>
      </c>
      <c r="E956" s="2">
        <v>2073.0</v>
      </c>
      <c r="F956" s="2">
        <v>3034.0</v>
      </c>
      <c r="G956" s="2">
        <v>255000.0</v>
      </c>
    </row>
    <row r="957" ht="15.75" customHeight="1">
      <c r="A957" s="2" t="s">
        <v>3245</v>
      </c>
      <c r="B957" s="2" t="s">
        <v>3246</v>
      </c>
      <c r="C957" s="2" t="s">
        <v>2703</v>
      </c>
      <c r="D957" s="2">
        <v>5.0</v>
      </c>
      <c r="E957" s="2">
        <v>2231.0</v>
      </c>
      <c r="F957" s="2">
        <v>2653.0</v>
      </c>
      <c r="G957" s="2">
        <v>189000.0</v>
      </c>
    </row>
    <row r="958" ht="15.75" customHeight="1">
      <c r="A958" s="2" t="s">
        <v>3248</v>
      </c>
      <c r="B958" s="2" t="s">
        <v>3250</v>
      </c>
      <c r="C958" s="2" t="s">
        <v>2703</v>
      </c>
      <c r="D958" s="2">
        <v>11.0</v>
      </c>
      <c r="E958" s="2">
        <v>2415.0</v>
      </c>
      <c r="F958" s="2">
        <v>2525.0</v>
      </c>
      <c r="G958" s="2">
        <v>230000.0</v>
      </c>
    </row>
    <row r="959" ht="15.75" customHeight="1">
      <c r="A959" s="2" t="s">
        <v>3251</v>
      </c>
      <c r="B959" s="2" t="s">
        <v>3252</v>
      </c>
      <c r="C959" s="2" t="s">
        <v>2703</v>
      </c>
      <c r="D959" s="2">
        <v>60.0</v>
      </c>
      <c r="E959" s="2">
        <v>1831.0</v>
      </c>
      <c r="F959" s="2">
        <v>1798.0</v>
      </c>
      <c r="G959" s="2">
        <v>144500.0</v>
      </c>
    </row>
    <row r="960" ht="15.75" customHeight="1">
      <c r="A960" s="2" t="s">
        <v>3253</v>
      </c>
      <c r="B960" s="2" t="s">
        <v>3254</v>
      </c>
      <c r="C960" s="2" t="s">
        <v>2703</v>
      </c>
      <c r="D960" s="2">
        <v>9.0</v>
      </c>
      <c r="E960" s="2">
        <v>1930.0</v>
      </c>
      <c r="F960" s="2">
        <v>2058.0</v>
      </c>
      <c r="G960" s="2">
        <v>220000.0</v>
      </c>
    </row>
    <row r="961" ht="15.75" customHeight="1">
      <c r="A961" s="2" t="s">
        <v>3255</v>
      </c>
      <c r="B961" s="2" t="s">
        <v>3257</v>
      </c>
      <c r="C961" s="2" t="s">
        <v>2703</v>
      </c>
      <c r="D961" s="2">
        <v>8.0</v>
      </c>
      <c r="E961" s="2">
        <v>2109.0</v>
      </c>
      <c r="F961" s="2">
        <v>2180.0</v>
      </c>
      <c r="G961" s="2">
        <v>201000.0</v>
      </c>
    </row>
    <row r="962" ht="15.75" customHeight="1">
      <c r="A962" s="2" t="s">
        <v>3259</v>
      </c>
      <c r="B962" s="2" t="s">
        <v>3260</v>
      </c>
      <c r="C962" s="2" t="s">
        <v>2703</v>
      </c>
      <c r="D962" s="2">
        <v>29.0</v>
      </c>
      <c r="E962" s="2">
        <v>1871.0</v>
      </c>
      <c r="F962" s="2">
        <v>1816.0</v>
      </c>
      <c r="G962" s="2">
        <v>135000.0</v>
      </c>
    </row>
    <row r="963" ht="15.75" customHeight="1">
      <c r="A963" s="2" t="s">
        <v>3261</v>
      </c>
      <c r="B963" s="2" t="s">
        <v>3262</v>
      </c>
      <c r="C963" s="2" t="s">
        <v>2703</v>
      </c>
      <c r="D963" s="2">
        <v>17.0</v>
      </c>
      <c r="E963" s="2">
        <v>2302.0</v>
      </c>
      <c r="F963" s="2">
        <v>2328.0</v>
      </c>
      <c r="G963" s="2">
        <v>263000.0</v>
      </c>
    </row>
    <row r="964" ht="15.75" customHeight="1">
      <c r="A964" s="2" t="s">
        <v>3263</v>
      </c>
      <c r="B964" s="2" t="s">
        <v>3264</v>
      </c>
      <c r="C964" s="2" t="s">
        <v>2703</v>
      </c>
      <c r="D964" s="2">
        <v>10.0</v>
      </c>
      <c r="E964" s="2">
        <v>2246.0</v>
      </c>
      <c r="F964" s="2">
        <v>2187.0</v>
      </c>
      <c r="G964" s="2">
        <v>184000.0</v>
      </c>
    </row>
    <row r="965" ht="15.75" customHeight="1">
      <c r="A965" s="2" t="s">
        <v>3265</v>
      </c>
      <c r="B965" s="2" t="s">
        <v>3266</v>
      </c>
      <c r="C965" s="2" t="s">
        <v>2703</v>
      </c>
      <c r="D965" s="2">
        <v>5.0</v>
      </c>
      <c r="E965" s="2">
        <v>2102.0</v>
      </c>
      <c r="F965" s="2">
        <v>1666.0</v>
      </c>
      <c r="G965" s="2">
        <v>217000.0</v>
      </c>
    </row>
    <row r="966" ht="15.75" customHeight="1">
      <c r="A966" s="2" t="s">
        <v>3267</v>
      </c>
      <c r="B966" s="2" t="s">
        <v>3268</v>
      </c>
      <c r="C966" s="2" t="s">
        <v>2703</v>
      </c>
      <c r="D966" s="2">
        <v>7.0</v>
      </c>
      <c r="E966" s="2">
        <v>1778.0</v>
      </c>
      <c r="F966" s="2">
        <v>1727.0</v>
      </c>
      <c r="G966" s="2">
        <v>210000.0</v>
      </c>
    </row>
    <row r="967" ht="15.75" customHeight="1">
      <c r="A967" s="2" t="s">
        <v>3271</v>
      </c>
      <c r="B967" s="2" t="s">
        <v>3272</v>
      </c>
      <c r="C967" s="2" t="s">
        <v>2703</v>
      </c>
      <c r="D967" s="2">
        <v>14.0</v>
      </c>
      <c r="E967" s="2">
        <v>2307.0</v>
      </c>
      <c r="F967" s="2">
        <v>2213.0</v>
      </c>
      <c r="G967" s="2">
        <v>223600.0</v>
      </c>
    </row>
    <row r="968" ht="15.75" customHeight="1">
      <c r="A968" s="2" t="s">
        <v>3273</v>
      </c>
      <c r="B968" s="2" t="s">
        <v>3274</v>
      </c>
      <c r="C968" s="2" t="s">
        <v>2703</v>
      </c>
      <c r="D968" s="2">
        <v>6.0</v>
      </c>
      <c r="E968" s="2">
        <v>1838.0</v>
      </c>
      <c r="F968" s="2">
        <v>1805.0</v>
      </c>
      <c r="G968" s="2">
        <v>175000.0</v>
      </c>
    </row>
    <row r="969" ht="15.75" customHeight="1">
      <c r="A969" s="2" t="s">
        <v>3275</v>
      </c>
      <c r="B969" s="2" t="s">
        <v>3276</v>
      </c>
      <c r="C969" s="2" t="s">
        <v>2703</v>
      </c>
      <c r="D969" s="2">
        <v>21.0</v>
      </c>
      <c r="E969" s="2">
        <v>1636.0</v>
      </c>
      <c r="F969" s="2">
        <v>1569.0</v>
      </c>
      <c r="G969" s="2">
        <v>162000.0</v>
      </c>
    </row>
    <row r="970" ht="15.75" customHeight="1">
      <c r="A970" s="2" t="s">
        <v>3277</v>
      </c>
      <c r="B970" s="2" t="s">
        <v>3278</v>
      </c>
      <c r="C970" s="2" t="s">
        <v>2703</v>
      </c>
      <c r="D970" s="2">
        <v>5.0</v>
      </c>
      <c r="E970" s="2">
        <v>1631.0</v>
      </c>
      <c r="F970" s="2">
        <v>2387.0</v>
      </c>
      <c r="G970" s="2">
        <v>200000.0</v>
      </c>
    </row>
    <row r="971" ht="15.75" customHeight="1">
      <c r="A971" s="2" t="s">
        <v>3281</v>
      </c>
      <c r="B971" s="2" t="s">
        <v>3282</v>
      </c>
      <c r="C971" s="2" t="s">
        <v>2703</v>
      </c>
      <c r="D971" s="2">
        <v>19.0</v>
      </c>
      <c r="E971" s="2">
        <v>2209.0</v>
      </c>
      <c r="F971" s="2">
        <v>2163.0</v>
      </c>
      <c r="G971" s="2">
        <v>209000.0</v>
      </c>
    </row>
    <row r="972" ht="15.75" customHeight="1">
      <c r="A972" s="2" t="s">
        <v>3283</v>
      </c>
      <c r="B972" s="2" t="s">
        <v>3284</v>
      </c>
      <c r="C972" s="2" t="s">
        <v>2703</v>
      </c>
      <c r="D972" s="2">
        <v>128.0</v>
      </c>
      <c r="E972" s="2">
        <v>2363.0</v>
      </c>
      <c r="F972" s="2">
        <v>2437.0</v>
      </c>
      <c r="G972" s="2">
        <v>146000.0</v>
      </c>
    </row>
    <row r="973" ht="15.75" customHeight="1">
      <c r="A973" s="2" t="s">
        <v>3285</v>
      </c>
      <c r="B973" s="2" t="s">
        <v>3286</v>
      </c>
      <c r="C973" s="2" t="s">
        <v>2703</v>
      </c>
      <c r="D973" s="2">
        <v>5.0</v>
      </c>
      <c r="E973" s="2">
        <v>1075.0</v>
      </c>
      <c r="F973" s="2">
        <v>1332.0</v>
      </c>
      <c r="G973" s="2">
        <v>150000.0</v>
      </c>
    </row>
    <row r="974" ht="15.75" customHeight="1">
      <c r="A974" s="2" t="s">
        <v>3287</v>
      </c>
      <c r="B974" s="2" t="s">
        <v>3288</v>
      </c>
      <c r="C974" s="2" t="s">
        <v>2703</v>
      </c>
      <c r="D974" s="2">
        <v>8.0</v>
      </c>
      <c r="E974" s="2">
        <v>1912.0</v>
      </c>
      <c r="F974" s="2">
        <v>2091.0</v>
      </c>
      <c r="G974" s="2">
        <v>187500.0</v>
      </c>
    </row>
    <row r="975" ht="15.75" customHeight="1">
      <c r="A975" s="2" t="s">
        <v>3289</v>
      </c>
      <c r="B975" s="2" t="s">
        <v>3291</v>
      </c>
      <c r="C975" s="2" t="s">
        <v>2703</v>
      </c>
      <c r="D975" s="2">
        <v>10.0</v>
      </c>
      <c r="E975" s="2">
        <v>1865.0</v>
      </c>
      <c r="F975" s="2">
        <v>1825.0</v>
      </c>
      <c r="G975" s="2">
        <v>131000.0</v>
      </c>
    </row>
    <row r="976" ht="15.75" customHeight="1">
      <c r="A976" s="2" t="s">
        <v>3293</v>
      </c>
      <c r="B976" s="2" t="s">
        <v>3294</v>
      </c>
      <c r="C976" s="2" t="s">
        <v>2703</v>
      </c>
      <c r="D976" s="2">
        <v>23.0</v>
      </c>
      <c r="E976" s="2">
        <v>1346.0</v>
      </c>
      <c r="F976" s="2">
        <v>1510.0</v>
      </c>
      <c r="G976" s="2">
        <v>94000.0</v>
      </c>
    </row>
    <row r="977" ht="15.75" customHeight="1">
      <c r="A977" s="2" t="s">
        <v>3295</v>
      </c>
      <c r="B977" s="2" t="s">
        <v>3296</v>
      </c>
      <c r="C977" s="2" t="s">
        <v>2703</v>
      </c>
      <c r="D977" s="2">
        <v>13.0</v>
      </c>
      <c r="E977" s="2">
        <v>2037.0</v>
      </c>
      <c r="F977" s="2">
        <v>2001.0</v>
      </c>
      <c r="G977" s="2">
        <v>185000.0</v>
      </c>
    </row>
    <row r="978" ht="15.75" customHeight="1">
      <c r="A978" s="2" t="s">
        <v>3297</v>
      </c>
      <c r="B978" s="2" t="s">
        <v>3298</v>
      </c>
      <c r="C978" s="2" t="s">
        <v>2703</v>
      </c>
      <c r="D978" s="2">
        <v>9.0</v>
      </c>
      <c r="E978" s="2">
        <v>1717.0</v>
      </c>
      <c r="F978" s="2">
        <v>1653.0</v>
      </c>
      <c r="G978" s="2">
        <v>125000.0</v>
      </c>
    </row>
    <row r="979" ht="15.75" customHeight="1">
      <c r="A979" s="2" t="s">
        <v>3299</v>
      </c>
      <c r="B979" s="2" t="s">
        <v>3300</v>
      </c>
      <c r="C979" s="2" t="s">
        <v>2703</v>
      </c>
      <c r="D979" s="2">
        <v>5.0</v>
      </c>
      <c r="E979" s="2">
        <v>2679.0</v>
      </c>
      <c r="F979" s="2">
        <v>2855.0</v>
      </c>
      <c r="G979" s="2">
        <v>292000.0</v>
      </c>
    </row>
    <row r="980" ht="15.75" customHeight="1">
      <c r="A980" s="2" t="s">
        <v>3301</v>
      </c>
      <c r="B980" s="2" t="s">
        <v>3302</v>
      </c>
      <c r="C980" s="2" t="s">
        <v>2703</v>
      </c>
      <c r="D980" s="2">
        <v>7.0</v>
      </c>
      <c r="E980" s="2">
        <v>2271.0</v>
      </c>
      <c r="F980" s="2">
        <v>2394.0</v>
      </c>
      <c r="G980" s="2">
        <v>200000.0</v>
      </c>
    </row>
    <row r="981" ht="15.75" customHeight="1">
      <c r="A981" s="2" t="s">
        <v>3303</v>
      </c>
      <c r="B981" s="2" t="s">
        <v>3304</v>
      </c>
      <c r="C981" s="2" t="s">
        <v>2703</v>
      </c>
      <c r="D981" s="2">
        <v>22.0</v>
      </c>
      <c r="E981" s="2">
        <v>2247.0</v>
      </c>
      <c r="F981" s="2">
        <v>2464.0</v>
      </c>
      <c r="G981" s="2">
        <v>213575.0</v>
      </c>
    </row>
    <row r="982" ht="15.75" customHeight="1">
      <c r="A982" s="2" t="s">
        <v>3305</v>
      </c>
      <c r="B982" s="2" t="s">
        <v>3306</v>
      </c>
      <c r="C982" s="2" t="s">
        <v>2703</v>
      </c>
      <c r="D982" s="2">
        <v>5.0</v>
      </c>
      <c r="E982" s="2">
        <v>1286.0</v>
      </c>
      <c r="F982" s="2">
        <v>1380.0</v>
      </c>
      <c r="G982" s="2">
        <v>149900.0</v>
      </c>
    </row>
    <row r="983" ht="15.75" customHeight="1">
      <c r="A983" s="2" t="s">
        <v>3307</v>
      </c>
      <c r="B983" s="2" t="s">
        <v>3308</v>
      </c>
      <c r="C983" s="2" t="s">
        <v>2703</v>
      </c>
      <c r="D983" s="2">
        <v>9.0</v>
      </c>
      <c r="E983" s="2">
        <v>2424.0</v>
      </c>
      <c r="F983" s="2">
        <v>2299.0</v>
      </c>
      <c r="G983" s="2">
        <v>251700.0</v>
      </c>
    </row>
    <row r="984" ht="15.75" customHeight="1">
      <c r="A984" s="2" t="s">
        <v>3311</v>
      </c>
      <c r="B984" s="2" t="s">
        <v>3312</v>
      </c>
      <c r="C984" s="2" t="s">
        <v>2703</v>
      </c>
      <c r="D984" s="2">
        <v>8.0</v>
      </c>
      <c r="E984" s="2">
        <v>2514.0</v>
      </c>
      <c r="F984" s="2">
        <v>2278.0</v>
      </c>
      <c r="G984" s="2">
        <v>241500.0</v>
      </c>
    </row>
    <row r="985" ht="15.75" customHeight="1">
      <c r="A985" s="2" t="s">
        <v>3313</v>
      </c>
      <c r="B985" s="2" t="s">
        <v>3314</v>
      </c>
      <c r="C985" s="2" t="s">
        <v>2703</v>
      </c>
      <c r="D985" s="2">
        <v>5.0</v>
      </c>
      <c r="E985" s="2">
        <v>3058.0</v>
      </c>
      <c r="F985" s="2">
        <v>2681.0</v>
      </c>
      <c r="G985" s="2">
        <v>263000.0</v>
      </c>
    </row>
    <row r="986" ht="15.75" customHeight="1">
      <c r="A986" s="2" t="s">
        <v>3315</v>
      </c>
      <c r="B986" s="2" t="s">
        <v>3316</v>
      </c>
      <c r="C986" s="2" t="s">
        <v>2703</v>
      </c>
      <c r="D986" s="2">
        <v>7.0</v>
      </c>
      <c r="E986" s="2">
        <v>1353.0</v>
      </c>
      <c r="F986" s="2">
        <v>1586.0</v>
      </c>
      <c r="G986" s="2">
        <v>286000.0</v>
      </c>
    </row>
    <row r="987" ht="15.75" customHeight="1">
      <c r="A987" s="2" t="s">
        <v>3317</v>
      </c>
      <c r="B987" s="2" t="s">
        <v>3318</v>
      </c>
      <c r="C987" s="2" t="s">
        <v>2703</v>
      </c>
      <c r="D987" s="2">
        <v>81.0</v>
      </c>
      <c r="E987" s="2">
        <v>2011.0</v>
      </c>
      <c r="F987" s="2">
        <v>1932.0</v>
      </c>
      <c r="G987" s="2">
        <v>170000.0</v>
      </c>
    </row>
    <row r="988" ht="15.75" customHeight="1">
      <c r="A988" s="2" t="s">
        <v>3319</v>
      </c>
      <c r="B988" s="2" t="s">
        <v>3320</v>
      </c>
      <c r="C988" s="2" t="s">
        <v>2703</v>
      </c>
      <c r="D988" s="2">
        <v>12.0</v>
      </c>
      <c r="E988" s="2">
        <v>1867.0</v>
      </c>
      <c r="F988" s="2">
        <v>1914.0</v>
      </c>
      <c r="G988" s="2">
        <v>195000.0</v>
      </c>
    </row>
    <row r="989" ht="15.75" customHeight="1">
      <c r="A989" s="2" t="s">
        <v>3323</v>
      </c>
      <c r="B989" s="2" t="s">
        <v>3324</v>
      </c>
      <c r="C989" s="2" t="s">
        <v>2703</v>
      </c>
      <c r="D989" s="2">
        <v>9.0</v>
      </c>
      <c r="E989" s="2">
        <v>2444.0</v>
      </c>
      <c r="F989" s="2">
        <v>2828.0</v>
      </c>
      <c r="G989" s="2">
        <v>220000.0</v>
      </c>
    </row>
    <row r="990" ht="15.75" customHeight="1">
      <c r="A990" s="2" t="s">
        <v>3325</v>
      </c>
      <c r="B990" s="2" t="s">
        <v>3326</v>
      </c>
      <c r="C990" s="2" t="s">
        <v>2703</v>
      </c>
      <c r="D990" s="2">
        <v>10.0</v>
      </c>
      <c r="E990" s="2">
        <v>1866.0</v>
      </c>
      <c r="F990" s="2">
        <v>1808.0</v>
      </c>
      <c r="G990" s="2">
        <v>177000.0</v>
      </c>
    </row>
    <row r="991" ht="15.75" customHeight="1">
      <c r="A991" s="2" t="s">
        <v>3329</v>
      </c>
      <c r="B991" s="2" t="s">
        <v>3330</v>
      </c>
      <c r="C991" s="2" t="s">
        <v>2703</v>
      </c>
      <c r="D991" s="2">
        <v>12.0</v>
      </c>
      <c r="E991" s="2">
        <v>1807.0</v>
      </c>
      <c r="F991" s="2">
        <v>1688.0</v>
      </c>
      <c r="G991" s="2">
        <v>171000.0</v>
      </c>
    </row>
    <row r="992" ht="15.75" customHeight="1">
      <c r="A992" s="2" t="s">
        <v>3331</v>
      </c>
      <c r="B992" s="2" t="s">
        <v>1979</v>
      </c>
      <c r="C992" s="2" t="s">
        <v>2703</v>
      </c>
      <c r="D992" s="2">
        <v>5.0</v>
      </c>
      <c r="E992" s="2">
        <v>2129.0</v>
      </c>
      <c r="F992" s="2">
        <v>2345.0</v>
      </c>
      <c r="G992" s="2">
        <v>295000.0</v>
      </c>
    </row>
    <row r="993" ht="15.75" customHeight="1">
      <c r="A993" s="2" t="s">
        <v>3332</v>
      </c>
      <c r="B993" s="2" t="s">
        <v>3333</v>
      </c>
      <c r="C993" s="2" t="s">
        <v>2703</v>
      </c>
      <c r="D993" s="2">
        <v>11.0</v>
      </c>
      <c r="E993" s="2">
        <v>1604.0</v>
      </c>
      <c r="F993" s="2">
        <v>1745.0</v>
      </c>
      <c r="G993" s="2">
        <v>197000.0</v>
      </c>
    </row>
    <row r="994" ht="15.75" customHeight="1">
      <c r="A994" s="2" t="s">
        <v>3334</v>
      </c>
      <c r="B994" s="2" t="s">
        <v>3335</v>
      </c>
      <c r="C994" s="2" t="s">
        <v>2703</v>
      </c>
      <c r="D994" s="2">
        <v>57.0</v>
      </c>
      <c r="E994" s="2">
        <v>1838.0</v>
      </c>
      <c r="F994" s="2">
        <v>2003.0</v>
      </c>
      <c r="G994" s="2">
        <v>135000.0</v>
      </c>
    </row>
    <row r="995" ht="15.75" customHeight="1">
      <c r="A995" s="2" t="s">
        <v>3336</v>
      </c>
      <c r="B995" s="2" t="s">
        <v>3337</v>
      </c>
      <c r="C995" s="2" t="s">
        <v>2703</v>
      </c>
      <c r="D995" s="2">
        <v>6.0</v>
      </c>
      <c r="E995" s="2">
        <v>2138.0</v>
      </c>
      <c r="F995" s="2">
        <v>2080.0</v>
      </c>
      <c r="G995" s="2">
        <v>179000.0</v>
      </c>
    </row>
    <row r="996" ht="15.75" customHeight="1">
      <c r="A996" s="2" t="s">
        <v>3338</v>
      </c>
      <c r="B996" s="2" t="s">
        <v>3339</v>
      </c>
      <c r="C996" s="2" t="s">
        <v>2703</v>
      </c>
      <c r="D996" s="2">
        <v>7.0</v>
      </c>
      <c r="E996" s="2">
        <v>2554.0</v>
      </c>
      <c r="F996" s="2">
        <v>2346.0</v>
      </c>
      <c r="G996" s="2">
        <v>258000.0</v>
      </c>
    </row>
    <row r="997" ht="15.75" customHeight="1">
      <c r="A997" s="2" t="s">
        <v>3340</v>
      </c>
      <c r="B997" s="2" t="s">
        <v>3341</v>
      </c>
      <c r="C997" s="2" t="s">
        <v>2703</v>
      </c>
      <c r="D997" s="2">
        <v>5.0</v>
      </c>
      <c r="E997" s="2">
        <v>1014.0</v>
      </c>
      <c r="F997" s="2">
        <v>1173.0</v>
      </c>
      <c r="G997" s="2">
        <v>120000.0</v>
      </c>
    </row>
    <row r="998" ht="15.75" customHeight="1">
      <c r="A998" s="2" t="s">
        <v>3342</v>
      </c>
      <c r="B998" s="2" t="s">
        <v>3343</v>
      </c>
      <c r="C998" s="2" t="s">
        <v>2703</v>
      </c>
      <c r="D998" s="2">
        <v>108.0</v>
      </c>
      <c r="E998" s="2">
        <v>2344.0</v>
      </c>
      <c r="F998" s="2">
        <v>2384.0</v>
      </c>
      <c r="G998" s="2">
        <v>194750.0</v>
      </c>
    </row>
    <row r="999" ht="15.75" customHeight="1">
      <c r="A999" s="2" t="s">
        <v>3344</v>
      </c>
      <c r="B999" s="2" t="s">
        <v>3345</v>
      </c>
      <c r="C999" s="2" t="s">
        <v>2703</v>
      </c>
      <c r="D999" s="2">
        <v>47.0</v>
      </c>
      <c r="E999" s="2">
        <v>2784.0</v>
      </c>
      <c r="F999" s="2">
        <v>2644.0</v>
      </c>
      <c r="G999" s="2">
        <v>183100.0</v>
      </c>
    </row>
    <row r="1000" ht="15.75" customHeight="1">
      <c r="A1000" s="2" t="s">
        <v>3346</v>
      </c>
      <c r="B1000" s="2" t="s">
        <v>3347</v>
      </c>
      <c r="C1000" s="2" t="s">
        <v>2703</v>
      </c>
      <c r="D1000" s="2">
        <v>6.0</v>
      </c>
      <c r="E1000" s="2">
        <v>2323.0</v>
      </c>
      <c r="F1000" s="2">
        <v>2133.0</v>
      </c>
      <c r="G1000" s="2">
        <v>207000.0</v>
      </c>
    </row>
    <row r="1001" ht="15.75" customHeight="1">
      <c r="A1001" s="2" t="s">
        <v>3348</v>
      </c>
      <c r="B1001" s="2" t="s">
        <v>3349</v>
      </c>
      <c r="C1001" s="2" t="s">
        <v>2703</v>
      </c>
      <c r="D1001" s="2">
        <v>56.0</v>
      </c>
      <c r="E1001" s="2">
        <v>2721.0</v>
      </c>
      <c r="F1001" s="2">
        <v>2693.0</v>
      </c>
      <c r="G1001" s="2">
        <v>239000.0</v>
      </c>
    </row>
    <row r="1002" ht="15.75" customHeight="1">
      <c r="A1002" s="2" t="s">
        <v>3351</v>
      </c>
      <c r="B1002" s="2" t="s">
        <v>3353</v>
      </c>
      <c r="C1002" s="2" t="s">
        <v>2703</v>
      </c>
      <c r="D1002" s="2">
        <v>14.0</v>
      </c>
      <c r="E1002" s="2">
        <v>2301.0</v>
      </c>
      <c r="F1002" s="2">
        <v>2169.0</v>
      </c>
      <c r="G1002" s="2">
        <v>202500.0</v>
      </c>
    </row>
    <row r="1003" ht="15.75" customHeight="1">
      <c r="A1003" s="2" t="s">
        <v>3354</v>
      </c>
      <c r="B1003" s="2" t="s">
        <v>3355</v>
      </c>
      <c r="C1003" s="2" t="s">
        <v>2703</v>
      </c>
      <c r="D1003" s="2">
        <v>5.0</v>
      </c>
      <c r="E1003" s="2">
        <v>2123.0</v>
      </c>
      <c r="F1003" s="2">
        <v>2465.0</v>
      </c>
      <c r="G1003" s="2">
        <v>180000.0</v>
      </c>
    </row>
    <row r="1004" ht="15.75" customHeight="1">
      <c r="A1004" s="2" t="s">
        <v>3356</v>
      </c>
      <c r="B1004" s="2" t="s">
        <v>3357</v>
      </c>
      <c r="C1004" s="2" t="s">
        <v>2703</v>
      </c>
      <c r="D1004" s="2">
        <v>15.0</v>
      </c>
      <c r="E1004" s="2">
        <v>2130.0</v>
      </c>
      <c r="F1004" s="2">
        <v>2178.0</v>
      </c>
      <c r="G1004" s="2">
        <v>213000.0</v>
      </c>
    </row>
    <row r="1005" ht="15.75" customHeight="1">
      <c r="A1005" s="2" t="s">
        <v>3358</v>
      </c>
      <c r="B1005" s="2" t="s">
        <v>3359</v>
      </c>
      <c r="C1005" s="2" t="s">
        <v>2703</v>
      </c>
      <c r="D1005" s="2">
        <v>139.0</v>
      </c>
      <c r="E1005" s="2">
        <v>1778.0</v>
      </c>
      <c r="F1005" s="2">
        <v>1882.0</v>
      </c>
      <c r="G1005" s="2">
        <v>130000.0</v>
      </c>
    </row>
    <row r="1006" ht="15.75" customHeight="1">
      <c r="A1006" s="2" t="s">
        <v>3360</v>
      </c>
      <c r="B1006" s="2" t="s">
        <v>3362</v>
      </c>
      <c r="C1006" s="2" t="s">
        <v>2703</v>
      </c>
      <c r="D1006" s="2">
        <v>8.0</v>
      </c>
      <c r="E1006" s="2">
        <v>1782.0</v>
      </c>
      <c r="F1006" s="2">
        <v>1709.0</v>
      </c>
      <c r="G1006" s="2">
        <v>192500.0</v>
      </c>
    </row>
    <row r="1007" ht="15.75" customHeight="1">
      <c r="A1007" s="2" t="s">
        <v>3364</v>
      </c>
      <c r="B1007" s="2" t="s">
        <v>3365</v>
      </c>
      <c r="C1007" s="2" t="s">
        <v>2703</v>
      </c>
      <c r="D1007" s="2">
        <v>5.0</v>
      </c>
      <c r="E1007" s="2">
        <v>1427.0</v>
      </c>
      <c r="F1007" s="2">
        <v>1532.0</v>
      </c>
      <c r="G1007" s="2">
        <v>107000.0</v>
      </c>
    </row>
    <row r="1008" ht="15.75" customHeight="1">
      <c r="A1008" s="2" t="s">
        <v>3366</v>
      </c>
      <c r="B1008" s="2" t="s">
        <v>3368</v>
      </c>
      <c r="C1008" s="2" t="s">
        <v>2703</v>
      </c>
      <c r="D1008" s="2">
        <v>139.0</v>
      </c>
      <c r="E1008" s="2">
        <v>1325.0</v>
      </c>
      <c r="F1008" s="2">
        <v>1338.0</v>
      </c>
      <c r="G1008" s="2">
        <v>115000.0</v>
      </c>
    </row>
    <row r="1009" ht="15.75" customHeight="1">
      <c r="A1009" s="2" t="s">
        <v>3371</v>
      </c>
      <c r="B1009" s="2" t="s">
        <v>3373</v>
      </c>
      <c r="C1009" s="2" t="s">
        <v>2703</v>
      </c>
      <c r="D1009" s="2">
        <v>8.0</v>
      </c>
      <c r="E1009" s="2">
        <v>1779.0</v>
      </c>
      <c r="F1009" s="2">
        <v>1625.0</v>
      </c>
      <c r="G1009" s="2">
        <v>150000.0</v>
      </c>
    </row>
    <row r="1010" ht="15.75" customHeight="1">
      <c r="A1010" s="2" t="s">
        <v>3374</v>
      </c>
      <c r="B1010" s="2" t="s">
        <v>3375</v>
      </c>
      <c r="C1010" s="2" t="s">
        <v>2703</v>
      </c>
      <c r="D1010" s="2">
        <v>9.0</v>
      </c>
      <c r="E1010" s="2">
        <v>2241.0</v>
      </c>
      <c r="F1010" s="2">
        <v>2386.0</v>
      </c>
      <c r="G1010" s="2">
        <v>250000.0</v>
      </c>
    </row>
    <row r="1011" ht="15.75" customHeight="1">
      <c r="A1011" s="2" t="s">
        <v>3376</v>
      </c>
      <c r="B1011" s="2" t="s">
        <v>3377</v>
      </c>
      <c r="C1011" s="2" t="s">
        <v>2703</v>
      </c>
      <c r="D1011" s="2">
        <v>10.0</v>
      </c>
      <c r="E1011" s="2">
        <v>2275.0</v>
      </c>
      <c r="F1011" s="2">
        <v>2329.0</v>
      </c>
      <c r="G1011" s="2">
        <v>227500.0</v>
      </c>
    </row>
    <row r="1012" ht="15.75" customHeight="1">
      <c r="A1012" s="2" t="s">
        <v>3378</v>
      </c>
      <c r="B1012" s="2" t="s">
        <v>3379</v>
      </c>
      <c r="C1012" s="2" t="s">
        <v>2703</v>
      </c>
      <c r="D1012" s="2">
        <v>38.0</v>
      </c>
      <c r="E1012" s="2">
        <v>3467.0</v>
      </c>
      <c r="F1012" s="2">
        <v>3341.0</v>
      </c>
      <c r="G1012" s="2">
        <v>329000.0</v>
      </c>
    </row>
    <row r="1013" ht="15.75" customHeight="1">
      <c r="A1013" s="2" t="s">
        <v>3380</v>
      </c>
      <c r="B1013" s="2" t="s">
        <v>3381</v>
      </c>
      <c r="C1013" s="2" t="s">
        <v>2703</v>
      </c>
      <c r="D1013" s="2">
        <v>8.0</v>
      </c>
      <c r="E1013" s="2">
        <v>1670.0</v>
      </c>
      <c r="F1013" s="2">
        <v>1573.0</v>
      </c>
      <c r="G1013" s="2">
        <v>142500.0</v>
      </c>
    </row>
    <row r="1014" ht="15.75" customHeight="1">
      <c r="A1014" s="2" t="s">
        <v>3382</v>
      </c>
      <c r="B1014" s="2" t="s">
        <v>3383</v>
      </c>
      <c r="C1014" s="2" t="s">
        <v>2703</v>
      </c>
      <c r="D1014" s="2">
        <v>8.0</v>
      </c>
      <c r="E1014" s="2">
        <v>1073.0</v>
      </c>
      <c r="F1014" s="2">
        <v>1238.0</v>
      </c>
      <c r="G1014" s="2">
        <v>122000.0</v>
      </c>
    </row>
    <row r="1015" ht="15.75" customHeight="1">
      <c r="A1015" s="2" t="s">
        <v>3384</v>
      </c>
      <c r="B1015" s="2" t="s">
        <v>3385</v>
      </c>
      <c r="C1015" s="2" t="s">
        <v>2703</v>
      </c>
      <c r="D1015" s="2">
        <v>5.0</v>
      </c>
      <c r="E1015" s="2">
        <v>2206.0</v>
      </c>
      <c r="F1015" s="2">
        <v>2341.0</v>
      </c>
      <c r="G1015" s="2">
        <v>327000.0</v>
      </c>
    </row>
    <row r="1016" ht="15.75" customHeight="1">
      <c r="A1016" s="2" t="s">
        <v>3386</v>
      </c>
      <c r="B1016" s="2" t="s">
        <v>3387</v>
      </c>
      <c r="C1016" s="2" t="s">
        <v>2703</v>
      </c>
      <c r="D1016" s="2">
        <v>16.0</v>
      </c>
      <c r="E1016" s="2">
        <v>2255.0</v>
      </c>
      <c r="F1016" s="2">
        <v>2514.0</v>
      </c>
      <c r="G1016" s="2">
        <v>231250.0</v>
      </c>
    </row>
    <row r="1017" ht="15.75" customHeight="1">
      <c r="A1017" s="2" t="s">
        <v>3388</v>
      </c>
      <c r="B1017" s="2" t="s">
        <v>3389</v>
      </c>
      <c r="C1017" s="2" t="s">
        <v>2703</v>
      </c>
      <c r="D1017" s="2">
        <v>6.0</v>
      </c>
      <c r="E1017" s="2">
        <v>1458.0</v>
      </c>
      <c r="F1017" s="2">
        <v>1261.0</v>
      </c>
      <c r="G1017" s="2">
        <v>160000.0</v>
      </c>
    </row>
    <row r="1018" ht="15.75" customHeight="1">
      <c r="A1018" s="2" t="s">
        <v>3390</v>
      </c>
      <c r="B1018" s="2" t="s">
        <v>3391</v>
      </c>
      <c r="C1018" s="2" t="s">
        <v>2703</v>
      </c>
      <c r="D1018" s="2">
        <v>6.0</v>
      </c>
      <c r="E1018" s="2">
        <v>1687.0</v>
      </c>
      <c r="F1018" s="2">
        <v>1883.0</v>
      </c>
      <c r="G1018" s="2">
        <v>187250.0</v>
      </c>
    </row>
    <row r="1019" ht="15.75" customHeight="1">
      <c r="A1019" s="2" t="s">
        <v>3392</v>
      </c>
      <c r="B1019" s="2" t="s">
        <v>3393</v>
      </c>
      <c r="C1019" s="2" t="s">
        <v>2703</v>
      </c>
      <c r="D1019" s="2">
        <v>14.0</v>
      </c>
      <c r="E1019" s="2">
        <v>3260.0</v>
      </c>
      <c r="F1019" s="2">
        <v>3508.0</v>
      </c>
      <c r="G1019" s="2">
        <v>293500.0</v>
      </c>
    </row>
    <row r="1020" ht="15.75" customHeight="1">
      <c r="A1020" s="2" t="s">
        <v>3394</v>
      </c>
      <c r="B1020" s="2" t="s">
        <v>3395</v>
      </c>
      <c r="C1020" s="2" t="s">
        <v>2703</v>
      </c>
      <c r="D1020" s="2">
        <v>12.0</v>
      </c>
      <c r="E1020" s="2">
        <v>1960.0</v>
      </c>
      <c r="F1020" s="2">
        <v>1772.0</v>
      </c>
      <c r="G1020" s="2">
        <v>227500.0</v>
      </c>
    </row>
    <row r="1021" ht="15.75" customHeight="1">
      <c r="A1021" s="2" t="s">
        <v>3396</v>
      </c>
      <c r="B1021" s="2" t="s">
        <v>3398</v>
      </c>
      <c r="C1021" s="2" t="s">
        <v>2703</v>
      </c>
      <c r="D1021" s="2">
        <v>116.0</v>
      </c>
      <c r="E1021" s="2">
        <v>2247.0</v>
      </c>
      <c r="F1021" s="2">
        <v>2254.0</v>
      </c>
      <c r="G1021" s="2">
        <v>140000.0</v>
      </c>
    </row>
    <row r="1022" ht="15.75" customHeight="1">
      <c r="A1022" s="2" t="s">
        <v>3400</v>
      </c>
      <c r="B1022" s="2" t="s">
        <v>3401</v>
      </c>
      <c r="C1022" s="2" t="s">
        <v>2703</v>
      </c>
      <c r="D1022" s="2">
        <v>5.0</v>
      </c>
      <c r="E1022" s="2">
        <v>1694.0</v>
      </c>
      <c r="F1022" s="2">
        <v>1746.0</v>
      </c>
      <c r="G1022" s="2">
        <v>145000.0</v>
      </c>
    </row>
    <row r="1023" ht="15.75" customHeight="1">
      <c r="A1023" s="2" t="s">
        <v>3402</v>
      </c>
      <c r="B1023" s="2" t="s">
        <v>3403</v>
      </c>
      <c r="C1023" s="2" t="s">
        <v>2703</v>
      </c>
      <c r="D1023" s="2">
        <v>11.0</v>
      </c>
      <c r="E1023" s="2">
        <v>2812.0</v>
      </c>
      <c r="F1023" s="2">
        <v>2852.0</v>
      </c>
      <c r="G1023" s="2">
        <v>369850.0</v>
      </c>
    </row>
    <row r="1024" ht="15.75" customHeight="1">
      <c r="A1024" s="2" t="s">
        <v>3404</v>
      </c>
      <c r="B1024" s="2" t="s">
        <v>3405</v>
      </c>
      <c r="C1024" s="2" t="s">
        <v>2703</v>
      </c>
      <c r="D1024" s="2">
        <v>7.0</v>
      </c>
      <c r="E1024" s="2">
        <v>1271.0</v>
      </c>
      <c r="F1024" s="2">
        <v>1342.0</v>
      </c>
      <c r="G1024" s="2">
        <v>125000.0</v>
      </c>
    </row>
    <row r="1025" ht="15.75" customHeight="1">
      <c r="A1025" s="2" t="s">
        <v>3406</v>
      </c>
      <c r="B1025" s="2" t="s">
        <v>3407</v>
      </c>
      <c r="C1025" s="2" t="s">
        <v>2703</v>
      </c>
      <c r="D1025" s="2">
        <v>40.0</v>
      </c>
      <c r="E1025" s="2">
        <v>2140.0</v>
      </c>
      <c r="F1025" s="2">
        <v>2057.0</v>
      </c>
      <c r="G1025" s="2">
        <v>228900.0</v>
      </c>
    </row>
    <row r="1026" ht="15.75" customHeight="1">
      <c r="A1026" s="2" t="s">
        <v>3410</v>
      </c>
      <c r="B1026" s="2" t="s">
        <v>3411</v>
      </c>
      <c r="C1026" s="2" t="s">
        <v>2703</v>
      </c>
      <c r="D1026" s="2">
        <v>32.0</v>
      </c>
      <c r="E1026" s="2">
        <v>2529.0</v>
      </c>
      <c r="F1026" s="2">
        <v>2441.0</v>
      </c>
      <c r="G1026" s="2">
        <v>284625.0</v>
      </c>
    </row>
    <row r="1027" ht="15.75" customHeight="1">
      <c r="A1027" s="2" t="s">
        <v>3412</v>
      </c>
      <c r="B1027" s="2" t="s">
        <v>3413</v>
      </c>
      <c r="C1027" s="2" t="s">
        <v>2703</v>
      </c>
      <c r="D1027" s="2">
        <v>8.0</v>
      </c>
      <c r="E1027" s="2">
        <v>1770.0</v>
      </c>
      <c r="F1027" s="2">
        <v>1984.0</v>
      </c>
      <c r="G1027" s="2">
        <v>150500.0</v>
      </c>
    </row>
    <row r="1028" ht="15.75" customHeight="1">
      <c r="A1028" s="2" t="s">
        <v>3414</v>
      </c>
      <c r="B1028" s="2" t="s">
        <v>3417</v>
      </c>
      <c r="C1028" s="2" t="s">
        <v>2703</v>
      </c>
      <c r="D1028" s="2">
        <v>8.0</v>
      </c>
      <c r="E1028" s="2">
        <v>2279.0</v>
      </c>
      <c r="F1028" s="2">
        <v>2323.0</v>
      </c>
      <c r="G1028" s="2">
        <v>272364.0</v>
      </c>
    </row>
    <row r="1029" ht="15.75" customHeight="1">
      <c r="A1029" s="2" t="s">
        <v>3418</v>
      </c>
      <c r="B1029" s="2" t="s">
        <v>3419</v>
      </c>
      <c r="C1029" s="2" t="s">
        <v>2703</v>
      </c>
      <c r="D1029" s="2">
        <v>8.0</v>
      </c>
      <c r="E1029" s="2">
        <v>2594.0</v>
      </c>
      <c r="F1029" s="2">
        <v>2510.0</v>
      </c>
      <c r="G1029" s="2">
        <v>287500.0</v>
      </c>
    </row>
    <row r="1030" ht="15.75" customHeight="1">
      <c r="A1030" s="2" t="s">
        <v>3422</v>
      </c>
      <c r="B1030" s="2" t="s">
        <v>3423</v>
      </c>
      <c r="C1030" s="2" t="s">
        <v>2703</v>
      </c>
      <c r="D1030" s="2">
        <v>7.0</v>
      </c>
      <c r="E1030" s="2">
        <v>1869.0</v>
      </c>
      <c r="F1030" s="2">
        <v>1760.0</v>
      </c>
      <c r="G1030" s="2">
        <v>180000.0</v>
      </c>
    </row>
    <row r="1031" ht="15.75" customHeight="1">
      <c r="A1031" s="2" t="s">
        <v>3424</v>
      </c>
      <c r="B1031" s="2" t="s">
        <v>3427</v>
      </c>
      <c r="C1031" s="2" t="s">
        <v>2703</v>
      </c>
      <c r="D1031" s="2">
        <v>33.0</v>
      </c>
      <c r="E1031" s="2">
        <v>1844.0</v>
      </c>
      <c r="F1031" s="2">
        <v>2011.0</v>
      </c>
      <c r="G1031" s="2">
        <v>117000.0</v>
      </c>
    </row>
    <row r="1032" ht="15.75" customHeight="1">
      <c r="A1032" s="2" t="s">
        <v>3428</v>
      </c>
      <c r="B1032" s="2" t="s">
        <v>3429</v>
      </c>
      <c r="C1032" s="2" t="s">
        <v>2703</v>
      </c>
      <c r="D1032" s="2">
        <v>13.0</v>
      </c>
      <c r="E1032" s="2">
        <v>1675.0</v>
      </c>
      <c r="F1032" s="2">
        <v>1590.0</v>
      </c>
      <c r="G1032" s="2">
        <v>131000.0</v>
      </c>
    </row>
    <row r="1033" ht="15.75" customHeight="1">
      <c r="A1033" s="2" t="s">
        <v>3430</v>
      </c>
      <c r="B1033" s="2" t="s">
        <v>3431</v>
      </c>
      <c r="C1033" s="2" t="s">
        <v>2703</v>
      </c>
      <c r="D1033" s="2">
        <v>22.0</v>
      </c>
      <c r="E1033" s="2">
        <v>1472.0</v>
      </c>
      <c r="F1033" s="2">
        <v>1585.0</v>
      </c>
      <c r="G1033" s="2">
        <v>209694.0</v>
      </c>
    </row>
    <row r="1034" ht="15.75" customHeight="1">
      <c r="A1034" s="2" t="s">
        <v>3434</v>
      </c>
      <c r="B1034" s="2" t="s">
        <v>3435</v>
      </c>
      <c r="C1034" s="2" t="s">
        <v>2703</v>
      </c>
      <c r="D1034" s="2">
        <v>15.0</v>
      </c>
      <c r="E1034" s="2">
        <v>1625.0</v>
      </c>
      <c r="F1034" s="2">
        <v>1713.0</v>
      </c>
      <c r="G1034" s="2">
        <v>175000.0</v>
      </c>
    </row>
    <row r="1035" ht="15.75" customHeight="1">
      <c r="A1035" s="2" t="s">
        <v>3438</v>
      </c>
      <c r="B1035" s="2" t="s">
        <v>3439</v>
      </c>
      <c r="C1035" s="2" t="s">
        <v>2703</v>
      </c>
      <c r="D1035" s="2">
        <v>27.0</v>
      </c>
      <c r="E1035" s="2">
        <v>1843.0</v>
      </c>
      <c r="F1035" s="2">
        <v>1670.0</v>
      </c>
      <c r="G1035" s="2">
        <v>153000.0</v>
      </c>
    </row>
    <row r="1036" ht="15.75" customHeight="1">
      <c r="A1036" s="2" t="s">
        <v>3440</v>
      </c>
      <c r="B1036" s="2" t="s">
        <v>3441</v>
      </c>
      <c r="C1036" s="2" t="s">
        <v>2703</v>
      </c>
      <c r="D1036" s="2">
        <v>12.0</v>
      </c>
      <c r="E1036" s="2">
        <v>2331.0</v>
      </c>
      <c r="F1036" s="2">
        <v>2224.0</v>
      </c>
      <c r="G1036" s="2">
        <v>182500.0</v>
      </c>
    </row>
    <row r="1037" ht="15.75" customHeight="1">
      <c r="A1037" s="2" t="s">
        <v>3442</v>
      </c>
      <c r="B1037" s="2" t="s">
        <v>3443</v>
      </c>
      <c r="C1037" s="2" t="s">
        <v>2703</v>
      </c>
      <c r="D1037" s="2">
        <v>7.0</v>
      </c>
      <c r="E1037" s="2">
        <v>1912.0</v>
      </c>
      <c r="F1037" s="2">
        <v>1808.0</v>
      </c>
      <c r="G1037" s="2">
        <v>210000.0</v>
      </c>
    </row>
    <row r="1038" ht="15.75" customHeight="1">
      <c r="A1038" s="2" t="s">
        <v>3444</v>
      </c>
      <c r="B1038" s="2" t="s">
        <v>3445</v>
      </c>
      <c r="C1038" s="2" t="s">
        <v>2703</v>
      </c>
      <c r="D1038" s="2">
        <v>7.0</v>
      </c>
      <c r="E1038" s="2">
        <v>1443.0</v>
      </c>
      <c r="F1038" s="2">
        <v>1364.0</v>
      </c>
      <c r="G1038" s="2">
        <v>140000.0</v>
      </c>
    </row>
    <row r="1039" ht="15.75" customHeight="1">
      <c r="A1039" s="2" t="s">
        <v>3446</v>
      </c>
      <c r="B1039" s="2" t="s">
        <v>3447</v>
      </c>
      <c r="C1039" s="2" t="s">
        <v>2703</v>
      </c>
      <c r="D1039" s="2">
        <v>8.0</v>
      </c>
      <c r="E1039" s="2">
        <v>2361.0</v>
      </c>
      <c r="F1039" s="2">
        <v>2281.0</v>
      </c>
      <c r="G1039" s="2">
        <v>251800.0</v>
      </c>
    </row>
    <row r="1040" ht="15.75" customHeight="1">
      <c r="A1040" s="2" t="s">
        <v>3448</v>
      </c>
      <c r="B1040" s="2" t="s">
        <v>3449</v>
      </c>
      <c r="C1040" s="2" t="s">
        <v>2703</v>
      </c>
      <c r="D1040" s="2">
        <v>6.0</v>
      </c>
      <c r="E1040" s="2">
        <v>2088.0</v>
      </c>
      <c r="F1040" s="2">
        <v>2085.0</v>
      </c>
      <c r="G1040" s="2">
        <v>231850.0</v>
      </c>
    </row>
    <row r="1041" ht="15.75" customHeight="1">
      <c r="A1041" s="2" t="s">
        <v>3452</v>
      </c>
      <c r="B1041" s="2" t="s">
        <v>3453</v>
      </c>
      <c r="C1041" s="2" t="s">
        <v>2703</v>
      </c>
      <c r="D1041" s="2">
        <v>6.0</v>
      </c>
      <c r="E1041" s="2">
        <v>1523.0</v>
      </c>
      <c r="F1041" s="2">
        <v>1610.0</v>
      </c>
      <c r="G1041" s="2">
        <v>150000.0</v>
      </c>
    </row>
    <row r="1042" ht="15.75" customHeight="1">
      <c r="A1042" s="2" t="s">
        <v>3454</v>
      </c>
      <c r="B1042" s="2" t="s">
        <v>3455</v>
      </c>
      <c r="C1042" s="2" t="s">
        <v>2703</v>
      </c>
      <c r="D1042" s="2">
        <v>16.0</v>
      </c>
      <c r="E1042" s="2">
        <v>2699.0</v>
      </c>
      <c r="F1042" s="2">
        <v>2790.0</v>
      </c>
      <c r="G1042" s="2">
        <v>249525.0</v>
      </c>
    </row>
    <row r="1043" ht="15.75" customHeight="1">
      <c r="A1043" s="2" t="s">
        <v>3456</v>
      </c>
      <c r="B1043" s="2" t="s">
        <v>3457</v>
      </c>
      <c r="C1043" s="2" t="s">
        <v>2703</v>
      </c>
      <c r="D1043" s="2">
        <v>12.0</v>
      </c>
      <c r="E1043" s="2">
        <v>2256.0</v>
      </c>
      <c r="F1043" s="2">
        <v>2128.0</v>
      </c>
      <c r="G1043" s="2">
        <v>227500.0</v>
      </c>
    </row>
    <row r="1044" ht="15.75" customHeight="1">
      <c r="A1044" s="2" t="s">
        <v>3458</v>
      </c>
      <c r="B1044" s="2" t="s">
        <v>3459</v>
      </c>
      <c r="C1044" s="2" t="s">
        <v>2703</v>
      </c>
      <c r="D1044" s="2">
        <v>10.0</v>
      </c>
      <c r="E1044" s="2">
        <v>2216.0</v>
      </c>
      <c r="F1044" s="2">
        <v>2317.0</v>
      </c>
      <c r="G1044" s="2">
        <v>217500.0</v>
      </c>
    </row>
    <row r="1045" ht="15.75" customHeight="1">
      <c r="A1045" s="2" t="s">
        <v>3462</v>
      </c>
      <c r="B1045" s="2" t="s">
        <v>3463</v>
      </c>
      <c r="C1045" s="2" t="s">
        <v>2703</v>
      </c>
      <c r="D1045" s="2">
        <v>5.0</v>
      </c>
      <c r="E1045" s="2">
        <v>2368.0</v>
      </c>
      <c r="F1045" s="2">
        <v>2116.0</v>
      </c>
      <c r="G1045" s="2">
        <v>159000.0</v>
      </c>
    </row>
    <row r="1046" ht="15.75" customHeight="1">
      <c r="A1046" s="2" t="s">
        <v>3466</v>
      </c>
      <c r="B1046" s="2" t="s">
        <v>3467</v>
      </c>
      <c r="C1046" s="2" t="s">
        <v>2703</v>
      </c>
      <c r="D1046" s="2">
        <v>12.0</v>
      </c>
      <c r="E1046" s="2">
        <v>1332.0</v>
      </c>
      <c r="F1046" s="2">
        <v>1409.0</v>
      </c>
      <c r="G1046" s="2">
        <v>171622.0</v>
      </c>
    </row>
    <row r="1047" ht="15.75" customHeight="1">
      <c r="A1047" s="2" t="s">
        <v>3470</v>
      </c>
      <c r="B1047" s="2" t="s">
        <v>3471</v>
      </c>
      <c r="C1047" s="2" t="s">
        <v>2703</v>
      </c>
      <c r="D1047" s="2">
        <v>18.0</v>
      </c>
      <c r="E1047" s="2">
        <v>2411.0</v>
      </c>
      <c r="F1047" s="2">
        <v>2470.0</v>
      </c>
      <c r="G1047" s="2">
        <v>244150.0</v>
      </c>
    </row>
    <row r="1048" ht="15.75" customHeight="1">
      <c r="A1048" s="2" t="s">
        <v>3472</v>
      </c>
      <c r="B1048" s="2" t="s">
        <v>3473</v>
      </c>
      <c r="C1048" s="2" t="s">
        <v>2703</v>
      </c>
      <c r="D1048" s="2">
        <v>9.0</v>
      </c>
      <c r="E1048" s="2">
        <v>2476.0</v>
      </c>
      <c r="F1048" s="2">
        <v>2193.0</v>
      </c>
      <c r="G1048" s="2">
        <v>233000.0</v>
      </c>
    </row>
    <row r="1049" ht="15.75" customHeight="1">
      <c r="A1049" s="2" t="s">
        <v>3474</v>
      </c>
      <c r="B1049" s="2" t="s">
        <v>3475</v>
      </c>
      <c r="C1049" s="2" t="s">
        <v>2703</v>
      </c>
      <c r="D1049" s="2">
        <v>7.0</v>
      </c>
      <c r="E1049" s="2">
        <v>1367.0</v>
      </c>
      <c r="F1049" s="2">
        <v>1732.0</v>
      </c>
      <c r="G1049" s="2">
        <v>125000.0</v>
      </c>
    </row>
    <row r="1050" ht="15.75" customHeight="1">
      <c r="A1050" s="2" t="s">
        <v>3476</v>
      </c>
      <c r="B1050" s="2" t="s">
        <v>3477</v>
      </c>
      <c r="C1050" s="2" t="s">
        <v>2703</v>
      </c>
      <c r="D1050" s="2">
        <v>16.0</v>
      </c>
      <c r="E1050" s="2">
        <v>1475.0</v>
      </c>
      <c r="F1050" s="2">
        <v>1665.0</v>
      </c>
      <c r="G1050" s="2">
        <v>187500.0</v>
      </c>
    </row>
    <row r="1051" ht="15.75" customHeight="1">
      <c r="A1051" s="2" t="s">
        <v>3478</v>
      </c>
      <c r="B1051" s="2" t="s">
        <v>3479</v>
      </c>
      <c r="C1051" s="2" t="s">
        <v>2703</v>
      </c>
      <c r="D1051" s="2">
        <v>7.0</v>
      </c>
      <c r="E1051" s="2">
        <v>1771.0</v>
      </c>
      <c r="F1051" s="2">
        <v>1905.0</v>
      </c>
      <c r="G1051" s="2">
        <v>278000.0</v>
      </c>
    </row>
    <row r="1052" ht="15.75" customHeight="1">
      <c r="A1052" s="2" t="s">
        <v>3480</v>
      </c>
      <c r="B1052" s="2" t="s">
        <v>3481</v>
      </c>
      <c r="C1052" s="2" t="s">
        <v>2703</v>
      </c>
      <c r="D1052" s="2">
        <v>60.0</v>
      </c>
      <c r="E1052" s="2">
        <v>1665.0</v>
      </c>
      <c r="F1052" s="2">
        <v>1627.0</v>
      </c>
      <c r="G1052" s="2">
        <v>115500.0</v>
      </c>
    </row>
    <row r="1053" ht="15.75" customHeight="1">
      <c r="A1053" s="2" t="s">
        <v>3482</v>
      </c>
      <c r="B1053" s="2" t="s">
        <v>3483</v>
      </c>
      <c r="C1053" s="2" t="s">
        <v>2703</v>
      </c>
      <c r="D1053" s="2">
        <v>46.0</v>
      </c>
      <c r="E1053" s="2">
        <v>2563.0</v>
      </c>
      <c r="F1053" s="2">
        <v>2623.0</v>
      </c>
      <c r="G1053" s="2">
        <v>187145.0</v>
      </c>
    </row>
    <row r="1054" ht="15.75" customHeight="1">
      <c r="A1054" s="2" t="s">
        <v>3484</v>
      </c>
      <c r="B1054" s="2" t="s">
        <v>3485</v>
      </c>
      <c r="C1054" s="2" t="s">
        <v>2703</v>
      </c>
      <c r="D1054" s="2">
        <v>10.0</v>
      </c>
      <c r="E1054" s="2">
        <v>1630.0</v>
      </c>
      <c r="F1054" s="2">
        <v>1814.0</v>
      </c>
      <c r="G1054" s="2">
        <v>173500.0</v>
      </c>
    </row>
    <row r="1055" ht="15.75" customHeight="1">
      <c r="A1055" s="2" t="s">
        <v>3486</v>
      </c>
      <c r="B1055" s="2" t="s">
        <v>3488</v>
      </c>
      <c r="C1055" s="2" t="s">
        <v>2703</v>
      </c>
      <c r="D1055" s="2">
        <v>8.0</v>
      </c>
      <c r="E1055" s="2">
        <v>2091.0</v>
      </c>
      <c r="F1055" s="2">
        <v>2000.0</v>
      </c>
      <c r="G1055" s="2">
        <v>199250.0</v>
      </c>
    </row>
    <row r="1056" ht="15.75" customHeight="1">
      <c r="A1056" s="2" t="s">
        <v>3491</v>
      </c>
      <c r="B1056" s="2" t="s">
        <v>3493</v>
      </c>
      <c r="C1056" s="2" t="s">
        <v>2703</v>
      </c>
      <c r="D1056" s="2">
        <v>12.0</v>
      </c>
      <c r="E1056" s="2">
        <v>2101.0</v>
      </c>
      <c r="F1056" s="2">
        <v>2003.0</v>
      </c>
      <c r="G1056" s="2">
        <v>185000.0</v>
      </c>
    </row>
    <row r="1057" ht="15.75" customHeight="1">
      <c r="A1057" s="2" t="s">
        <v>3495</v>
      </c>
      <c r="B1057" s="2" t="s">
        <v>3497</v>
      </c>
      <c r="C1057" s="2" t="s">
        <v>2703</v>
      </c>
      <c r="D1057" s="2">
        <v>25.0</v>
      </c>
      <c r="E1057" s="2">
        <v>2955.0</v>
      </c>
      <c r="F1057" s="2">
        <v>2833.0</v>
      </c>
      <c r="G1057" s="2">
        <v>210259.0</v>
      </c>
    </row>
    <row r="1058" ht="15.75" customHeight="1">
      <c r="A1058" s="2" t="s">
        <v>3500</v>
      </c>
      <c r="B1058" s="2" t="s">
        <v>3501</v>
      </c>
      <c r="C1058" s="2" t="s">
        <v>2703</v>
      </c>
      <c r="D1058" s="2">
        <v>7.0</v>
      </c>
      <c r="E1058" s="2">
        <v>1346.0</v>
      </c>
      <c r="F1058" s="2">
        <v>1518.0</v>
      </c>
      <c r="G1058" s="2">
        <v>165000.0</v>
      </c>
    </row>
    <row r="1059" ht="15.75" customHeight="1">
      <c r="A1059" s="2" t="s">
        <v>3502</v>
      </c>
      <c r="B1059" s="2" t="s">
        <v>3503</v>
      </c>
      <c r="C1059" s="2" t="s">
        <v>2703</v>
      </c>
      <c r="D1059" s="2">
        <v>13.0</v>
      </c>
      <c r="E1059" s="2">
        <v>1278.0</v>
      </c>
      <c r="F1059" s="2">
        <v>1633.0</v>
      </c>
      <c r="G1059" s="2">
        <v>260000.0</v>
      </c>
    </row>
    <row r="1060" ht="15.75" customHeight="1">
      <c r="A1060" s="2" t="s">
        <v>3504</v>
      </c>
      <c r="B1060" s="2" t="s">
        <v>3505</v>
      </c>
      <c r="C1060" s="2" t="s">
        <v>2703</v>
      </c>
      <c r="D1060" s="2">
        <v>7.0</v>
      </c>
      <c r="E1060" s="2">
        <v>1570.0</v>
      </c>
      <c r="F1060" s="2">
        <v>2033.0</v>
      </c>
      <c r="G1060" s="2">
        <v>162072.0</v>
      </c>
    </row>
    <row r="1061" ht="15.75" customHeight="1">
      <c r="A1061" s="2" t="s">
        <v>3508</v>
      </c>
      <c r="B1061" s="2" t="s">
        <v>3509</v>
      </c>
      <c r="C1061" s="2" t="s">
        <v>2703</v>
      </c>
      <c r="D1061" s="2">
        <v>10.0</v>
      </c>
      <c r="E1061" s="2">
        <v>2032.0</v>
      </c>
      <c r="F1061" s="2">
        <v>2012.0</v>
      </c>
      <c r="G1061" s="2">
        <v>195000.0</v>
      </c>
    </row>
    <row r="1062" ht="15.75" customHeight="1">
      <c r="A1062" s="2" t="s">
        <v>3510</v>
      </c>
      <c r="B1062" s="2" t="s">
        <v>3511</v>
      </c>
      <c r="C1062" s="2" t="s">
        <v>2703</v>
      </c>
      <c r="D1062" s="2">
        <v>8.0</v>
      </c>
      <c r="E1062" s="2">
        <v>1636.0</v>
      </c>
      <c r="F1062" s="2">
        <v>1834.0</v>
      </c>
      <c r="G1062" s="2">
        <v>255000.0</v>
      </c>
    </row>
    <row r="1063" ht="15.75" customHeight="1">
      <c r="A1063" s="2" t="s">
        <v>3512</v>
      </c>
      <c r="B1063" s="2" t="s">
        <v>3513</v>
      </c>
      <c r="C1063" s="2" t="s">
        <v>2703</v>
      </c>
      <c r="D1063" s="2">
        <v>9.0</v>
      </c>
      <c r="E1063" s="2">
        <v>1810.0</v>
      </c>
      <c r="F1063" s="2">
        <v>2114.0</v>
      </c>
      <c r="G1063" s="2">
        <v>171500.0</v>
      </c>
    </row>
    <row r="1064" ht="15.75" customHeight="1">
      <c r="A1064" s="2" t="s">
        <v>3514</v>
      </c>
      <c r="B1064" s="2" t="s">
        <v>2534</v>
      </c>
      <c r="C1064" s="2" t="s">
        <v>2703</v>
      </c>
      <c r="D1064" s="2">
        <v>24.0</v>
      </c>
      <c r="E1064" s="2">
        <v>1911.0</v>
      </c>
      <c r="F1064" s="2">
        <v>2104.0</v>
      </c>
      <c r="G1064" s="2">
        <v>221035.0</v>
      </c>
    </row>
    <row r="1065" ht="15.75" customHeight="1">
      <c r="A1065" s="2" t="s">
        <v>3517</v>
      </c>
      <c r="B1065" s="2" t="s">
        <v>3518</v>
      </c>
      <c r="C1065" s="2" t="s">
        <v>2703</v>
      </c>
      <c r="D1065" s="2">
        <v>7.0</v>
      </c>
      <c r="E1065" s="2">
        <v>1977.0</v>
      </c>
      <c r="F1065" s="2">
        <v>2092.0</v>
      </c>
      <c r="G1065" s="2">
        <v>130000.0</v>
      </c>
    </row>
    <row r="1066" ht="15.75" customHeight="1">
      <c r="A1066" s="2" t="s">
        <v>3519</v>
      </c>
      <c r="B1066" s="2" t="s">
        <v>3520</v>
      </c>
      <c r="C1066" s="2" t="s">
        <v>2703</v>
      </c>
      <c r="D1066" s="2">
        <v>7.0</v>
      </c>
      <c r="E1066" s="2">
        <v>1000.0</v>
      </c>
      <c r="F1066" s="2">
        <v>1078.0</v>
      </c>
      <c r="G1066" s="2">
        <v>91000.0</v>
      </c>
    </row>
    <row r="1067" ht="15.75" customHeight="1">
      <c r="A1067" s="2" t="s">
        <v>3522</v>
      </c>
      <c r="B1067" s="2" t="s">
        <v>3524</v>
      </c>
      <c r="C1067" s="2" t="s">
        <v>2703</v>
      </c>
      <c r="D1067" s="2">
        <v>7.0</v>
      </c>
      <c r="E1067" s="2">
        <v>2157.0</v>
      </c>
      <c r="F1067" s="2">
        <v>2412.0</v>
      </c>
      <c r="G1067" s="2">
        <v>165000.0</v>
      </c>
    </row>
    <row r="1068" ht="15.75" customHeight="1">
      <c r="A1068" s="2" t="s">
        <v>3527</v>
      </c>
      <c r="B1068" s="2" t="s">
        <v>3528</v>
      </c>
      <c r="C1068" s="2" t="s">
        <v>2703</v>
      </c>
      <c r="D1068" s="2">
        <v>5.0</v>
      </c>
      <c r="E1068" s="2">
        <v>1312.0</v>
      </c>
      <c r="F1068" s="2">
        <v>1395.0</v>
      </c>
      <c r="G1068" s="2">
        <v>109200.0</v>
      </c>
    </row>
    <row r="1069" ht="15.75" customHeight="1">
      <c r="A1069" s="2" t="s">
        <v>3529</v>
      </c>
      <c r="B1069" s="2" t="s">
        <v>3530</v>
      </c>
      <c r="C1069" s="2" t="s">
        <v>2703</v>
      </c>
      <c r="D1069" s="2">
        <v>6.0</v>
      </c>
      <c r="E1069" s="2">
        <v>2137.0</v>
      </c>
      <c r="F1069" s="2">
        <v>2035.0</v>
      </c>
      <c r="G1069" s="2">
        <v>145000.0</v>
      </c>
    </row>
    <row r="1070" ht="15.75" customHeight="1">
      <c r="A1070" s="2" t="s">
        <v>3533</v>
      </c>
      <c r="B1070" s="2" t="s">
        <v>3534</v>
      </c>
      <c r="C1070" s="2" t="s">
        <v>2703</v>
      </c>
      <c r="D1070" s="2">
        <v>194.0</v>
      </c>
      <c r="E1070" s="2">
        <v>3301.0</v>
      </c>
      <c r="F1070" s="2">
        <v>3329.0</v>
      </c>
      <c r="G1070" s="2">
        <v>215000.0</v>
      </c>
    </row>
    <row r="1071" ht="15.75" customHeight="1">
      <c r="A1071" s="2" t="s">
        <v>3535</v>
      </c>
      <c r="B1071" s="2" t="s">
        <v>3536</v>
      </c>
      <c r="C1071" s="2" t="s">
        <v>2703</v>
      </c>
      <c r="D1071" s="2">
        <v>6.0</v>
      </c>
      <c r="E1071" s="2">
        <v>2165.0</v>
      </c>
      <c r="F1071" s="2">
        <v>2312.0</v>
      </c>
      <c r="G1071" s="2">
        <v>271530.0</v>
      </c>
    </row>
    <row r="1072" ht="15.75" customHeight="1">
      <c r="A1072" s="2" t="s">
        <v>3537</v>
      </c>
      <c r="B1072" s="2" t="s">
        <v>3538</v>
      </c>
      <c r="C1072" s="2" t="s">
        <v>2703</v>
      </c>
      <c r="D1072" s="2">
        <v>10.0</v>
      </c>
      <c r="E1072" s="2">
        <v>2930.0</v>
      </c>
      <c r="F1072" s="2">
        <v>2854.0</v>
      </c>
      <c r="G1072" s="2">
        <v>223500.0</v>
      </c>
    </row>
    <row r="1073" ht="15.75" customHeight="1">
      <c r="A1073" s="2" t="s">
        <v>3540</v>
      </c>
      <c r="B1073" s="2" t="s">
        <v>3542</v>
      </c>
      <c r="C1073" s="2" t="s">
        <v>2703</v>
      </c>
      <c r="D1073" s="2">
        <v>7.0</v>
      </c>
      <c r="E1073" s="2">
        <v>1142.0</v>
      </c>
      <c r="F1073" s="2">
        <v>1218.0</v>
      </c>
      <c r="G1073" s="2">
        <v>138500.0</v>
      </c>
    </row>
    <row r="1074" ht="15.75" customHeight="1">
      <c r="A1074" s="2" t="s">
        <v>3543</v>
      </c>
      <c r="B1074" s="2" t="s">
        <v>3544</v>
      </c>
      <c r="C1074" s="2" t="s">
        <v>2703</v>
      </c>
      <c r="D1074" s="2">
        <v>16.0</v>
      </c>
      <c r="E1074" s="2">
        <v>1272.0</v>
      </c>
      <c r="F1074" s="2">
        <v>1531.0</v>
      </c>
      <c r="G1074" s="2">
        <v>143750.0</v>
      </c>
    </row>
    <row r="1075" ht="15.75" customHeight="1">
      <c r="A1075" s="2" t="s">
        <v>3545</v>
      </c>
      <c r="B1075" s="2" t="s">
        <v>3546</v>
      </c>
      <c r="C1075" s="2" t="s">
        <v>2703</v>
      </c>
      <c r="D1075" s="2">
        <v>7.0</v>
      </c>
      <c r="E1075" s="2">
        <v>1548.0</v>
      </c>
      <c r="F1075" s="2">
        <v>1774.0</v>
      </c>
      <c r="G1075" s="2">
        <v>164600.0</v>
      </c>
    </row>
    <row r="1076" ht="15.75" customHeight="1">
      <c r="A1076" s="2" t="s">
        <v>3547</v>
      </c>
      <c r="B1076" s="2" t="s">
        <v>3548</v>
      </c>
      <c r="C1076" s="2" t="s">
        <v>2703</v>
      </c>
      <c r="D1076" s="2">
        <v>37.0</v>
      </c>
      <c r="E1076" s="2">
        <v>1565.0</v>
      </c>
      <c r="F1076" s="2">
        <v>1771.0</v>
      </c>
      <c r="G1076" s="2">
        <v>151000.0</v>
      </c>
    </row>
    <row r="1077" ht="15.75" customHeight="1">
      <c r="A1077" s="2" t="s">
        <v>3549</v>
      </c>
      <c r="B1077" s="2" t="s">
        <v>3550</v>
      </c>
      <c r="C1077" s="2" t="s">
        <v>2703</v>
      </c>
      <c r="D1077" s="2">
        <v>9.0</v>
      </c>
      <c r="E1077" s="2">
        <v>2123.0</v>
      </c>
      <c r="F1077" s="2">
        <v>2255.0</v>
      </c>
      <c r="G1077" s="2">
        <v>188550.0</v>
      </c>
    </row>
    <row r="1078" ht="15.75" customHeight="1">
      <c r="A1078" s="2" t="s">
        <v>3553</v>
      </c>
      <c r="B1078" s="2" t="s">
        <v>3554</v>
      </c>
      <c r="C1078" s="2" t="s">
        <v>2703</v>
      </c>
      <c r="D1078" s="2">
        <v>18.0</v>
      </c>
      <c r="E1078" s="2">
        <v>2197.0</v>
      </c>
      <c r="F1078" s="2">
        <v>2042.0</v>
      </c>
      <c r="G1078" s="2">
        <v>194000.0</v>
      </c>
    </row>
    <row r="1079" ht="15.75" customHeight="1">
      <c r="A1079" s="2" t="s">
        <v>3555</v>
      </c>
      <c r="B1079" s="2" t="s">
        <v>3556</v>
      </c>
      <c r="C1079" s="2" t="s">
        <v>2703</v>
      </c>
      <c r="D1079" s="2">
        <v>9.0</v>
      </c>
      <c r="E1079" s="2">
        <v>2731.0</v>
      </c>
      <c r="F1079" s="2">
        <v>2769.0</v>
      </c>
      <c r="G1079" s="2">
        <v>215000.0</v>
      </c>
    </row>
    <row r="1080" ht="15.75" customHeight="1">
      <c r="A1080" s="2" t="s">
        <v>3557</v>
      </c>
      <c r="B1080" s="2" t="s">
        <v>3558</v>
      </c>
      <c r="C1080" s="2" t="s">
        <v>2703</v>
      </c>
      <c r="D1080" s="2">
        <v>7.0</v>
      </c>
      <c r="E1080" s="2">
        <v>1220.0</v>
      </c>
      <c r="F1080" s="2">
        <v>1228.0</v>
      </c>
      <c r="G1080" s="2">
        <v>175000.0</v>
      </c>
    </row>
    <row r="1081" ht="15.75" customHeight="1">
      <c r="A1081" s="2" t="s">
        <v>3559</v>
      </c>
      <c r="B1081" s="2" t="s">
        <v>3560</v>
      </c>
      <c r="C1081" s="2" t="s">
        <v>2703</v>
      </c>
      <c r="D1081" s="2">
        <v>7.0</v>
      </c>
      <c r="E1081" s="2">
        <v>1620.0</v>
      </c>
      <c r="F1081" s="2">
        <v>1523.0</v>
      </c>
      <c r="G1081" s="2">
        <v>145000.0</v>
      </c>
    </row>
    <row r="1082" ht="15.75" customHeight="1">
      <c r="A1082" s="2" t="s">
        <v>3561</v>
      </c>
      <c r="B1082" s="2" t="s">
        <v>3562</v>
      </c>
      <c r="C1082" s="2" t="s">
        <v>2703</v>
      </c>
      <c r="D1082" s="2">
        <v>9.0</v>
      </c>
      <c r="E1082" s="2">
        <v>2418.0</v>
      </c>
      <c r="F1082" s="2">
        <v>2445.0</v>
      </c>
      <c r="G1082" s="2">
        <v>180000.0</v>
      </c>
    </row>
    <row r="1083" ht="15.75" customHeight="1">
      <c r="A1083" s="2" t="s">
        <v>3565</v>
      </c>
      <c r="B1083" s="2" t="s">
        <v>3566</v>
      </c>
      <c r="C1083" s="2" t="s">
        <v>2703</v>
      </c>
      <c r="D1083" s="2">
        <v>24.0</v>
      </c>
      <c r="E1083" s="2">
        <v>1796.0</v>
      </c>
      <c r="F1083" s="2">
        <v>1725.0</v>
      </c>
      <c r="G1083" s="2">
        <v>144175.0</v>
      </c>
    </row>
    <row r="1084" ht="15.75" customHeight="1">
      <c r="A1084" s="2" t="s">
        <v>3567</v>
      </c>
      <c r="B1084" s="2" t="s">
        <v>3568</v>
      </c>
      <c r="C1084" s="2" t="s">
        <v>2703</v>
      </c>
      <c r="D1084" s="2">
        <v>9.0</v>
      </c>
      <c r="E1084" s="2">
        <v>2296.0</v>
      </c>
      <c r="F1084" s="2">
        <v>1972.0</v>
      </c>
      <c r="G1084" s="2">
        <v>179000.0</v>
      </c>
    </row>
    <row r="1085" ht="15.75" customHeight="1">
      <c r="A1085" s="2" t="s">
        <v>3569</v>
      </c>
      <c r="B1085" s="2" t="s">
        <v>3570</v>
      </c>
      <c r="C1085" s="2" t="s">
        <v>2703</v>
      </c>
      <c r="D1085" s="2">
        <v>21.0</v>
      </c>
      <c r="E1085" s="2">
        <v>1697.0</v>
      </c>
      <c r="F1085" s="2">
        <v>1743.0</v>
      </c>
      <c r="G1085" s="2">
        <v>163600.0</v>
      </c>
    </row>
    <row r="1086" ht="15.75" customHeight="1">
      <c r="A1086" s="2" t="s">
        <v>3571</v>
      </c>
      <c r="B1086" s="2" t="s">
        <v>3572</v>
      </c>
      <c r="C1086" s="2" t="s">
        <v>2703</v>
      </c>
      <c r="D1086" s="2">
        <v>11.0</v>
      </c>
      <c r="E1086" s="2">
        <v>1818.0</v>
      </c>
      <c r="F1086" s="2">
        <v>1838.0</v>
      </c>
      <c r="G1086" s="2">
        <v>213000.0</v>
      </c>
    </row>
    <row r="1087" ht="15.75" customHeight="1">
      <c r="A1087" s="2" t="s">
        <v>3574</v>
      </c>
      <c r="B1087" s="2" t="s">
        <v>3576</v>
      </c>
      <c r="C1087" s="2" t="s">
        <v>2703</v>
      </c>
      <c r="D1087" s="2">
        <v>15.0</v>
      </c>
      <c r="E1087" s="2">
        <v>1319.0</v>
      </c>
      <c r="F1087" s="2">
        <v>1397.0</v>
      </c>
      <c r="G1087" s="2">
        <v>120000.0</v>
      </c>
    </row>
    <row r="1088" ht="15.75" customHeight="1">
      <c r="A1088" s="2" t="s">
        <v>3577</v>
      </c>
      <c r="B1088" s="2" t="s">
        <v>3578</v>
      </c>
      <c r="C1088" s="2" t="s">
        <v>2703</v>
      </c>
      <c r="D1088" s="2">
        <v>21.0</v>
      </c>
      <c r="E1088" s="2">
        <v>1829.0</v>
      </c>
      <c r="F1088" s="2">
        <v>1916.0</v>
      </c>
      <c r="G1088" s="2">
        <v>230000.0</v>
      </c>
    </row>
    <row r="1089" ht="15.75" customHeight="1">
      <c r="A1089" s="2" t="s">
        <v>3579</v>
      </c>
      <c r="B1089" s="2" t="s">
        <v>3580</v>
      </c>
      <c r="C1089" s="2" t="s">
        <v>2703</v>
      </c>
      <c r="D1089" s="2">
        <v>12.0</v>
      </c>
      <c r="E1089" s="2">
        <v>1633.0</v>
      </c>
      <c r="F1089" s="2">
        <v>1834.0</v>
      </c>
      <c r="G1089" s="2">
        <v>230225.0</v>
      </c>
    </row>
    <row r="1090" ht="15.75" customHeight="1">
      <c r="A1090" s="2" t="s">
        <v>3581</v>
      </c>
      <c r="B1090" s="2" t="s">
        <v>3582</v>
      </c>
      <c r="C1090" s="2" t="s">
        <v>2703</v>
      </c>
      <c r="D1090" s="2">
        <v>15.0</v>
      </c>
      <c r="E1090" s="2">
        <v>1744.0</v>
      </c>
      <c r="F1090" s="2">
        <v>1564.0</v>
      </c>
      <c r="G1090" s="2">
        <v>161500.0</v>
      </c>
    </row>
    <row r="1091" ht="15.75" customHeight="1">
      <c r="A1091" s="2" t="s">
        <v>3583</v>
      </c>
      <c r="B1091" s="2" t="s">
        <v>3584</v>
      </c>
      <c r="C1091" s="2" t="s">
        <v>2703</v>
      </c>
      <c r="D1091" s="2">
        <v>31.0</v>
      </c>
      <c r="E1091" s="2">
        <v>2203.0</v>
      </c>
      <c r="F1091" s="2">
        <v>2163.0</v>
      </c>
      <c r="G1091" s="2">
        <v>243000.0</v>
      </c>
    </row>
    <row r="1092" ht="15.75" customHeight="1">
      <c r="A1092" s="2" t="s">
        <v>3585</v>
      </c>
      <c r="B1092" s="2" t="s">
        <v>3586</v>
      </c>
      <c r="C1092" s="2" t="s">
        <v>2703</v>
      </c>
      <c r="D1092" s="2">
        <v>13.0</v>
      </c>
      <c r="E1092" s="2">
        <v>1923.0</v>
      </c>
      <c r="F1092" s="2">
        <v>2310.0</v>
      </c>
      <c r="G1092" s="2">
        <v>195000.0</v>
      </c>
    </row>
    <row r="1093" ht="15.75" customHeight="1">
      <c r="A1093" s="2" t="s">
        <v>3587</v>
      </c>
      <c r="B1093" s="2" t="s">
        <v>3588</v>
      </c>
      <c r="C1093" s="2" t="s">
        <v>2703</v>
      </c>
      <c r="D1093" s="2">
        <v>6.0</v>
      </c>
      <c r="E1093" s="2">
        <v>1720.0</v>
      </c>
      <c r="F1093" s="2">
        <v>1694.0</v>
      </c>
      <c r="G1093" s="2">
        <v>139000.0</v>
      </c>
    </row>
    <row r="1094" ht="15.75" customHeight="1">
      <c r="A1094" s="2" t="s">
        <v>3589</v>
      </c>
      <c r="B1094" s="2" t="s">
        <v>3590</v>
      </c>
      <c r="C1094" s="2" t="s">
        <v>2703</v>
      </c>
      <c r="D1094" s="2">
        <v>5.0</v>
      </c>
      <c r="E1094" s="2">
        <v>2025.0</v>
      </c>
      <c r="F1094" s="2">
        <v>1824.0</v>
      </c>
      <c r="G1094" s="2">
        <v>119500.0</v>
      </c>
    </row>
    <row r="1095" ht="15.75" customHeight="1">
      <c r="A1095" s="2" t="s">
        <v>3593</v>
      </c>
      <c r="B1095" s="2" t="s">
        <v>3594</v>
      </c>
      <c r="C1095" s="2" t="s">
        <v>2703</v>
      </c>
      <c r="D1095" s="2">
        <v>6.0</v>
      </c>
      <c r="E1095" s="2">
        <v>2142.0</v>
      </c>
      <c r="F1095" s="2">
        <v>1952.0</v>
      </c>
      <c r="G1095" s="2">
        <v>212000.0</v>
      </c>
    </row>
    <row r="1096" ht="15.75" customHeight="1">
      <c r="A1096" s="2" t="s">
        <v>3595</v>
      </c>
      <c r="B1096" s="2" t="s">
        <v>3596</v>
      </c>
      <c r="C1096" s="2" t="s">
        <v>2703</v>
      </c>
      <c r="D1096" s="2">
        <v>8.0</v>
      </c>
      <c r="E1096" s="2">
        <v>2737.0</v>
      </c>
      <c r="F1096" s="2">
        <v>2587.0</v>
      </c>
      <c r="G1096" s="2">
        <v>235210.0</v>
      </c>
    </row>
    <row r="1097" ht="15.75" customHeight="1">
      <c r="A1097" s="2" t="s">
        <v>3597</v>
      </c>
      <c r="B1097" s="2" t="s">
        <v>3598</v>
      </c>
      <c r="C1097" s="2" t="s">
        <v>2703</v>
      </c>
      <c r="D1097" s="2">
        <v>17.0</v>
      </c>
      <c r="E1097" s="2">
        <v>2250.0</v>
      </c>
      <c r="F1097" s="2">
        <v>1971.0</v>
      </c>
      <c r="G1097" s="2">
        <v>158000.0</v>
      </c>
    </row>
    <row r="1098" ht="15.75" customHeight="1">
      <c r="A1098" s="2" t="s">
        <v>3599</v>
      </c>
      <c r="B1098" s="2" t="s">
        <v>3600</v>
      </c>
      <c r="C1098" s="2" t="s">
        <v>2703</v>
      </c>
      <c r="D1098" s="2">
        <v>6.0</v>
      </c>
      <c r="E1098" s="2">
        <v>1327.0</v>
      </c>
      <c r="F1098" s="2">
        <v>1380.0</v>
      </c>
      <c r="G1098" s="2">
        <v>123500.0</v>
      </c>
    </row>
    <row r="1099" ht="15.75" customHeight="1">
      <c r="A1099" s="2" t="s">
        <v>3603</v>
      </c>
      <c r="B1099" s="2" t="s">
        <v>3604</v>
      </c>
      <c r="C1099" s="2" t="s">
        <v>2703</v>
      </c>
      <c r="D1099" s="2">
        <v>26.0</v>
      </c>
      <c r="E1099" s="2">
        <v>2196.0</v>
      </c>
      <c r="F1099" s="2">
        <v>2149.0</v>
      </c>
      <c r="G1099" s="2">
        <v>157000.0</v>
      </c>
    </row>
    <row r="1100" ht="15.75" customHeight="1">
      <c r="A1100" s="2" t="s">
        <v>3605</v>
      </c>
      <c r="B1100" s="2" t="s">
        <v>3606</v>
      </c>
      <c r="C1100" s="2" t="s">
        <v>2703</v>
      </c>
      <c r="D1100" s="2">
        <v>7.0</v>
      </c>
      <c r="E1100" s="2">
        <v>2475.0</v>
      </c>
      <c r="F1100" s="2">
        <v>2646.0</v>
      </c>
      <c r="G1100" s="2">
        <v>350000.0</v>
      </c>
    </row>
    <row r="1101" ht="15.75" customHeight="1">
      <c r="A1101" s="2" t="s">
        <v>3607</v>
      </c>
      <c r="B1101" s="2" t="s">
        <v>3608</v>
      </c>
      <c r="C1101" s="2" t="s">
        <v>2703</v>
      </c>
      <c r="D1101" s="2">
        <v>38.0</v>
      </c>
      <c r="E1101" s="2">
        <v>2448.0</v>
      </c>
      <c r="F1101" s="2">
        <v>2416.0</v>
      </c>
      <c r="G1101" s="2">
        <v>156075.0</v>
      </c>
    </row>
    <row r="1102" ht="15.75" customHeight="1">
      <c r="A1102" s="2" t="s">
        <v>3609</v>
      </c>
      <c r="B1102" s="2" t="s">
        <v>3611</v>
      </c>
      <c r="C1102" s="2" t="s">
        <v>2703</v>
      </c>
      <c r="D1102" s="2">
        <v>5.0</v>
      </c>
      <c r="E1102" s="2">
        <v>2488.0</v>
      </c>
      <c r="F1102" s="2">
        <v>2172.0</v>
      </c>
      <c r="G1102" s="2">
        <v>243500.0</v>
      </c>
    </row>
    <row r="1103" ht="15.75" customHeight="1">
      <c r="A1103" s="2" t="s">
        <v>3613</v>
      </c>
      <c r="B1103" s="2" t="s">
        <v>3614</v>
      </c>
      <c r="C1103" s="2" t="s">
        <v>2703</v>
      </c>
      <c r="D1103" s="2">
        <v>51.0</v>
      </c>
      <c r="E1103" s="2">
        <v>2581.0</v>
      </c>
      <c r="F1103" s="2">
        <v>2751.0</v>
      </c>
      <c r="G1103" s="2">
        <v>237000.0</v>
      </c>
    </row>
    <row r="1104" ht="15.75" customHeight="1">
      <c r="A1104" s="2" t="s">
        <v>3615</v>
      </c>
      <c r="B1104" s="2" t="s">
        <v>3616</v>
      </c>
      <c r="C1104" s="2" t="s">
        <v>2703</v>
      </c>
      <c r="D1104" s="2">
        <v>6.0</v>
      </c>
      <c r="E1104" s="2">
        <v>1300.0</v>
      </c>
      <c r="F1104" s="2">
        <v>1334.0</v>
      </c>
      <c r="G1104" s="2">
        <v>119050.0</v>
      </c>
    </row>
    <row r="1105" ht="15.75" customHeight="1">
      <c r="A1105" s="2" t="s">
        <v>3617</v>
      </c>
      <c r="B1105" s="2" t="s">
        <v>3618</v>
      </c>
      <c r="C1105" s="2" t="s">
        <v>2703</v>
      </c>
      <c r="D1105" s="2">
        <v>6.0</v>
      </c>
      <c r="E1105" s="2">
        <v>1017.0</v>
      </c>
      <c r="F1105" s="2">
        <v>1357.0</v>
      </c>
      <c r="G1105" s="2">
        <v>145450.0</v>
      </c>
    </row>
    <row r="1106" ht="15.75" customHeight="1">
      <c r="A1106" s="2" t="s">
        <v>3619</v>
      </c>
      <c r="B1106" s="2" t="s">
        <v>3620</v>
      </c>
      <c r="C1106" s="2" t="s">
        <v>2703</v>
      </c>
      <c r="D1106" s="2">
        <v>12.0</v>
      </c>
      <c r="E1106" s="2">
        <v>2820.0</v>
      </c>
      <c r="F1106" s="2">
        <v>2947.0</v>
      </c>
      <c r="G1106" s="2">
        <v>231100.0</v>
      </c>
    </row>
    <row r="1107" ht="15.75" customHeight="1">
      <c r="A1107" s="2" t="s">
        <v>3621</v>
      </c>
      <c r="B1107" s="2" t="s">
        <v>3622</v>
      </c>
      <c r="C1107" s="2" t="s">
        <v>2703</v>
      </c>
      <c r="D1107" s="2">
        <v>6.0</v>
      </c>
      <c r="E1107" s="2">
        <v>1681.0</v>
      </c>
      <c r="F1107" s="2">
        <v>1962.0</v>
      </c>
      <c r="G1107" s="2">
        <v>297175.0</v>
      </c>
    </row>
    <row r="1108" ht="15.75" customHeight="1">
      <c r="A1108" s="2" t="s">
        <v>3623</v>
      </c>
      <c r="B1108" s="2" t="s">
        <v>3624</v>
      </c>
      <c r="C1108" s="2" t="s">
        <v>2703</v>
      </c>
      <c r="D1108" s="2">
        <v>5.0</v>
      </c>
      <c r="E1108" s="2">
        <v>1752.0</v>
      </c>
      <c r="F1108" s="2">
        <v>1627.0</v>
      </c>
      <c r="G1108" s="2">
        <v>261000.0</v>
      </c>
    </row>
    <row r="1109" ht="15.75" customHeight="1">
      <c r="A1109" s="2" t="s">
        <v>3625</v>
      </c>
      <c r="B1109" s="2" t="s">
        <v>3626</v>
      </c>
      <c r="C1109" s="2" t="s">
        <v>2703</v>
      </c>
      <c r="D1109" s="2">
        <v>10.0</v>
      </c>
      <c r="E1109" s="2">
        <v>2961.0</v>
      </c>
      <c r="F1109" s="2">
        <v>3137.0</v>
      </c>
      <c r="G1109" s="2">
        <v>312350.0</v>
      </c>
    </row>
    <row r="1110" ht="15.75" customHeight="1">
      <c r="A1110" s="2" t="s">
        <v>3629</v>
      </c>
      <c r="B1110" s="2" t="s">
        <v>3630</v>
      </c>
      <c r="C1110" s="2" t="s">
        <v>2703</v>
      </c>
      <c r="D1110" s="2">
        <v>6.0</v>
      </c>
      <c r="E1110" s="2">
        <v>1408.0</v>
      </c>
      <c r="F1110" s="2">
        <v>1589.0</v>
      </c>
      <c r="G1110" s="2">
        <v>267500.0</v>
      </c>
    </row>
    <row r="1111" ht="15.75" customHeight="1">
      <c r="A1111" s="2" t="s">
        <v>3631</v>
      </c>
      <c r="B1111" s="2" t="s">
        <v>3632</v>
      </c>
      <c r="C1111" s="2" t="s">
        <v>2703</v>
      </c>
      <c r="D1111" s="2">
        <v>49.0</v>
      </c>
      <c r="E1111" s="2">
        <v>2090.0</v>
      </c>
      <c r="F1111" s="2">
        <v>2153.0</v>
      </c>
      <c r="G1111" s="2">
        <v>151000.0</v>
      </c>
    </row>
    <row r="1112" ht="15.75" customHeight="1">
      <c r="A1112" s="2" t="s">
        <v>3633</v>
      </c>
      <c r="B1112" s="2" t="s">
        <v>3634</v>
      </c>
      <c r="C1112" s="2" t="s">
        <v>2703</v>
      </c>
      <c r="D1112" s="2">
        <v>11.0</v>
      </c>
      <c r="E1112" s="2">
        <v>2265.0</v>
      </c>
      <c r="F1112" s="2">
        <v>2156.0</v>
      </c>
      <c r="G1112" s="2">
        <v>202500.0</v>
      </c>
    </row>
    <row r="1113" ht="15.75" customHeight="1">
      <c r="A1113" s="2" t="s">
        <v>3635</v>
      </c>
      <c r="B1113" s="2" t="s">
        <v>3636</v>
      </c>
      <c r="C1113" s="2" t="s">
        <v>2703</v>
      </c>
      <c r="D1113" s="2">
        <v>22.0</v>
      </c>
      <c r="E1113" s="2">
        <v>2409.0</v>
      </c>
      <c r="F1113" s="2">
        <v>2595.0</v>
      </c>
      <c r="G1113" s="2">
        <v>287560.0</v>
      </c>
    </row>
    <row r="1114" ht="15.75" customHeight="1">
      <c r="A1114" s="2" t="s">
        <v>3637</v>
      </c>
      <c r="B1114" s="2" t="s">
        <v>3638</v>
      </c>
      <c r="C1114" s="2" t="s">
        <v>2703</v>
      </c>
      <c r="D1114" s="2">
        <v>18.0</v>
      </c>
      <c r="E1114" s="2">
        <v>1564.0</v>
      </c>
      <c r="F1114" s="2">
        <v>1662.0</v>
      </c>
      <c r="G1114" s="2">
        <v>273570.0</v>
      </c>
    </row>
    <row r="1115" ht="15.75" customHeight="1">
      <c r="A1115" s="2" t="s">
        <v>3639</v>
      </c>
      <c r="B1115" s="2" t="s">
        <v>3640</v>
      </c>
      <c r="C1115" s="2" t="s">
        <v>2703</v>
      </c>
      <c r="D1115" s="2">
        <v>15.0</v>
      </c>
      <c r="E1115" s="2">
        <v>4647.0</v>
      </c>
      <c r="F1115" s="2">
        <v>4449.0</v>
      </c>
      <c r="G1115" s="2">
        <v>380000.0</v>
      </c>
    </row>
    <row r="1116" ht="15.75" customHeight="1">
      <c r="A1116" s="2" t="s">
        <v>3642</v>
      </c>
      <c r="B1116" s="2" t="s">
        <v>3644</v>
      </c>
      <c r="C1116" s="2" t="s">
        <v>2703</v>
      </c>
      <c r="D1116" s="2">
        <v>10.0</v>
      </c>
      <c r="E1116" s="2">
        <v>1607.0</v>
      </c>
      <c r="F1116" s="2">
        <v>1688.0</v>
      </c>
      <c r="G1116" s="2">
        <v>221025.0</v>
      </c>
    </row>
    <row r="1117" ht="15.75" customHeight="1">
      <c r="A1117" s="2" t="s">
        <v>3647</v>
      </c>
      <c r="B1117" s="2" t="s">
        <v>3648</v>
      </c>
      <c r="C1117" s="2" t="s">
        <v>2703</v>
      </c>
      <c r="D1117" s="2">
        <v>12.0</v>
      </c>
      <c r="E1117" s="2">
        <v>1223.0</v>
      </c>
      <c r="F1117" s="2">
        <v>1328.0</v>
      </c>
      <c r="G1117" s="2">
        <v>191500.0</v>
      </c>
    </row>
    <row r="1118" ht="15.75" customHeight="1">
      <c r="A1118" s="2" t="s">
        <v>3649</v>
      </c>
      <c r="B1118" s="2" t="s">
        <v>3650</v>
      </c>
      <c r="C1118" s="2" t="s">
        <v>2703</v>
      </c>
      <c r="D1118" s="2">
        <v>10.0</v>
      </c>
      <c r="E1118" s="2">
        <v>1408.0</v>
      </c>
      <c r="F1118" s="2">
        <v>1642.0</v>
      </c>
      <c r="G1118" s="2">
        <v>185000.0</v>
      </c>
    </row>
    <row r="1119" ht="15.75" customHeight="1">
      <c r="A1119" s="2" t="s">
        <v>3653</v>
      </c>
      <c r="B1119" s="2" t="s">
        <v>3654</v>
      </c>
      <c r="C1119" s="2" t="s">
        <v>2703</v>
      </c>
      <c r="D1119" s="2">
        <v>7.0</v>
      </c>
      <c r="E1119" s="2">
        <v>1725.0</v>
      </c>
      <c r="F1119" s="2">
        <v>1751.0</v>
      </c>
      <c r="G1119" s="2">
        <v>182000.0</v>
      </c>
    </row>
    <row r="1120" ht="15.75" customHeight="1">
      <c r="A1120" s="2" t="s">
        <v>3655</v>
      </c>
      <c r="B1120" s="2" t="s">
        <v>3656</v>
      </c>
      <c r="C1120" s="2" t="s">
        <v>2703</v>
      </c>
      <c r="D1120" s="2">
        <v>9.0</v>
      </c>
      <c r="E1120" s="2">
        <v>1991.0</v>
      </c>
      <c r="F1120" s="2">
        <v>2050.0</v>
      </c>
      <c r="G1120" s="2">
        <v>184000.0</v>
      </c>
    </row>
    <row r="1121" ht="15.75" customHeight="1">
      <c r="A1121" s="2" t="s">
        <v>3657</v>
      </c>
      <c r="B1121" s="2" t="s">
        <v>3658</v>
      </c>
      <c r="C1121" s="2" t="s">
        <v>3659</v>
      </c>
      <c r="D1121" s="2">
        <v>13.0</v>
      </c>
      <c r="E1121" s="2">
        <v>1600.0</v>
      </c>
      <c r="F1121" s="2">
        <v>1829.0</v>
      </c>
      <c r="G1121" s="2">
        <v>174300.0</v>
      </c>
    </row>
    <row r="1122" ht="15.75" customHeight="1">
      <c r="A1122" s="2" t="s">
        <v>3660</v>
      </c>
      <c r="B1122" s="2" t="s">
        <v>3661</v>
      </c>
      <c r="C1122" s="2" t="s">
        <v>3659</v>
      </c>
      <c r="D1122" s="2">
        <v>9.0</v>
      </c>
      <c r="E1122" s="2">
        <v>2045.0</v>
      </c>
      <c r="F1122" s="2">
        <v>1916.0</v>
      </c>
      <c r="G1122" s="2">
        <v>180000.0</v>
      </c>
    </row>
    <row r="1123" ht="15.75" customHeight="1">
      <c r="A1123" s="2" t="s">
        <v>3662</v>
      </c>
      <c r="B1123" s="2" t="s">
        <v>3663</v>
      </c>
      <c r="C1123" s="2" t="s">
        <v>3659</v>
      </c>
      <c r="D1123" s="2">
        <v>95.0</v>
      </c>
      <c r="E1123" s="2">
        <v>2007.0</v>
      </c>
      <c r="F1123" s="2">
        <v>1964.0</v>
      </c>
      <c r="G1123" s="2">
        <v>151200.0</v>
      </c>
    </row>
    <row r="1124" ht="15.75" customHeight="1">
      <c r="A1124" s="2" t="s">
        <v>3664</v>
      </c>
      <c r="B1124" s="2" t="s">
        <v>3667</v>
      </c>
      <c r="C1124" s="2" t="s">
        <v>3659</v>
      </c>
      <c r="D1124" s="2">
        <v>6.0</v>
      </c>
      <c r="E1124" s="2">
        <v>965.0</v>
      </c>
      <c r="F1124" s="2">
        <v>1225.0</v>
      </c>
      <c r="G1124" s="2">
        <v>177525.0</v>
      </c>
    </row>
    <row r="1125" ht="15.75" customHeight="1">
      <c r="A1125" s="2" t="s">
        <v>3668</v>
      </c>
      <c r="B1125" s="2" t="s">
        <v>3669</v>
      </c>
      <c r="C1125" s="2" t="s">
        <v>3659</v>
      </c>
      <c r="D1125" s="2">
        <v>6.0</v>
      </c>
      <c r="E1125" s="2">
        <v>1250.0</v>
      </c>
      <c r="F1125" s="2">
        <v>1233.0</v>
      </c>
      <c r="G1125" s="2">
        <v>125000.0</v>
      </c>
    </row>
    <row r="1126" ht="15.75" customHeight="1">
      <c r="A1126" s="2" t="s">
        <v>3670</v>
      </c>
      <c r="B1126" s="2" t="s">
        <v>3671</v>
      </c>
      <c r="C1126" s="2" t="s">
        <v>3659</v>
      </c>
      <c r="D1126" s="2">
        <v>9.0</v>
      </c>
      <c r="E1126" s="2">
        <v>2257.0</v>
      </c>
      <c r="F1126" s="2">
        <v>2059.0</v>
      </c>
      <c r="G1126" s="2">
        <v>217500.0</v>
      </c>
    </row>
    <row r="1127" ht="15.75" customHeight="1">
      <c r="A1127" s="2" t="s">
        <v>3672</v>
      </c>
      <c r="B1127" s="2" t="s">
        <v>3673</v>
      </c>
      <c r="C1127" s="2" t="s">
        <v>3659</v>
      </c>
      <c r="D1127" s="2">
        <v>5.0</v>
      </c>
      <c r="E1127" s="2">
        <v>1279.0</v>
      </c>
      <c r="F1127" s="2">
        <v>1256.0</v>
      </c>
      <c r="G1127" s="2">
        <v>120000.0</v>
      </c>
    </row>
    <row r="1128" ht="15.75" customHeight="1">
      <c r="A1128" s="2" t="s">
        <v>3676</v>
      </c>
      <c r="B1128" s="2" t="s">
        <v>3677</v>
      </c>
      <c r="C1128" s="2" t="s">
        <v>3659</v>
      </c>
      <c r="D1128" s="2">
        <v>9.0</v>
      </c>
      <c r="E1128" s="2">
        <v>1849.0</v>
      </c>
      <c r="F1128" s="2">
        <v>1810.0</v>
      </c>
      <c r="G1128" s="2">
        <v>182000.0</v>
      </c>
    </row>
    <row r="1129" ht="15.75" customHeight="1">
      <c r="A1129" s="2" t="s">
        <v>3678</v>
      </c>
      <c r="B1129" s="2" t="s">
        <v>3679</v>
      </c>
      <c r="C1129" s="2" t="s">
        <v>3659</v>
      </c>
      <c r="D1129" s="2">
        <v>11.0</v>
      </c>
      <c r="E1129" s="2">
        <v>1689.0</v>
      </c>
      <c r="F1129" s="2">
        <v>1738.0</v>
      </c>
      <c r="G1129" s="2">
        <v>187500.0</v>
      </c>
    </row>
    <row r="1130" ht="15.75" customHeight="1">
      <c r="A1130" s="2" t="s">
        <v>3680</v>
      </c>
      <c r="B1130" s="2" t="s">
        <v>3681</v>
      </c>
      <c r="C1130" s="2" t="s">
        <v>3659</v>
      </c>
      <c r="D1130" s="2">
        <v>98.0</v>
      </c>
      <c r="E1130" s="2">
        <v>1274.0</v>
      </c>
      <c r="F1130" s="2">
        <v>1396.0</v>
      </c>
      <c r="G1130" s="2">
        <v>139950.0</v>
      </c>
    </row>
    <row r="1131" ht="15.75" customHeight="1">
      <c r="A1131" s="2" t="s">
        <v>3682</v>
      </c>
      <c r="B1131" s="2" t="s">
        <v>3683</v>
      </c>
      <c r="C1131" s="2" t="s">
        <v>3659</v>
      </c>
      <c r="D1131" s="2">
        <v>8.0</v>
      </c>
      <c r="E1131" s="2">
        <v>2658.0</v>
      </c>
      <c r="F1131" s="2">
        <v>2445.0</v>
      </c>
      <c r="G1131" s="2">
        <v>253000.0</v>
      </c>
    </row>
    <row r="1132" ht="15.75" customHeight="1">
      <c r="A1132" s="2" t="s">
        <v>3684</v>
      </c>
      <c r="B1132" s="2" t="s">
        <v>3685</v>
      </c>
      <c r="C1132" s="2" t="s">
        <v>3659</v>
      </c>
      <c r="D1132" s="2">
        <v>39.0</v>
      </c>
      <c r="E1132" s="2">
        <v>1711.0</v>
      </c>
      <c r="F1132" s="2">
        <v>1665.0</v>
      </c>
      <c r="G1132" s="2">
        <v>172000.0</v>
      </c>
    </row>
    <row r="1133" ht="15.75" customHeight="1">
      <c r="A1133" s="2" t="s">
        <v>3686</v>
      </c>
      <c r="B1133" s="2" t="s">
        <v>3687</v>
      </c>
      <c r="C1133" s="2" t="s">
        <v>3659</v>
      </c>
      <c r="D1133" s="2">
        <v>31.0</v>
      </c>
      <c r="E1133" s="2">
        <v>1256.0</v>
      </c>
      <c r="F1133" s="2">
        <v>1425.0</v>
      </c>
      <c r="G1133" s="2">
        <v>133000.0</v>
      </c>
    </row>
    <row r="1134" ht="15.75" customHeight="1">
      <c r="A1134" s="2" t="s">
        <v>3688</v>
      </c>
      <c r="B1134" s="2" t="s">
        <v>3689</v>
      </c>
      <c r="C1134" s="2" t="s">
        <v>3659</v>
      </c>
      <c r="D1134" s="2">
        <v>7.0</v>
      </c>
      <c r="E1134" s="2">
        <v>1147.0</v>
      </c>
      <c r="F1134" s="2">
        <v>1165.0</v>
      </c>
      <c r="G1134" s="2">
        <v>145000.0</v>
      </c>
    </row>
    <row r="1135" ht="15.75" customHeight="1">
      <c r="A1135" s="2" t="s">
        <v>3692</v>
      </c>
      <c r="B1135" s="2" t="s">
        <v>3693</v>
      </c>
      <c r="C1135" s="2" t="s">
        <v>3659</v>
      </c>
      <c r="D1135" s="2">
        <v>30.0</v>
      </c>
      <c r="E1135" s="2">
        <v>2750.0</v>
      </c>
      <c r="F1135" s="2">
        <v>2961.0</v>
      </c>
      <c r="G1135" s="2">
        <v>275000.0</v>
      </c>
    </row>
    <row r="1136" ht="15.75" customHeight="1">
      <c r="A1136" s="2" t="s">
        <v>3694</v>
      </c>
      <c r="B1136" s="2" t="s">
        <v>3695</v>
      </c>
      <c r="C1136" s="2" t="s">
        <v>3659</v>
      </c>
      <c r="D1136" s="2">
        <v>6.0</v>
      </c>
      <c r="E1136" s="2">
        <v>1277.0</v>
      </c>
      <c r="F1136" s="2">
        <v>1556.0</v>
      </c>
      <c r="G1136" s="2">
        <v>138100.0</v>
      </c>
    </row>
    <row r="1137" ht="15.75" customHeight="1">
      <c r="A1137" s="2" t="s">
        <v>3696</v>
      </c>
      <c r="B1137" s="2" t="s">
        <v>3697</v>
      </c>
      <c r="C1137" s="2" t="s">
        <v>3659</v>
      </c>
      <c r="D1137" s="2">
        <v>11.0</v>
      </c>
      <c r="E1137" s="2">
        <v>1564.0</v>
      </c>
      <c r="F1137" s="2">
        <v>1611.0</v>
      </c>
      <c r="G1137" s="2">
        <v>208000.0</v>
      </c>
    </row>
    <row r="1138" ht="15.75" customHeight="1">
      <c r="A1138" s="2" t="s">
        <v>3698</v>
      </c>
      <c r="B1138" s="2" t="s">
        <v>3699</v>
      </c>
      <c r="C1138" s="2" t="s">
        <v>3659</v>
      </c>
      <c r="D1138" s="2">
        <v>33.0</v>
      </c>
      <c r="E1138" s="2">
        <v>1500.0</v>
      </c>
      <c r="F1138" s="2">
        <v>1679.0</v>
      </c>
      <c r="G1138" s="2">
        <v>143000.0</v>
      </c>
    </row>
    <row r="1139" ht="15.75" customHeight="1">
      <c r="A1139" s="2" t="s">
        <v>3700</v>
      </c>
      <c r="B1139" s="2" t="s">
        <v>3701</v>
      </c>
      <c r="C1139" s="2" t="s">
        <v>3659</v>
      </c>
      <c r="D1139" s="2">
        <v>46.0</v>
      </c>
      <c r="E1139" s="2">
        <v>1687.0</v>
      </c>
      <c r="F1139" s="2">
        <v>1683.0</v>
      </c>
      <c r="G1139" s="2">
        <v>150525.0</v>
      </c>
    </row>
    <row r="1140" ht="15.75" customHeight="1">
      <c r="A1140" s="2" t="s">
        <v>3702</v>
      </c>
      <c r="B1140" s="2" t="s">
        <v>3703</v>
      </c>
      <c r="C1140" s="2" t="s">
        <v>3659</v>
      </c>
      <c r="D1140" s="2">
        <v>17.0</v>
      </c>
      <c r="E1140" s="2">
        <v>1316.0</v>
      </c>
      <c r="F1140" s="2">
        <v>1547.0</v>
      </c>
      <c r="G1140" s="2">
        <v>127900.0</v>
      </c>
    </row>
    <row r="1141" ht="15.75" customHeight="1">
      <c r="A1141" s="2" t="s">
        <v>3704</v>
      </c>
      <c r="B1141" s="2" t="s">
        <v>3705</v>
      </c>
      <c r="C1141" s="2" t="s">
        <v>3659</v>
      </c>
      <c r="D1141" s="2">
        <v>72.0</v>
      </c>
      <c r="E1141" s="2">
        <v>1574.0</v>
      </c>
      <c r="F1141" s="2">
        <v>1598.0</v>
      </c>
      <c r="G1141" s="2">
        <v>140300.0</v>
      </c>
    </row>
    <row r="1142" ht="15.75" customHeight="1">
      <c r="A1142" s="2" t="s">
        <v>3706</v>
      </c>
      <c r="B1142" s="2" t="s">
        <v>3707</v>
      </c>
      <c r="C1142" s="2" t="s">
        <v>3659</v>
      </c>
      <c r="D1142" s="2">
        <v>11.0</v>
      </c>
      <c r="E1142" s="2">
        <v>1118.0</v>
      </c>
      <c r="F1142" s="2">
        <v>1172.0</v>
      </c>
      <c r="G1142" s="2">
        <v>107000.0</v>
      </c>
    </row>
    <row r="1143" ht="15.75" customHeight="1">
      <c r="A1143" s="2" t="s">
        <v>3708</v>
      </c>
      <c r="B1143" s="2" t="s">
        <v>3709</v>
      </c>
      <c r="C1143" s="2" t="s">
        <v>3659</v>
      </c>
      <c r="D1143" s="2">
        <v>29.0</v>
      </c>
      <c r="E1143" s="2">
        <v>2490.0</v>
      </c>
      <c r="F1143" s="2">
        <v>2501.0</v>
      </c>
      <c r="G1143" s="2">
        <v>285525.0</v>
      </c>
    </row>
    <row r="1144" ht="15.75" customHeight="1">
      <c r="A1144" s="2" t="s">
        <v>3712</v>
      </c>
      <c r="B1144" s="2" t="s">
        <v>3713</v>
      </c>
      <c r="C1144" s="2" t="s">
        <v>3659</v>
      </c>
      <c r="D1144" s="2">
        <v>40.0</v>
      </c>
      <c r="E1144" s="2">
        <v>1480.0</v>
      </c>
      <c r="F1144" s="2">
        <v>1721.0</v>
      </c>
      <c r="G1144" s="2">
        <v>180000.0</v>
      </c>
    </row>
    <row r="1145" ht="15.75" customHeight="1">
      <c r="A1145" s="2" t="s">
        <v>3714</v>
      </c>
      <c r="B1145" s="2" t="s">
        <v>3716</v>
      </c>
      <c r="C1145" s="2" t="s">
        <v>3659</v>
      </c>
      <c r="D1145" s="2">
        <v>12.0</v>
      </c>
      <c r="E1145" s="2">
        <v>1862.0</v>
      </c>
      <c r="F1145" s="2">
        <v>1789.0</v>
      </c>
      <c r="G1145" s="2">
        <v>232470.0</v>
      </c>
    </row>
    <row r="1146" ht="15.75" customHeight="1">
      <c r="A1146" s="2" t="s">
        <v>3718</v>
      </c>
      <c r="B1146" s="2" t="s">
        <v>3719</v>
      </c>
      <c r="C1146" s="2" t="s">
        <v>3659</v>
      </c>
      <c r="D1146" s="2">
        <v>92.0</v>
      </c>
      <c r="E1146" s="2">
        <v>1595.0</v>
      </c>
      <c r="F1146" s="2">
        <v>1616.0</v>
      </c>
      <c r="G1146" s="2">
        <v>140500.0</v>
      </c>
    </row>
    <row r="1147" ht="15.75" customHeight="1">
      <c r="A1147" s="2" t="s">
        <v>3720</v>
      </c>
      <c r="B1147" s="2" t="s">
        <v>3721</v>
      </c>
      <c r="C1147" s="2" t="s">
        <v>3659</v>
      </c>
      <c r="D1147" s="2">
        <v>523.0</v>
      </c>
      <c r="E1147" s="2">
        <v>2208.0</v>
      </c>
      <c r="F1147" s="2">
        <v>2243.0</v>
      </c>
      <c r="G1147" s="2">
        <v>145000.0</v>
      </c>
    </row>
    <row r="1148" ht="15.75" customHeight="1">
      <c r="A1148" s="2" t="s">
        <v>3722</v>
      </c>
      <c r="B1148" s="2" t="s">
        <v>3723</v>
      </c>
      <c r="C1148" s="2" t="s">
        <v>3659</v>
      </c>
      <c r="D1148" s="2">
        <v>5.0</v>
      </c>
      <c r="E1148" s="2">
        <v>1529.0</v>
      </c>
      <c r="F1148" s="2">
        <v>1640.0</v>
      </c>
      <c r="G1148" s="2">
        <v>129000.0</v>
      </c>
    </row>
    <row r="1149" ht="15.75" customHeight="1">
      <c r="A1149" s="2" t="s">
        <v>3724</v>
      </c>
      <c r="B1149" s="2" t="s">
        <v>3725</v>
      </c>
      <c r="C1149" s="2" t="s">
        <v>3659</v>
      </c>
      <c r="D1149" s="2">
        <v>9.0</v>
      </c>
      <c r="E1149" s="2">
        <v>2350.0</v>
      </c>
      <c r="F1149" s="2">
        <v>2231.0</v>
      </c>
      <c r="G1149" s="2">
        <v>215000.0</v>
      </c>
    </row>
    <row r="1150" ht="15.75" customHeight="1">
      <c r="A1150" s="2" t="s">
        <v>3726</v>
      </c>
      <c r="B1150" s="2" t="s">
        <v>3727</v>
      </c>
      <c r="C1150" s="2" t="s">
        <v>3659</v>
      </c>
      <c r="D1150" s="2">
        <v>10.0</v>
      </c>
      <c r="E1150" s="2">
        <v>1505.0</v>
      </c>
      <c r="F1150" s="2">
        <v>1594.0</v>
      </c>
      <c r="G1150" s="2">
        <v>207500.0</v>
      </c>
    </row>
    <row r="1151" ht="15.75" customHeight="1">
      <c r="A1151" s="2" t="s">
        <v>3728</v>
      </c>
      <c r="B1151" s="2" t="s">
        <v>3729</v>
      </c>
      <c r="C1151" s="2" t="s">
        <v>3659</v>
      </c>
      <c r="D1151" s="2">
        <v>9.0</v>
      </c>
      <c r="E1151" s="2">
        <v>826.0</v>
      </c>
      <c r="F1151" s="2">
        <v>1007.0</v>
      </c>
      <c r="G1151" s="2">
        <v>120000.0</v>
      </c>
    </row>
    <row r="1152" ht="15.75" customHeight="1">
      <c r="A1152" s="2" t="s">
        <v>3731</v>
      </c>
      <c r="B1152" s="2" t="s">
        <v>3732</v>
      </c>
      <c r="C1152" s="2" t="s">
        <v>3659</v>
      </c>
      <c r="D1152" s="2">
        <v>112.0</v>
      </c>
      <c r="E1152" s="2">
        <v>991.0</v>
      </c>
      <c r="F1152" s="2">
        <v>1051.0</v>
      </c>
      <c r="G1152" s="2">
        <v>90540.0</v>
      </c>
    </row>
    <row r="1153" ht="15.75" customHeight="1">
      <c r="A1153" s="2" t="s">
        <v>3733</v>
      </c>
      <c r="B1153" s="2" t="s">
        <v>3734</v>
      </c>
      <c r="C1153" s="2" t="s">
        <v>3659</v>
      </c>
      <c r="D1153" s="2">
        <v>11.0</v>
      </c>
      <c r="E1153" s="2">
        <v>1026.0</v>
      </c>
      <c r="F1153" s="2">
        <v>1042.0</v>
      </c>
      <c r="G1153" s="2">
        <v>120000.0</v>
      </c>
    </row>
    <row r="1154" ht="15.75" customHeight="1">
      <c r="A1154" s="2" t="s">
        <v>3735</v>
      </c>
      <c r="B1154" s="2" t="s">
        <v>3736</v>
      </c>
      <c r="C1154" s="2" t="s">
        <v>3659</v>
      </c>
      <c r="D1154" s="2">
        <v>47.0</v>
      </c>
      <c r="E1154" s="2">
        <v>1750.0</v>
      </c>
      <c r="F1154" s="2">
        <v>1723.0</v>
      </c>
      <c r="G1154" s="2">
        <v>170000.0</v>
      </c>
    </row>
    <row r="1155" ht="15.75" customHeight="1">
      <c r="A1155" s="2" t="s">
        <v>3737</v>
      </c>
      <c r="B1155" s="2" t="s">
        <v>3738</v>
      </c>
      <c r="C1155" s="2" t="s">
        <v>3659</v>
      </c>
      <c r="D1155" s="2">
        <v>11.0</v>
      </c>
      <c r="E1155" s="2">
        <v>804.0</v>
      </c>
      <c r="F1155" s="2">
        <v>834.0</v>
      </c>
      <c r="G1155" s="2">
        <v>79156.0</v>
      </c>
    </row>
    <row r="1156" ht="15.75" customHeight="1">
      <c r="A1156" s="2" t="s">
        <v>3739</v>
      </c>
      <c r="B1156" s="2" t="s">
        <v>3740</v>
      </c>
      <c r="C1156" s="2" t="s">
        <v>3659</v>
      </c>
      <c r="D1156" s="2">
        <v>8.0</v>
      </c>
      <c r="E1156" s="2">
        <v>985.0</v>
      </c>
      <c r="F1156" s="2">
        <v>1177.0</v>
      </c>
      <c r="G1156" s="2">
        <v>111750.0</v>
      </c>
    </row>
    <row r="1157" ht="15.75" customHeight="1">
      <c r="A1157" s="2" t="s">
        <v>3741</v>
      </c>
      <c r="B1157" s="2" t="s">
        <v>3742</v>
      </c>
      <c r="C1157" s="2" t="s">
        <v>3659</v>
      </c>
      <c r="D1157" s="2">
        <v>7.0</v>
      </c>
      <c r="E1157" s="2">
        <v>4342.0</v>
      </c>
      <c r="F1157" s="2">
        <v>3966.0</v>
      </c>
      <c r="G1157" s="2">
        <v>220000.0</v>
      </c>
    </row>
    <row r="1158" ht="15.75" customHeight="1">
      <c r="A1158" s="2" t="s">
        <v>3743</v>
      </c>
      <c r="B1158" s="2" t="s">
        <v>3744</v>
      </c>
      <c r="C1158" s="2" t="s">
        <v>3659</v>
      </c>
      <c r="D1158" s="2">
        <v>5.0</v>
      </c>
      <c r="E1158" s="2">
        <v>830.0</v>
      </c>
      <c r="F1158" s="2">
        <v>1099.0</v>
      </c>
      <c r="G1158" s="2">
        <v>100000.0</v>
      </c>
    </row>
    <row r="1159" ht="15.75" customHeight="1">
      <c r="A1159" s="2" t="s">
        <v>3747</v>
      </c>
      <c r="B1159" s="2" t="s">
        <v>3748</v>
      </c>
      <c r="C1159" s="2" t="s">
        <v>3659</v>
      </c>
      <c r="D1159" s="2">
        <v>9.0</v>
      </c>
      <c r="E1159" s="2">
        <v>3736.0</v>
      </c>
      <c r="F1159" s="2">
        <v>4028.0</v>
      </c>
      <c r="G1159" s="2">
        <v>255000.0</v>
      </c>
    </row>
    <row r="1160" ht="15.75" customHeight="1">
      <c r="A1160" s="2" t="s">
        <v>3749</v>
      </c>
      <c r="B1160" s="2" t="s">
        <v>3750</v>
      </c>
      <c r="C1160" s="2" t="s">
        <v>3659</v>
      </c>
      <c r="D1160" s="2">
        <v>51.0</v>
      </c>
      <c r="E1160" s="2">
        <v>1692.0</v>
      </c>
      <c r="F1160" s="2">
        <v>1656.0</v>
      </c>
      <c r="G1160" s="2">
        <v>187050.0</v>
      </c>
    </row>
    <row r="1161" ht="15.75" customHeight="1">
      <c r="A1161" s="2" t="s">
        <v>3751</v>
      </c>
      <c r="B1161" s="2" t="s">
        <v>3752</v>
      </c>
      <c r="C1161" s="2" t="s">
        <v>3659</v>
      </c>
      <c r="D1161" s="2">
        <v>29.0</v>
      </c>
      <c r="E1161" s="2">
        <v>877.0</v>
      </c>
      <c r="F1161" s="2">
        <v>1009.0</v>
      </c>
      <c r="G1161" s="2">
        <v>91500.0</v>
      </c>
    </row>
    <row r="1162" ht="15.75" customHeight="1">
      <c r="A1162" s="2" t="s">
        <v>3753</v>
      </c>
      <c r="B1162" s="2" t="s">
        <v>3754</v>
      </c>
      <c r="C1162" s="2" t="s">
        <v>3659</v>
      </c>
      <c r="D1162" s="2">
        <v>15.0</v>
      </c>
      <c r="E1162" s="2">
        <v>1082.0</v>
      </c>
      <c r="F1162" s="2">
        <v>1214.0</v>
      </c>
      <c r="G1162" s="2">
        <v>105000.0</v>
      </c>
    </row>
    <row r="1163" ht="15.75" customHeight="1">
      <c r="A1163" s="2" t="s">
        <v>3757</v>
      </c>
      <c r="B1163" s="2" t="s">
        <v>3758</v>
      </c>
      <c r="C1163" s="2" t="s">
        <v>3659</v>
      </c>
      <c r="D1163" s="2">
        <v>142.0</v>
      </c>
      <c r="E1163" s="2">
        <v>1356.0</v>
      </c>
      <c r="F1163" s="2">
        <v>1422.0</v>
      </c>
      <c r="G1163" s="2">
        <v>99175.0</v>
      </c>
    </row>
    <row r="1164" ht="15.75" customHeight="1">
      <c r="A1164" s="2" t="s">
        <v>3759</v>
      </c>
      <c r="B1164" s="2" t="s">
        <v>3760</v>
      </c>
      <c r="C1164" s="2" t="s">
        <v>3659</v>
      </c>
      <c r="D1164" s="2">
        <v>14.0</v>
      </c>
      <c r="E1164" s="2">
        <v>1692.0</v>
      </c>
      <c r="F1164" s="2">
        <v>1626.0</v>
      </c>
      <c r="G1164" s="2">
        <v>181750.0</v>
      </c>
    </row>
    <row r="1165" ht="15.75" customHeight="1">
      <c r="A1165" s="2" t="s">
        <v>3761</v>
      </c>
      <c r="B1165" s="2" t="s">
        <v>3762</v>
      </c>
      <c r="C1165" s="2" t="s">
        <v>3659</v>
      </c>
      <c r="D1165" s="2">
        <v>11.0</v>
      </c>
      <c r="E1165" s="2">
        <v>1578.0</v>
      </c>
      <c r="F1165" s="2">
        <v>1738.0</v>
      </c>
      <c r="G1165" s="2">
        <v>210000.0</v>
      </c>
    </row>
    <row r="1166" ht="15.75" customHeight="1">
      <c r="A1166" s="2" t="s">
        <v>3763</v>
      </c>
      <c r="B1166" s="2" t="s">
        <v>3764</v>
      </c>
      <c r="C1166" s="2" t="s">
        <v>3659</v>
      </c>
      <c r="D1166" s="2">
        <v>6.0</v>
      </c>
      <c r="E1166" s="2">
        <v>1634.0</v>
      </c>
      <c r="F1166" s="2">
        <v>1599.0</v>
      </c>
      <c r="G1166" s="2">
        <v>208500.0</v>
      </c>
    </row>
    <row r="1167" ht="15.75" customHeight="1">
      <c r="A1167" s="2" t="s">
        <v>3765</v>
      </c>
      <c r="B1167" s="2" t="s">
        <v>3766</v>
      </c>
      <c r="C1167" s="2" t="s">
        <v>3659</v>
      </c>
      <c r="D1167" s="2">
        <v>36.0</v>
      </c>
      <c r="E1167" s="2">
        <v>1193.0</v>
      </c>
      <c r="F1167" s="2">
        <v>1288.0</v>
      </c>
      <c r="G1167" s="2">
        <v>106250.0</v>
      </c>
    </row>
    <row r="1168" ht="15.75" customHeight="1">
      <c r="A1168" s="2" t="s">
        <v>3767</v>
      </c>
      <c r="B1168" s="2" t="s">
        <v>3768</v>
      </c>
      <c r="C1168" s="2" t="s">
        <v>3659</v>
      </c>
      <c r="D1168" s="2">
        <v>5.0</v>
      </c>
      <c r="E1168" s="2">
        <v>1225.0</v>
      </c>
      <c r="F1168" s="2">
        <v>1342.0</v>
      </c>
      <c r="G1168" s="2">
        <v>121325.0</v>
      </c>
    </row>
    <row r="1169" ht="15.75" customHeight="1">
      <c r="A1169" s="2" t="s">
        <v>3769</v>
      </c>
      <c r="B1169" s="2" t="s">
        <v>3770</v>
      </c>
      <c r="C1169" s="2" t="s">
        <v>3659</v>
      </c>
      <c r="D1169" s="2">
        <v>60.0</v>
      </c>
      <c r="E1169" s="2">
        <v>1192.0</v>
      </c>
      <c r="F1169" s="2">
        <v>1249.0</v>
      </c>
      <c r="G1169" s="2">
        <v>107500.0</v>
      </c>
    </row>
    <row r="1170" ht="15.75" customHeight="1">
      <c r="A1170" s="2" t="s">
        <v>3771</v>
      </c>
      <c r="B1170" s="2" t="s">
        <v>3772</v>
      </c>
      <c r="C1170" s="2" t="s">
        <v>3659</v>
      </c>
      <c r="D1170" s="2">
        <v>6.0</v>
      </c>
      <c r="E1170" s="2">
        <v>1466.0</v>
      </c>
      <c r="F1170" s="2">
        <v>1529.0</v>
      </c>
      <c r="G1170" s="2">
        <v>179475.0</v>
      </c>
    </row>
    <row r="1171" ht="15.75" customHeight="1">
      <c r="A1171" s="2" t="s">
        <v>3773</v>
      </c>
      <c r="B1171" s="2" t="s">
        <v>3774</v>
      </c>
      <c r="C1171" s="2" t="s">
        <v>3659</v>
      </c>
      <c r="D1171" s="2">
        <v>8.0</v>
      </c>
      <c r="E1171" s="2">
        <v>1643.0</v>
      </c>
      <c r="F1171" s="2">
        <v>1523.0</v>
      </c>
      <c r="G1171" s="2">
        <v>236400.0</v>
      </c>
    </row>
    <row r="1172" ht="15.75" customHeight="1">
      <c r="A1172" s="2" t="s">
        <v>3775</v>
      </c>
      <c r="B1172" s="2" t="s">
        <v>3776</v>
      </c>
      <c r="C1172" s="2" t="s">
        <v>3659</v>
      </c>
      <c r="D1172" s="2">
        <v>6.0</v>
      </c>
      <c r="E1172" s="2">
        <v>650.0</v>
      </c>
      <c r="F1172" s="2">
        <v>914.0</v>
      </c>
      <c r="G1172" s="2">
        <v>103500.0</v>
      </c>
    </row>
    <row r="1173" ht="15.75" customHeight="1">
      <c r="A1173" s="2" t="s">
        <v>3777</v>
      </c>
      <c r="B1173" s="2" t="s">
        <v>3778</v>
      </c>
      <c r="C1173" s="2" t="s">
        <v>3659</v>
      </c>
      <c r="D1173" s="2">
        <v>5.0</v>
      </c>
      <c r="E1173" s="2">
        <v>762.0</v>
      </c>
      <c r="F1173" s="2">
        <v>886.0</v>
      </c>
      <c r="G1173" s="2">
        <v>106000.0</v>
      </c>
    </row>
    <row r="1174" ht="15.75" customHeight="1">
      <c r="A1174" s="2" t="s">
        <v>3779</v>
      </c>
      <c r="B1174" s="2" t="s">
        <v>3780</v>
      </c>
      <c r="C1174" s="2" t="s">
        <v>3659</v>
      </c>
      <c r="D1174" s="2">
        <v>23.0</v>
      </c>
      <c r="E1174" s="2">
        <v>2024.0</v>
      </c>
      <c r="F1174" s="2">
        <v>1811.0</v>
      </c>
      <c r="G1174" s="2">
        <v>167310.0</v>
      </c>
    </row>
    <row r="1175" ht="15.75" customHeight="1">
      <c r="A1175" s="2" t="s">
        <v>3781</v>
      </c>
      <c r="B1175" s="2" t="s">
        <v>3782</v>
      </c>
      <c r="C1175" s="2" t="s">
        <v>3659</v>
      </c>
      <c r="D1175" s="2">
        <v>37.0</v>
      </c>
      <c r="E1175" s="2">
        <v>1929.0</v>
      </c>
      <c r="F1175" s="2">
        <v>2007.0</v>
      </c>
      <c r="G1175" s="2">
        <v>165000.0</v>
      </c>
    </row>
    <row r="1176" ht="15.75" customHeight="1">
      <c r="A1176" s="2" t="s">
        <v>3783</v>
      </c>
      <c r="B1176" s="2" t="s">
        <v>3784</v>
      </c>
      <c r="C1176" s="2" t="s">
        <v>3659</v>
      </c>
      <c r="D1176" s="2">
        <v>13.0</v>
      </c>
      <c r="E1176" s="2">
        <v>1380.0</v>
      </c>
      <c r="F1176" s="2">
        <v>1504.0</v>
      </c>
      <c r="G1176" s="2">
        <v>173000.0</v>
      </c>
    </row>
    <row r="1177" ht="15.75" customHeight="1">
      <c r="A1177" s="2" t="s">
        <v>3785</v>
      </c>
      <c r="B1177" s="2" t="s">
        <v>3787</v>
      </c>
      <c r="C1177" s="2" t="s">
        <v>3659</v>
      </c>
      <c r="D1177" s="2">
        <v>7.0</v>
      </c>
      <c r="E1177" s="2">
        <v>1783.0</v>
      </c>
      <c r="F1177" s="2">
        <v>1757.0</v>
      </c>
      <c r="G1177" s="2">
        <v>249700.0</v>
      </c>
    </row>
    <row r="1178" ht="15.75" customHeight="1">
      <c r="A1178" s="2" t="s">
        <v>3789</v>
      </c>
      <c r="B1178" s="2" t="s">
        <v>3791</v>
      </c>
      <c r="C1178" s="2" t="s">
        <v>3659</v>
      </c>
      <c r="D1178" s="2">
        <v>371.0</v>
      </c>
      <c r="E1178" s="2">
        <v>2883.0</v>
      </c>
      <c r="F1178" s="2">
        <v>2907.0</v>
      </c>
      <c r="G1178" s="2">
        <v>150000.0</v>
      </c>
    </row>
    <row r="1179" ht="15.75" customHeight="1">
      <c r="A1179" s="2" t="s">
        <v>3793</v>
      </c>
      <c r="B1179" s="2" t="s">
        <v>3794</v>
      </c>
      <c r="C1179" s="2" t="s">
        <v>3659</v>
      </c>
      <c r="D1179" s="2">
        <v>6.0</v>
      </c>
      <c r="E1179" s="2">
        <v>1630.0</v>
      </c>
      <c r="F1179" s="2">
        <v>1893.0</v>
      </c>
      <c r="G1179" s="2">
        <v>250000.0</v>
      </c>
    </row>
    <row r="1180" ht="15.75" customHeight="1">
      <c r="A1180" s="2" t="s">
        <v>3795</v>
      </c>
      <c r="B1180" s="2" t="s">
        <v>3796</v>
      </c>
      <c r="C1180" s="2" t="s">
        <v>3659</v>
      </c>
      <c r="D1180" s="2">
        <v>6.0</v>
      </c>
      <c r="E1180" s="2">
        <v>1761.0</v>
      </c>
      <c r="F1180" s="2">
        <v>1609.0</v>
      </c>
      <c r="G1180" s="2">
        <v>214500.0</v>
      </c>
    </row>
    <row r="1181" ht="15.75" customHeight="1">
      <c r="A1181" s="2" t="s">
        <v>3797</v>
      </c>
      <c r="B1181" s="2" t="s">
        <v>3798</v>
      </c>
      <c r="C1181" s="2" t="s">
        <v>3659</v>
      </c>
      <c r="D1181" s="2">
        <v>7.0</v>
      </c>
      <c r="E1181" s="2">
        <v>1000.0</v>
      </c>
      <c r="F1181" s="2">
        <v>1059.0</v>
      </c>
      <c r="G1181" s="2">
        <v>97900.0</v>
      </c>
    </row>
    <row r="1182" ht="15.75" customHeight="1">
      <c r="A1182" s="2" t="s">
        <v>3799</v>
      </c>
      <c r="B1182" s="2" t="s">
        <v>3800</v>
      </c>
      <c r="C1182" s="2" t="s">
        <v>3659</v>
      </c>
      <c r="D1182" s="2">
        <v>5.0</v>
      </c>
      <c r="E1182" s="2">
        <v>1545.0</v>
      </c>
      <c r="F1182" s="2">
        <v>1724.0</v>
      </c>
      <c r="G1182" s="2">
        <v>202400.0</v>
      </c>
    </row>
    <row r="1183" ht="15.75" customHeight="1">
      <c r="A1183" s="2" t="s">
        <v>3801</v>
      </c>
      <c r="B1183" s="2" t="s">
        <v>3802</v>
      </c>
      <c r="C1183" s="2" t="s">
        <v>3659</v>
      </c>
      <c r="D1183" s="2">
        <v>5.0</v>
      </c>
      <c r="E1183" s="2">
        <v>2895.0</v>
      </c>
      <c r="F1183" s="2">
        <v>2757.0</v>
      </c>
      <c r="G1183" s="2">
        <v>331000.0</v>
      </c>
    </row>
    <row r="1184" ht="15.75" customHeight="1">
      <c r="A1184" s="2" t="s">
        <v>3803</v>
      </c>
      <c r="B1184" s="2" t="s">
        <v>3804</v>
      </c>
      <c r="C1184" s="2" t="s">
        <v>3659</v>
      </c>
      <c r="D1184" s="2">
        <v>85.0</v>
      </c>
      <c r="E1184" s="2">
        <v>1448.0</v>
      </c>
      <c r="F1184" s="2">
        <v>1500.0</v>
      </c>
      <c r="G1184" s="2">
        <v>133000.0</v>
      </c>
    </row>
    <row r="1185" ht="15.75" customHeight="1">
      <c r="A1185" s="2" t="s">
        <v>3805</v>
      </c>
      <c r="B1185" s="2" t="s">
        <v>3806</v>
      </c>
      <c r="C1185" s="2" t="s">
        <v>3659</v>
      </c>
      <c r="D1185" s="2">
        <v>44.0</v>
      </c>
      <c r="E1185" s="2">
        <v>1557.0</v>
      </c>
      <c r="F1185" s="2">
        <v>1611.0</v>
      </c>
      <c r="G1185" s="2">
        <v>128500.0</v>
      </c>
    </row>
    <row r="1186" ht="15.75" customHeight="1">
      <c r="A1186" s="2" t="s">
        <v>3807</v>
      </c>
      <c r="B1186" s="2" t="s">
        <v>3808</v>
      </c>
      <c r="C1186" s="2" t="s">
        <v>3659</v>
      </c>
      <c r="D1186" s="2">
        <v>5.0</v>
      </c>
      <c r="E1186" s="2">
        <v>844.0</v>
      </c>
      <c r="F1186" s="2">
        <v>777.0</v>
      </c>
      <c r="G1186" s="2">
        <v>73000.0</v>
      </c>
    </row>
    <row r="1187" ht="15.75" customHeight="1">
      <c r="A1187" s="2" t="s">
        <v>3809</v>
      </c>
      <c r="B1187" s="2" t="s">
        <v>3810</v>
      </c>
      <c r="C1187" s="2" t="s">
        <v>3659</v>
      </c>
      <c r="D1187" s="2">
        <v>39.0</v>
      </c>
      <c r="E1187" s="2">
        <v>1744.0</v>
      </c>
      <c r="F1187" s="2">
        <v>1774.0</v>
      </c>
      <c r="G1187" s="2">
        <v>161000.0</v>
      </c>
    </row>
    <row r="1188" ht="15.75" customHeight="1">
      <c r="A1188" s="2" t="s">
        <v>3813</v>
      </c>
      <c r="B1188" s="2" t="s">
        <v>3814</v>
      </c>
      <c r="C1188" s="2" t="s">
        <v>3659</v>
      </c>
      <c r="D1188" s="2">
        <v>41.0</v>
      </c>
      <c r="E1188" s="2">
        <v>1347.0</v>
      </c>
      <c r="F1188" s="2">
        <v>1420.0</v>
      </c>
      <c r="G1188" s="2">
        <v>127500.0</v>
      </c>
    </row>
    <row r="1189" ht="15.75" customHeight="1">
      <c r="A1189" s="2" t="s">
        <v>3815</v>
      </c>
      <c r="B1189" s="2" t="s">
        <v>3816</v>
      </c>
      <c r="C1189" s="2" t="s">
        <v>3659</v>
      </c>
      <c r="D1189" s="2">
        <v>5.0</v>
      </c>
      <c r="E1189" s="2">
        <v>989.0</v>
      </c>
      <c r="F1189" s="2">
        <v>1612.0</v>
      </c>
      <c r="G1189" s="2">
        <v>87000.0</v>
      </c>
    </row>
    <row r="1190" ht="15.75" customHeight="1">
      <c r="A1190" s="2" t="s">
        <v>3817</v>
      </c>
      <c r="B1190" s="2" t="s">
        <v>3818</v>
      </c>
      <c r="C1190" s="2" t="s">
        <v>3659</v>
      </c>
      <c r="D1190" s="2">
        <v>55.0</v>
      </c>
      <c r="E1190" s="2">
        <v>1497.0</v>
      </c>
      <c r="F1190" s="2">
        <v>1475.0</v>
      </c>
      <c r="G1190" s="2">
        <v>137750.0</v>
      </c>
    </row>
    <row r="1191" ht="15.75" customHeight="1">
      <c r="A1191" s="2" t="s">
        <v>3819</v>
      </c>
      <c r="B1191" s="2" t="s">
        <v>3820</v>
      </c>
      <c r="C1191" s="2" t="s">
        <v>3659</v>
      </c>
      <c r="D1191" s="2">
        <v>8.0</v>
      </c>
      <c r="E1191" s="2">
        <v>1025.0</v>
      </c>
      <c r="F1191" s="2">
        <v>1102.0</v>
      </c>
      <c r="G1191" s="2">
        <v>142950.0</v>
      </c>
    </row>
    <row r="1192" ht="15.75" customHeight="1">
      <c r="A1192" s="2" t="s">
        <v>3821</v>
      </c>
      <c r="B1192" s="2" t="s">
        <v>3822</v>
      </c>
      <c r="C1192" s="2" t="s">
        <v>3659</v>
      </c>
      <c r="D1192" s="2">
        <v>7.0</v>
      </c>
      <c r="E1192" s="2">
        <v>769.0</v>
      </c>
      <c r="F1192" s="2">
        <v>910.0</v>
      </c>
      <c r="G1192" s="2">
        <v>165000.0</v>
      </c>
    </row>
    <row r="1193" ht="15.75" customHeight="1">
      <c r="A1193" s="2" t="s">
        <v>3823</v>
      </c>
      <c r="B1193" s="2" t="s">
        <v>3824</v>
      </c>
      <c r="C1193" s="2" t="s">
        <v>3659</v>
      </c>
      <c r="D1193" s="2">
        <v>6.0</v>
      </c>
      <c r="E1193" s="2">
        <v>1288.0</v>
      </c>
      <c r="F1193" s="2">
        <v>1483.0</v>
      </c>
      <c r="G1193" s="2">
        <v>121000.0</v>
      </c>
    </row>
    <row r="1194" ht="15.75" customHeight="1">
      <c r="A1194" s="2" t="s">
        <v>3825</v>
      </c>
      <c r="B1194" s="2" t="s">
        <v>3826</v>
      </c>
      <c r="C1194" s="2" t="s">
        <v>3659</v>
      </c>
      <c r="D1194" s="2">
        <v>5.0</v>
      </c>
      <c r="E1194" s="2">
        <v>931.0</v>
      </c>
      <c r="F1194" s="2">
        <v>1204.0</v>
      </c>
      <c r="G1194" s="2">
        <v>134000.0</v>
      </c>
    </row>
    <row r="1195" ht="15.75" customHeight="1">
      <c r="A1195" s="2" t="s">
        <v>3827</v>
      </c>
      <c r="B1195" s="2" t="s">
        <v>3828</v>
      </c>
      <c r="C1195" s="2" t="s">
        <v>3659</v>
      </c>
      <c r="D1195" s="2">
        <v>11.0</v>
      </c>
      <c r="E1195" s="2">
        <v>1475.0</v>
      </c>
      <c r="F1195" s="2">
        <v>1507.0</v>
      </c>
      <c r="G1195" s="2">
        <v>228000.0</v>
      </c>
    </row>
    <row r="1196" ht="15.75" customHeight="1">
      <c r="A1196" s="2" t="s">
        <v>3829</v>
      </c>
      <c r="B1196" s="2" t="s">
        <v>3831</v>
      </c>
      <c r="C1196" s="2" t="s">
        <v>3659</v>
      </c>
      <c r="D1196" s="2">
        <v>5.0</v>
      </c>
      <c r="E1196" s="2">
        <v>1041.0</v>
      </c>
      <c r="F1196" s="2">
        <v>1009.0</v>
      </c>
      <c r="G1196" s="2">
        <v>163600.0</v>
      </c>
    </row>
    <row r="1197" ht="15.75" customHeight="1">
      <c r="A1197" s="2" t="s">
        <v>3833</v>
      </c>
      <c r="B1197" s="2" t="s">
        <v>3834</v>
      </c>
      <c r="C1197" s="2" t="s">
        <v>3659</v>
      </c>
      <c r="D1197" s="2">
        <v>12.0</v>
      </c>
      <c r="E1197" s="2">
        <v>1160.0</v>
      </c>
      <c r="F1197" s="2">
        <v>1274.0</v>
      </c>
      <c r="G1197" s="2">
        <v>108000.0</v>
      </c>
    </row>
    <row r="1198" ht="15.75" customHeight="1">
      <c r="A1198" s="2" t="s">
        <v>3835</v>
      </c>
      <c r="B1198" s="2" t="s">
        <v>3836</v>
      </c>
      <c r="C1198" s="2" t="s">
        <v>3659</v>
      </c>
      <c r="D1198" s="2">
        <v>9.0</v>
      </c>
      <c r="E1198" s="2">
        <v>920.0</v>
      </c>
      <c r="F1198" s="2">
        <v>1043.0</v>
      </c>
      <c r="G1198" s="2">
        <v>145000.0</v>
      </c>
    </row>
    <row r="1199" ht="15.75" customHeight="1">
      <c r="A1199" s="2" t="s">
        <v>3837</v>
      </c>
      <c r="B1199" s="2" t="s">
        <v>3838</v>
      </c>
      <c r="C1199" s="2" t="s">
        <v>3659</v>
      </c>
      <c r="D1199" s="2">
        <v>490.0</v>
      </c>
      <c r="E1199" s="2">
        <v>1532.0</v>
      </c>
      <c r="F1199" s="2">
        <v>1676.0</v>
      </c>
      <c r="G1199" s="2">
        <v>120750.0</v>
      </c>
    </row>
    <row r="1200" ht="15.75" customHeight="1">
      <c r="A1200" s="2" t="s">
        <v>3839</v>
      </c>
      <c r="B1200" s="2" t="s">
        <v>3840</v>
      </c>
      <c r="C1200" s="2" t="s">
        <v>3659</v>
      </c>
      <c r="D1200" s="2">
        <v>9.0</v>
      </c>
      <c r="E1200" s="2">
        <v>1306.0</v>
      </c>
      <c r="F1200" s="2">
        <v>1583.0</v>
      </c>
      <c r="G1200" s="2">
        <v>160000.0</v>
      </c>
    </row>
    <row r="1201" ht="15.75" customHeight="1">
      <c r="A1201" s="2" t="s">
        <v>3841</v>
      </c>
      <c r="B1201" s="2" t="s">
        <v>3842</v>
      </c>
      <c r="C1201" s="2" t="s">
        <v>3659</v>
      </c>
      <c r="D1201" s="2">
        <v>13.0</v>
      </c>
      <c r="E1201" s="2">
        <v>1000.0</v>
      </c>
      <c r="F1201" s="2">
        <v>980.0</v>
      </c>
      <c r="G1201" s="2">
        <v>78500.0</v>
      </c>
    </row>
    <row r="1202" ht="15.75" customHeight="1">
      <c r="A1202" s="2" t="s">
        <v>3843</v>
      </c>
      <c r="B1202" s="2" t="s">
        <v>3844</v>
      </c>
      <c r="C1202" s="2" t="s">
        <v>3659</v>
      </c>
      <c r="D1202" s="2">
        <v>9.0</v>
      </c>
      <c r="E1202" s="2">
        <v>1107.0</v>
      </c>
      <c r="F1202" s="2">
        <v>1158.0</v>
      </c>
      <c r="G1202" s="2">
        <v>105775.0</v>
      </c>
    </row>
    <row r="1203" ht="15.75" customHeight="1">
      <c r="A1203" s="2" t="s">
        <v>3847</v>
      </c>
      <c r="B1203" s="2" t="s">
        <v>3848</v>
      </c>
      <c r="C1203" s="2" t="s">
        <v>3659</v>
      </c>
      <c r="D1203" s="2">
        <v>5.0</v>
      </c>
      <c r="E1203" s="2">
        <v>1275.0</v>
      </c>
      <c r="F1203" s="2">
        <v>1805.0</v>
      </c>
      <c r="G1203" s="2">
        <v>146500.0</v>
      </c>
    </row>
    <row r="1204" ht="15.75" customHeight="1">
      <c r="A1204" s="2" t="s">
        <v>3851</v>
      </c>
      <c r="B1204" s="2" t="s">
        <v>3852</v>
      </c>
      <c r="C1204" s="2" t="s">
        <v>3659</v>
      </c>
      <c r="D1204" s="2">
        <v>6.0</v>
      </c>
      <c r="E1204" s="2">
        <v>1105.0</v>
      </c>
      <c r="F1204" s="2">
        <v>1112.0</v>
      </c>
      <c r="G1204" s="2">
        <v>124000.0</v>
      </c>
    </row>
    <row r="1205" ht="15.75" customHeight="1">
      <c r="A1205" s="2" t="s">
        <v>3853</v>
      </c>
      <c r="B1205" s="2" t="s">
        <v>3854</v>
      </c>
      <c r="C1205" s="2" t="s">
        <v>3659</v>
      </c>
      <c r="D1205" s="2">
        <v>13.0</v>
      </c>
      <c r="E1205" s="2">
        <v>1372.0</v>
      </c>
      <c r="F1205" s="2">
        <v>1388.0</v>
      </c>
      <c r="G1205" s="2">
        <v>205000.0</v>
      </c>
    </row>
    <row r="1206" ht="15.75" customHeight="1">
      <c r="A1206" s="2" t="s">
        <v>3855</v>
      </c>
      <c r="B1206" s="2" t="s">
        <v>3856</v>
      </c>
      <c r="C1206" s="2" t="s">
        <v>3659</v>
      </c>
      <c r="D1206" s="2">
        <v>42.0</v>
      </c>
      <c r="E1206" s="2">
        <v>1735.0</v>
      </c>
      <c r="F1206" s="2">
        <v>1763.0</v>
      </c>
      <c r="G1206" s="2">
        <v>142550.0</v>
      </c>
    </row>
    <row r="1207" ht="15.75" customHeight="1">
      <c r="A1207" s="2" t="s">
        <v>3857</v>
      </c>
      <c r="B1207" s="2" t="s">
        <v>3858</v>
      </c>
      <c r="C1207" s="2" t="s">
        <v>3659</v>
      </c>
      <c r="D1207" s="2">
        <v>12.0</v>
      </c>
      <c r="E1207" s="2">
        <v>1053.0</v>
      </c>
      <c r="F1207" s="2">
        <v>1153.0</v>
      </c>
      <c r="G1207" s="2">
        <v>141489.0</v>
      </c>
    </row>
    <row r="1208" ht="15.75" customHeight="1">
      <c r="A1208" s="2" t="s">
        <v>3859</v>
      </c>
      <c r="B1208" s="2" t="s">
        <v>3860</v>
      </c>
      <c r="C1208" s="2" t="s">
        <v>3659</v>
      </c>
      <c r="D1208" s="2">
        <v>168.0</v>
      </c>
      <c r="E1208" s="2">
        <v>1244.0</v>
      </c>
      <c r="F1208" s="2">
        <v>1309.0</v>
      </c>
      <c r="G1208" s="2">
        <v>106875.0</v>
      </c>
    </row>
    <row r="1209" ht="15.75" customHeight="1">
      <c r="A1209" s="2" t="s">
        <v>3861</v>
      </c>
      <c r="B1209" s="2" t="s">
        <v>3862</v>
      </c>
      <c r="C1209" s="2" t="s">
        <v>3659</v>
      </c>
      <c r="D1209" s="2">
        <v>6.0</v>
      </c>
      <c r="E1209" s="2">
        <v>2083.0</v>
      </c>
      <c r="F1209" s="2">
        <v>2292.0</v>
      </c>
      <c r="G1209" s="2">
        <v>310000.0</v>
      </c>
    </row>
    <row r="1210" ht="15.75" customHeight="1">
      <c r="A1210" s="2" t="s">
        <v>3863</v>
      </c>
      <c r="B1210" s="2" t="s">
        <v>3864</v>
      </c>
      <c r="C1210" s="2" t="s">
        <v>3659</v>
      </c>
      <c r="D1210" s="2">
        <v>9.0</v>
      </c>
      <c r="E1210" s="2">
        <v>1845.0</v>
      </c>
      <c r="F1210" s="2">
        <v>1873.0</v>
      </c>
      <c r="G1210" s="2">
        <v>208500.0</v>
      </c>
    </row>
    <row r="1211" ht="15.75" customHeight="1">
      <c r="A1211" s="2" t="s">
        <v>3865</v>
      </c>
      <c r="B1211" s="2" t="s">
        <v>3866</v>
      </c>
      <c r="C1211" s="2" t="s">
        <v>3659</v>
      </c>
      <c r="D1211" s="2">
        <v>24.0</v>
      </c>
      <c r="E1211" s="2">
        <v>1295.0</v>
      </c>
      <c r="F1211" s="2">
        <v>1277.0</v>
      </c>
      <c r="G1211" s="2">
        <v>131818.0</v>
      </c>
    </row>
    <row r="1212" ht="15.75" customHeight="1">
      <c r="A1212" s="2" t="s">
        <v>3867</v>
      </c>
      <c r="B1212" s="2" t="s">
        <v>3868</v>
      </c>
      <c r="C1212" s="2" t="s">
        <v>3659</v>
      </c>
      <c r="D1212" s="2">
        <v>5.0</v>
      </c>
      <c r="E1212" s="2">
        <v>1486.0</v>
      </c>
      <c r="F1212" s="2">
        <v>1716.0</v>
      </c>
      <c r="G1212" s="2">
        <v>159000.0</v>
      </c>
    </row>
    <row r="1213" ht="15.75" customHeight="1">
      <c r="A1213" s="2" t="s">
        <v>3869</v>
      </c>
      <c r="B1213" s="2" t="s">
        <v>3870</v>
      </c>
      <c r="C1213" s="2" t="s">
        <v>3659</v>
      </c>
      <c r="D1213" s="2">
        <v>78.0</v>
      </c>
      <c r="E1213" s="2">
        <v>1520.0</v>
      </c>
      <c r="F1213" s="2">
        <v>1509.0</v>
      </c>
      <c r="G1213" s="2">
        <v>141750.0</v>
      </c>
    </row>
    <row r="1214" ht="15.75" customHeight="1">
      <c r="A1214" s="2" t="s">
        <v>3871</v>
      </c>
      <c r="B1214" s="2" t="s">
        <v>3872</v>
      </c>
      <c r="C1214" s="2" t="s">
        <v>3659</v>
      </c>
      <c r="D1214" s="2">
        <v>37.0</v>
      </c>
      <c r="E1214" s="2">
        <v>1161.0</v>
      </c>
      <c r="F1214" s="2">
        <v>1196.0</v>
      </c>
      <c r="G1214" s="2">
        <v>111000.0</v>
      </c>
    </row>
    <row r="1215" ht="15.75" customHeight="1">
      <c r="A1215" s="2" t="s">
        <v>3873</v>
      </c>
      <c r="B1215" s="2" t="s">
        <v>3874</v>
      </c>
      <c r="C1215" s="2" t="s">
        <v>3659</v>
      </c>
      <c r="D1215" s="2">
        <v>16.0</v>
      </c>
      <c r="E1215" s="2">
        <v>1172.0</v>
      </c>
      <c r="F1215" s="2">
        <v>1225.0</v>
      </c>
      <c r="G1215" s="2">
        <v>179100.0</v>
      </c>
    </row>
    <row r="1216" ht="15.75" customHeight="1">
      <c r="A1216" s="2" t="s">
        <v>3875</v>
      </c>
      <c r="B1216" s="2" t="s">
        <v>3876</v>
      </c>
      <c r="C1216" s="2" t="s">
        <v>3659</v>
      </c>
      <c r="D1216" s="2">
        <v>331.0</v>
      </c>
      <c r="E1216" s="2">
        <v>1562.0</v>
      </c>
      <c r="F1216" s="2">
        <v>1617.0</v>
      </c>
      <c r="G1216" s="2">
        <v>110000.0</v>
      </c>
    </row>
    <row r="1217" ht="15.75" customHeight="1">
      <c r="A1217" s="2" t="s">
        <v>3877</v>
      </c>
      <c r="B1217" s="2" t="s">
        <v>3878</v>
      </c>
      <c r="C1217" s="2" t="s">
        <v>3659</v>
      </c>
      <c r="D1217" s="2">
        <v>860.0</v>
      </c>
      <c r="E1217" s="2">
        <v>1568.0</v>
      </c>
      <c r="F1217" s="2">
        <v>1634.0</v>
      </c>
      <c r="G1217" s="2">
        <v>124000.0</v>
      </c>
    </row>
    <row r="1218" ht="15.75" customHeight="1">
      <c r="A1218" s="2" t="s">
        <v>3879</v>
      </c>
      <c r="B1218" s="2" t="s">
        <v>3880</v>
      </c>
      <c r="C1218" s="2" t="s">
        <v>3659</v>
      </c>
      <c r="D1218" s="2">
        <v>40.0</v>
      </c>
      <c r="E1218" s="2">
        <v>1232.0</v>
      </c>
      <c r="F1218" s="2">
        <v>1214.0</v>
      </c>
      <c r="G1218" s="2">
        <v>112500.0</v>
      </c>
    </row>
    <row r="1219" ht="15.75" customHeight="1">
      <c r="A1219" s="2" t="s">
        <v>3881</v>
      </c>
      <c r="B1219" s="2" t="s">
        <v>3882</v>
      </c>
      <c r="C1219" s="2" t="s">
        <v>3659</v>
      </c>
      <c r="D1219" s="2">
        <v>12.0</v>
      </c>
      <c r="E1219" s="2">
        <v>1385.0</v>
      </c>
      <c r="F1219" s="2">
        <v>1534.0</v>
      </c>
      <c r="G1219" s="2">
        <v>181500.0</v>
      </c>
    </row>
    <row r="1220" ht="15.75" customHeight="1">
      <c r="A1220" s="2" t="s">
        <v>3883</v>
      </c>
      <c r="B1220" s="2" t="s">
        <v>3884</v>
      </c>
      <c r="C1220" s="2" t="s">
        <v>3659</v>
      </c>
      <c r="D1220" s="2">
        <v>21.0</v>
      </c>
      <c r="E1220" s="2">
        <v>1209.0</v>
      </c>
      <c r="F1220" s="2">
        <v>1219.0</v>
      </c>
      <c r="G1220" s="2">
        <v>110000.0</v>
      </c>
    </row>
    <row r="1221" ht="15.75" customHeight="1">
      <c r="A1221" s="2" t="s">
        <v>3885</v>
      </c>
      <c r="B1221" s="2" t="s">
        <v>3886</v>
      </c>
      <c r="C1221" s="2" t="s">
        <v>3659</v>
      </c>
      <c r="D1221" s="2">
        <v>9.0</v>
      </c>
      <c r="E1221" s="2">
        <v>1684.0</v>
      </c>
      <c r="F1221" s="2">
        <v>1456.0</v>
      </c>
      <c r="G1221" s="2">
        <v>165000.0</v>
      </c>
    </row>
    <row r="1222" ht="15.75" customHeight="1">
      <c r="A1222" s="2" t="s">
        <v>3887</v>
      </c>
      <c r="B1222" s="2" t="s">
        <v>3888</v>
      </c>
      <c r="C1222" s="2" t="s">
        <v>3659</v>
      </c>
      <c r="D1222" s="2">
        <v>7.0</v>
      </c>
      <c r="E1222" s="2">
        <v>979.0</v>
      </c>
      <c r="F1222" s="2">
        <v>1393.0</v>
      </c>
      <c r="G1222" s="2">
        <v>229400.0</v>
      </c>
    </row>
    <row r="1223" ht="15.75" customHeight="1">
      <c r="A1223" s="2" t="s">
        <v>3889</v>
      </c>
      <c r="B1223" s="2" t="s">
        <v>3890</v>
      </c>
      <c r="C1223" s="2" t="s">
        <v>3659</v>
      </c>
      <c r="D1223" s="2">
        <v>118.0</v>
      </c>
      <c r="E1223" s="2">
        <v>3750.0</v>
      </c>
      <c r="F1223" s="2">
        <v>3484.0</v>
      </c>
      <c r="G1223" s="2">
        <v>157500.0</v>
      </c>
    </row>
    <row r="1224" ht="15.75" customHeight="1">
      <c r="A1224" s="2" t="s">
        <v>3891</v>
      </c>
      <c r="B1224" s="2" t="s">
        <v>3892</v>
      </c>
      <c r="C1224" s="2" t="s">
        <v>3659</v>
      </c>
      <c r="D1224" s="2">
        <v>5.0</v>
      </c>
      <c r="E1224" s="2">
        <v>1250.0</v>
      </c>
      <c r="F1224" s="2">
        <v>1341.0</v>
      </c>
      <c r="G1224" s="2">
        <v>125000.0</v>
      </c>
    </row>
    <row r="1225" ht="15.75" customHeight="1">
      <c r="A1225" s="2" t="s">
        <v>3893</v>
      </c>
      <c r="B1225" s="2" t="s">
        <v>3894</v>
      </c>
      <c r="C1225" s="2" t="s">
        <v>3659</v>
      </c>
      <c r="D1225" s="2">
        <v>5.0</v>
      </c>
      <c r="E1225" s="2">
        <v>682.0</v>
      </c>
      <c r="F1225" s="2">
        <v>1155.0</v>
      </c>
      <c r="G1225" s="2">
        <v>140000.0</v>
      </c>
    </row>
    <row r="1226" ht="15.75" customHeight="1">
      <c r="A1226" s="2" t="s">
        <v>3895</v>
      </c>
      <c r="B1226" s="2" t="s">
        <v>3896</v>
      </c>
      <c r="C1226" s="2" t="s">
        <v>3659</v>
      </c>
      <c r="D1226" s="2">
        <v>12.0</v>
      </c>
      <c r="E1226" s="2">
        <v>1394.0</v>
      </c>
      <c r="F1226" s="2">
        <v>1526.0</v>
      </c>
      <c r="G1226" s="2">
        <v>163750.0</v>
      </c>
    </row>
    <row r="1227" ht="15.75" customHeight="1">
      <c r="A1227" s="2" t="s">
        <v>3897</v>
      </c>
      <c r="B1227" s="2" t="s">
        <v>3898</v>
      </c>
      <c r="C1227" s="2" t="s">
        <v>3659</v>
      </c>
      <c r="D1227" s="2">
        <v>5.0</v>
      </c>
      <c r="E1227" s="2">
        <v>1810.0</v>
      </c>
      <c r="F1227" s="2">
        <v>1855.0</v>
      </c>
      <c r="G1227" s="2">
        <v>257000.0</v>
      </c>
    </row>
    <row r="1228" ht="15.75" customHeight="1">
      <c r="A1228" s="2" t="s">
        <v>3899</v>
      </c>
      <c r="B1228" s="2" t="s">
        <v>3900</v>
      </c>
      <c r="C1228" s="2" t="s">
        <v>3659</v>
      </c>
      <c r="D1228" s="2">
        <v>5.0</v>
      </c>
      <c r="E1228" s="2">
        <v>1845.0</v>
      </c>
      <c r="F1228" s="2">
        <v>2014.0</v>
      </c>
      <c r="G1228" s="2">
        <v>310000.0</v>
      </c>
    </row>
    <row r="1229" ht="15.75" customHeight="1">
      <c r="A1229" s="2" t="s">
        <v>3901</v>
      </c>
      <c r="B1229" s="2" t="s">
        <v>3902</v>
      </c>
      <c r="C1229" s="2" t="s">
        <v>3659</v>
      </c>
      <c r="D1229" s="2">
        <v>5.0</v>
      </c>
      <c r="E1229" s="2">
        <v>1354.0</v>
      </c>
      <c r="F1229" s="2">
        <v>1322.0</v>
      </c>
      <c r="G1229" s="2">
        <v>130000.0</v>
      </c>
    </row>
    <row r="1230" ht="15.75" customHeight="1">
      <c r="A1230" s="2" t="s">
        <v>3903</v>
      </c>
      <c r="B1230" s="2" t="s">
        <v>3904</v>
      </c>
      <c r="C1230" s="2" t="s">
        <v>3659</v>
      </c>
      <c r="D1230" s="2">
        <v>6.0</v>
      </c>
      <c r="E1230" s="2">
        <v>1791.0</v>
      </c>
      <c r="F1230" s="2">
        <v>1808.0</v>
      </c>
      <c r="G1230" s="2">
        <v>293500.0</v>
      </c>
    </row>
    <row r="1231" ht="15.75" customHeight="1">
      <c r="A1231" s="2" t="s">
        <v>3905</v>
      </c>
      <c r="B1231" s="2" t="s">
        <v>3906</v>
      </c>
      <c r="C1231" s="2" t="s">
        <v>3659</v>
      </c>
      <c r="D1231" s="2">
        <v>167.0</v>
      </c>
      <c r="E1231" s="2">
        <v>1576.0</v>
      </c>
      <c r="F1231" s="2">
        <v>1591.0</v>
      </c>
      <c r="G1231" s="2">
        <v>146000.0</v>
      </c>
    </row>
    <row r="1232" ht="15.75" customHeight="1">
      <c r="A1232" s="2" t="s">
        <v>3907</v>
      </c>
      <c r="B1232" s="2" t="s">
        <v>3908</v>
      </c>
      <c r="C1232" s="2" t="s">
        <v>3659</v>
      </c>
      <c r="D1232" s="2">
        <v>26.0</v>
      </c>
      <c r="E1232" s="2">
        <v>1348.0</v>
      </c>
      <c r="F1232" s="2">
        <v>1303.0</v>
      </c>
      <c r="G1232" s="2">
        <v>127000.0</v>
      </c>
    </row>
    <row r="1233" ht="15.75" customHeight="1">
      <c r="A1233" s="2" t="s">
        <v>3909</v>
      </c>
      <c r="B1233" s="2" t="s">
        <v>3910</v>
      </c>
      <c r="C1233" s="2" t="s">
        <v>3659</v>
      </c>
      <c r="D1233" s="2">
        <v>6.0</v>
      </c>
      <c r="E1233" s="2">
        <v>1417.0</v>
      </c>
      <c r="F1233" s="2">
        <v>1547.0</v>
      </c>
      <c r="G1233" s="2">
        <v>171300.0</v>
      </c>
    </row>
    <row r="1234" ht="15.75" customHeight="1">
      <c r="A1234" s="2" t="s">
        <v>3913</v>
      </c>
      <c r="B1234" s="2" t="s">
        <v>3914</v>
      </c>
      <c r="C1234" s="2" t="s">
        <v>3659</v>
      </c>
      <c r="D1234" s="2">
        <v>26.0</v>
      </c>
      <c r="E1234" s="2">
        <v>1221.0</v>
      </c>
      <c r="F1234" s="2">
        <v>1388.0</v>
      </c>
      <c r="G1234" s="2">
        <v>127500.0</v>
      </c>
    </row>
    <row r="1235" ht="15.75" customHeight="1">
      <c r="A1235" s="2" t="s">
        <v>3915</v>
      </c>
      <c r="B1235" s="2" t="s">
        <v>3916</v>
      </c>
      <c r="C1235" s="2" t="s">
        <v>3659</v>
      </c>
      <c r="D1235" s="2">
        <v>8.0</v>
      </c>
      <c r="E1235" s="2">
        <v>1686.0</v>
      </c>
      <c r="F1235" s="2">
        <v>1767.0</v>
      </c>
      <c r="G1235" s="2">
        <v>139536.0</v>
      </c>
    </row>
    <row r="1236" ht="15.75" customHeight="1">
      <c r="A1236" s="2" t="s">
        <v>3917</v>
      </c>
      <c r="B1236" s="2" t="s">
        <v>3918</v>
      </c>
      <c r="C1236" s="2" t="s">
        <v>3659</v>
      </c>
      <c r="D1236" s="2">
        <v>6.0</v>
      </c>
      <c r="E1236" s="2">
        <v>1536.0</v>
      </c>
      <c r="F1236" s="2">
        <v>1536.0</v>
      </c>
      <c r="G1236" s="2">
        <v>210475.0</v>
      </c>
    </row>
    <row r="1237" ht="15.75" customHeight="1">
      <c r="A1237" s="2" t="s">
        <v>3919</v>
      </c>
      <c r="B1237" s="2" t="s">
        <v>3920</v>
      </c>
      <c r="C1237" s="2" t="s">
        <v>3659</v>
      </c>
      <c r="D1237" s="2">
        <v>8.0</v>
      </c>
      <c r="E1237" s="2">
        <v>2255.0</v>
      </c>
      <c r="F1237" s="2">
        <v>1886.0</v>
      </c>
      <c r="G1237" s="2">
        <v>286000.0</v>
      </c>
    </row>
    <row r="1238" ht="15.75" customHeight="1">
      <c r="A1238" s="2" t="s">
        <v>3921</v>
      </c>
      <c r="B1238" s="2" t="s">
        <v>3922</v>
      </c>
      <c r="C1238" s="2" t="s">
        <v>3659</v>
      </c>
      <c r="D1238" s="2">
        <v>6.0</v>
      </c>
      <c r="E1238" s="2">
        <v>1922.0</v>
      </c>
      <c r="F1238" s="2">
        <v>1920.0</v>
      </c>
      <c r="G1238" s="2">
        <v>152100.0</v>
      </c>
    </row>
    <row r="1239" ht="15.75" customHeight="1">
      <c r="A1239" s="2" t="s">
        <v>3923</v>
      </c>
      <c r="B1239" s="2" t="s">
        <v>3924</v>
      </c>
      <c r="C1239" s="2" t="s">
        <v>3659</v>
      </c>
      <c r="D1239" s="2">
        <v>21.0</v>
      </c>
      <c r="E1239" s="2">
        <v>2500.0</v>
      </c>
      <c r="F1239" s="2">
        <v>2732.0</v>
      </c>
      <c r="G1239" s="2">
        <v>249500.0</v>
      </c>
    </row>
    <row r="1240" ht="15.75" customHeight="1">
      <c r="A1240" s="2" t="s">
        <v>3925</v>
      </c>
      <c r="B1240" s="2" t="s">
        <v>3927</v>
      </c>
      <c r="C1240" s="2" t="s">
        <v>3659</v>
      </c>
      <c r="D1240" s="2">
        <v>7.0</v>
      </c>
      <c r="E1240" s="2">
        <v>1414.0</v>
      </c>
      <c r="F1240" s="2">
        <v>1216.0</v>
      </c>
      <c r="G1240" s="2">
        <v>140000.0</v>
      </c>
    </row>
    <row r="1241" ht="15.75" customHeight="1">
      <c r="A1241" s="2" t="s">
        <v>3929</v>
      </c>
      <c r="B1241" s="2" t="s">
        <v>3930</v>
      </c>
      <c r="C1241" s="2" t="s">
        <v>3659</v>
      </c>
      <c r="D1241" s="2">
        <v>23.0</v>
      </c>
      <c r="E1241" s="2">
        <v>2378.0</v>
      </c>
      <c r="F1241" s="2">
        <v>2372.0</v>
      </c>
      <c r="G1241" s="2">
        <v>189000.0</v>
      </c>
    </row>
    <row r="1242" ht="15.75" customHeight="1">
      <c r="A1242" s="2" t="s">
        <v>3931</v>
      </c>
      <c r="B1242" s="2" t="s">
        <v>3932</v>
      </c>
      <c r="C1242" s="2" t="s">
        <v>3659</v>
      </c>
      <c r="D1242" s="2">
        <v>24.0</v>
      </c>
      <c r="E1242" s="2">
        <v>1578.0</v>
      </c>
      <c r="F1242" s="2">
        <v>1629.0</v>
      </c>
      <c r="G1242" s="2">
        <v>142000.0</v>
      </c>
    </row>
    <row r="1243" ht="15.75" customHeight="1">
      <c r="A1243" s="2" t="s">
        <v>3933</v>
      </c>
      <c r="B1243" s="2" t="s">
        <v>3934</v>
      </c>
      <c r="C1243" s="2" t="s">
        <v>3659</v>
      </c>
      <c r="D1243" s="2">
        <v>65.0</v>
      </c>
      <c r="E1243" s="2">
        <v>1785.0</v>
      </c>
      <c r="F1243" s="2">
        <v>1772.0</v>
      </c>
      <c r="G1243" s="2">
        <v>153000.0</v>
      </c>
    </row>
    <row r="1244" ht="15.75" customHeight="1">
      <c r="A1244" s="2" t="s">
        <v>3937</v>
      </c>
      <c r="B1244" s="2" t="s">
        <v>3938</v>
      </c>
      <c r="C1244" s="2" t="s">
        <v>3659</v>
      </c>
      <c r="D1244" s="2">
        <v>5.0</v>
      </c>
      <c r="E1244" s="2">
        <v>1612.0</v>
      </c>
      <c r="F1244" s="2">
        <v>1499.0</v>
      </c>
      <c r="G1244" s="2">
        <v>127350.0</v>
      </c>
    </row>
    <row r="1245" ht="15.75" customHeight="1">
      <c r="A1245" s="2" t="s">
        <v>3939</v>
      </c>
      <c r="B1245" s="2" t="s">
        <v>3940</v>
      </c>
      <c r="C1245" s="2" t="s">
        <v>3659</v>
      </c>
      <c r="D1245" s="2">
        <v>5.0</v>
      </c>
      <c r="E1245" s="2">
        <v>1094.0</v>
      </c>
      <c r="F1245" s="2">
        <v>998.0</v>
      </c>
      <c r="G1245" s="2">
        <v>90000.0</v>
      </c>
    </row>
    <row r="1246" ht="15.75" customHeight="1">
      <c r="A1246" s="2" t="s">
        <v>3941</v>
      </c>
      <c r="B1246" s="2" t="s">
        <v>3942</v>
      </c>
      <c r="C1246" s="2" t="s">
        <v>3659</v>
      </c>
      <c r="D1246" s="2">
        <v>54.0</v>
      </c>
      <c r="E1246" s="2">
        <v>1685.0</v>
      </c>
      <c r="F1246" s="2">
        <v>1707.0</v>
      </c>
      <c r="G1246" s="2">
        <v>136660.0</v>
      </c>
    </row>
    <row r="1247" ht="15.75" customHeight="1">
      <c r="A1247" s="2" t="s">
        <v>3943</v>
      </c>
      <c r="B1247" s="2" t="s">
        <v>3944</v>
      </c>
      <c r="C1247" s="2" t="s">
        <v>3659</v>
      </c>
      <c r="D1247" s="2">
        <v>94.0</v>
      </c>
      <c r="E1247" s="2">
        <v>1571.0</v>
      </c>
      <c r="F1247" s="2">
        <v>1642.0</v>
      </c>
      <c r="G1247" s="2">
        <v>146700.0</v>
      </c>
    </row>
    <row r="1248" ht="15.75" customHeight="1">
      <c r="A1248" s="2" t="s">
        <v>3947</v>
      </c>
      <c r="B1248" s="2" t="s">
        <v>3948</v>
      </c>
      <c r="C1248" s="2" t="s">
        <v>3659</v>
      </c>
      <c r="D1248" s="2">
        <v>10.0</v>
      </c>
      <c r="E1248" s="2">
        <v>1186.0</v>
      </c>
      <c r="F1248" s="2">
        <v>1263.0</v>
      </c>
      <c r="G1248" s="2">
        <v>106500.0</v>
      </c>
    </row>
    <row r="1249" ht="15.75" customHeight="1">
      <c r="A1249" s="2" t="s">
        <v>3949</v>
      </c>
      <c r="B1249" s="2" t="s">
        <v>3950</v>
      </c>
      <c r="C1249" s="2" t="s">
        <v>3659</v>
      </c>
      <c r="D1249" s="2">
        <v>15.0</v>
      </c>
      <c r="E1249" s="2">
        <v>1934.0</v>
      </c>
      <c r="F1249" s="2">
        <v>1847.0</v>
      </c>
      <c r="G1249" s="2">
        <v>201300.0</v>
      </c>
    </row>
    <row r="1250" ht="15.75" customHeight="1">
      <c r="A1250" s="2" t="s">
        <v>3951</v>
      </c>
      <c r="B1250" s="2" t="s">
        <v>3952</v>
      </c>
      <c r="C1250" s="2" t="s">
        <v>3659</v>
      </c>
      <c r="D1250" s="2">
        <v>5.0</v>
      </c>
      <c r="E1250" s="2">
        <v>1556.0</v>
      </c>
      <c r="F1250" s="2">
        <v>1636.0</v>
      </c>
      <c r="G1250" s="2">
        <v>244330.0</v>
      </c>
    </row>
    <row r="1251" ht="15.75" customHeight="1">
      <c r="A1251" s="2" t="s">
        <v>3953</v>
      </c>
      <c r="B1251" s="2" t="s">
        <v>3954</v>
      </c>
      <c r="C1251" s="2" t="s">
        <v>3659</v>
      </c>
      <c r="D1251" s="2">
        <v>9.0</v>
      </c>
      <c r="E1251" s="2">
        <v>784.0</v>
      </c>
      <c r="F1251" s="2">
        <v>1221.0</v>
      </c>
      <c r="G1251" s="2">
        <v>125000.0</v>
      </c>
    </row>
    <row r="1252" ht="15.75" customHeight="1">
      <c r="A1252" s="2" t="s">
        <v>3955</v>
      </c>
      <c r="B1252" s="2" t="s">
        <v>3956</v>
      </c>
      <c r="C1252" s="2" t="s">
        <v>3659</v>
      </c>
      <c r="D1252" s="2">
        <v>199.0</v>
      </c>
      <c r="E1252" s="2">
        <v>4308.0</v>
      </c>
      <c r="F1252" s="2">
        <v>4343.0</v>
      </c>
      <c r="G1252" s="2">
        <v>270000.0</v>
      </c>
    </row>
    <row r="1253" ht="15.75" customHeight="1">
      <c r="A1253" s="2" t="s">
        <v>3959</v>
      </c>
      <c r="B1253" s="2" t="s">
        <v>3960</v>
      </c>
      <c r="C1253" s="2" t="s">
        <v>3659</v>
      </c>
      <c r="D1253" s="2">
        <v>15.0</v>
      </c>
      <c r="E1253" s="2">
        <v>1462.0</v>
      </c>
      <c r="F1253" s="2">
        <v>1603.0</v>
      </c>
      <c r="G1253" s="2">
        <v>181000.0</v>
      </c>
    </row>
    <row r="1254" ht="15.75" customHeight="1">
      <c r="A1254" s="2" t="s">
        <v>3961</v>
      </c>
      <c r="B1254" s="2" t="s">
        <v>3962</v>
      </c>
      <c r="C1254" s="2" t="s">
        <v>3659</v>
      </c>
      <c r="D1254" s="2">
        <v>71.0</v>
      </c>
      <c r="E1254" s="2">
        <v>1966.0</v>
      </c>
      <c r="F1254" s="2">
        <v>1916.0</v>
      </c>
      <c r="G1254" s="2">
        <v>172500.0</v>
      </c>
    </row>
    <row r="1255" ht="15.75" customHeight="1">
      <c r="A1255" s="2" t="s">
        <v>3963</v>
      </c>
      <c r="B1255" s="2" t="s">
        <v>3964</v>
      </c>
      <c r="C1255" s="2" t="s">
        <v>3659</v>
      </c>
      <c r="D1255" s="2">
        <v>14.0</v>
      </c>
      <c r="E1255" s="2">
        <v>1695.0</v>
      </c>
      <c r="F1255" s="2">
        <v>1677.0</v>
      </c>
      <c r="G1255" s="2">
        <v>170560.0</v>
      </c>
    </row>
    <row r="1256" ht="15.75" customHeight="1">
      <c r="A1256" s="2" t="s">
        <v>3965</v>
      </c>
      <c r="B1256" s="2" t="s">
        <v>3966</v>
      </c>
      <c r="C1256" s="2" t="s">
        <v>3659</v>
      </c>
      <c r="D1256" s="2">
        <v>10.0</v>
      </c>
      <c r="E1256" s="2">
        <v>1193.0</v>
      </c>
      <c r="F1256" s="2">
        <v>1173.0</v>
      </c>
      <c r="G1256" s="2">
        <v>151000.0</v>
      </c>
    </row>
    <row r="1257" ht="15.75" customHeight="1">
      <c r="A1257" s="2" t="s">
        <v>3967</v>
      </c>
      <c r="B1257" s="2" t="s">
        <v>3968</v>
      </c>
      <c r="C1257" s="2" t="s">
        <v>3659</v>
      </c>
      <c r="D1257" s="2">
        <v>67.0</v>
      </c>
      <c r="E1257" s="2">
        <v>1500.0</v>
      </c>
      <c r="F1257" s="2">
        <v>1496.0</v>
      </c>
      <c r="G1257" s="2">
        <v>112000.0</v>
      </c>
    </row>
    <row r="1258" ht="15.75" customHeight="1">
      <c r="A1258" s="2" t="s">
        <v>3969</v>
      </c>
      <c r="B1258" s="2" t="s">
        <v>3970</v>
      </c>
      <c r="C1258" s="2" t="s">
        <v>3659</v>
      </c>
      <c r="D1258" s="2">
        <v>57.0</v>
      </c>
      <c r="E1258" s="2">
        <v>1029.0</v>
      </c>
      <c r="F1258" s="2">
        <v>1081.0</v>
      </c>
      <c r="G1258" s="2">
        <v>124500.0</v>
      </c>
    </row>
    <row r="1259" ht="15.75" customHeight="1">
      <c r="A1259" s="2" t="s">
        <v>3971</v>
      </c>
      <c r="B1259" s="2" t="s">
        <v>3972</v>
      </c>
      <c r="C1259" s="2" t="s">
        <v>3659</v>
      </c>
      <c r="D1259" s="2">
        <v>9.0</v>
      </c>
      <c r="E1259" s="2">
        <v>968.0</v>
      </c>
      <c r="F1259" s="2">
        <v>1164.0</v>
      </c>
      <c r="G1259" s="2">
        <v>149000.0</v>
      </c>
    </row>
    <row r="1260" ht="15.75" customHeight="1">
      <c r="A1260" s="2" t="s">
        <v>3975</v>
      </c>
      <c r="B1260" s="2" t="s">
        <v>3976</v>
      </c>
      <c r="C1260" s="2" t="s">
        <v>3659</v>
      </c>
      <c r="D1260" s="2">
        <v>6.0</v>
      </c>
      <c r="E1260" s="2">
        <v>1219.0</v>
      </c>
      <c r="F1260" s="2">
        <v>1306.0</v>
      </c>
      <c r="G1260" s="2">
        <v>168500.0</v>
      </c>
    </row>
    <row r="1261" ht="15.75" customHeight="1">
      <c r="A1261" s="2" t="s">
        <v>3977</v>
      </c>
      <c r="B1261" s="2" t="s">
        <v>3978</v>
      </c>
      <c r="C1261" s="2" t="s">
        <v>3659</v>
      </c>
      <c r="D1261" s="2">
        <v>46.0</v>
      </c>
      <c r="E1261" s="2">
        <v>1512.0</v>
      </c>
      <c r="F1261" s="2">
        <v>1605.0</v>
      </c>
      <c r="G1261" s="2">
        <v>154550.0</v>
      </c>
    </row>
    <row r="1262" ht="15.75" customHeight="1">
      <c r="A1262" s="2" t="s">
        <v>3979</v>
      </c>
      <c r="B1262" s="2" t="s">
        <v>3980</v>
      </c>
      <c r="C1262" s="2" t="s">
        <v>3659</v>
      </c>
      <c r="D1262" s="2">
        <v>58.0</v>
      </c>
      <c r="E1262" s="2">
        <v>1675.0</v>
      </c>
      <c r="F1262" s="2">
        <v>1734.0</v>
      </c>
      <c r="G1262" s="2">
        <v>166725.0</v>
      </c>
    </row>
    <row r="1263" ht="15.75" customHeight="1">
      <c r="A1263" s="2" t="s">
        <v>3981</v>
      </c>
      <c r="B1263" s="2" t="s">
        <v>3982</v>
      </c>
      <c r="C1263" s="2" t="s">
        <v>3659</v>
      </c>
      <c r="D1263" s="2">
        <v>28.0</v>
      </c>
      <c r="E1263" s="2">
        <v>1622.0</v>
      </c>
      <c r="F1263" s="2">
        <v>1542.0</v>
      </c>
      <c r="G1263" s="2">
        <v>169850.0</v>
      </c>
    </row>
    <row r="1264" ht="15.75" customHeight="1">
      <c r="A1264" s="2" t="s">
        <v>3985</v>
      </c>
      <c r="B1264" s="2" t="s">
        <v>3986</v>
      </c>
      <c r="C1264" s="2" t="s">
        <v>3659</v>
      </c>
      <c r="D1264" s="2">
        <v>6.0</v>
      </c>
      <c r="E1264" s="2">
        <v>2342.0</v>
      </c>
      <c r="F1264" s="2">
        <v>1998.0</v>
      </c>
      <c r="G1264" s="2">
        <v>256000.0</v>
      </c>
    </row>
    <row r="1265" ht="15.75" customHeight="1">
      <c r="A1265" s="2" t="s">
        <v>3989</v>
      </c>
      <c r="B1265" s="2" t="s">
        <v>3990</v>
      </c>
      <c r="C1265" s="2" t="s">
        <v>3659</v>
      </c>
      <c r="D1265" s="2">
        <v>5.0</v>
      </c>
      <c r="E1265" s="2">
        <v>927.0</v>
      </c>
      <c r="F1265" s="2">
        <v>986.0</v>
      </c>
      <c r="G1265" s="2">
        <v>117800.0</v>
      </c>
    </row>
    <row r="1266" ht="15.75" customHeight="1">
      <c r="A1266" s="2" t="s">
        <v>3992</v>
      </c>
      <c r="B1266" s="2" t="s">
        <v>3994</v>
      </c>
      <c r="C1266" s="2" t="s">
        <v>3659</v>
      </c>
      <c r="D1266" s="2">
        <v>10.0</v>
      </c>
      <c r="E1266" s="2">
        <v>1112.0</v>
      </c>
      <c r="F1266" s="2">
        <v>1157.0</v>
      </c>
      <c r="G1266" s="2">
        <v>217075.0</v>
      </c>
    </row>
    <row r="1267" ht="15.75" customHeight="1">
      <c r="A1267" s="2" t="s">
        <v>3995</v>
      </c>
      <c r="B1267" s="2" t="s">
        <v>3996</v>
      </c>
      <c r="C1267" s="2" t="s">
        <v>3659</v>
      </c>
      <c r="D1267" s="2">
        <v>12.0</v>
      </c>
      <c r="E1267" s="2">
        <v>1422.0</v>
      </c>
      <c r="F1267" s="2">
        <v>1512.0</v>
      </c>
      <c r="G1267" s="2">
        <v>138750.0</v>
      </c>
    </row>
    <row r="1268" ht="15.75" customHeight="1">
      <c r="A1268" s="2" t="s">
        <v>3999</v>
      </c>
      <c r="B1268" s="2" t="s">
        <v>4000</v>
      </c>
      <c r="C1268" s="2" t="s">
        <v>3659</v>
      </c>
      <c r="D1268" s="2">
        <v>27.0</v>
      </c>
      <c r="E1268" s="2">
        <v>1013.0</v>
      </c>
      <c r="F1268" s="2">
        <v>1095.0</v>
      </c>
      <c r="G1268" s="2">
        <v>117500.0</v>
      </c>
    </row>
    <row r="1269" ht="15.75" customHeight="1">
      <c r="A1269" s="2" t="s">
        <v>4003</v>
      </c>
      <c r="B1269" s="2" t="s">
        <v>4005</v>
      </c>
      <c r="C1269" s="2" t="s">
        <v>3659</v>
      </c>
      <c r="D1269" s="2">
        <v>5.0</v>
      </c>
      <c r="E1269" s="2">
        <v>1414.0</v>
      </c>
      <c r="F1269" s="2">
        <v>1241.0</v>
      </c>
      <c r="G1269" s="2">
        <v>173500.0</v>
      </c>
    </row>
    <row r="1270" ht="15.75" customHeight="1">
      <c r="A1270" s="2" t="s">
        <v>4007</v>
      </c>
      <c r="B1270" s="2" t="s">
        <v>4008</v>
      </c>
      <c r="C1270" s="2" t="s">
        <v>3659</v>
      </c>
      <c r="D1270" s="2">
        <v>10.0</v>
      </c>
      <c r="E1270" s="2">
        <v>919.0</v>
      </c>
      <c r="F1270" s="2">
        <v>993.0</v>
      </c>
      <c r="G1270" s="2">
        <v>121500.0</v>
      </c>
    </row>
    <row r="1271" ht="15.75" customHeight="1">
      <c r="A1271" s="2" t="s">
        <v>4009</v>
      </c>
      <c r="B1271" s="2" t="s">
        <v>4010</v>
      </c>
      <c r="C1271" s="2" t="s">
        <v>3659</v>
      </c>
      <c r="D1271" s="2">
        <v>14.0</v>
      </c>
      <c r="E1271" s="2">
        <v>1679.0</v>
      </c>
      <c r="F1271" s="2">
        <v>1699.0</v>
      </c>
      <c r="G1271" s="2">
        <v>160675.0</v>
      </c>
    </row>
    <row r="1272" ht="15.75" customHeight="1">
      <c r="A1272" s="2" t="s">
        <v>4011</v>
      </c>
      <c r="B1272" s="2" t="s">
        <v>4012</v>
      </c>
      <c r="C1272" s="2" t="s">
        <v>3659</v>
      </c>
      <c r="D1272" s="2">
        <v>15.0</v>
      </c>
      <c r="E1272" s="2">
        <v>1885.0</v>
      </c>
      <c r="F1272" s="2">
        <v>1745.0</v>
      </c>
      <c r="G1272" s="2">
        <v>152000.0</v>
      </c>
    </row>
    <row r="1273" ht="15.75" customHeight="1">
      <c r="A1273" s="2" t="s">
        <v>4013</v>
      </c>
      <c r="B1273" s="2" t="s">
        <v>4014</v>
      </c>
      <c r="C1273" s="2" t="s">
        <v>3659</v>
      </c>
      <c r="D1273" s="2">
        <v>12.0</v>
      </c>
      <c r="E1273" s="2">
        <v>1299.0</v>
      </c>
      <c r="F1273" s="2">
        <v>1369.0</v>
      </c>
      <c r="G1273" s="2">
        <v>119000.0</v>
      </c>
    </row>
    <row r="1274" ht="15.75" customHeight="1">
      <c r="A1274" s="2" t="s">
        <v>4015</v>
      </c>
      <c r="B1274" s="2" t="s">
        <v>4016</v>
      </c>
      <c r="C1274" s="2" t="s">
        <v>3659</v>
      </c>
      <c r="D1274" s="2">
        <v>10.0</v>
      </c>
      <c r="E1274" s="2">
        <v>1729.0</v>
      </c>
      <c r="F1274" s="2">
        <v>1741.0</v>
      </c>
      <c r="G1274" s="2">
        <v>175000.0</v>
      </c>
    </row>
    <row r="1275" ht="15.75" customHeight="1">
      <c r="A1275" s="2" t="s">
        <v>4017</v>
      </c>
      <c r="B1275" s="2" t="s">
        <v>4018</v>
      </c>
      <c r="C1275" s="2" t="s">
        <v>3659</v>
      </c>
      <c r="D1275" s="2">
        <v>10.0</v>
      </c>
      <c r="E1275" s="2">
        <v>1638.0</v>
      </c>
      <c r="F1275" s="2">
        <v>1805.0</v>
      </c>
      <c r="G1275" s="2">
        <v>172500.0</v>
      </c>
    </row>
    <row r="1276" ht="15.75" customHeight="1">
      <c r="A1276" s="2" t="s">
        <v>4020</v>
      </c>
      <c r="B1276" s="2" t="s">
        <v>4022</v>
      </c>
      <c r="C1276" s="2" t="s">
        <v>3659</v>
      </c>
      <c r="D1276" s="2">
        <v>14.0</v>
      </c>
      <c r="E1276" s="2">
        <v>859.0</v>
      </c>
      <c r="F1276" s="2">
        <v>923.0</v>
      </c>
      <c r="G1276" s="2">
        <v>71075.0</v>
      </c>
    </row>
    <row r="1277" ht="15.75" customHeight="1">
      <c r="A1277" s="2" t="s">
        <v>4023</v>
      </c>
      <c r="B1277" s="2" t="s">
        <v>4024</v>
      </c>
      <c r="C1277" s="2" t="s">
        <v>3659</v>
      </c>
      <c r="D1277" s="2">
        <v>10.0</v>
      </c>
      <c r="E1277" s="2">
        <v>787.0</v>
      </c>
      <c r="F1277" s="2">
        <v>828.0</v>
      </c>
      <c r="G1277" s="2">
        <v>60450.0</v>
      </c>
    </row>
    <row r="1278" ht="15.75" customHeight="1">
      <c r="A1278" s="2" t="s">
        <v>4025</v>
      </c>
      <c r="B1278" s="2" t="s">
        <v>4026</v>
      </c>
      <c r="C1278" s="2" t="s">
        <v>3659</v>
      </c>
      <c r="D1278" s="2">
        <v>16.0</v>
      </c>
      <c r="E1278" s="2">
        <v>1716.0</v>
      </c>
      <c r="F1278" s="2">
        <v>1818.0</v>
      </c>
      <c r="G1278" s="2">
        <v>219000.0</v>
      </c>
    </row>
    <row r="1279" ht="15.75" customHeight="1">
      <c r="A1279" s="2" t="s">
        <v>4027</v>
      </c>
      <c r="B1279" s="2" t="s">
        <v>4028</v>
      </c>
      <c r="C1279" s="2" t="s">
        <v>3659</v>
      </c>
      <c r="D1279" s="2">
        <v>13.0</v>
      </c>
      <c r="E1279" s="2">
        <v>1817.0</v>
      </c>
      <c r="F1279" s="2">
        <v>1701.0</v>
      </c>
      <c r="G1279" s="2">
        <v>205000.0</v>
      </c>
    </row>
    <row r="1280" ht="15.75" customHeight="1">
      <c r="A1280" s="2" t="s">
        <v>4029</v>
      </c>
      <c r="B1280" s="2" t="s">
        <v>4030</v>
      </c>
      <c r="C1280" s="2" t="s">
        <v>3659</v>
      </c>
      <c r="D1280" s="2">
        <v>7.0</v>
      </c>
      <c r="E1280" s="2">
        <v>1824.0</v>
      </c>
      <c r="F1280" s="2">
        <v>1956.0</v>
      </c>
      <c r="G1280" s="2">
        <v>163000.0</v>
      </c>
    </row>
    <row r="1281" ht="15.75" customHeight="1">
      <c r="A1281" s="2" t="s">
        <v>4031</v>
      </c>
      <c r="B1281" s="2" t="s">
        <v>4032</v>
      </c>
      <c r="C1281" s="2" t="s">
        <v>3659</v>
      </c>
      <c r="D1281" s="2">
        <v>6.0</v>
      </c>
      <c r="E1281" s="2">
        <v>854.0</v>
      </c>
      <c r="F1281" s="2">
        <v>963.0</v>
      </c>
      <c r="G1281" s="2">
        <v>168500.0</v>
      </c>
    </row>
    <row r="1282" ht="15.75" customHeight="1">
      <c r="A1282" s="2" t="s">
        <v>4033</v>
      </c>
      <c r="B1282" s="2" t="s">
        <v>4034</v>
      </c>
      <c r="C1282" s="2" t="s">
        <v>3659</v>
      </c>
      <c r="D1282" s="2">
        <v>5.0</v>
      </c>
      <c r="E1282" s="2">
        <v>1149.0</v>
      </c>
      <c r="F1282" s="2">
        <v>1099.0</v>
      </c>
      <c r="G1282" s="2">
        <v>95000.0</v>
      </c>
    </row>
    <row r="1283" ht="15.75" customHeight="1">
      <c r="A1283" s="2" t="s">
        <v>4035</v>
      </c>
      <c r="B1283" s="2" t="s">
        <v>4036</v>
      </c>
      <c r="C1283" s="2" t="s">
        <v>3659</v>
      </c>
      <c r="D1283" s="2">
        <v>21.0</v>
      </c>
      <c r="E1283" s="2">
        <v>2411.0</v>
      </c>
      <c r="F1283" s="2">
        <v>2456.0</v>
      </c>
      <c r="G1283" s="2">
        <v>270000.0</v>
      </c>
    </row>
    <row r="1284" ht="15.75" customHeight="1">
      <c r="A1284" s="2" t="s">
        <v>4037</v>
      </c>
      <c r="B1284" s="2" t="s">
        <v>4038</v>
      </c>
      <c r="C1284" s="2" t="s">
        <v>3659</v>
      </c>
      <c r="D1284" s="2">
        <v>9.0</v>
      </c>
      <c r="E1284" s="2">
        <v>965.0</v>
      </c>
      <c r="F1284" s="2">
        <v>1073.0</v>
      </c>
      <c r="G1284" s="2">
        <v>93200.0</v>
      </c>
    </row>
    <row r="1285" ht="15.75" customHeight="1">
      <c r="A1285" s="2" t="s">
        <v>4039</v>
      </c>
      <c r="B1285" s="2" t="s">
        <v>4040</v>
      </c>
      <c r="C1285" s="2" t="s">
        <v>3659</v>
      </c>
      <c r="D1285" s="2">
        <v>8.0</v>
      </c>
      <c r="E1285" s="2">
        <v>943.0</v>
      </c>
      <c r="F1285" s="2">
        <v>931.0</v>
      </c>
      <c r="G1285" s="2">
        <v>165890.0</v>
      </c>
    </row>
    <row r="1286" ht="15.75" customHeight="1">
      <c r="A1286" s="2" t="s">
        <v>4043</v>
      </c>
      <c r="B1286" s="2" t="s">
        <v>4044</v>
      </c>
      <c r="C1286" s="2" t="s">
        <v>3659</v>
      </c>
      <c r="D1286" s="2">
        <v>19.0</v>
      </c>
      <c r="E1286" s="2">
        <v>2004.0</v>
      </c>
      <c r="F1286" s="2">
        <v>1900.0</v>
      </c>
      <c r="G1286" s="2">
        <v>174000.0</v>
      </c>
    </row>
    <row r="1287" ht="15.75" customHeight="1">
      <c r="A1287" s="2" t="s">
        <v>4045</v>
      </c>
      <c r="B1287" s="2" t="s">
        <v>4046</v>
      </c>
      <c r="C1287" s="2" t="s">
        <v>3659</v>
      </c>
      <c r="D1287" s="2">
        <v>7.0</v>
      </c>
      <c r="E1287" s="2">
        <v>1493.0</v>
      </c>
      <c r="F1287" s="2">
        <v>1655.0</v>
      </c>
      <c r="G1287" s="2">
        <v>163000.0</v>
      </c>
    </row>
    <row r="1288" ht="15.75" customHeight="1">
      <c r="A1288" s="2" t="s">
        <v>4047</v>
      </c>
      <c r="B1288" s="2" t="s">
        <v>4048</v>
      </c>
      <c r="C1288" s="2" t="s">
        <v>3659</v>
      </c>
      <c r="D1288" s="2">
        <v>42.0</v>
      </c>
      <c r="E1288" s="2">
        <v>1281.0</v>
      </c>
      <c r="F1288" s="2">
        <v>1392.0</v>
      </c>
      <c r="G1288" s="2">
        <v>121050.0</v>
      </c>
    </row>
    <row r="1289" ht="15.75" customHeight="1">
      <c r="A1289" s="2" t="s">
        <v>4049</v>
      </c>
      <c r="B1289" s="2" t="s">
        <v>4050</v>
      </c>
      <c r="C1289" s="2" t="s">
        <v>3659</v>
      </c>
      <c r="D1289" s="2">
        <v>5.0</v>
      </c>
      <c r="E1289" s="2">
        <v>1714.0</v>
      </c>
      <c r="F1289" s="2">
        <v>1610.0</v>
      </c>
      <c r="G1289" s="2">
        <v>173000.0</v>
      </c>
    </row>
    <row r="1290" ht="15.75" customHeight="1">
      <c r="A1290" s="2" t="s">
        <v>4051</v>
      </c>
      <c r="B1290" s="2" t="s">
        <v>4052</v>
      </c>
      <c r="C1290" s="2" t="s">
        <v>3659</v>
      </c>
      <c r="D1290" s="2">
        <v>8.0</v>
      </c>
      <c r="E1290" s="2">
        <v>1874.0</v>
      </c>
      <c r="F1290" s="2">
        <v>1702.0</v>
      </c>
      <c r="G1290" s="2">
        <v>174500.0</v>
      </c>
    </row>
    <row r="1291" ht="15.75" customHeight="1">
      <c r="A1291" s="2" t="s">
        <v>4053</v>
      </c>
      <c r="B1291" s="2" t="s">
        <v>4054</v>
      </c>
      <c r="C1291" s="2" t="s">
        <v>3659</v>
      </c>
      <c r="D1291" s="2">
        <v>5.0</v>
      </c>
      <c r="E1291" s="2">
        <v>1429.0</v>
      </c>
      <c r="F1291" s="2">
        <v>1442.0</v>
      </c>
      <c r="G1291" s="2">
        <v>85000.0</v>
      </c>
    </row>
    <row r="1292" ht="15.75" customHeight="1">
      <c r="A1292" s="2" t="s">
        <v>4057</v>
      </c>
      <c r="B1292" s="2" t="s">
        <v>4058</v>
      </c>
      <c r="C1292" s="2" t="s">
        <v>3659</v>
      </c>
      <c r="D1292" s="2">
        <v>9.0</v>
      </c>
      <c r="E1292" s="2">
        <v>1238.0</v>
      </c>
      <c r="F1292" s="2">
        <v>1483.0</v>
      </c>
      <c r="G1292" s="2">
        <v>135305.0</v>
      </c>
    </row>
    <row r="1293" ht="15.75" customHeight="1">
      <c r="A1293" s="2" t="s">
        <v>4061</v>
      </c>
      <c r="B1293" s="2" t="s">
        <v>4062</v>
      </c>
      <c r="C1293" s="2" t="s">
        <v>3659</v>
      </c>
      <c r="D1293" s="2">
        <v>14.0</v>
      </c>
      <c r="E1293" s="2">
        <v>1040.0</v>
      </c>
      <c r="F1293" s="2">
        <v>1188.0</v>
      </c>
      <c r="G1293" s="2">
        <v>117500.0</v>
      </c>
    </row>
    <row r="1294" ht="15.75" customHeight="1">
      <c r="A1294" s="2" t="s">
        <v>4063</v>
      </c>
      <c r="B1294" s="2" t="s">
        <v>4064</v>
      </c>
      <c r="C1294" s="2" t="s">
        <v>3659</v>
      </c>
      <c r="D1294" s="2">
        <v>8.0</v>
      </c>
      <c r="E1294" s="2">
        <v>1736.0</v>
      </c>
      <c r="F1294" s="2">
        <v>1630.0</v>
      </c>
      <c r="G1294" s="2">
        <v>172000.0</v>
      </c>
    </row>
    <row r="1295" ht="15.75" customHeight="1">
      <c r="A1295" s="2" t="s">
        <v>4065</v>
      </c>
      <c r="B1295" s="2" t="s">
        <v>4066</v>
      </c>
      <c r="C1295" s="2" t="s">
        <v>3659</v>
      </c>
      <c r="D1295" s="2">
        <v>30.0</v>
      </c>
      <c r="E1295" s="2">
        <v>864.0</v>
      </c>
      <c r="F1295" s="2">
        <v>834.0</v>
      </c>
      <c r="G1295" s="2">
        <v>76750.0</v>
      </c>
    </row>
    <row r="1296" ht="15.75" customHeight="1">
      <c r="A1296" s="2" t="s">
        <v>4069</v>
      </c>
      <c r="B1296" s="2" t="s">
        <v>4070</v>
      </c>
      <c r="C1296" s="2" t="s">
        <v>3659</v>
      </c>
      <c r="D1296" s="2">
        <v>5.0</v>
      </c>
      <c r="E1296" s="2">
        <v>696.0</v>
      </c>
      <c r="F1296" s="2">
        <v>853.0</v>
      </c>
      <c r="G1296" s="2">
        <v>118845.0</v>
      </c>
    </row>
    <row r="1297" ht="15.75" customHeight="1">
      <c r="A1297" s="2" t="s">
        <v>4071</v>
      </c>
      <c r="B1297" s="2" t="s">
        <v>4072</v>
      </c>
      <c r="C1297" s="2" t="s">
        <v>3659</v>
      </c>
      <c r="D1297" s="2">
        <v>5.0</v>
      </c>
      <c r="E1297" s="2">
        <v>857.0</v>
      </c>
      <c r="F1297" s="2">
        <v>966.0</v>
      </c>
      <c r="G1297" s="2">
        <v>150000.0</v>
      </c>
    </row>
    <row r="1298" ht="15.75" customHeight="1">
      <c r="A1298" s="2" t="s">
        <v>4073</v>
      </c>
      <c r="B1298" s="2" t="s">
        <v>4074</v>
      </c>
      <c r="C1298" s="2" t="s">
        <v>3659</v>
      </c>
      <c r="D1298" s="2">
        <v>9.0</v>
      </c>
      <c r="E1298" s="2">
        <v>1875.0</v>
      </c>
      <c r="F1298" s="2">
        <v>1866.0</v>
      </c>
      <c r="G1298" s="2">
        <v>198000.0</v>
      </c>
    </row>
    <row r="1299" ht="15.75" customHeight="1">
      <c r="A1299" s="2" t="s">
        <v>4075</v>
      </c>
      <c r="B1299" s="2" t="s">
        <v>4076</v>
      </c>
      <c r="C1299" s="2" t="s">
        <v>3659</v>
      </c>
      <c r="D1299" s="2">
        <v>19.0</v>
      </c>
      <c r="E1299" s="2">
        <v>1618.0</v>
      </c>
      <c r="F1299" s="2">
        <v>1611.0</v>
      </c>
      <c r="G1299" s="2">
        <v>179450.0</v>
      </c>
    </row>
    <row r="1300" ht="15.75" customHeight="1">
      <c r="A1300" s="2" t="s">
        <v>4077</v>
      </c>
      <c r="B1300" s="2" t="s">
        <v>4078</v>
      </c>
      <c r="C1300" s="2" t="s">
        <v>3659</v>
      </c>
      <c r="D1300" s="2">
        <v>7.0</v>
      </c>
      <c r="E1300" s="2">
        <v>1342.0</v>
      </c>
      <c r="F1300" s="2">
        <v>1332.0</v>
      </c>
      <c r="G1300" s="2">
        <v>150000.0</v>
      </c>
    </row>
    <row r="1301" ht="15.75" customHeight="1">
      <c r="A1301" s="2" t="s">
        <v>4079</v>
      </c>
      <c r="B1301" s="2" t="s">
        <v>4080</v>
      </c>
      <c r="C1301" s="2" t="s">
        <v>3659</v>
      </c>
      <c r="D1301" s="2">
        <v>22.0</v>
      </c>
      <c r="E1301" s="2">
        <v>1670.0</v>
      </c>
      <c r="F1301" s="2">
        <v>1634.0</v>
      </c>
      <c r="G1301" s="2">
        <v>208338.0</v>
      </c>
    </row>
    <row r="1302" ht="15.75" customHeight="1">
      <c r="A1302" s="2" t="s">
        <v>4081</v>
      </c>
      <c r="B1302" s="2" t="s">
        <v>4082</v>
      </c>
      <c r="C1302" s="2" t="s">
        <v>3659</v>
      </c>
      <c r="D1302" s="2">
        <v>8.0</v>
      </c>
      <c r="E1302" s="2">
        <v>1261.0</v>
      </c>
      <c r="F1302" s="2">
        <v>1405.0</v>
      </c>
      <c r="G1302" s="2">
        <v>134605.0</v>
      </c>
    </row>
    <row r="1303" ht="15.75" customHeight="1">
      <c r="A1303" s="2" t="s">
        <v>4083</v>
      </c>
      <c r="B1303" s="2" t="s">
        <v>4084</v>
      </c>
      <c r="C1303" s="2" t="s">
        <v>3659</v>
      </c>
      <c r="D1303" s="2">
        <v>5.0</v>
      </c>
      <c r="E1303" s="2">
        <v>1304.0</v>
      </c>
      <c r="F1303" s="2">
        <v>1395.0</v>
      </c>
      <c r="G1303" s="2">
        <v>199000.0</v>
      </c>
    </row>
    <row r="1304" ht="15.75" customHeight="1">
      <c r="A1304" s="2" t="s">
        <v>4085</v>
      </c>
      <c r="B1304" s="2" t="s">
        <v>4086</v>
      </c>
      <c r="C1304" s="2" t="s">
        <v>3659</v>
      </c>
      <c r="D1304" s="2">
        <v>14.0</v>
      </c>
      <c r="E1304" s="2">
        <v>1427.0</v>
      </c>
      <c r="F1304" s="2">
        <v>1494.0</v>
      </c>
      <c r="G1304" s="2">
        <v>181255.0</v>
      </c>
    </row>
    <row r="1305" ht="15.75" customHeight="1">
      <c r="A1305" s="2" t="s">
        <v>4089</v>
      </c>
      <c r="B1305" s="2" t="s">
        <v>4090</v>
      </c>
      <c r="C1305" s="2" t="s">
        <v>3659</v>
      </c>
      <c r="D1305" s="2">
        <v>6.0</v>
      </c>
      <c r="E1305" s="2">
        <v>1169.0</v>
      </c>
      <c r="F1305" s="2">
        <v>1190.0</v>
      </c>
      <c r="G1305" s="2">
        <v>135150.0</v>
      </c>
    </row>
    <row r="1306" ht="15.75" customHeight="1">
      <c r="A1306" s="2" t="s">
        <v>4091</v>
      </c>
      <c r="B1306" s="2" t="s">
        <v>4092</v>
      </c>
      <c r="C1306" s="2" t="s">
        <v>3659</v>
      </c>
      <c r="D1306" s="2">
        <v>28.0</v>
      </c>
      <c r="E1306" s="2">
        <v>1451.0</v>
      </c>
      <c r="F1306" s="2">
        <v>1601.0</v>
      </c>
      <c r="G1306" s="2">
        <v>103425.0</v>
      </c>
    </row>
    <row r="1307" ht="15.75" customHeight="1">
      <c r="A1307" s="2" t="s">
        <v>4093</v>
      </c>
      <c r="B1307" s="2" t="s">
        <v>4094</v>
      </c>
      <c r="C1307" s="2" t="s">
        <v>3659</v>
      </c>
      <c r="D1307" s="2">
        <v>24.0</v>
      </c>
      <c r="E1307" s="2">
        <v>2665.0</v>
      </c>
      <c r="F1307" s="2">
        <v>2452.0</v>
      </c>
      <c r="G1307" s="2">
        <v>207000.0</v>
      </c>
    </row>
    <row r="1308" ht="15.75" customHeight="1">
      <c r="A1308" s="2" t="s">
        <v>4095</v>
      </c>
      <c r="B1308" s="2" t="s">
        <v>4096</v>
      </c>
      <c r="C1308" s="2" t="s">
        <v>3659</v>
      </c>
      <c r="D1308" s="2">
        <v>6.0</v>
      </c>
      <c r="E1308" s="2">
        <v>998.0</v>
      </c>
      <c r="F1308" s="2">
        <v>1426.0</v>
      </c>
      <c r="G1308" s="2">
        <v>166750.0</v>
      </c>
    </row>
    <row r="1309" ht="15.75" customHeight="1">
      <c r="A1309" s="2" t="s">
        <v>4097</v>
      </c>
      <c r="B1309" s="2" t="s">
        <v>4098</v>
      </c>
      <c r="C1309" s="2" t="s">
        <v>3659</v>
      </c>
      <c r="D1309" s="2">
        <v>11.0</v>
      </c>
      <c r="E1309" s="2">
        <v>1129.0</v>
      </c>
      <c r="F1309" s="2">
        <v>1268.0</v>
      </c>
      <c r="G1309" s="2">
        <v>183000.0</v>
      </c>
    </row>
    <row r="1310" ht="15.75" customHeight="1">
      <c r="A1310" s="2" t="s">
        <v>4099</v>
      </c>
      <c r="B1310" s="2" t="s">
        <v>4100</v>
      </c>
      <c r="C1310" s="2" t="s">
        <v>3659</v>
      </c>
      <c r="D1310" s="2">
        <v>9.0</v>
      </c>
      <c r="E1310" s="2">
        <v>1813.0</v>
      </c>
      <c r="F1310" s="2">
        <v>1764.0</v>
      </c>
      <c r="G1310" s="2">
        <v>240000.0</v>
      </c>
    </row>
    <row r="1311" ht="15.75" customHeight="1">
      <c r="A1311" s="2" t="s">
        <v>4103</v>
      </c>
      <c r="B1311" s="2" t="s">
        <v>4104</v>
      </c>
      <c r="C1311" s="2" t="s">
        <v>3659</v>
      </c>
      <c r="D1311" s="2">
        <v>54.0</v>
      </c>
      <c r="E1311" s="2">
        <v>1631.0</v>
      </c>
      <c r="F1311" s="2">
        <v>1758.0</v>
      </c>
      <c r="G1311" s="2">
        <v>126500.0</v>
      </c>
    </row>
    <row r="1312" ht="15.75" customHeight="1">
      <c r="A1312" s="2" t="s">
        <v>4105</v>
      </c>
      <c r="B1312" s="2" t="s">
        <v>4106</v>
      </c>
      <c r="C1312" s="2" t="s">
        <v>3659</v>
      </c>
      <c r="D1312" s="2">
        <v>8.0</v>
      </c>
      <c r="E1312" s="2">
        <v>1760.0</v>
      </c>
      <c r="F1312" s="2">
        <v>1555.0</v>
      </c>
      <c r="G1312" s="2">
        <v>182875.0</v>
      </c>
    </row>
    <row r="1313" ht="15.75" customHeight="1">
      <c r="A1313" s="2" t="s">
        <v>4107</v>
      </c>
      <c r="B1313" s="2" t="s">
        <v>4108</v>
      </c>
      <c r="C1313" s="2" t="s">
        <v>3659</v>
      </c>
      <c r="D1313" s="2">
        <v>36.0</v>
      </c>
      <c r="E1313" s="2">
        <v>1413.0</v>
      </c>
      <c r="F1313" s="2">
        <v>1406.0</v>
      </c>
      <c r="G1313" s="2">
        <v>115150.0</v>
      </c>
    </row>
    <row r="1314" ht="15.75" customHeight="1">
      <c r="A1314" s="2" t="s">
        <v>4109</v>
      </c>
      <c r="B1314" s="2" t="s">
        <v>4110</v>
      </c>
      <c r="C1314" s="2" t="s">
        <v>3659</v>
      </c>
      <c r="D1314" s="2">
        <v>48.0</v>
      </c>
      <c r="E1314" s="2">
        <v>1650.0</v>
      </c>
      <c r="F1314" s="2">
        <v>1676.0</v>
      </c>
      <c r="G1314" s="2">
        <v>147670.0</v>
      </c>
    </row>
    <row r="1315" ht="15.75" customHeight="1">
      <c r="A1315" s="2" t="s">
        <v>4111</v>
      </c>
      <c r="B1315" s="2" t="s">
        <v>4112</v>
      </c>
      <c r="C1315" s="2" t="s">
        <v>3659</v>
      </c>
      <c r="D1315" s="2">
        <v>11.0</v>
      </c>
      <c r="E1315" s="2">
        <v>1304.0</v>
      </c>
      <c r="F1315" s="2">
        <v>1308.0</v>
      </c>
      <c r="G1315" s="2">
        <v>157225.0</v>
      </c>
    </row>
    <row r="1316" ht="15.75" customHeight="1">
      <c r="A1316" s="2" t="s">
        <v>4113</v>
      </c>
      <c r="B1316" s="2" t="s">
        <v>4114</v>
      </c>
      <c r="C1316" s="2" t="s">
        <v>3659</v>
      </c>
      <c r="D1316" s="2">
        <v>6.0</v>
      </c>
      <c r="E1316" s="2">
        <v>1141.0</v>
      </c>
      <c r="F1316" s="2">
        <v>1170.0</v>
      </c>
      <c r="G1316" s="2">
        <v>174750.0</v>
      </c>
    </row>
    <row r="1317" ht="15.75" customHeight="1">
      <c r="A1317" s="2" t="s">
        <v>4117</v>
      </c>
      <c r="B1317" s="2" t="s">
        <v>4118</v>
      </c>
      <c r="C1317" s="2" t="s">
        <v>3659</v>
      </c>
      <c r="D1317" s="2">
        <v>10.0</v>
      </c>
      <c r="E1317" s="2">
        <v>1744.0</v>
      </c>
      <c r="F1317" s="2">
        <v>1703.0</v>
      </c>
      <c r="G1317" s="2">
        <v>222100.0</v>
      </c>
    </row>
    <row r="1318" ht="15.75" customHeight="1">
      <c r="A1318" s="2" t="s">
        <v>4121</v>
      </c>
      <c r="B1318" s="2" t="s">
        <v>4122</v>
      </c>
      <c r="C1318" s="2" t="s">
        <v>3659</v>
      </c>
      <c r="D1318" s="2">
        <v>10.0</v>
      </c>
      <c r="E1318" s="2">
        <v>1306.0</v>
      </c>
      <c r="F1318" s="2">
        <v>1296.0</v>
      </c>
      <c r="G1318" s="2">
        <v>220000.0</v>
      </c>
    </row>
    <row r="1319" ht="15.75" customHeight="1">
      <c r="A1319" s="2" t="s">
        <v>4123</v>
      </c>
      <c r="B1319" s="2" t="s">
        <v>4124</v>
      </c>
      <c r="C1319" s="2" t="s">
        <v>3659</v>
      </c>
      <c r="D1319" s="2">
        <v>103.0</v>
      </c>
      <c r="E1319" s="2">
        <v>1432.0</v>
      </c>
      <c r="F1319" s="2">
        <v>1390.0</v>
      </c>
      <c r="G1319" s="2">
        <v>110000.0</v>
      </c>
    </row>
    <row r="1320" ht="15.75" customHeight="1">
      <c r="A1320" s="2" t="s">
        <v>4127</v>
      </c>
      <c r="B1320" s="2" t="s">
        <v>4128</v>
      </c>
      <c r="C1320" s="2" t="s">
        <v>3659</v>
      </c>
      <c r="D1320" s="2">
        <v>5.0</v>
      </c>
      <c r="E1320" s="2">
        <v>1480.0</v>
      </c>
      <c r="F1320" s="2">
        <v>1897.0</v>
      </c>
      <c r="G1320" s="2">
        <v>182000.0</v>
      </c>
    </row>
    <row r="1321" ht="15.75" customHeight="1">
      <c r="A1321" s="2" t="s">
        <v>4129</v>
      </c>
      <c r="B1321" s="2" t="s">
        <v>4130</v>
      </c>
      <c r="C1321" s="2" t="s">
        <v>3659</v>
      </c>
      <c r="D1321" s="2">
        <v>5.0</v>
      </c>
      <c r="E1321" s="2">
        <v>1343.0</v>
      </c>
      <c r="F1321" s="2">
        <v>1744.0</v>
      </c>
      <c r="G1321" s="2">
        <v>154680.0</v>
      </c>
    </row>
    <row r="1322" ht="15.75" customHeight="1">
      <c r="A1322" s="2" t="s">
        <v>4133</v>
      </c>
      <c r="B1322" s="2" t="s">
        <v>4134</v>
      </c>
      <c r="C1322" s="2" t="s">
        <v>3659</v>
      </c>
      <c r="D1322" s="2">
        <v>21.0</v>
      </c>
      <c r="E1322" s="2">
        <v>1553.0</v>
      </c>
      <c r="F1322" s="2">
        <v>1632.0</v>
      </c>
      <c r="G1322" s="2">
        <v>177000.0</v>
      </c>
    </row>
    <row r="1323" ht="15.75" customHeight="1">
      <c r="A1323" s="2" t="s">
        <v>4135</v>
      </c>
      <c r="B1323" s="2" t="s">
        <v>4136</v>
      </c>
      <c r="C1323" s="2" t="s">
        <v>3659</v>
      </c>
      <c r="D1323" s="2">
        <v>8.0</v>
      </c>
      <c r="E1323" s="2">
        <v>983.0</v>
      </c>
      <c r="F1323" s="2">
        <v>1181.0</v>
      </c>
      <c r="G1323" s="2">
        <v>183750.0</v>
      </c>
    </row>
    <row r="1324" ht="15.75" customHeight="1">
      <c r="A1324" s="2" t="s">
        <v>4137</v>
      </c>
      <c r="B1324" s="2" t="s">
        <v>4138</v>
      </c>
      <c r="C1324" s="2" t="s">
        <v>3659</v>
      </c>
      <c r="D1324" s="2">
        <v>49.0</v>
      </c>
      <c r="E1324" s="2">
        <v>1277.0</v>
      </c>
      <c r="F1324" s="2">
        <v>1358.0</v>
      </c>
      <c r="G1324" s="2">
        <v>116300.0</v>
      </c>
    </row>
    <row r="1325" ht="15.75" customHeight="1">
      <c r="A1325" s="2" t="s">
        <v>4139</v>
      </c>
      <c r="B1325" s="2" t="s">
        <v>4140</v>
      </c>
      <c r="C1325" s="2" t="s">
        <v>3659</v>
      </c>
      <c r="D1325" s="2">
        <v>6.0</v>
      </c>
      <c r="E1325" s="2">
        <v>1549.0</v>
      </c>
      <c r="F1325" s="2">
        <v>1562.0</v>
      </c>
      <c r="G1325" s="2">
        <v>127750.0</v>
      </c>
    </row>
    <row r="1326" ht="15.75" customHeight="1">
      <c r="A1326" s="2" t="s">
        <v>4141</v>
      </c>
      <c r="B1326" s="2" t="s">
        <v>4142</v>
      </c>
      <c r="C1326" s="2" t="s">
        <v>3659</v>
      </c>
      <c r="D1326" s="2">
        <v>9.0</v>
      </c>
      <c r="E1326" s="2">
        <v>1559.0</v>
      </c>
      <c r="F1326" s="2">
        <v>1486.0</v>
      </c>
      <c r="G1326" s="2">
        <v>173900.0</v>
      </c>
    </row>
    <row r="1327" ht="15.75" customHeight="1">
      <c r="A1327" s="2" t="s">
        <v>4145</v>
      </c>
      <c r="B1327" s="2" t="s">
        <v>4146</v>
      </c>
      <c r="C1327" s="2" t="s">
        <v>3659</v>
      </c>
      <c r="D1327" s="2">
        <v>16.0</v>
      </c>
      <c r="E1327" s="2">
        <v>1884.0</v>
      </c>
      <c r="F1327" s="2">
        <v>1747.0</v>
      </c>
      <c r="G1327" s="2">
        <v>232500.0</v>
      </c>
    </row>
    <row r="1328" ht="15.75" customHeight="1">
      <c r="A1328" s="2" t="s">
        <v>4147</v>
      </c>
      <c r="B1328" s="2" t="s">
        <v>4148</v>
      </c>
      <c r="C1328" s="2" t="s">
        <v>3659</v>
      </c>
      <c r="D1328" s="2">
        <v>37.0</v>
      </c>
      <c r="E1328" s="2">
        <v>1128.0</v>
      </c>
      <c r="F1328" s="2">
        <v>1303.0</v>
      </c>
      <c r="G1328" s="2">
        <v>126000.0</v>
      </c>
    </row>
    <row r="1329" ht="15.75" customHeight="1">
      <c r="A1329" s="2" t="s">
        <v>4149</v>
      </c>
      <c r="B1329" s="2" t="s">
        <v>4150</v>
      </c>
      <c r="C1329" s="2" t="s">
        <v>3659</v>
      </c>
      <c r="D1329" s="2">
        <v>5.0</v>
      </c>
      <c r="E1329" s="2">
        <v>629.0</v>
      </c>
      <c r="F1329" s="2">
        <v>613.0</v>
      </c>
      <c r="G1329" s="2">
        <v>88000.0</v>
      </c>
    </row>
    <row r="1330" ht="15.75" customHeight="1">
      <c r="A1330" s="2" t="s">
        <v>4151</v>
      </c>
      <c r="B1330" s="2" t="s">
        <v>4152</v>
      </c>
      <c r="C1330" s="2" t="s">
        <v>3659</v>
      </c>
      <c r="D1330" s="2">
        <v>12.0</v>
      </c>
      <c r="E1330" s="2">
        <v>1351.0</v>
      </c>
      <c r="F1330" s="2">
        <v>1433.0</v>
      </c>
      <c r="G1330" s="2">
        <v>219465.0</v>
      </c>
    </row>
    <row r="1331" ht="15.75" customHeight="1">
      <c r="A1331" s="2" t="s">
        <v>4153</v>
      </c>
      <c r="B1331" s="2" t="s">
        <v>4154</v>
      </c>
      <c r="C1331" s="2" t="s">
        <v>3659</v>
      </c>
      <c r="D1331" s="2">
        <v>23.0</v>
      </c>
      <c r="E1331" s="2">
        <v>1300.0</v>
      </c>
      <c r="F1331" s="2">
        <v>1740.0</v>
      </c>
      <c r="G1331" s="2">
        <v>257500.0</v>
      </c>
    </row>
    <row r="1332" ht="15.75" customHeight="1">
      <c r="A1332" s="2" t="s">
        <v>4155</v>
      </c>
      <c r="B1332" s="2" t="s">
        <v>4156</v>
      </c>
      <c r="C1332" s="2" t="s">
        <v>3659</v>
      </c>
      <c r="D1332" s="2">
        <v>56.0</v>
      </c>
      <c r="E1332" s="2">
        <v>1390.0</v>
      </c>
      <c r="F1332" s="2">
        <v>1439.0</v>
      </c>
      <c r="G1332" s="2">
        <v>132750.0</v>
      </c>
    </row>
    <row r="1333" ht="15.75" customHeight="1">
      <c r="A1333" s="2" t="s">
        <v>4157</v>
      </c>
      <c r="B1333" s="2" t="s">
        <v>4158</v>
      </c>
      <c r="C1333" s="2" t="s">
        <v>3659</v>
      </c>
      <c r="D1333" s="2">
        <v>17.0</v>
      </c>
      <c r="E1333" s="2">
        <v>1300.0</v>
      </c>
      <c r="F1333" s="2">
        <v>1469.0</v>
      </c>
      <c r="G1333" s="2">
        <v>159345.0</v>
      </c>
    </row>
    <row r="1334" ht="15.75" customHeight="1">
      <c r="A1334" s="2" t="s">
        <v>4159</v>
      </c>
      <c r="B1334" s="2" t="s">
        <v>4160</v>
      </c>
      <c r="C1334" s="2" t="s">
        <v>3659</v>
      </c>
      <c r="D1334" s="2">
        <v>24.0</v>
      </c>
      <c r="E1334" s="2">
        <v>1824.0</v>
      </c>
      <c r="F1334" s="2">
        <v>1842.0</v>
      </c>
      <c r="G1334" s="2">
        <v>171500.0</v>
      </c>
    </row>
    <row r="1335" ht="15.75" customHeight="1">
      <c r="A1335" s="2" t="s">
        <v>4162</v>
      </c>
      <c r="B1335" s="2" t="s">
        <v>4164</v>
      </c>
      <c r="C1335" s="2" t="s">
        <v>3659</v>
      </c>
      <c r="D1335" s="2">
        <v>6.0</v>
      </c>
      <c r="E1335" s="2">
        <v>969.0</v>
      </c>
      <c r="F1335" s="2">
        <v>891.0</v>
      </c>
      <c r="G1335" s="2">
        <v>139432.0</v>
      </c>
    </row>
    <row r="1336" ht="15.75" customHeight="1">
      <c r="A1336" s="2" t="s">
        <v>4165</v>
      </c>
      <c r="B1336" s="2" t="s">
        <v>4166</v>
      </c>
      <c r="C1336" s="2" t="s">
        <v>3659</v>
      </c>
      <c r="D1336" s="2">
        <v>283.0</v>
      </c>
      <c r="E1336" s="2">
        <v>1370.0</v>
      </c>
      <c r="F1336" s="2">
        <v>1396.0</v>
      </c>
      <c r="G1336" s="2">
        <v>111708.0</v>
      </c>
    </row>
    <row r="1337" ht="15.75" customHeight="1">
      <c r="A1337" s="2" t="s">
        <v>4167</v>
      </c>
      <c r="B1337" s="2" t="s">
        <v>4168</v>
      </c>
      <c r="C1337" s="2" t="s">
        <v>3659</v>
      </c>
      <c r="D1337" s="2">
        <v>7.0</v>
      </c>
      <c r="E1337" s="2">
        <v>1829.0</v>
      </c>
      <c r="F1337" s="2">
        <v>1996.0</v>
      </c>
      <c r="G1337" s="2">
        <v>188400.0</v>
      </c>
    </row>
    <row r="1338" ht="15.75" customHeight="1">
      <c r="A1338" s="2" t="s">
        <v>4169</v>
      </c>
      <c r="B1338" s="2" t="s">
        <v>4170</v>
      </c>
      <c r="C1338" s="2" t="s">
        <v>3659</v>
      </c>
      <c r="D1338" s="2">
        <v>11.0</v>
      </c>
      <c r="E1338" s="2">
        <v>1101.0</v>
      </c>
      <c r="F1338" s="2">
        <v>958.0</v>
      </c>
      <c r="G1338" s="2">
        <v>120000.0</v>
      </c>
    </row>
    <row r="1339" ht="15.75" customHeight="1">
      <c r="A1339" s="2" t="s">
        <v>4171</v>
      </c>
      <c r="B1339" s="2" t="s">
        <v>4172</v>
      </c>
      <c r="C1339" s="2" t="s">
        <v>3659</v>
      </c>
      <c r="D1339" s="2">
        <v>126.0</v>
      </c>
      <c r="E1339" s="2">
        <v>1195.0</v>
      </c>
      <c r="F1339" s="2">
        <v>1240.0</v>
      </c>
      <c r="G1339" s="2">
        <v>106325.0</v>
      </c>
    </row>
    <row r="1340" ht="15.75" customHeight="1">
      <c r="A1340" s="2" t="s">
        <v>4173</v>
      </c>
      <c r="B1340" s="2" t="s">
        <v>4174</v>
      </c>
      <c r="C1340" s="2" t="s">
        <v>3659</v>
      </c>
      <c r="D1340" s="2">
        <v>7.0</v>
      </c>
      <c r="E1340" s="2">
        <v>1836.0</v>
      </c>
      <c r="F1340" s="2">
        <v>1821.0</v>
      </c>
      <c r="G1340" s="2">
        <v>185000.0</v>
      </c>
    </row>
    <row r="1341" ht="15.75" customHeight="1">
      <c r="A1341" s="2" t="s">
        <v>4175</v>
      </c>
      <c r="B1341" s="2" t="s">
        <v>4176</v>
      </c>
      <c r="C1341" s="2" t="s">
        <v>3659</v>
      </c>
      <c r="D1341" s="2">
        <v>5.0</v>
      </c>
      <c r="E1341" s="2">
        <v>1157.0</v>
      </c>
      <c r="F1341" s="2">
        <v>1033.0</v>
      </c>
      <c r="G1341" s="2">
        <v>112000.0</v>
      </c>
    </row>
    <row r="1342" ht="15.75" customHeight="1">
      <c r="A1342" s="2" t="s">
        <v>4177</v>
      </c>
      <c r="B1342" s="2" t="s">
        <v>4178</v>
      </c>
      <c r="C1342" s="2" t="s">
        <v>3659</v>
      </c>
      <c r="D1342" s="2">
        <v>11.0</v>
      </c>
      <c r="E1342" s="2">
        <v>2167.0</v>
      </c>
      <c r="F1342" s="2">
        <v>2210.0</v>
      </c>
      <c r="G1342" s="2">
        <v>285000.0</v>
      </c>
    </row>
    <row r="1343" ht="15.75" customHeight="1">
      <c r="A1343" s="2" t="s">
        <v>4179</v>
      </c>
      <c r="B1343" s="2" t="s">
        <v>4180</v>
      </c>
      <c r="C1343" s="2" t="s">
        <v>3659</v>
      </c>
      <c r="D1343" s="2">
        <v>7.0</v>
      </c>
      <c r="E1343" s="2">
        <v>890.0</v>
      </c>
      <c r="F1343" s="2">
        <v>1127.0</v>
      </c>
      <c r="G1343" s="2">
        <v>152000.0</v>
      </c>
    </row>
    <row r="1344" ht="15.75" customHeight="1">
      <c r="A1344" s="2" t="s">
        <v>4181</v>
      </c>
      <c r="B1344" s="2" t="s">
        <v>4182</v>
      </c>
      <c r="C1344" s="2" t="s">
        <v>3659</v>
      </c>
      <c r="D1344" s="2">
        <v>23.0</v>
      </c>
      <c r="E1344" s="2">
        <v>1479.0</v>
      </c>
      <c r="F1344" s="2">
        <v>1783.0</v>
      </c>
      <c r="G1344" s="2">
        <v>239200.0</v>
      </c>
    </row>
    <row r="1345" ht="15.75" customHeight="1">
      <c r="A1345" s="2" t="s">
        <v>4183</v>
      </c>
      <c r="B1345" s="2" t="s">
        <v>4184</v>
      </c>
      <c r="C1345" s="2" t="s">
        <v>3659</v>
      </c>
      <c r="D1345" s="2">
        <v>17.0</v>
      </c>
      <c r="E1345" s="2">
        <v>1190.0</v>
      </c>
      <c r="F1345" s="2">
        <v>1246.0</v>
      </c>
      <c r="G1345" s="2">
        <v>124000.0</v>
      </c>
    </row>
    <row r="1346" ht="15.75" customHeight="1">
      <c r="A1346" s="2" t="s">
        <v>4185</v>
      </c>
      <c r="B1346" s="2" t="s">
        <v>4186</v>
      </c>
      <c r="C1346" s="2" t="s">
        <v>3659</v>
      </c>
      <c r="D1346" s="2">
        <v>30.0</v>
      </c>
      <c r="E1346" s="2">
        <v>1638.0</v>
      </c>
      <c r="F1346" s="2">
        <v>1694.0</v>
      </c>
      <c r="G1346" s="2">
        <v>142500.0</v>
      </c>
    </row>
    <row r="1347" ht="15.75" customHeight="1">
      <c r="A1347" s="2" t="s">
        <v>4187</v>
      </c>
      <c r="B1347" s="2" t="s">
        <v>4188</v>
      </c>
      <c r="C1347" s="2" t="s">
        <v>3659</v>
      </c>
      <c r="D1347" s="2">
        <v>5.0</v>
      </c>
      <c r="E1347" s="2">
        <v>1288.0</v>
      </c>
      <c r="F1347" s="2">
        <v>1181.0</v>
      </c>
      <c r="G1347" s="2">
        <v>145000.0</v>
      </c>
    </row>
    <row r="1348" ht="15.75" customHeight="1">
      <c r="A1348" s="2" t="s">
        <v>4189</v>
      </c>
      <c r="B1348" s="2" t="s">
        <v>4190</v>
      </c>
      <c r="C1348" s="2" t="s">
        <v>3659</v>
      </c>
      <c r="D1348" s="2">
        <v>6.0</v>
      </c>
      <c r="E1348" s="2">
        <v>892.0</v>
      </c>
      <c r="F1348" s="2">
        <v>895.0</v>
      </c>
      <c r="G1348" s="2">
        <v>128250.0</v>
      </c>
    </row>
    <row r="1349" ht="15.75" customHeight="1">
      <c r="A1349" s="2" t="s">
        <v>4191</v>
      </c>
      <c r="B1349" s="2" t="s">
        <v>4192</v>
      </c>
      <c r="C1349" s="2" t="s">
        <v>3659</v>
      </c>
      <c r="D1349" s="2">
        <v>10.0</v>
      </c>
      <c r="E1349" s="2">
        <v>1369.0</v>
      </c>
      <c r="F1349" s="2">
        <v>1304.0</v>
      </c>
      <c r="G1349" s="2">
        <v>122025.0</v>
      </c>
    </row>
    <row r="1350" ht="15.75" customHeight="1">
      <c r="A1350" s="2" t="s">
        <v>4194</v>
      </c>
      <c r="B1350" s="2" t="s">
        <v>4195</v>
      </c>
      <c r="C1350" s="2" t="s">
        <v>3659</v>
      </c>
      <c r="D1350" s="2">
        <v>15.0</v>
      </c>
      <c r="E1350" s="2">
        <v>1765.0</v>
      </c>
      <c r="F1350" s="2">
        <v>1749.0</v>
      </c>
      <c r="G1350" s="2">
        <v>180000.0</v>
      </c>
    </row>
    <row r="1351" ht="15.75" customHeight="1">
      <c r="A1351" s="2" t="s">
        <v>4198</v>
      </c>
      <c r="B1351" s="2" t="s">
        <v>4199</v>
      </c>
      <c r="C1351" s="2" t="s">
        <v>3659</v>
      </c>
      <c r="D1351" s="2">
        <v>5.0</v>
      </c>
      <c r="E1351" s="2">
        <v>727.0</v>
      </c>
      <c r="F1351" s="2">
        <v>1000.0</v>
      </c>
      <c r="G1351" s="2">
        <v>160000.0</v>
      </c>
    </row>
    <row r="1352" ht="15.75" customHeight="1">
      <c r="A1352" s="2" t="s">
        <v>4200</v>
      </c>
      <c r="B1352" s="2" t="s">
        <v>4201</v>
      </c>
      <c r="C1352" s="2" t="s">
        <v>3659</v>
      </c>
      <c r="D1352" s="2">
        <v>43.0</v>
      </c>
      <c r="E1352" s="2">
        <v>1310.0</v>
      </c>
      <c r="F1352" s="2">
        <v>1371.0</v>
      </c>
      <c r="G1352" s="2">
        <v>120000.0</v>
      </c>
    </row>
    <row r="1353" ht="15.75" customHeight="1">
      <c r="A1353" s="2" t="s">
        <v>4204</v>
      </c>
      <c r="B1353" s="2" t="s">
        <v>4205</v>
      </c>
      <c r="C1353" s="2" t="s">
        <v>3659</v>
      </c>
      <c r="D1353" s="2">
        <v>52.0</v>
      </c>
      <c r="E1353" s="2">
        <v>1986.0</v>
      </c>
      <c r="F1353" s="2">
        <v>1984.0</v>
      </c>
      <c r="G1353" s="2">
        <v>203250.0</v>
      </c>
    </row>
    <row r="1354" ht="15.75" customHeight="1">
      <c r="A1354" s="2" t="s">
        <v>4206</v>
      </c>
      <c r="B1354" s="2" t="s">
        <v>4207</v>
      </c>
      <c r="C1354" s="2" t="s">
        <v>3659</v>
      </c>
      <c r="D1354" s="2">
        <v>10.0</v>
      </c>
      <c r="E1354" s="2">
        <v>1370.0</v>
      </c>
      <c r="F1354" s="2">
        <v>1361.0</v>
      </c>
      <c r="G1354" s="2">
        <v>161875.0</v>
      </c>
    </row>
    <row r="1355" ht="15.75" customHeight="1">
      <c r="A1355" s="2" t="s">
        <v>4208</v>
      </c>
      <c r="B1355" s="2" t="s">
        <v>4209</v>
      </c>
      <c r="C1355" s="2" t="s">
        <v>3659</v>
      </c>
      <c r="D1355" s="2">
        <v>5.0</v>
      </c>
      <c r="E1355" s="2">
        <v>732.0</v>
      </c>
      <c r="F1355" s="2">
        <v>729.0</v>
      </c>
      <c r="G1355" s="2">
        <v>77500.0</v>
      </c>
    </row>
    <row r="1356" ht="15.75" customHeight="1">
      <c r="A1356" s="2" t="s">
        <v>4210</v>
      </c>
      <c r="B1356" s="2" t="s">
        <v>4211</v>
      </c>
      <c r="C1356" s="2" t="s">
        <v>3659</v>
      </c>
      <c r="D1356" s="2">
        <v>112.0</v>
      </c>
      <c r="E1356" s="2">
        <v>1751.0</v>
      </c>
      <c r="F1356" s="2">
        <v>1853.0</v>
      </c>
      <c r="G1356" s="2">
        <v>146485.0</v>
      </c>
    </row>
    <row r="1357" ht="15.75" customHeight="1">
      <c r="A1357" s="2" t="s">
        <v>4212</v>
      </c>
      <c r="B1357" s="2" t="s">
        <v>4213</v>
      </c>
      <c r="C1357" s="2" t="s">
        <v>3659</v>
      </c>
      <c r="D1357" s="2">
        <v>6.0</v>
      </c>
      <c r="E1357" s="2">
        <v>1196.0</v>
      </c>
      <c r="F1357" s="2">
        <v>1131.0</v>
      </c>
      <c r="G1357" s="2">
        <v>123000.0</v>
      </c>
    </row>
    <row r="1358" ht="15.75" customHeight="1">
      <c r="A1358" s="2" t="s">
        <v>4215</v>
      </c>
      <c r="B1358" s="2" t="s">
        <v>4217</v>
      </c>
      <c r="C1358" s="2" t="s">
        <v>3659</v>
      </c>
      <c r="D1358" s="2">
        <v>200.0</v>
      </c>
      <c r="E1358" s="2">
        <v>7431.0</v>
      </c>
      <c r="F1358" s="2">
        <v>6944.0</v>
      </c>
      <c r="G1358" s="2">
        <v>378000.0</v>
      </c>
    </row>
    <row r="1359" ht="15.75" customHeight="1">
      <c r="A1359" s="2" t="s">
        <v>4218</v>
      </c>
      <c r="B1359" s="2" t="s">
        <v>4219</v>
      </c>
      <c r="C1359" s="2" t="s">
        <v>3659</v>
      </c>
      <c r="D1359" s="2">
        <v>5.0</v>
      </c>
      <c r="E1359" s="2">
        <v>1746.0</v>
      </c>
      <c r="F1359" s="2">
        <v>1565.0</v>
      </c>
      <c r="G1359" s="2">
        <v>150000.0</v>
      </c>
    </row>
    <row r="1360" ht="15.75" customHeight="1">
      <c r="A1360" s="2" t="s">
        <v>4220</v>
      </c>
      <c r="B1360" s="2" t="s">
        <v>4221</v>
      </c>
      <c r="C1360" s="2" t="s">
        <v>3659</v>
      </c>
      <c r="D1360" s="2">
        <v>67.0</v>
      </c>
      <c r="E1360" s="2">
        <v>1686.0</v>
      </c>
      <c r="F1360" s="2">
        <v>1762.0</v>
      </c>
      <c r="G1360" s="2">
        <v>163500.0</v>
      </c>
    </row>
    <row r="1361" ht="15.75" customHeight="1">
      <c r="A1361" s="2" t="s">
        <v>4222</v>
      </c>
      <c r="B1361" s="2" t="s">
        <v>4223</v>
      </c>
      <c r="C1361" s="2" t="s">
        <v>3659</v>
      </c>
      <c r="D1361" s="2">
        <v>258.0</v>
      </c>
      <c r="E1361" s="2">
        <v>1469.0</v>
      </c>
      <c r="F1361" s="2">
        <v>1546.0</v>
      </c>
      <c r="G1361" s="2">
        <v>105580.0</v>
      </c>
    </row>
    <row r="1362" ht="15.75" customHeight="1">
      <c r="A1362" s="2" t="s">
        <v>4224</v>
      </c>
      <c r="B1362" s="2" t="s">
        <v>4225</v>
      </c>
      <c r="C1362" s="2" t="s">
        <v>3659</v>
      </c>
      <c r="D1362" s="2">
        <v>18.0</v>
      </c>
      <c r="E1362" s="2">
        <v>1766.0</v>
      </c>
      <c r="F1362" s="2">
        <v>1798.0</v>
      </c>
      <c r="G1362" s="2">
        <v>160550.0</v>
      </c>
    </row>
    <row r="1363" ht="15.75" customHeight="1">
      <c r="A1363" s="2" t="s">
        <v>4226</v>
      </c>
      <c r="B1363" s="2" t="s">
        <v>4227</v>
      </c>
      <c r="C1363" s="2" t="s">
        <v>3659</v>
      </c>
      <c r="D1363" s="2">
        <v>43.0</v>
      </c>
      <c r="E1363" s="2">
        <v>1594.0</v>
      </c>
      <c r="F1363" s="2">
        <v>1778.0</v>
      </c>
      <c r="G1363" s="2">
        <v>203181.0</v>
      </c>
    </row>
    <row r="1364" ht="15.75" customHeight="1">
      <c r="A1364" s="2" t="s">
        <v>4228</v>
      </c>
      <c r="B1364" s="2" t="s">
        <v>4229</v>
      </c>
      <c r="C1364" s="2" t="s">
        <v>3659</v>
      </c>
      <c r="D1364" s="2">
        <v>55.0</v>
      </c>
      <c r="E1364" s="2">
        <v>1580.0</v>
      </c>
      <c r="F1364" s="2">
        <v>1641.0</v>
      </c>
      <c r="G1364" s="2">
        <v>140350.0</v>
      </c>
    </row>
    <row r="1365" ht="15.75" customHeight="1">
      <c r="A1365" s="2" t="s">
        <v>4230</v>
      </c>
      <c r="B1365" s="2" t="s">
        <v>4231</v>
      </c>
      <c r="C1365" s="2" t="s">
        <v>3659</v>
      </c>
      <c r="D1365" s="2">
        <v>10.0</v>
      </c>
      <c r="E1365" s="2">
        <v>1300.0</v>
      </c>
      <c r="F1365" s="2">
        <v>1956.0</v>
      </c>
      <c r="G1365" s="2">
        <v>147500.0</v>
      </c>
    </row>
    <row r="1366" ht="15.75" customHeight="1">
      <c r="A1366" s="2" t="s">
        <v>4233</v>
      </c>
      <c r="B1366" s="2" t="s">
        <v>4234</v>
      </c>
      <c r="C1366" s="2" t="s">
        <v>3659</v>
      </c>
      <c r="D1366" s="2">
        <v>5.0</v>
      </c>
      <c r="E1366" s="2">
        <v>943.0</v>
      </c>
      <c r="F1366" s="2">
        <v>936.0</v>
      </c>
      <c r="G1366" s="2">
        <v>132000.0</v>
      </c>
    </row>
    <row r="1367" ht="15.75" customHeight="1">
      <c r="A1367" s="2" t="s">
        <v>4236</v>
      </c>
      <c r="B1367" s="2" t="s">
        <v>4237</v>
      </c>
      <c r="C1367" s="2" t="s">
        <v>3659</v>
      </c>
      <c r="D1367" s="2">
        <v>126.0</v>
      </c>
      <c r="E1367" s="2">
        <v>1047.0</v>
      </c>
      <c r="F1367" s="2">
        <v>1127.0</v>
      </c>
      <c r="G1367" s="2">
        <v>96075.0</v>
      </c>
    </row>
    <row r="1368" ht="15.75" customHeight="1">
      <c r="A1368" s="2" t="s">
        <v>4238</v>
      </c>
      <c r="B1368" s="2" t="s">
        <v>4239</v>
      </c>
      <c r="C1368" s="2" t="s">
        <v>3659</v>
      </c>
      <c r="D1368" s="2">
        <v>9.0</v>
      </c>
      <c r="E1368" s="2">
        <v>1010.0</v>
      </c>
      <c r="F1368" s="2">
        <v>978.0</v>
      </c>
      <c r="G1368" s="2">
        <v>120400.0</v>
      </c>
    </row>
    <row r="1369" ht="15.75" customHeight="1">
      <c r="A1369" s="2" t="s">
        <v>4242</v>
      </c>
      <c r="B1369" s="2" t="s">
        <v>4243</v>
      </c>
      <c r="C1369" s="2" t="s">
        <v>3659</v>
      </c>
      <c r="D1369" s="2">
        <v>7.0</v>
      </c>
      <c r="E1369" s="2">
        <v>1053.0</v>
      </c>
      <c r="F1369" s="2">
        <v>967.0</v>
      </c>
      <c r="G1369" s="2">
        <v>25000.0</v>
      </c>
    </row>
    <row r="1370" ht="15.75" customHeight="1">
      <c r="A1370" s="2" t="s">
        <v>4244</v>
      </c>
      <c r="B1370" s="2" t="s">
        <v>4245</v>
      </c>
      <c r="C1370" s="2" t="s">
        <v>3659</v>
      </c>
      <c r="D1370" s="2">
        <v>209.0</v>
      </c>
      <c r="E1370" s="2">
        <v>1389.0</v>
      </c>
      <c r="F1370" s="2">
        <v>1446.0</v>
      </c>
      <c r="G1370" s="2">
        <v>128000.0</v>
      </c>
    </row>
    <row r="1371" ht="15.75" customHeight="1">
      <c r="A1371" s="2" t="s">
        <v>4246</v>
      </c>
      <c r="B1371" s="2" t="s">
        <v>4247</v>
      </c>
      <c r="C1371" s="2" t="s">
        <v>3659</v>
      </c>
      <c r="D1371" s="2">
        <v>18.0</v>
      </c>
      <c r="E1371" s="2">
        <v>1961.0</v>
      </c>
      <c r="F1371" s="2">
        <v>1836.0</v>
      </c>
      <c r="G1371" s="2">
        <v>227500.0</v>
      </c>
    </row>
    <row r="1372" ht="15.75" customHeight="1">
      <c r="A1372" s="2" t="s">
        <v>4250</v>
      </c>
      <c r="B1372" s="2" t="s">
        <v>4251</v>
      </c>
      <c r="C1372" s="2" t="s">
        <v>3659</v>
      </c>
      <c r="D1372" s="2">
        <v>59.0</v>
      </c>
      <c r="E1372" s="2">
        <v>1450.0</v>
      </c>
      <c r="F1372" s="2">
        <v>1422.0</v>
      </c>
      <c r="G1372" s="2">
        <v>120000.0</v>
      </c>
    </row>
    <row r="1373" ht="15.75" customHeight="1">
      <c r="A1373" s="2" t="s">
        <v>4252</v>
      </c>
      <c r="B1373" s="2" t="s">
        <v>4253</v>
      </c>
      <c r="C1373" s="2" t="s">
        <v>3659</v>
      </c>
      <c r="D1373" s="2">
        <v>16.0</v>
      </c>
      <c r="E1373" s="2">
        <v>1137.0</v>
      </c>
      <c r="F1373" s="2">
        <v>1398.0</v>
      </c>
      <c r="G1373" s="2">
        <v>150500.0</v>
      </c>
    </row>
    <row r="1374" ht="15.75" customHeight="1">
      <c r="A1374" s="2" t="s">
        <v>4254</v>
      </c>
      <c r="B1374" s="2" t="s">
        <v>4255</v>
      </c>
      <c r="C1374" s="2" t="s">
        <v>3659</v>
      </c>
      <c r="D1374" s="2">
        <v>80.0</v>
      </c>
      <c r="E1374" s="2">
        <v>1755.0</v>
      </c>
      <c r="F1374" s="2">
        <v>1835.0</v>
      </c>
      <c r="G1374" s="2">
        <v>152548.0</v>
      </c>
    </row>
    <row r="1375" ht="15.75" customHeight="1">
      <c r="A1375" s="2" t="s">
        <v>4256</v>
      </c>
      <c r="B1375" s="2" t="s">
        <v>4257</v>
      </c>
      <c r="C1375" s="2" t="s">
        <v>3659</v>
      </c>
      <c r="D1375" s="2">
        <v>68.0</v>
      </c>
      <c r="E1375" s="2">
        <v>1441.0</v>
      </c>
      <c r="F1375" s="2">
        <v>1516.0</v>
      </c>
      <c r="G1375" s="2">
        <v>150000.0</v>
      </c>
    </row>
    <row r="1376" ht="15.75" customHeight="1">
      <c r="A1376" s="2" t="s">
        <v>4258</v>
      </c>
      <c r="B1376" s="2" t="s">
        <v>4259</v>
      </c>
      <c r="C1376" s="2" t="s">
        <v>3659</v>
      </c>
      <c r="D1376" s="2">
        <v>10.0</v>
      </c>
      <c r="E1376" s="2">
        <v>1563.0</v>
      </c>
      <c r="F1376" s="2">
        <v>1704.0</v>
      </c>
      <c r="G1376" s="2">
        <v>294500.0</v>
      </c>
    </row>
    <row r="1377" ht="15.75" customHeight="1">
      <c r="A1377" s="2" t="s">
        <v>4262</v>
      </c>
      <c r="B1377" s="2" t="s">
        <v>4263</v>
      </c>
      <c r="C1377" s="2" t="s">
        <v>3659</v>
      </c>
      <c r="D1377" s="2">
        <v>5.0</v>
      </c>
      <c r="E1377" s="2">
        <v>1833.0</v>
      </c>
      <c r="F1377" s="2">
        <v>1459.0</v>
      </c>
      <c r="G1377" s="2">
        <v>197500.0</v>
      </c>
    </row>
    <row r="1378" ht="15.75" customHeight="1">
      <c r="A1378" s="2" t="s">
        <v>4264</v>
      </c>
      <c r="B1378" s="2" t="s">
        <v>4265</v>
      </c>
      <c r="C1378" s="2" t="s">
        <v>3659</v>
      </c>
      <c r="D1378" s="2">
        <v>14.0</v>
      </c>
      <c r="E1378" s="2">
        <v>1060.0</v>
      </c>
      <c r="F1378" s="2">
        <v>1106.0</v>
      </c>
      <c r="G1378" s="2">
        <v>84950.0</v>
      </c>
    </row>
    <row r="1379" ht="15.75" customHeight="1">
      <c r="A1379" s="2" t="s">
        <v>4266</v>
      </c>
      <c r="B1379" s="2" t="s">
        <v>4267</v>
      </c>
      <c r="C1379" s="2" t="s">
        <v>3659</v>
      </c>
      <c r="D1379" s="2">
        <v>44.0</v>
      </c>
      <c r="E1379" s="2">
        <v>1322.0</v>
      </c>
      <c r="F1379" s="2">
        <v>1353.0</v>
      </c>
      <c r="G1379" s="2">
        <v>126225.0</v>
      </c>
    </row>
    <row r="1380" ht="15.75" customHeight="1">
      <c r="A1380" s="2" t="s">
        <v>4270</v>
      </c>
      <c r="B1380" s="2" t="s">
        <v>4271</v>
      </c>
      <c r="C1380" s="2" t="s">
        <v>3659</v>
      </c>
      <c r="D1380" s="2">
        <v>5.0</v>
      </c>
      <c r="E1380" s="2">
        <v>1473.0</v>
      </c>
      <c r="F1380" s="2">
        <v>1574.0</v>
      </c>
      <c r="G1380" s="2">
        <v>185000.0</v>
      </c>
    </row>
    <row r="1381" ht="15.75" customHeight="1">
      <c r="A1381" s="2" t="s">
        <v>4274</v>
      </c>
      <c r="B1381" s="2" t="s">
        <v>4275</v>
      </c>
      <c r="C1381" s="2" t="s">
        <v>3659</v>
      </c>
      <c r="D1381" s="2">
        <v>7.0</v>
      </c>
      <c r="E1381" s="2">
        <v>1777.0</v>
      </c>
      <c r="F1381" s="2">
        <v>1843.0</v>
      </c>
      <c r="G1381" s="2">
        <v>167500.0</v>
      </c>
    </row>
    <row r="1382" ht="15.75" customHeight="1">
      <c r="A1382" s="2" t="s">
        <v>4276</v>
      </c>
      <c r="B1382" s="2" t="s">
        <v>4277</v>
      </c>
      <c r="C1382" s="2" t="s">
        <v>3659</v>
      </c>
      <c r="D1382" s="2">
        <v>18.0</v>
      </c>
      <c r="E1382" s="2">
        <v>1087.0</v>
      </c>
      <c r="F1382" s="2">
        <v>1189.0</v>
      </c>
      <c r="G1382" s="2">
        <v>172500.0</v>
      </c>
    </row>
    <row r="1383" ht="15.75" customHeight="1">
      <c r="A1383" s="2" t="s">
        <v>4278</v>
      </c>
      <c r="B1383" s="2" t="s">
        <v>4279</v>
      </c>
      <c r="C1383" s="2" t="s">
        <v>3659</v>
      </c>
      <c r="D1383" s="2">
        <v>102.0</v>
      </c>
      <c r="E1383" s="2">
        <v>1918.0</v>
      </c>
      <c r="F1383" s="2">
        <v>2002.0</v>
      </c>
      <c r="G1383" s="2">
        <v>193750.0</v>
      </c>
    </row>
    <row r="1384" ht="15.75" customHeight="1">
      <c r="A1384" s="2" t="s">
        <v>4280</v>
      </c>
      <c r="B1384" s="2" t="s">
        <v>4281</v>
      </c>
      <c r="C1384" s="2" t="s">
        <v>3659</v>
      </c>
      <c r="D1384" s="2">
        <v>12.0</v>
      </c>
      <c r="E1384" s="2">
        <v>1103.0</v>
      </c>
      <c r="F1384" s="2">
        <v>1036.0</v>
      </c>
      <c r="G1384" s="2">
        <v>120000.0</v>
      </c>
    </row>
    <row r="1385" ht="15.75" customHeight="1">
      <c r="A1385" s="2" t="s">
        <v>4284</v>
      </c>
      <c r="B1385" s="2" t="s">
        <v>4285</v>
      </c>
      <c r="C1385" s="2" t="s">
        <v>3659</v>
      </c>
      <c r="D1385" s="2">
        <v>8.0</v>
      </c>
      <c r="E1385" s="2">
        <v>1380.0</v>
      </c>
      <c r="F1385" s="2">
        <v>1351.0</v>
      </c>
      <c r="G1385" s="2">
        <v>130500.0</v>
      </c>
    </row>
    <row r="1386" ht="15.75" customHeight="1">
      <c r="A1386" s="2" t="s">
        <v>4286</v>
      </c>
      <c r="B1386" s="2" t="s">
        <v>4289</v>
      </c>
      <c r="C1386" s="2" t="s">
        <v>3659</v>
      </c>
      <c r="D1386" s="2">
        <v>37.0</v>
      </c>
      <c r="E1386" s="2">
        <v>1335.0</v>
      </c>
      <c r="F1386" s="2">
        <v>1316.0</v>
      </c>
      <c r="G1386" s="2">
        <v>106800.0</v>
      </c>
    </row>
    <row r="1387" ht="15.75" customHeight="1">
      <c r="A1387" s="2" t="s">
        <v>4290</v>
      </c>
      <c r="B1387" s="2" t="s">
        <v>4291</v>
      </c>
      <c r="C1387" s="2" t="s">
        <v>3659</v>
      </c>
      <c r="D1387" s="2">
        <v>6.0</v>
      </c>
      <c r="E1387" s="2">
        <v>1520.0</v>
      </c>
      <c r="F1387" s="2">
        <v>1517.0</v>
      </c>
      <c r="G1387" s="2">
        <v>79005.0</v>
      </c>
    </row>
    <row r="1388" ht="15.75" customHeight="1">
      <c r="A1388" s="2" t="s">
        <v>4292</v>
      </c>
      <c r="B1388" s="2" t="s">
        <v>4293</v>
      </c>
      <c r="C1388" s="2" t="s">
        <v>3659</v>
      </c>
      <c r="D1388" s="2">
        <v>7.0</v>
      </c>
      <c r="E1388" s="2">
        <v>2315.0</v>
      </c>
      <c r="F1388" s="2">
        <v>2695.0</v>
      </c>
      <c r="G1388" s="2">
        <v>202000.0</v>
      </c>
    </row>
    <row r="1389" ht="15.75" customHeight="1">
      <c r="A1389" s="2" t="s">
        <v>4294</v>
      </c>
      <c r="B1389" s="2" t="s">
        <v>4295</v>
      </c>
      <c r="C1389" s="2" t="s">
        <v>3659</v>
      </c>
      <c r="D1389" s="2">
        <v>55.0</v>
      </c>
      <c r="E1389" s="2">
        <v>1701.0</v>
      </c>
      <c r="F1389" s="2">
        <v>1857.0</v>
      </c>
      <c r="G1389" s="2">
        <v>168000.0</v>
      </c>
    </row>
    <row r="1390" ht="15.75" customHeight="1">
      <c r="A1390" s="2" t="s">
        <v>4296</v>
      </c>
      <c r="B1390" s="2" t="s">
        <v>4297</v>
      </c>
      <c r="C1390" s="2" t="s">
        <v>3659</v>
      </c>
      <c r="D1390" s="2">
        <v>22.0</v>
      </c>
      <c r="E1390" s="2">
        <v>2301.0</v>
      </c>
      <c r="F1390" s="2">
        <v>2131.0</v>
      </c>
      <c r="G1390" s="2">
        <v>218900.0</v>
      </c>
    </row>
    <row r="1391" ht="15.75" customHeight="1">
      <c r="A1391" s="2" t="s">
        <v>4298</v>
      </c>
      <c r="B1391" s="2" t="s">
        <v>4299</v>
      </c>
      <c r="C1391" s="2" t="s">
        <v>3659</v>
      </c>
      <c r="D1391" s="2">
        <v>80.0</v>
      </c>
      <c r="E1391" s="2">
        <v>1401.0</v>
      </c>
      <c r="F1391" s="2">
        <v>1498.0</v>
      </c>
      <c r="G1391" s="2">
        <v>125000.0</v>
      </c>
    </row>
    <row r="1392" ht="15.75" customHeight="1">
      <c r="A1392" s="2" t="s">
        <v>4300</v>
      </c>
      <c r="B1392" s="2" t="s">
        <v>4301</v>
      </c>
      <c r="C1392" s="2" t="s">
        <v>3659</v>
      </c>
      <c r="D1392" s="2">
        <v>8.0</v>
      </c>
      <c r="E1392" s="2">
        <v>1495.0</v>
      </c>
      <c r="F1392" s="2">
        <v>1493.0</v>
      </c>
      <c r="G1392" s="2">
        <v>183000.0</v>
      </c>
    </row>
    <row r="1393" ht="15.75" customHeight="1">
      <c r="A1393" s="2" t="s">
        <v>4302</v>
      </c>
      <c r="B1393" s="2" t="s">
        <v>4303</v>
      </c>
      <c r="C1393" s="2" t="s">
        <v>3659</v>
      </c>
      <c r="D1393" s="2">
        <v>12.0</v>
      </c>
      <c r="E1393" s="2">
        <v>1042.0</v>
      </c>
      <c r="F1393" s="2">
        <v>1162.0</v>
      </c>
      <c r="G1393" s="2">
        <v>176750.0</v>
      </c>
    </row>
    <row r="1394" ht="15.75" customHeight="1">
      <c r="A1394" s="2" t="s">
        <v>4304</v>
      </c>
      <c r="B1394" s="2" t="s">
        <v>4305</v>
      </c>
      <c r="C1394" s="2" t="s">
        <v>3659</v>
      </c>
      <c r="D1394" s="2">
        <v>6.0</v>
      </c>
      <c r="E1394" s="2">
        <v>1199.0</v>
      </c>
      <c r="F1394" s="2">
        <v>1380.0</v>
      </c>
      <c r="G1394" s="2">
        <v>211250.0</v>
      </c>
    </row>
    <row r="1395" ht="15.75" customHeight="1">
      <c r="A1395" s="2" t="s">
        <v>4306</v>
      </c>
      <c r="B1395" s="2" t="s">
        <v>4307</v>
      </c>
      <c r="C1395" s="2" t="s">
        <v>3659</v>
      </c>
      <c r="D1395" s="2">
        <v>6.0</v>
      </c>
      <c r="E1395" s="2">
        <v>1670.0</v>
      </c>
      <c r="F1395" s="2">
        <v>1713.0</v>
      </c>
      <c r="G1395" s="2">
        <v>114250.0</v>
      </c>
    </row>
    <row r="1396" ht="15.75" customHeight="1">
      <c r="A1396" s="2" t="s">
        <v>4308</v>
      </c>
      <c r="B1396" s="2" t="s">
        <v>4309</v>
      </c>
      <c r="C1396" s="2" t="s">
        <v>3659</v>
      </c>
      <c r="D1396" s="2">
        <v>127.0</v>
      </c>
      <c r="E1396" s="2">
        <v>3750.0</v>
      </c>
      <c r="F1396" s="2">
        <v>3865.0</v>
      </c>
      <c r="G1396" s="2">
        <v>210000.0</v>
      </c>
    </row>
    <row r="1397" ht="15.75" customHeight="1">
      <c r="A1397" s="2" t="s">
        <v>4312</v>
      </c>
      <c r="B1397" s="2" t="s">
        <v>4313</v>
      </c>
      <c r="C1397" s="2" t="s">
        <v>3659</v>
      </c>
      <c r="D1397" s="2">
        <v>13.0</v>
      </c>
      <c r="E1397" s="2">
        <v>875.0</v>
      </c>
      <c r="F1397" s="2">
        <v>972.0</v>
      </c>
      <c r="G1397" s="2">
        <v>87000.0</v>
      </c>
    </row>
    <row r="1398" ht="15.75" customHeight="1">
      <c r="A1398" s="2" t="s">
        <v>4314</v>
      </c>
      <c r="B1398" s="2" t="s">
        <v>4315</v>
      </c>
      <c r="C1398" s="2" t="s">
        <v>3659</v>
      </c>
      <c r="D1398" s="2">
        <v>51.0</v>
      </c>
      <c r="E1398" s="2">
        <v>1736.0</v>
      </c>
      <c r="F1398" s="2">
        <v>1752.0</v>
      </c>
      <c r="G1398" s="2">
        <v>174000.0</v>
      </c>
    </row>
    <row r="1399" ht="15.75" customHeight="1">
      <c r="A1399" s="2" t="s">
        <v>4317</v>
      </c>
      <c r="B1399" s="2" t="s">
        <v>4318</v>
      </c>
      <c r="C1399" s="2" t="s">
        <v>3659</v>
      </c>
      <c r="D1399" s="2">
        <v>11.0</v>
      </c>
      <c r="E1399" s="2">
        <v>1042.0</v>
      </c>
      <c r="F1399" s="2">
        <v>1105.0</v>
      </c>
      <c r="G1399" s="2">
        <v>133200.0</v>
      </c>
    </row>
    <row r="1400" ht="15.75" customHeight="1">
      <c r="A1400" s="2" t="s">
        <v>4321</v>
      </c>
      <c r="B1400" s="2" t="s">
        <v>4322</v>
      </c>
      <c r="C1400" s="2" t="s">
        <v>3659</v>
      </c>
      <c r="D1400" s="2">
        <v>5.0</v>
      </c>
      <c r="E1400" s="2">
        <v>2008.0</v>
      </c>
      <c r="F1400" s="2">
        <v>2196.0</v>
      </c>
      <c r="G1400" s="2">
        <v>201000.0</v>
      </c>
    </row>
    <row r="1401" ht="15.75" customHeight="1">
      <c r="A1401" s="2" t="s">
        <v>4325</v>
      </c>
      <c r="B1401" s="2" t="s">
        <v>4326</v>
      </c>
      <c r="C1401" s="2" t="s">
        <v>3659</v>
      </c>
      <c r="D1401" s="2">
        <v>7.0</v>
      </c>
      <c r="E1401" s="2">
        <v>1125.0</v>
      </c>
      <c r="F1401" s="2">
        <v>1134.0</v>
      </c>
      <c r="G1401" s="2">
        <v>225000.0</v>
      </c>
    </row>
    <row r="1402" ht="15.75" customHeight="1">
      <c r="A1402" s="2" t="s">
        <v>4327</v>
      </c>
      <c r="B1402" s="2" t="s">
        <v>4328</v>
      </c>
      <c r="C1402" s="2" t="s">
        <v>3659</v>
      </c>
      <c r="D1402" s="2">
        <v>10.0</v>
      </c>
      <c r="E1402" s="2">
        <v>1243.0</v>
      </c>
      <c r="F1402" s="2">
        <v>1581.0</v>
      </c>
      <c r="G1402" s="2">
        <v>194550.0</v>
      </c>
    </row>
    <row r="1403" ht="15.75" customHeight="1">
      <c r="A1403" s="2" t="s">
        <v>4329</v>
      </c>
      <c r="B1403" s="2" t="s">
        <v>4330</v>
      </c>
      <c r="C1403" s="2" t="s">
        <v>3659</v>
      </c>
      <c r="D1403" s="2">
        <v>5.0</v>
      </c>
      <c r="E1403" s="2">
        <v>1250.0</v>
      </c>
      <c r="F1403" s="2">
        <v>1556.0</v>
      </c>
      <c r="G1403" s="2">
        <v>215000.0</v>
      </c>
    </row>
    <row r="1404" ht="15.75" customHeight="1">
      <c r="A1404" s="2" t="s">
        <v>4331</v>
      </c>
      <c r="B1404" s="2" t="s">
        <v>4332</v>
      </c>
      <c r="C1404" s="2" t="s">
        <v>3659</v>
      </c>
      <c r="D1404" s="2">
        <v>69.0</v>
      </c>
      <c r="E1404" s="2">
        <v>1375.0</v>
      </c>
      <c r="F1404" s="2">
        <v>1401.0</v>
      </c>
      <c r="G1404" s="2">
        <v>115000.0</v>
      </c>
    </row>
    <row r="1405" ht="15.75" customHeight="1">
      <c r="A1405" s="2" t="s">
        <v>4333</v>
      </c>
      <c r="B1405" s="2" t="s">
        <v>4334</v>
      </c>
      <c r="C1405" s="2" t="s">
        <v>3659</v>
      </c>
      <c r="D1405" s="2">
        <v>20.0</v>
      </c>
      <c r="E1405" s="2">
        <v>2135.0</v>
      </c>
      <c r="F1405" s="2">
        <v>2268.0</v>
      </c>
      <c r="G1405" s="2">
        <v>151000.0</v>
      </c>
    </row>
    <row r="1406" ht="15.75" customHeight="1">
      <c r="A1406" s="2" t="s">
        <v>4337</v>
      </c>
      <c r="B1406" s="2" t="s">
        <v>4338</v>
      </c>
      <c r="C1406" s="2" t="s">
        <v>3659</v>
      </c>
      <c r="D1406" s="2">
        <v>7.0</v>
      </c>
      <c r="E1406" s="2">
        <v>1204.0</v>
      </c>
      <c r="F1406" s="2">
        <v>1466.0</v>
      </c>
      <c r="G1406" s="2">
        <v>229450.0</v>
      </c>
    </row>
    <row r="1407" ht="15.75" customHeight="1">
      <c r="A1407" s="2" t="s">
        <v>4340</v>
      </c>
      <c r="B1407" s="2" t="s">
        <v>4342</v>
      </c>
      <c r="C1407" s="2" t="s">
        <v>3659</v>
      </c>
      <c r="D1407" s="2">
        <v>13.0</v>
      </c>
      <c r="E1407" s="2">
        <v>1750.0</v>
      </c>
      <c r="F1407" s="2">
        <v>1819.0</v>
      </c>
      <c r="G1407" s="2">
        <v>220000.0</v>
      </c>
    </row>
    <row r="1408" ht="15.75" customHeight="1">
      <c r="A1408" s="2" t="s">
        <v>4343</v>
      </c>
      <c r="B1408" s="2" t="s">
        <v>4344</v>
      </c>
      <c r="C1408" s="2" t="s">
        <v>3659</v>
      </c>
      <c r="D1408" s="2">
        <v>5.0</v>
      </c>
      <c r="E1408" s="2">
        <v>1469.0</v>
      </c>
      <c r="F1408" s="2">
        <v>1341.0</v>
      </c>
      <c r="G1408" s="2">
        <v>177521.0</v>
      </c>
    </row>
    <row r="1409" ht="15.75" customHeight="1">
      <c r="A1409" s="2" t="s">
        <v>4345</v>
      </c>
      <c r="B1409" s="2" t="s">
        <v>4346</v>
      </c>
      <c r="C1409" s="2" t="s">
        <v>3659</v>
      </c>
      <c r="D1409" s="2">
        <v>73.0</v>
      </c>
      <c r="E1409" s="2">
        <v>1506.0</v>
      </c>
      <c r="F1409" s="2">
        <v>1545.0</v>
      </c>
      <c r="G1409" s="2">
        <v>132000.0</v>
      </c>
    </row>
    <row r="1410" ht="15.75" customHeight="1">
      <c r="A1410" s="2" t="s">
        <v>4347</v>
      </c>
      <c r="B1410" s="2" t="s">
        <v>4348</v>
      </c>
      <c r="C1410" s="2" t="s">
        <v>3659</v>
      </c>
      <c r="D1410" s="2">
        <v>12.0</v>
      </c>
      <c r="E1410" s="2">
        <v>2070.0</v>
      </c>
      <c r="F1410" s="2">
        <v>2096.0</v>
      </c>
      <c r="G1410" s="2">
        <v>196750.0</v>
      </c>
    </row>
    <row r="1411" ht="15.75" customHeight="1">
      <c r="A1411" s="2" t="s">
        <v>4349</v>
      </c>
      <c r="B1411" s="2" t="s">
        <v>4350</v>
      </c>
      <c r="C1411" s="2" t="s">
        <v>3659</v>
      </c>
      <c r="D1411" s="2">
        <v>146.0</v>
      </c>
      <c r="E1411" s="2">
        <v>5025.0</v>
      </c>
      <c r="F1411" s="2">
        <v>4669.0</v>
      </c>
      <c r="G1411" s="2">
        <v>331590.0</v>
      </c>
    </row>
    <row r="1412" ht="15.75" customHeight="1">
      <c r="A1412" s="2" t="s">
        <v>4351</v>
      </c>
      <c r="B1412" s="2" t="s">
        <v>4352</v>
      </c>
      <c r="C1412" s="2" t="s">
        <v>3659</v>
      </c>
      <c r="D1412" s="2">
        <v>10.0</v>
      </c>
      <c r="E1412" s="2">
        <v>2458.0</v>
      </c>
      <c r="F1412" s="2">
        <v>2409.0</v>
      </c>
      <c r="G1412" s="2">
        <v>258125.0</v>
      </c>
    </row>
    <row r="1413" ht="15.75" customHeight="1">
      <c r="A1413" s="2" t="s">
        <v>4353</v>
      </c>
      <c r="B1413" s="2" t="s">
        <v>4354</v>
      </c>
      <c r="C1413" s="2" t="s">
        <v>3659</v>
      </c>
      <c r="D1413" s="2">
        <v>12.0</v>
      </c>
      <c r="E1413" s="2">
        <v>2470.0</v>
      </c>
      <c r="F1413" s="2">
        <v>2196.0</v>
      </c>
      <c r="G1413" s="2">
        <v>292828.0</v>
      </c>
    </row>
    <row r="1414" ht="15.75" customHeight="1">
      <c r="A1414" s="2" t="s">
        <v>4355</v>
      </c>
      <c r="B1414" s="2" t="s">
        <v>4356</v>
      </c>
      <c r="C1414" s="2" t="s">
        <v>3659</v>
      </c>
      <c r="D1414" s="2">
        <v>5.0</v>
      </c>
      <c r="E1414" s="2">
        <v>1500.0</v>
      </c>
      <c r="F1414" s="2">
        <v>1284.0</v>
      </c>
      <c r="G1414" s="2">
        <v>165000.0</v>
      </c>
    </row>
    <row r="1415" ht="15.75" customHeight="1">
      <c r="A1415" s="2" t="s">
        <v>4357</v>
      </c>
      <c r="B1415" s="2" t="s">
        <v>4358</v>
      </c>
      <c r="C1415" s="2" t="s">
        <v>3659</v>
      </c>
      <c r="D1415" s="2">
        <v>6.0</v>
      </c>
      <c r="E1415" s="2">
        <v>1686.0</v>
      </c>
      <c r="F1415" s="2">
        <v>1789.0</v>
      </c>
      <c r="G1415" s="2">
        <v>140500.0</v>
      </c>
    </row>
    <row r="1416" ht="15.75" customHeight="1">
      <c r="A1416" s="2" t="s">
        <v>4359</v>
      </c>
      <c r="B1416" s="2" t="s">
        <v>4360</v>
      </c>
      <c r="C1416" s="2" t="s">
        <v>3659</v>
      </c>
      <c r="D1416" s="2">
        <v>5.0</v>
      </c>
      <c r="E1416" s="2">
        <v>1765.0</v>
      </c>
      <c r="F1416" s="2">
        <v>2621.0</v>
      </c>
      <c r="G1416" s="2">
        <v>117540.0</v>
      </c>
    </row>
    <row r="1417" ht="15.75" customHeight="1">
      <c r="A1417" s="2" t="s">
        <v>4361</v>
      </c>
      <c r="B1417" s="2" t="s">
        <v>4363</v>
      </c>
      <c r="C1417" s="2" t="s">
        <v>3659</v>
      </c>
      <c r="D1417" s="2">
        <v>9.0</v>
      </c>
      <c r="E1417" s="2">
        <v>1777.0</v>
      </c>
      <c r="F1417" s="2">
        <v>1680.0</v>
      </c>
      <c r="G1417" s="2">
        <v>150000.0</v>
      </c>
    </row>
    <row r="1418" ht="15.75" customHeight="1">
      <c r="A1418" s="2" t="s">
        <v>4365</v>
      </c>
      <c r="B1418" s="2" t="s">
        <v>4366</v>
      </c>
      <c r="C1418" s="2" t="s">
        <v>3659</v>
      </c>
      <c r="D1418" s="2">
        <v>9.0</v>
      </c>
      <c r="E1418" s="2">
        <v>1322.0</v>
      </c>
      <c r="F1418" s="2">
        <v>1304.0</v>
      </c>
      <c r="G1418" s="2">
        <v>152000.0</v>
      </c>
    </row>
    <row r="1419" ht="15.75" customHeight="1">
      <c r="A1419" s="2" t="s">
        <v>4367</v>
      </c>
      <c r="B1419" s="2" t="s">
        <v>4368</v>
      </c>
      <c r="C1419" s="2" t="s">
        <v>3659</v>
      </c>
      <c r="D1419" s="2">
        <v>8.0</v>
      </c>
      <c r="E1419" s="2">
        <v>1499.0</v>
      </c>
      <c r="F1419" s="2">
        <v>1424.0</v>
      </c>
      <c r="G1419" s="2">
        <v>177500.0</v>
      </c>
    </row>
    <row r="1420" ht="15.75" customHeight="1">
      <c r="A1420" s="2" t="s">
        <v>4369</v>
      </c>
      <c r="B1420" s="2" t="s">
        <v>4370</v>
      </c>
      <c r="C1420" s="2" t="s">
        <v>3659</v>
      </c>
      <c r="D1420" s="2">
        <v>35.0</v>
      </c>
      <c r="E1420" s="2">
        <v>1534.0</v>
      </c>
      <c r="F1420" s="2">
        <v>1492.0</v>
      </c>
      <c r="G1420" s="2">
        <v>140000.0</v>
      </c>
    </row>
    <row r="1421" ht="15.75" customHeight="1">
      <c r="A1421" s="2" t="s">
        <v>4371</v>
      </c>
      <c r="B1421" s="2" t="s">
        <v>4372</v>
      </c>
      <c r="C1421" s="2" t="s">
        <v>3659</v>
      </c>
      <c r="D1421" s="2">
        <v>9.0</v>
      </c>
      <c r="E1421" s="2">
        <v>1321.0</v>
      </c>
      <c r="F1421" s="2">
        <v>1513.0</v>
      </c>
      <c r="G1421" s="2">
        <v>133483.0</v>
      </c>
    </row>
    <row r="1422" ht="15.75" customHeight="1">
      <c r="A1422" s="2" t="s">
        <v>4373</v>
      </c>
      <c r="B1422" s="2" t="s">
        <v>4374</v>
      </c>
      <c r="C1422" s="2" t="s">
        <v>3659</v>
      </c>
      <c r="D1422" s="2">
        <v>6.0</v>
      </c>
      <c r="E1422" s="2">
        <v>1776.0</v>
      </c>
      <c r="F1422" s="2">
        <v>1879.0</v>
      </c>
      <c r="G1422" s="2">
        <v>164500.0</v>
      </c>
    </row>
    <row r="1423" ht="15.75" customHeight="1">
      <c r="A1423" s="2" t="s">
        <v>4375</v>
      </c>
      <c r="B1423" s="2" t="s">
        <v>4376</v>
      </c>
      <c r="C1423" s="2" t="s">
        <v>3659</v>
      </c>
      <c r="D1423" s="2">
        <v>56.0</v>
      </c>
      <c r="E1423" s="2">
        <v>1401.0</v>
      </c>
      <c r="F1423" s="2">
        <v>1422.0</v>
      </c>
      <c r="G1423" s="2">
        <v>115000.0</v>
      </c>
    </row>
    <row r="1424" ht="15.75" customHeight="1">
      <c r="A1424" s="2" t="s">
        <v>4377</v>
      </c>
      <c r="B1424" s="2" t="s">
        <v>4378</v>
      </c>
      <c r="C1424" s="2" t="s">
        <v>3659</v>
      </c>
      <c r="D1424" s="2">
        <v>113.0</v>
      </c>
      <c r="E1424" s="2">
        <v>1304.0</v>
      </c>
      <c r="F1424" s="2">
        <v>1363.0</v>
      </c>
      <c r="G1424" s="2">
        <v>107000.0</v>
      </c>
    </row>
    <row r="1425" ht="15.75" customHeight="1">
      <c r="A1425" s="2" t="s">
        <v>4379</v>
      </c>
      <c r="B1425" s="2" t="s">
        <v>4380</v>
      </c>
      <c r="C1425" s="2" t="s">
        <v>3659</v>
      </c>
      <c r="D1425" s="2">
        <v>14.0</v>
      </c>
      <c r="E1425" s="2">
        <v>1764.0</v>
      </c>
      <c r="F1425" s="2">
        <v>1866.0</v>
      </c>
      <c r="G1425" s="2">
        <v>220750.0</v>
      </c>
    </row>
    <row r="1426" ht="15.75" customHeight="1">
      <c r="A1426" s="2" t="s">
        <v>4381</v>
      </c>
      <c r="B1426" s="2" t="s">
        <v>4382</v>
      </c>
      <c r="C1426" s="2" t="s">
        <v>3659</v>
      </c>
      <c r="D1426" s="2">
        <v>77.0</v>
      </c>
      <c r="E1426" s="2">
        <v>1444.0</v>
      </c>
      <c r="F1426" s="2">
        <v>1593.0</v>
      </c>
      <c r="G1426" s="2">
        <v>123000.0</v>
      </c>
    </row>
    <row r="1427" ht="15.75" customHeight="1">
      <c r="A1427" s="2" t="s">
        <v>4383</v>
      </c>
      <c r="B1427" s="2" t="s">
        <v>4384</v>
      </c>
      <c r="C1427" s="2" t="s">
        <v>3659</v>
      </c>
      <c r="D1427" s="2">
        <v>10.0</v>
      </c>
      <c r="E1427" s="2">
        <v>1227.0</v>
      </c>
      <c r="F1427" s="2">
        <v>1226.0</v>
      </c>
      <c r="G1427" s="2">
        <v>102500.0</v>
      </c>
    </row>
    <row r="1428" ht="15.75" customHeight="1">
      <c r="A1428" s="2" t="s">
        <v>4385</v>
      </c>
      <c r="B1428" s="2" t="s">
        <v>4386</v>
      </c>
      <c r="C1428" s="2" t="s">
        <v>3659</v>
      </c>
      <c r="D1428" s="2">
        <v>6.0</v>
      </c>
      <c r="E1428" s="2">
        <v>806.0</v>
      </c>
      <c r="F1428" s="2">
        <v>995.0</v>
      </c>
      <c r="G1428" s="2">
        <v>81005.0</v>
      </c>
    </row>
    <row r="1429" ht="15.75" customHeight="1">
      <c r="A1429" s="2" t="s">
        <v>4387</v>
      </c>
      <c r="B1429" s="2" t="s">
        <v>4388</v>
      </c>
      <c r="C1429" s="2" t="s">
        <v>3659</v>
      </c>
      <c r="D1429" s="2">
        <v>128.0</v>
      </c>
      <c r="E1429" s="2">
        <v>1645.0</v>
      </c>
      <c r="F1429" s="2">
        <v>1709.0</v>
      </c>
      <c r="G1429" s="2">
        <v>148950.0</v>
      </c>
    </row>
    <row r="1430" ht="15.75" customHeight="1">
      <c r="A1430" s="2" t="s">
        <v>4389</v>
      </c>
      <c r="B1430" s="2" t="s">
        <v>4390</v>
      </c>
      <c r="C1430" s="2" t="s">
        <v>3659</v>
      </c>
      <c r="D1430" s="2">
        <v>7.0</v>
      </c>
      <c r="E1430" s="2">
        <v>820.0</v>
      </c>
      <c r="F1430" s="2">
        <v>1108.0</v>
      </c>
      <c r="G1430" s="2">
        <v>117000.0</v>
      </c>
    </row>
    <row r="1431" ht="15.75" customHeight="1">
      <c r="A1431" s="2" t="s">
        <v>4391</v>
      </c>
      <c r="B1431" s="2" t="s">
        <v>4392</v>
      </c>
      <c r="C1431" s="2" t="s">
        <v>3659</v>
      </c>
      <c r="D1431" s="2">
        <v>61.0</v>
      </c>
      <c r="E1431" s="2">
        <v>1845.0</v>
      </c>
      <c r="F1431" s="2">
        <v>1756.0</v>
      </c>
      <c r="G1431" s="2">
        <v>175000.0</v>
      </c>
    </row>
    <row r="1432" ht="15.75" customHeight="1">
      <c r="A1432" s="2" t="s">
        <v>4393</v>
      </c>
      <c r="B1432" s="2" t="s">
        <v>4394</v>
      </c>
      <c r="C1432" s="2" t="s">
        <v>3659</v>
      </c>
      <c r="D1432" s="2">
        <v>10.0</v>
      </c>
      <c r="E1432" s="2">
        <v>1742.0</v>
      </c>
      <c r="F1432" s="2">
        <v>1823.0</v>
      </c>
      <c r="G1432" s="2">
        <v>164035.0</v>
      </c>
    </row>
    <row r="1433" ht="15.75" customHeight="1">
      <c r="A1433" s="2" t="s">
        <v>4395</v>
      </c>
      <c r="B1433" s="2" t="s">
        <v>4396</v>
      </c>
      <c r="C1433" s="2" t="s">
        <v>3659</v>
      </c>
      <c r="D1433" s="2">
        <v>8.0</v>
      </c>
      <c r="E1433" s="2">
        <v>1122.0</v>
      </c>
      <c r="F1433" s="2">
        <v>1103.0</v>
      </c>
      <c r="G1433" s="2">
        <v>157500.0</v>
      </c>
    </row>
    <row r="1434" ht="15.75" customHeight="1">
      <c r="A1434" s="2" t="s">
        <v>4397</v>
      </c>
      <c r="B1434" s="2" t="s">
        <v>4398</v>
      </c>
      <c r="C1434" s="2" t="s">
        <v>3659</v>
      </c>
      <c r="D1434" s="2">
        <v>5.0</v>
      </c>
      <c r="E1434" s="2">
        <v>731.0</v>
      </c>
      <c r="F1434" s="2">
        <v>817.0</v>
      </c>
      <c r="G1434" s="2">
        <v>90000.0</v>
      </c>
    </row>
    <row r="1435" ht="15.75" customHeight="1">
      <c r="A1435" s="2" t="s">
        <v>4400</v>
      </c>
      <c r="B1435" s="2" t="s">
        <v>4402</v>
      </c>
      <c r="C1435" s="2" t="s">
        <v>3659</v>
      </c>
      <c r="D1435" s="2">
        <v>6.0</v>
      </c>
      <c r="E1435" s="2">
        <v>1283.0</v>
      </c>
      <c r="F1435" s="2">
        <v>1267.0</v>
      </c>
      <c r="G1435" s="2">
        <v>124243.0</v>
      </c>
    </row>
    <row r="1436" ht="15.75" customHeight="1">
      <c r="A1436" s="2" t="s">
        <v>4405</v>
      </c>
      <c r="B1436" s="2" t="s">
        <v>4406</v>
      </c>
      <c r="C1436" s="2" t="s">
        <v>3659</v>
      </c>
      <c r="D1436" s="2">
        <v>18.0</v>
      </c>
      <c r="E1436" s="2">
        <v>1264.0</v>
      </c>
      <c r="F1436" s="2">
        <v>1470.0</v>
      </c>
      <c r="G1436" s="2">
        <v>146000.0</v>
      </c>
    </row>
    <row r="1437" ht="15.75" customHeight="1">
      <c r="A1437" s="2" t="s">
        <v>4407</v>
      </c>
      <c r="B1437" s="2" t="s">
        <v>4408</v>
      </c>
      <c r="C1437" s="2" t="s">
        <v>3659</v>
      </c>
      <c r="D1437" s="2">
        <v>6.0</v>
      </c>
      <c r="E1437" s="2">
        <v>1350.0</v>
      </c>
      <c r="F1437" s="2">
        <v>1213.0</v>
      </c>
      <c r="G1437" s="2">
        <v>244000.0</v>
      </c>
    </row>
    <row r="1438" ht="15.75" customHeight="1">
      <c r="A1438" s="2" t="s">
        <v>4409</v>
      </c>
      <c r="B1438" s="2" t="s">
        <v>4410</v>
      </c>
      <c r="C1438" s="2" t="s">
        <v>3659</v>
      </c>
      <c r="D1438" s="2">
        <v>7.0</v>
      </c>
      <c r="E1438" s="2">
        <v>1544.0</v>
      </c>
      <c r="F1438" s="2">
        <v>1491.0</v>
      </c>
      <c r="G1438" s="2">
        <v>140000.0</v>
      </c>
    </row>
    <row r="1439" ht="15.75" customHeight="1">
      <c r="A1439" s="2" t="s">
        <v>4411</v>
      </c>
      <c r="B1439" s="2" t="s">
        <v>4412</v>
      </c>
      <c r="C1439" s="2" t="s">
        <v>3659</v>
      </c>
      <c r="D1439" s="2">
        <v>6.0</v>
      </c>
      <c r="E1439" s="2">
        <v>1540.0</v>
      </c>
      <c r="F1439" s="2">
        <v>1445.0</v>
      </c>
      <c r="G1439" s="2">
        <v>190950.0</v>
      </c>
    </row>
    <row r="1440" ht="15.75" customHeight="1">
      <c r="A1440" s="2" t="s">
        <v>4413</v>
      </c>
      <c r="B1440" s="2" t="s">
        <v>4414</v>
      </c>
      <c r="C1440" s="2" t="s">
        <v>3659</v>
      </c>
      <c r="D1440" s="2">
        <v>7.0</v>
      </c>
      <c r="E1440" s="2">
        <v>1376.0</v>
      </c>
      <c r="F1440" s="2">
        <v>1290.0</v>
      </c>
      <c r="G1440" s="2">
        <v>136800.0</v>
      </c>
    </row>
    <row r="1441" ht="15.75" customHeight="1">
      <c r="A1441" s="2" t="s">
        <v>4415</v>
      </c>
      <c r="B1441" s="2" t="s">
        <v>4416</v>
      </c>
      <c r="C1441" s="2" t="s">
        <v>3659</v>
      </c>
      <c r="D1441" s="2">
        <v>36.0</v>
      </c>
      <c r="E1441" s="2">
        <v>1200.0</v>
      </c>
      <c r="F1441" s="2">
        <v>1320.0</v>
      </c>
      <c r="G1441" s="2">
        <v>129000.0</v>
      </c>
    </row>
    <row r="1442" ht="15.75" customHeight="1">
      <c r="A1442" s="2" t="s">
        <v>4417</v>
      </c>
      <c r="B1442" s="2" t="s">
        <v>4418</v>
      </c>
      <c r="C1442" s="2" t="s">
        <v>3659</v>
      </c>
      <c r="D1442" s="2">
        <v>8.0</v>
      </c>
      <c r="E1442" s="2">
        <v>1329.0</v>
      </c>
      <c r="F1442" s="2">
        <v>1293.0</v>
      </c>
      <c r="G1442" s="2">
        <v>205000.0</v>
      </c>
    </row>
    <row r="1443" ht="15.75" customHeight="1">
      <c r="A1443" s="2" t="s">
        <v>4419</v>
      </c>
      <c r="B1443" s="2" t="s">
        <v>4420</v>
      </c>
      <c r="C1443" s="2" t="s">
        <v>3659</v>
      </c>
      <c r="D1443" s="2">
        <v>6.0</v>
      </c>
      <c r="E1443" s="2">
        <v>1313.0</v>
      </c>
      <c r="F1443" s="2">
        <v>1282.0</v>
      </c>
      <c r="G1443" s="2">
        <v>141500.0</v>
      </c>
    </row>
    <row r="1444" ht="15.75" customHeight="1">
      <c r="A1444" s="2" t="s">
        <v>4421</v>
      </c>
      <c r="B1444" s="2" t="s">
        <v>4422</v>
      </c>
      <c r="C1444" s="2" t="s">
        <v>3659</v>
      </c>
      <c r="D1444" s="2">
        <v>6.0</v>
      </c>
      <c r="E1444" s="2">
        <v>1350.0</v>
      </c>
      <c r="F1444" s="2">
        <v>1395.0</v>
      </c>
      <c r="G1444" s="2">
        <v>168500.0</v>
      </c>
    </row>
    <row r="1445" ht="15.75" customHeight="1">
      <c r="A1445" s="2" t="s">
        <v>4423</v>
      </c>
      <c r="B1445" s="2" t="s">
        <v>4424</v>
      </c>
      <c r="C1445" s="2" t="s">
        <v>3659</v>
      </c>
      <c r="D1445" s="2">
        <v>7.0</v>
      </c>
      <c r="E1445" s="2">
        <v>975.0</v>
      </c>
      <c r="F1445" s="2">
        <v>1248.0</v>
      </c>
      <c r="G1445" s="2">
        <v>150001.0</v>
      </c>
    </row>
    <row r="1446" ht="15.75" customHeight="1">
      <c r="A1446" s="2" t="s">
        <v>4425</v>
      </c>
      <c r="B1446" s="2" t="s">
        <v>4426</v>
      </c>
      <c r="C1446" s="2" t="s">
        <v>3659</v>
      </c>
      <c r="D1446" s="2">
        <v>9.0</v>
      </c>
      <c r="E1446" s="2">
        <v>1111.0</v>
      </c>
      <c r="F1446" s="2">
        <v>1297.0</v>
      </c>
      <c r="G1446" s="2">
        <v>207600.0</v>
      </c>
    </row>
    <row r="1447" ht="15.75" customHeight="1">
      <c r="A1447" s="2" t="s">
        <v>4427</v>
      </c>
      <c r="B1447" s="2" t="s">
        <v>4428</v>
      </c>
      <c r="C1447" s="2" t="s">
        <v>3659</v>
      </c>
      <c r="D1447" s="2">
        <v>5.0</v>
      </c>
      <c r="E1447" s="2">
        <v>1662.0</v>
      </c>
      <c r="F1447" s="2">
        <v>1812.0</v>
      </c>
      <c r="G1447" s="2">
        <v>186000.0</v>
      </c>
    </row>
    <row r="1448" ht="15.75" customHeight="1">
      <c r="A1448" s="2" t="s">
        <v>4429</v>
      </c>
      <c r="B1448" s="2" t="s">
        <v>4430</v>
      </c>
      <c r="C1448" s="2" t="s">
        <v>3659</v>
      </c>
      <c r="D1448" s="2">
        <v>8.0</v>
      </c>
      <c r="E1448" s="2">
        <v>1327.0</v>
      </c>
      <c r="F1448" s="2">
        <v>1307.0</v>
      </c>
      <c r="G1448" s="2">
        <v>136160.0</v>
      </c>
    </row>
    <row r="1449" ht="15.75" customHeight="1">
      <c r="A1449" s="2" t="s">
        <v>4431</v>
      </c>
      <c r="B1449" s="2" t="s">
        <v>4432</v>
      </c>
      <c r="C1449" s="2" t="s">
        <v>3659</v>
      </c>
      <c r="D1449" s="2">
        <v>15.0</v>
      </c>
      <c r="E1449" s="2">
        <v>1505.0</v>
      </c>
      <c r="F1449" s="2">
        <v>1540.0</v>
      </c>
      <c r="G1449" s="2">
        <v>147250.0</v>
      </c>
    </row>
    <row r="1450" ht="15.75" customHeight="1">
      <c r="A1450" s="2" t="s">
        <v>4433</v>
      </c>
      <c r="B1450" s="2" t="s">
        <v>4434</v>
      </c>
      <c r="C1450" s="2" t="s">
        <v>3659</v>
      </c>
      <c r="D1450" s="2">
        <v>5.0</v>
      </c>
      <c r="E1450" s="2">
        <v>976.0</v>
      </c>
      <c r="F1450" s="2">
        <v>1068.0</v>
      </c>
      <c r="G1450" s="2">
        <v>116000.0</v>
      </c>
    </row>
    <row r="1451" ht="15.75" customHeight="1">
      <c r="A1451" s="2" t="s">
        <v>4435</v>
      </c>
      <c r="B1451" s="2" t="s">
        <v>4436</v>
      </c>
      <c r="C1451" s="2" t="s">
        <v>3659</v>
      </c>
      <c r="D1451" s="2">
        <v>56.0</v>
      </c>
      <c r="E1451" s="2">
        <v>2020.0</v>
      </c>
      <c r="F1451" s="2">
        <v>2086.0</v>
      </c>
      <c r="G1451" s="2">
        <v>204110.0</v>
      </c>
    </row>
    <row r="1452" ht="15.75" customHeight="1">
      <c r="A1452" s="2" t="s">
        <v>4437</v>
      </c>
      <c r="B1452" s="2" t="s">
        <v>4438</v>
      </c>
      <c r="C1452" s="2" t="s">
        <v>3659</v>
      </c>
      <c r="D1452" s="2">
        <v>17.0</v>
      </c>
      <c r="E1452" s="2">
        <v>1350.0</v>
      </c>
      <c r="F1452" s="2">
        <v>1423.0</v>
      </c>
      <c r="G1452" s="2">
        <v>178000.0</v>
      </c>
    </row>
    <row r="1453" ht="15.75" customHeight="1">
      <c r="A1453" s="2" t="s">
        <v>4439</v>
      </c>
      <c r="B1453" s="2" t="s">
        <v>4440</v>
      </c>
      <c r="C1453" s="2" t="s">
        <v>3659</v>
      </c>
      <c r="D1453" s="2">
        <v>9.0</v>
      </c>
      <c r="E1453" s="2">
        <v>1685.0</v>
      </c>
      <c r="F1453" s="2">
        <v>1533.0</v>
      </c>
      <c r="G1453" s="2">
        <v>150000.0</v>
      </c>
    </row>
    <row r="1454" ht="15.75" customHeight="1">
      <c r="A1454" s="2" t="s">
        <v>4441</v>
      </c>
      <c r="B1454" s="2" t="s">
        <v>4442</v>
      </c>
      <c r="C1454" s="2" t="s">
        <v>3659</v>
      </c>
      <c r="D1454" s="2">
        <v>5.0</v>
      </c>
      <c r="E1454" s="2">
        <v>1387.0</v>
      </c>
      <c r="F1454" s="2">
        <v>1289.0</v>
      </c>
      <c r="G1454" s="2">
        <v>180000.0</v>
      </c>
    </row>
    <row r="1455" ht="15.75" customHeight="1">
      <c r="A1455" s="2" t="s">
        <v>4443</v>
      </c>
      <c r="B1455" s="2" t="s">
        <v>4444</v>
      </c>
      <c r="C1455" s="2" t="s">
        <v>3659</v>
      </c>
      <c r="D1455" s="2">
        <v>16.0</v>
      </c>
      <c r="E1455" s="2">
        <v>1678.0</v>
      </c>
      <c r="F1455" s="2">
        <v>1677.0</v>
      </c>
      <c r="G1455" s="2">
        <v>124350.0</v>
      </c>
    </row>
    <row r="1456" ht="15.75" customHeight="1">
      <c r="A1456" s="2" t="s">
        <v>4445</v>
      </c>
      <c r="B1456" s="2" t="s">
        <v>4446</v>
      </c>
      <c r="C1456" s="2" t="s">
        <v>3659</v>
      </c>
      <c r="D1456" s="2">
        <v>19.0</v>
      </c>
      <c r="E1456" s="2">
        <v>1824.0</v>
      </c>
      <c r="F1456" s="2">
        <v>1805.0</v>
      </c>
      <c r="G1456" s="2">
        <v>237000.0</v>
      </c>
    </row>
    <row r="1457" ht="15.75" customHeight="1">
      <c r="A1457" s="2" t="s">
        <v>4447</v>
      </c>
      <c r="B1457" s="2" t="s">
        <v>4448</v>
      </c>
      <c r="C1457" s="2" t="s">
        <v>3659</v>
      </c>
      <c r="D1457" s="2">
        <v>5.0</v>
      </c>
      <c r="E1457" s="2">
        <v>1338.0</v>
      </c>
      <c r="F1457" s="2">
        <v>1409.0</v>
      </c>
      <c r="G1457" s="2">
        <v>150943.0</v>
      </c>
    </row>
    <row r="1458" ht="15.75" customHeight="1">
      <c r="A1458" s="2" t="s">
        <v>4449</v>
      </c>
      <c r="B1458" s="2" t="s">
        <v>4450</v>
      </c>
      <c r="C1458" s="2" t="s">
        <v>3659</v>
      </c>
      <c r="D1458" s="2">
        <v>41.0</v>
      </c>
      <c r="E1458" s="2">
        <v>1846.0</v>
      </c>
      <c r="F1458" s="2">
        <v>1829.0</v>
      </c>
      <c r="G1458" s="2">
        <v>165000.0</v>
      </c>
    </row>
    <row r="1459" ht="15.75" customHeight="1">
      <c r="A1459" s="2" t="s">
        <v>4451</v>
      </c>
      <c r="B1459" s="2" t="s">
        <v>4452</v>
      </c>
      <c r="C1459" s="2" t="s">
        <v>3659</v>
      </c>
      <c r="D1459" s="2">
        <v>14.0</v>
      </c>
      <c r="E1459" s="2">
        <v>1601.0</v>
      </c>
      <c r="F1459" s="2">
        <v>1797.0</v>
      </c>
      <c r="G1459" s="2">
        <v>206350.0</v>
      </c>
    </row>
    <row r="1460" ht="15.75" customHeight="1">
      <c r="A1460" s="2" t="s">
        <v>4453</v>
      </c>
      <c r="B1460" s="2" t="s">
        <v>4454</v>
      </c>
      <c r="C1460" s="2" t="s">
        <v>3659</v>
      </c>
      <c r="D1460" s="2">
        <v>13.0</v>
      </c>
      <c r="E1460" s="2">
        <v>1232.0</v>
      </c>
      <c r="F1460" s="2">
        <v>1512.0</v>
      </c>
      <c r="G1460" s="2">
        <v>192500.0</v>
      </c>
    </row>
    <row r="1461" ht="15.75" customHeight="1">
      <c r="A1461" s="2" t="s">
        <v>4455</v>
      </c>
      <c r="B1461" s="2" t="s">
        <v>4456</v>
      </c>
      <c r="C1461" s="2" t="s">
        <v>3659</v>
      </c>
      <c r="D1461" s="2">
        <v>11.0</v>
      </c>
      <c r="E1461" s="2">
        <v>1941.0</v>
      </c>
      <c r="F1461" s="2">
        <v>1853.0</v>
      </c>
      <c r="G1461" s="2">
        <v>183000.0</v>
      </c>
    </row>
    <row r="1462" ht="15.75" customHeight="1">
      <c r="A1462" s="2" t="s">
        <v>4457</v>
      </c>
      <c r="B1462" s="2" t="s">
        <v>2434</v>
      </c>
      <c r="C1462" s="2" t="s">
        <v>3659</v>
      </c>
      <c r="D1462" s="2">
        <v>8.0</v>
      </c>
      <c r="E1462" s="2">
        <v>799.0</v>
      </c>
      <c r="F1462" s="2">
        <v>899.0</v>
      </c>
      <c r="G1462" s="2">
        <v>113500.0</v>
      </c>
    </row>
    <row r="1463" ht="15.75" customHeight="1">
      <c r="A1463" s="2" t="s">
        <v>4458</v>
      </c>
      <c r="B1463" s="2" t="s">
        <v>4459</v>
      </c>
      <c r="C1463" s="2" t="s">
        <v>3659</v>
      </c>
      <c r="D1463" s="2">
        <v>13.0</v>
      </c>
      <c r="E1463" s="2">
        <v>1167.0</v>
      </c>
      <c r="F1463" s="2">
        <v>1447.0</v>
      </c>
      <c r="G1463" s="2">
        <v>180000.0</v>
      </c>
    </row>
    <row r="1464" ht="15.75" customHeight="1">
      <c r="A1464" s="2" t="s">
        <v>4460</v>
      </c>
      <c r="B1464" s="2" t="s">
        <v>679</v>
      </c>
      <c r="C1464" s="2" t="s">
        <v>3659</v>
      </c>
      <c r="D1464" s="2">
        <v>48.0</v>
      </c>
      <c r="E1464" s="2">
        <v>1666.0</v>
      </c>
      <c r="F1464" s="2">
        <v>1704.0</v>
      </c>
      <c r="G1464" s="2">
        <v>153700.0</v>
      </c>
    </row>
    <row r="1465" ht="15.75" customHeight="1">
      <c r="A1465" s="2" t="s">
        <v>4461</v>
      </c>
      <c r="B1465" s="2" t="s">
        <v>4462</v>
      </c>
      <c r="C1465" s="2" t="s">
        <v>3659</v>
      </c>
      <c r="D1465" s="2">
        <v>12.0</v>
      </c>
      <c r="E1465" s="2">
        <v>1402.0</v>
      </c>
      <c r="F1465" s="2">
        <v>1393.0</v>
      </c>
      <c r="G1465" s="2">
        <v>124500.0</v>
      </c>
    </row>
    <row r="1466" ht="15.75" customHeight="1">
      <c r="A1466" s="2" t="s">
        <v>4463</v>
      </c>
      <c r="B1466" s="2" t="s">
        <v>4464</v>
      </c>
      <c r="C1466" s="2" t="s">
        <v>3659</v>
      </c>
      <c r="D1466" s="2">
        <v>12.0</v>
      </c>
      <c r="E1466" s="2">
        <v>1231.0</v>
      </c>
      <c r="F1466" s="2">
        <v>1459.0</v>
      </c>
      <c r="G1466" s="2">
        <v>126500.0</v>
      </c>
    </row>
    <row r="1467" ht="15.75" customHeight="1">
      <c r="A1467" s="2" t="s">
        <v>4465</v>
      </c>
      <c r="B1467" s="2" t="s">
        <v>4466</v>
      </c>
      <c r="C1467" s="2" t="s">
        <v>3659</v>
      </c>
      <c r="D1467" s="2">
        <v>12.0</v>
      </c>
      <c r="E1467" s="2">
        <v>1378.0</v>
      </c>
      <c r="F1467" s="2">
        <v>1332.0</v>
      </c>
      <c r="G1467" s="2">
        <v>124000.0</v>
      </c>
    </row>
    <row r="1468" ht="15.75" customHeight="1">
      <c r="A1468" s="2" t="s">
        <v>4467</v>
      </c>
      <c r="B1468" s="2" t="s">
        <v>4468</v>
      </c>
      <c r="C1468" s="2" t="s">
        <v>3659</v>
      </c>
      <c r="D1468" s="2">
        <v>6.0</v>
      </c>
      <c r="E1468" s="2">
        <v>1500.0</v>
      </c>
      <c r="F1468" s="2">
        <v>1539.0</v>
      </c>
      <c r="G1468" s="2">
        <v>185000.0</v>
      </c>
    </row>
    <row r="1469" ht="15.75" customHeight="1">
      <c r="A1469" s="2" t="s">
        <v>4469</v>
      </c>
      <c r="B1469" s="2" t="s">
        <v>4470</v>
      </c>
      <c r="C1469" s="2" t="s">
        <v>3659</v>
      </c>
      <c r="D1469" s="2">
        <v>12.0</v>
      </c>
      <c r="E1469" s="2">
        <v>1666.0</v>
      </c>
      <c r="F1469" s="2">
        <v>1735.0</v>
      </c>
      <c r="G1469" s="2">
        <v>155845.0</v>
      </c>
    </row>
    <row r="1470" ht="15.75" customHeight="1">
      <c r="A1470" s="2" t="s">
        <v>4471</v>
      </c>
      <c r="B1470" s="2" t="s">
        <v>4472</v>
      </c>
      <c r="C1470" s="2" t="s">
        <v>3659</v>
      </c>
      <c r="D1470" s="2">
        <v>25.0</v>
      </c>
      <c r="E1470" s="2">
        <v>1951.0</v>
      </c>
      <c r="F1470" s="2">
        <v>1936.0</v>
      </c>
      <c r="G1470" s="2">
        <v>175750.0</v>
      </c>
    </row>
    <row r="1471" ht="15.75" customHeight="1">
      <c r="A1471" s="2" t="s">
        <v>4473</v>
      </c>
      <c r="B1471" s="2" t="s">
        <v>4474</v>
      </c>
      <c r="C1471" s="2" t="s">
        <v>3659</v>
      </c>
      <c r="D1471" s="2">
        <v>6.0</v>
      </c>
      <c r="E1471" s="2">
        <v>853.0</v>
      </c>
      <c r="F1471" s="2">
        <v>1000.0</v>
      </c>
      <c r="G1471" s="2">
        <v>93000.0</v>
      </c>
    </row>
    <row r="1472" ht="15.75" customHeight="1">
      <c r="A1472" s="2" t="s">
        <v>4475</v>
      </c>
      <c r="B1472" s="2" t="s">
        <v>4476</v>
      </c>
      <c r="C1472" s="2" t="s">
        <v>3659</v>
      </c>
      <c r="D1472" s="2">
        <v>10.0</v>
      </c>
      <c r="E1472" s="2">
        <v>1640.0</v>
      </c>
      <c r="F1472" s="2">
        <v>1392.0</v>
      </c>
      <c r="G1472" s="2">
        <v>174400.0</v>
      </c>
    </row>
    <row r="1473" ht="15.75" customHeight="1">
      <c r="A1473" s="2" t="s">
        <v>4477</v>
      </c>
      <c r="B1473" s="2" t="s">
        <v>4478</v>
      </c>
      <c r="C1473" s="2" t="s">
        <v>3659</v>
      </c>
      <c r="D1473" s="2">
        <v>31.0</v>
      </c>
      <c r="E1473" s="2">
        <v>2050.0</v>
      </c>
      <c r="F1473" s="2">
        <v>1988.0</v>
      </c>
      <c r="G1473" s="2">
        <v>220500.0</v>
      </c>
    </row>
    <row r="1474" ht="15.75" customHeight="1">
      <c r="A1474" s="2" t="s">
        <v>4479</v>
      </c>
      <c r="B1474" s="2" t="s">
        <v>4480</v>
      </c>
      <c r="C1474" s="2" t="s">
        <v>3659</v>
      </c>
      <c r="D1474" s="2">
        <v>43.0</v>
      </c>
      <c r="E1474" s="2">
        <v>1641.0</v>
      </c>
      <c r="F1474" s="2">
        <v>1649.0</v>
      </c>
      <c r="G1474" s="2">
        <v>152000.0</v>
      </c>
    </row>
    <row r="1475" ht="15.75" customHeight="1">
      <c r="A1475" s="2" t="s">
        <v>4481</v>
      </c>
      <c r="B1475" s="2" t="s">
        <v>4482</v>
      </c>
      <c r="C1475" s="2" t="s">
        <v>3659</v>
      </c>
      <c r="D1475" s="2">
        <v>6.0</v>
      </c>
      <c r="E1475" s="2">
        <v>2027.0</v>
      </c>
      <c r="F1475" s="2">
        <v>1671.0</v>
      </c>
      <c r="G1475" s="2">
        <v>169300.0</v>
      </c>
    </row>
    <row r="1476" ht="15.75" customHeight="1">
      <c r="A1476" s="2" t="s">
        <v>4483</v>
      </c>
      <c r="B1476" s="2" t="s">
        <v>4484</v>
      </c>
      <c r="C1476" s="2" t="s">
        <v>3659</v>
      </c>
      <c r="D1476" s="2">
        <v>26.0</v>
      </c>
      <c r="E1476" s="2">
        <v>1576.0</v>
      </c>
      <c r="F1476" s="2">
        <v>1636.0</v>
      </c>
      <c r="G1476" s="2">
        <v>152399.0</v>
      </c>
    </row>
    <row r="1477" ht="15.75" customHeight="1">
      <c r="A1477" s="2" t="s">
        <v>4485</v>
      </c>
      <c r="B1477" s="2" t="s">
        <v>4486</v>
      </c>
      <c r="C1477" s="2" t="s">
        <v>3659</v>
      </c>
      <c r="D1477" s="2">
        <v>6.0</v>
      </c>
      <c r="E1477" s="2">
        <v>1969.0</v>
      </c>
      <c r="F1477" s="2">
        <v>1692.0</v>
      </c>
      <c r="G1477" s="2">
        <v>218500.0</v>
      </c>
    </row>
    <row r="1478" ht="15.75" customHeight="1">
      <c r="A1478" s="2" t="s">
        <v>4487</v>
      </c>
      <c r="B1478" s="2" t="s">
        <v>4488</v>
      </c>
      <c r="C1478" s="2" t="s">
        <v>3659</v>
      </c>
      <c r="D1478" s="2">
        <v>12.0</v>
      </c>
      <c r="E1478" s="2">
        <v>2971.0</v>
      </c>
      <c r="F1478" s="2">
        <v>2939.0</v>
      </c>
      <c r="G1478" s="2">
        <v>256000.0</v>
      </c>
    </row>
    <row r="1479" ht="15.75" customHeight="1">
      <c r="A1479" s="2" t="s">
        <v>4489</v>
      </c>
      <c r="B1479" s="2" t="s">
        <v>4490</v>
      </c>
      <c r="C1479" s="2" t="s">
        <v>3659</v>
      </c>
      <c r="D1479" s="2">
        <v>71.0</v>
      </c>
      <c r="E1479" s="2">
        <v>1909.0</v>
      </c>
      <c r="F1479" s="2">
        <v>2139.0</v>
      </c>
      <c r="G1479" s="2">
        <v>166500.0</v>
      </c>
    </row>
    <row r="1480" ht="15.75" customHeight="1">
      <c r="A1480" s="2" t="s">
        <v>4491</v>
      </c>
      <c r="B1480" s="2" t="s">
        <v>4492</v>
      </c>
      <c r="C1480" s="2" t="s">
        <v>3659</v>
      </c>
      <c r="D1480" s="2">
        <v>7.0</v>
      </c>
      <c r="E1480" s="2">
        <v>1319.0</v>
      </c>
      <c r="F1480" s="2">
        <v>1246.0</v>
      </c>
      <c r="G1480" s="2">
        <v>140000.0</v>
      </c>
    </row>
    <row r="1481" ht="15.75" customHeight="1">
      <c r="A1481" s="2" t="s">
        <v>4493</v>
      </c>
      <c r="B1481" s="2" t="s">
        <v>4494</v>
      </c>
      <c r="C1481" s="2" t="s">
        <v>3659</v>
      </c>
      <c r="D1481" s="2">
        <v>30.0</v>
      </c>
      <c r="E1481" s="2">
        <v>1914.0</v>
      </c>
      <c r="F1481" s="2">
        <v>1931.0</v>
      </c>
      <c r="G1481" s="2">
        <v>171250.0</v>
      </c>
    </row>
    <row r="1482" ht="15.75" customHeight="1">
      <c r="A1482" s="2" t="s">
        <v>4495</v>
      </c>
      <c r="B1482" s="2" t="s">
        <v>4496</v>
      </c>
      <c r="C1482" s="2" t="s">
        <v>3659</v>
      </c>
      <c r="D1482" s="2">
        <v>150.0</v>
      </c>
      <c r="E1482" s="2">
        <v>2070.0</v>
      </c>
      <c r="F1482" s="2">
        <v>2030.0</v>
      </c>
      <c r="G1482" s="2">
        <v>160000.0</v>
      </c>
    </row>
    <row r="1483" ht="15.75" customHeight="1">
      <c r="A1483" s="2" t="s">
        <v>4497</v>
      </c>
      <c r="B1483" s="2" t="s">
        <v>4498</v>
      </c>
      <c r="C1483" s="2" t="s">
        <v>3659</v>
      </c>
      <c r="D1483" s="2">
        <v>65.0</v>
      </c>
      <c r="E1483" s="2">
        <v>1647.0</v>
      </c>
      <c r="F1483" s="2">
        <v>1646.0</v>
      </c>
      <c r="G1483" s="2">
        <v>150000.0</v>
      </c>
    </row>
    <row r="1484" ht="15.75" customHeight="1">
      <c r="A1484" s="2" t="s">
        <v>4499</v>
      </c>
      <c r="B1484" s="2" t="s">
        <v>4500</v>
      </c>
      <c r="C1484" s="2" t="s">
        <v>3659</v>
      </c>
      <c r="D1484" s="2">
        <v>9.0</v>
      </c>
      <c r="E1484" s="2">
        <v>1138.0</v>
      </c>
      <c r="F1484" s="2">
        <v>977.0</v>
      </c>
      <c r="G1484" s="2">
        <v>127000.0</v>
      </c>
    </row>
    <row r="1485" ht="15.75" customHeight="1">
      <c r="A1485" s="2" t="s">
        <v>4501</v>
      </c>
      <c r="B1485" s="2" t="s">
        <v>4502</v>
      </c>
      <c r="C1485" s="2" t="s">
        <v>3659</v>
      </c>
      <c r="D1485" s="2">
        <v>36.0</v>
      </c>
      <c r="E1485" s="2">
        <v>1778.0</v>
      </c>
      <c r="F1485" s="2">
        <v>1929.0</v>
      </c>
      <c r="G1485" s="2">
        <v>163500.0</v>
      </c>
    </row>
    <row r="1486" ht="15.75" customHeight="1">
      <c r="A1486" s="2" t="s">
        <v>4503</v>
      </c>
      <c r="B1486" s="2" t="s">
        <v>4504</v>
      </c>
      <c r="C1486" s="2" t="s">
        <v>3659</v>
      </c>
      <c r="D1486" s="2">
        <v>187.0</v>
      </c>
      <c r="E1486" s="2">
        <v>1532.0</v>
      </c>
      <c r="F1486" s="2">
        <v>1622.0</v>
      </c>
      <c r="G1486" s="2">
        <v>133000.0</v>
      </c>
    </row>
    <row r="1487" ht="15.75" customHeight="1">
      <c r="A1487" s="2" t="s">
        <v>4505</v>
      </c>
      <c r="B1487" s="2" t="s">
        <v>4506</v>
      </c>
      <c r="C1487" s="2" t="s">
        <v>3659</v>
      </c>
      <c r="D1487" s="2">
        <v>6.0</v>
      </c>
      <c r="E1487" s="2">
        <v>1324.0</v>
      </c>
      <c r="F1487" s="2">
        <v>1335.0</v>
      </c>
      <c r="G1487" s="2">
        <v>151600.0</v>
      </c>
    </row>
    <row r="1488" ht="15.75" customHeight="1">
      <c r="A1488" s="2" t="s">
        <v>4507</v>
      </c>
      <c r="B1488" s="2" t="s">
        <v>4508</v>
      </c>
      <c r="C1488" s="2" t="s">
        <v>3659</v>
      </c>
      <c r="D1488" s="2">
        <v>60.0</v>
      </c>
      <c r="E1488" s="2">
        <v>1072.0</v>
      </c>
      <c r="F1488" s="2">
        <v>1104.0</v>
      </c>
      <c r="G1488" s="2">
        <v>75988.0</v>
      </c>
    </row>
    <row r="1489" ht="15.75" customHeight="1">
      <c r="A1489" s="2" t="s">
        <v>4509</v>
      </c>
      <c r="B1489" s="2" t="s">
        <v>4510</v>
      </c>
      <c r="C1489" s="2" t="s">
        <v>3659</v>
      </c>
      <c r="D1489" s="2">
        <v>8.0</v>
      </c>
      <c r="E1489" s="2">
        <v>2090.0</v>
      </c>
      <c r="F1489" s="2">
        <v>1925.0</v>
      </c>
      <c r="G1489" s="2">
        <v>227850.0</v>
      </c>
    </row>
    <row r="1490" ht="15.75" customHeight="1">
      <c r="A1490" s="2" t="s">
        <v>4511</v>
      </c>
      <c r="B1490" s="2" t="s">
        <v>4512</v>
      </c>
      <c r="C1490" s="2" t="s">
        <v>3659</v>
      </c>
      <c r="D1490" s="2">
        <v>28.0</v>
      </c>
      <c r="E1490" s="2">
        <v>1375.0</v>
      </c>
      <c r="F1490" s="2">
        <v>1401.0</v>
      </c>
      <c r="G1490" s="2">
        <v>133150.0</v>
      </c>
    </row>
    <row r="1491" ht="15.75" customHeight="1">
      <c r="A1491" s="2" t="s">
        <v>4513</v>
      </c>
      <c r="B1491" s="2" t="s">
        <v>4514</v>
      </c>
      <c r="C1491" s="2" t="s">
        <v>3659</v>
      </c>
      <c r="D1491" s="2">
        <v>59.0</v>
      </c>
      <c r="E1491" s="2">
        <v>1956.0</v>
      </c>
      <c r="F1491" s="2">
        <v>1844.0</v>
      </c>
      <c r="G1491" s="2">
        <v>180100.0</v>
      </c>
    </row>
    <row r="1492" ht="15.75" customHeight="1">
      <c r="A1492" s="2" t="s">
        <v>4515</v>
      </c>
      <c r="B1492" s="2" t="s">
        <v>4516</v>
      </c>
      <c r="C1492" s="2" t="s">
        <v>3659</v>
      </c>
      <c r="D1492" s="2">
        <v>39.0</v>
      </c>
      <c r="E1492" s="2">
        <v>2154.0</v>
      </c>
      <c r="F1492" s="2">
        <v>2234.0</v>
      </c>
      <c r="G1492" s="2">
        <v>206000.0</v>
      </c>
    </row>
    <row r="1493" ht="15.75" customHeight="1">
      <c r="A1493" s="2" t="s">
        <v>4517</v>
      </c>
      <c r="B1493" s="2" t="s">
        <v>4518</v>
      </c>
      <c r="C1493" s="2" t="s">
        <v>3659</v>
      </c>
      <c r="D1493" s="2">
        <v>17.0</v>
      </c>
      <c r="E1493" s="2">
        <v>1500.0</v>
      </c>
      <c r="F1493" s="2">
        <v>1513.0</v>
      </c>
      <c r="G1493" s="2">
        <v>175000.0</v>
      </c>
    </row>
    <row r="1494" ht="15.75" customHeight="1">
      <c r="A1494" s="2" t="s">
        <v>4519</v>
      </c>
      <c r="B1494" s="2" t="s">
        <v>4520</v>
      </c>
      <c r="C1494" s="2" t="s">
        <v>3659</v>
      </c>
      <c r="D1494" s="2">
        <v>52.0</v>
      </c>
      <c r="E1494" s="2">
        <v>1371.0</v>
      </c>
      <c r="F1494" s="2">
        <v>1371.0</v>
      </c>
      <c r="G1494" s="2">
        <v>112625.0</v>
      </c>
    </row>
    <row r="1495" ht="15.75" customHeight="1">
      <c r="A1495" s="2" t="s">
        <v>4521</v>
      </c>
      <c r="B1495" s="2" t="s">
        <v>4522</v>
      </c>
      <c r="C1495" s="2" t="s">
        <v>3659</v>
      </c>
      <c r="D1495" s="2">
        <v>8.0</v>
      </c>
      <c r="E1495" s="2">
        <v>775.0</v>
      </c>
      <c r="F1495" s="2">
        <v>1004.0</v>
      </c>
      <c r="G1495" s="2">
        <v>98000.0</v>
      </c>
    </row>
    <row r="1496" ht="15.75" customHeight="1">
      <c r="A1496" s="2" t="s">
        <v>4523</v>
      </c>
      <c r="B1496" s="2" t="s">
        <v>4524</v>
      </c>
      <c r="C1496" s="2" t="s">
        <v>3659</v>
      </c>
      <c r="D1496" s="2">
        <v>53.0</v>
      </c>
      <c r="E1496" s="2">
        <v>1754.0</v>
      </c>
      <c r="F1496" s="2">
        <v>1679.0</v>
      </c>
      <c r="G1496" s="2">
        <v>169000.0</v>
      </c>
    </row>
    <row r="1497" ht="15.75" customHeight="1">
      <c r="A1497" s="2" t="s">
        <v>4525</v>
      </c>
      <c r="B1497" s="2" t="s">
        <v>4526</v>
      </c>
      <c r="C1497" s="2" t="s">
        <v>3659</v>
      </c>
      <c r="D1497" s="2">
        <v>35.0</v>
      </c>
      <c r="E1497" s="2">
        <v>2342.0</v>
      </c>
      <c r="F1497" s="2">
        <v>2459.0</v>
      </c>
      <c r="G1497" s="2">
        <v>197500.0</v>
      </c>
    </row>
    <row r="1498" ht="15.75" customHeight="1">
      <c r="A1498" s="2" t="s">
        <v>4527</v>
      </c>
      <c r="B1498" s="2" t="s">
        <v>4528</v>
      </c>
      <c r="C1498" s="2" t="s">
        <v>3659</v>
      </c>
      <c r="D1498" s="2">
        <v>5.0</v>
      </c>
      <c r="E1498" s="2">
        <v>1070.0</v>
      </c>
      <c r="F1498" s="2">
        <v>1061.0</v>
      </c>
      <c r="G1498" s="2">
        <v>126600.0</v>
      </c>
    </row>
    <row r="1499" ht="15.75" customHeight="1">
      <c r="A1499" s="2" t="s">
        <v>4529</v>
      </c>
      <c r="B1499" s="2" t="s">
        <v>4530</v>
      </c>
      <c r="C1499" s="2" t="s">
        <v>3659</v>
      </c>
      <c r="D1499" s="2">
        <v>7.0</v>
      </c>
      <c r="E1499" s="2">
        <v>1615.0</v>
      </c>
      <c r="F1499" s="2">
        <v>1565.0</v>
      </c>
      <c r="G1499" s="2">
        <v>126000.0</v>
      </c>
    </row>
    <row r="1500" ht="15.75" customHeight="1">
      <c r="A1500" s="2" t="s">
        <v>4531</v>
      </c>
      <c r="B1500" s="2" t="s">
        <v>4532</v>
      </c>
      <c r="C1500" s="2" t="s">
        <v>3659</v>
      </c>
      <c r="D1500" s="2">
        <v>5.0</v>
      </c>
      <c r="E1500" s="2">
        <v>1795.0</v>
      </c>
      <c r="F1500" s="2">
        <v>1844.0</v>
      </c>
      <c r="G1500" s="2">
        <v>167635.0</v>
      </c>
    </row>
    <row r="1501" ht="15.75" customHeight="1">
      <c r="A1501" s="2" t="s">
        <v>4533</v>
      </c>
      <c r="B1501" s="2" t="s">
        <v>4534</v>
      </c>
      <c r="C1501" s="2" t="s">
        <v>3659</v>
      </c>
      <c r="D1501" s="2">
        <v>12.0</v>
      </c>
      <c r="E1501" s="2">
        <v>1355.0</v>
      </c>
      <c r="F1501" s="2">
        <v>1483.0</v>
      </c>
      <c r="G1501" s="2">
        <v>115950.0</v>
      </c>
    </row>
    <row r="1502" ht="15.75" customHeight="1">
      <c r="A1502" s="2" t="s">
        <v>4535</v>
      </c>
      <c r="B1502" s="2" t="s">
        <v>4536</v>
      </c>
      <c r="C1502" s="2" t="s">
        <v>3659</v>
      </c>
      <c r="D1502" s="2">
        <v>10.0</v>
      </c>
      <c r="E1502" s="2">
        <v>999.0</v>
      </c>
      <c r="F1502" s="2">
        <v>1140.0</v>
      </c>
      <c r="G1502" s="2">
        <v>173525.0</v>
      </c>
    </row>
    <row r="1503" ht="15.75" customHeight="1">
      <c r="A1503" s="2" t="s">
        <v>4537</v>
      </c>
      <c r="B1503" s="2" t="s">
        <v>4538</v>
      </c>
      <c r="C1503" s="2" t="s">
        <v>3659</v>
      </c>
      <c r="D1503" s="2">
        <v>7.0</v>
      </c>
      <c r="E1503" s="2">
        <v>1029.0</v>
      </c>
      <c r="F1503" s="2">
        <v>1274.0</v>
      </c>
      <c r="G1503" s="2">
        <v>225000.0</v>
      </c>
    </row>
    <row r="1504" ht="15.75" customHeight="1">
      <c r="A1504" s="2" t="s">
        <v>4539</v>
      </c>
      <c r="B1504" s="2" t="s">
        <v>4540</v>
      </c>
      <c r="C1504" s="2" t="s">
        <v>3659</v>
      </c>
      <c r="D1504" s="2">
        <v>5.0</v>
      </c>
      <c r="E1504" s="2">
        <v>1957.0</v>
      </c>
      <c r="F1504" s="2">
        <v>1823.0</v>
      </c>
      <c r="G1504" s="2">
        <v>180000.0</v>
      </c>
    </row>
    <row r="1505" ht="15.75" customHeight="1">
      <c r="A1505" s="2" t="s">
        <v>4541</v>
      </c>
      <c r="B1505" s="2" t="s">
        <v>4542</v>
      </c>
      <c r="C1505" s="2" t="s">
        <v>3659</v>
      </c>
      <c r="D1505" s="2">
        <v>30.0</v>
      </c>
      <c r="E1505" s="2">
        <v>1730.0</v>
      </c>
      <c r="F1505" s="2">
        <v>1633.0</v>
      </c>
      <c r="G1505" s="2">
        <v>140000.0</v>
      </c>
    </row>
    <row r="1506" ht="15.75" customHeight="1">
      <c r="A1506" s="2" t="s">
        <v>4543</v>
      </c>
      <c r="B1506" s="2" t="s">
        <v>4544</v>
      </c>
      <c r="C1506" s="2" t="s">
        <v>3659</v>
      </c>
      <c r="D1506" s="2">
        <v>5.0</v>
      </c>
      <c r="E1506" s="2">
        <v>1707.0</v>
      </c>
      <c r="F1506" s="2">
        <v>1514.0</v>
      </c>
      <c r="G1506" s="2">
        <v>146500.0</v>
      </c>
    </row>
    <row r="1507" ht="15.75" customHeight="1">
      <c r="A1507" s="2" t="s">
        <v>4545</v>
      </c>
      <c r="B1507" s="2" t="s">
        <v>4546</v>
      </c>
      <c r="C1507" s="2" t="s">
        <v>3659</v>
      </c>
      <c r="D1507" s="2">
        <v>6.0</v>
      </c>
      <c r="E1507" s="2">
        <v>1420.0</v>
      </c>
      <c r="F1507" s="2">
        <v>1678.0</v>
      </c>
      <c r="G1507" s="2">
        <v>147500.0</v>
      </c>
    </row>
    <row r="1508" ht="15.75" customHeight="1">
      <c r="A1508" s="2" t="s">
        <v>4547</v>
      </c>
      <c r="B1508" s="2" t="s">
        <v>4548</v>
      </c>
      <c r="C1508" s="2" t="s">
        <v>3659</v>
      </c>
      <c r="D1508" s="2">
        <v>6.0</v>
      </c>
      <c r="E1508" s="2">
        <v>1282.0</v>
      </c>
      <c r="F1508" s="2">
        <v>1210.0</v>
      </c>
      <c r="G1508" s="2">
        <v>152375.0</v>
      </c>
    </row>
    <row r="1509" ht="15.75" customHeight="1">
      <c r="A1509" s="2" t="s">
        <v>4549</v>
      </c>
      <c r="B1509" s="2" t="s">
        <v>4550</v>
      </c>
      <c r="C1509" s="2" t="s">
        <v>3659</v>
      </c>
      <c r="D1509" s="2">
        <v>9.0</v>
      </c>
      <c r="E1509" s="2">
        <v>901.0</v>
      </c>
      <c r="F1509" s="2">
        <v>986.0</v>
      </c>
      <c r="G1509" s="2">
        <v>90000.0</v>
      </c>
    </row>
    <row r="1510" ht="15.75" customHeight="1">
      <c r="A1510" s="2" t="s">
        <v>4551</v>
      </c>
      <c r="B1510" s="2" t="s">
        <v>4552</v>
      </c>
      <c r="C1510" s="2" t="s">
        <v>3659</v>
      </c>
      <c r="D1510" s="2">
        <v>11.0</v>
      </c>
      <c r="E1510" s="2">
        <v>1752.0</v>
      </c>
      <c r="F1510" s="2">
        <v>1570.0</v>
      </c>
      <c r="G1510" s="2">
        <v>184500.0</v>
      </c>
    </row>
    <row r="1511" ht="15.75" customHeight="1">
      <c r="A1511" s="2" t="s">
        <v>4553</v>
      </c>
      <c r="B1511" s="2" t="s">
        <v>4554</v>
      </c>
      <c r="C1511" s="2" t="s">
        <v>3659</v>
      </c>
      <c r="D1511" s="2">
        <v>10.0</v>
      </c>
      <c r="E1511" s="2">
        <v>1601.0</v>
      </c>
      <c r="F1511" s="2">
        <v>1558.0</v>
      </c>
      <c r="G1511" s="2">
        <v>200000.0</v>
      </c>
    </row>
    <row r="1512" ht="15.75" customHeight="1">
      <c r="A1512" s="2" t="s">
        <v>4555</v>
      </c>
      <c r="B1512" s="2" t="s">
        <v>4556</v>
      </c>
      <c r="C1512" s="2" t="s">
        <v>3659</v>
      </c>
      <c r="D1512" s="2">
        <v>12.0</v>
      </c>
      <c r="E1512" s="2">
        <v>1991.0</v>
      </c>
      <c r="F1512" s="2">
        <v>2017.0</v>
      </c>
      <c r="G1512" s="2">
        <v>184500.0</v>
      </c>
    </row>
    <row r="1513" ht="15.75" customHeight="1">
      <c r="A1513" s="2" t="s">
        <v>4557</v>
      </c>
      <c r="B1513" s="2" t="s">
        <v>4558</v>
      </c>
      <c r="C1513" s="2" t="s">
        <v>3659</v>
      </c>
      <c r="D1513" s="2">
        <v>6.0</v>
      </c>
      <c r="E1513" s="2">
        <v>1821.0</v>
      </c>
      <c r="F1513" s="2">
        <v>1774.0</v>
      </c>
      <c r="G1513" s="2">
        <v>227000.0</v>
      </c>
    </row>
    <row r="1514" ht="15.75" customHeight="1">
      <c r="A1514" s="2" t="s">
        <v>4559</v>
      </c>
      <c r="B1514" s="2" t="s">
        <v>4560</v>
      </c>
      <c r="C1514" s="2" t="s">
        <v>3659</v>
      </c>
      <c r="D1514" s="2">
        <v>5.0</v>
      </c>
      <c r="E1514" s="2">
        <v>1300.0</v>
      </c>
      <c r="F1514" s="2">
        <v>1200.0</v>
      </c>
      <c r="G1514" s="2">
        <v>135000.0</v>
      </c>
    </row>
    <row r="1515" ht="15.75" customHeight="1">
      <c r="A1515" s="2" t="s">
        <v>4561</v>
      </c>
      <c r="B1515" s="2" t="s">
        <v>4562</v>
      </c>
      <c r="C1515" s="2" t="s">
        <v>3659</v>
      </c>
      <c r="D1515" s="2">
        <v>13.0</v>
      </c>
      <c r="E1515" s="2">
        <v>1190.0</v>
      </c>
      <c r="F1515" s="2">
        <v>1429.0</v>
      </c>
      <c r="G1515" s="2">
        <v>154600.0</v>
      </c>
    </row>
    <row r="1516" ht="15.75" customHeight="1">
      <c r="A1516" s="2" t="s">
        <v>4563</v>
      </c>
      <c r="B1516" s="2" t="s">
        <v>4564</v>
      </c>
      <c r="C1516" s="2" t="s">
        <v>3659</v>
      </c>
      <c r="D1516" s="2">
        <v>5.0</v>
      </c>
      <c r="E1516" s="2">
        <v>1009.0</v>
      </c>
      <c r="F1516" s="2">
        <v>917.0</v>
      </c>
      <c r="G1516" s="2">
        <v>125900.0</v>
      </c>
    </row>
    <row r="1517" ht="15.75" customHeight="1">
      <c r="A1517" s="2" t="s">
        <v>4565</v>
      </c>
      <c r="B1517" s="2" t="s">
        <v>4566</v>
      </c>
      <c r="C1517" s="2" t="s">
        <v>3659</v>
      </c>
      <c r="D1517" s="2">
        <v>21.0</v>
      </c>
      <c r="E1517" s="2">
        <v>1642.0</v>
      </c>
      <c r="F1517" s="2">
        <v>1833.0</v>
      </c>
      <c r="G1517" s="2">
        <v>254000.0</v>
      </c>
    </row>
    <row r="1518" ht="15.75" customHeight="1">
      <c r="A1518" s="2" t="s">
        <v>4567</v>
      </c>
      <c r="B1518" s="2" t="s">
        <v>4568</v>
      </c>
      <c r="C1518" s="2" t="s">
        <v>3659</v>
      </c>
      <c r="D1518" s="2">
        <v>8.0</v>
      </c>
      <c r="E1518" s="2">
        <v>886.0</v>
      </c>
      <c r="F1518" s="2">
        <v>1111.0</v>
      </c>
      <c r="G1518" s="2">
        <v>171105.0</v>
      </c>
    </row>
    <row r="1519" ht="15.75" customHeight="1">
      <c r="A1519" s="2" t="s">
        <v>4569</v>
      </c>
      <c r="B1519" s="2" t="s">
        <v>4570</v>
      </c>
      <c r="C1519" s="2" t="s">
        <v>3659</v>
      </c>
      <c r="D1519" s="2">
        <v>14.0</v>
      </c>
      <c r="E1519" s="2">
        <v>1489.0</v>
      </c>
      <c r="F1519" s="2">
        <v>1408.0</v>
      </c>
      <c r="G1519" s="2">
        <v>142500.0</v>
      </c>
    </row>
    <row r="1520" ht="15.75" customHeight="1">
      <c r="A1520" s="2" t="s">
        <v>4571</v>
      </c>
      <c r="B1520" s="2" t="s">
        <v>4572</v>
      </c>
      <c r="C1520" s="2" t="s">
        <v>3659</v>
      </c>
      <c r="D1520" s="2">
        <v>65.0</v>
      </c>
      <c r="E1520" s="2">
        <v>1630.0</v>
      </c>
      <c r="F1520" s="2">
        <v>1627.0</v>
      </c>
      <c r="G1520" s="2">
        <v>149500.0</v>
      </c>
    </row>
    <row r="1521" ht="15.75" customHeight="1">
      <c r="A1521" s="2" t="s">
        <v>4573</v>
      </c>
      <c r="B1521" s="2" t="s">
        <v>4574</v>
      </c>
      <c r="C1521" s="2" t="s">
        <v>3659</v>
      </c>
      <c r="D1521" s="2">
        <v>24.0</v>
      </c>
      <c r="E1521" s="2">
        <v>1391.0</v>
      </c>
      <c r="F1521" s="2">
        <v>1393.0</v>
      </c>
      <c r="G1521" s="2">
        <v>147150.0</v>
      </c>
    </row>
    <row r="1522" ht="15.75" customHeight="1">
      <c r="A1522" s="2" t="s">
        <v>4575</v>
      </c>
      <c r="B1522" s="2" t="s">
        <v>4576</v>
      </c>
      <c r="C1522" s="2" t="s">
        <v>3659</v>
      </c>
      <c r="D1522" s="2">
        <v>52.0</v>
      </c>
      <c r="E1522" s="2">
        <v>1510.0</v>
      </c>
      <c r="F1522" s="2">
        <v>1540.0</v>
      </c>
      <c r="G1522" s="2">
        <v>152428.0</v>
      </c>
    </row>
    <row r="1523" ht="15.75" customHeight="1">
      <c r="A1523" s="2" t="s">
        <v>4577</v>
      </c>
      <c r="B1523" s="2" t="s">
        <v>4578</v>
      </c>
      <c r="C1523" s="2" t="s">
        <v>3659</v>
      </c>
      <c r="D1523" s="2">
        <v>21.0</v>
      </c>
      <c r="E1523" s="2">
        <v>1738.0</v>
      </c>
      <c r="F1523" s="2">
        <v>1589.0</v>
      </c>
      <c r="G1523" s="2">
        <v>160000.0</v>
      </c>
    </row>
    <row r="1524" ht="15.75" customHeight="1">
      <c r="A1524" s="2" t="s">
        <v>4579</v>
      </c>
      <c r="B1524" s="2" t="s">
        <v>4580</v>
      </c>
      <c r="C1524" s="2" t="s">
        <v>3659</v>
      </c>
      <c r="D1524" s="2">
        <v>36.0</v>
      </c>
      <c r="E1524" s="2">
        <v>1509.0</v>
      </c>
      <c r="F1524" s="2">
        <v>1436.0</v>
      </c>
      <c r="G1524" s="2">
        <v>125750.0</v>
      </c>
    </row>
    <row r="1525" ht="15.75" customHeight="1">
      <c r="A1525" s="2" t="s">
        <v>4581</v>
      </c>
      <c r="B1525" s="2" t="s">
        <v>4582</v>
      </c>
      <c r="C1525" s="2" t="s">
        <v>3659</v>
      </c>
      <c r="D1525" s="2">
        <v>24.0</v>
      </c>
      <c r="E1525" s="2">
        <v>2444.0</v>
      </c>
      <c r="F1525" s="2">
        <v>2180.0</v>
      </c>
      <c r="G1525" s="2">
        <v>249400.0</v>
      </c>
    </row>
    <row r="1526" ht="15.75" customHeight="1">
      <c r="A1526" s="2" t="s">
        <v>4583</v>
      </c>
      <c r="B1526" s="2" t="s">
        <v>4584</v>
      </c>
      <c r="C1526" s="2" t="s">
        <v>3659</v>
      </c>
      <c r="D1526" s="2">
        <v>5.0</v>
      </c>
      <c r="E1526" s="2">
        <v>1616.0</v>
      </c>
      <c r="F1526" s="2">
        <v>1386.0</v>
      </c>
      <c r="G1526" s="2">
        <v>129800.0</v>
      </c>
    </row>
    <row r="1527" ht="15.75" customHeight="1">
      <c r="A1527" s="2" t="s">
        <v>4585</v>
      </c>
      <c r="B1527" s="2" t="s">
        <v>4586</v>
      </c>
      <c r="C1527" s="2" t="s">
        <v>3659</v>
      </c>
      <c r="D1527" s="2">
        <v>5.0</v>
      </c>
      <c r="E1527" s="2">
        <v>1310.0</v>
      </c>
      <c r="F1527" s="2">
        <v>1462.0</v>
      </c>
      <c r="G1527" s="2">
        <v>237000.0</v>
      </c>
    </row>
    <row r="1528" ht="15.75" customHeight="1">
      <c r="A1528" s="2" t="s">
        <v>4587</v>
      </c>
      <c r="B1528" s="2" t="s">
        <v>4588</v>
      </c>
      <c r="C1528" s="2" t="s">
        <v>3659</v>
      </c>
      <c r="D1528" s="2">
        <v>11.0</v>
      </c>
      <c r="E1528" s="2">
        <v>1429.0</v>
      </c>
      <c r="F1528" s="2">
        <v>1418.0</v>
      </c>
      <c r="G1528" s="2">
        <v>205000.0</v>
      </c>
    </row>
    <row r="1529" ht="15.75" customHeight="1">
      <c r="A1529" s="2" t="s">
        <v>4589</v>
      </c>
      <c r="B1529" s="2" t="s">
        <v>4590</v>
      </c>
      <c r="C1529" s="2" t="s">
        <v>3659</v>
      </c>
      <c r="D1529" s="2">
        <v>48.0</v>
      </c>
      <c r="E1529" s="2">
        <v>1907.0</v>
      </c>
      <c r="F1529" s="2">
        <v>1941.0</v>
      </c>
      <c r="G1529" s="2">
        <v>185900.0</v>
      </c>
    </row>
    <row r="1530" ht="15.75" customHeight="1">
      <c r="A1530" s="2" t="s">
        <v>4591</v>
      </c>
      <c r="B1530" s="2" t="s">
        <v>4592</v>
      </c>
      <c r="C1530" s="2" t="s">
        <v>3659</v>
      </c>
      <c r="D1530" s="2">
        <v>27.0</v>
      </c>
      <c r="E1530" s="2">
        <v>1608.0</v>
      </c>
      <c r="F1530" s="2">
        <v>1600.0</v>
      </c>
      <c r="G1530" s="2">
        <v>188500.0</v>
      </c>
    </row>
    <row r="1531" ht="15.75" customHeight="1">
      <c r="A1531" s="2" t="s">
        <v>4593</v>
      </c>
      <c r="B1531" s="2" t="s">
        <v>4594</v>
      </c>
      <c r="C1531" s="2" t="s">
        <v>3659</v>
      </c>
      <c r="D1531" s="2">
        <v>38.0</v>
      </c>
      <c r="E1531" s="2">
        <v>1514.0</v>
      </c>
      <c r="F1531" s="2">
        <v>1559.0</v>
      </c>
      <c r="G1531" s="2">
        <v>144500.0</v>
      </c>
    </row>
    <row r="1532" ht="15.75" customHeight="1">
      <c r="A1532" s="2" t="s">
        <v>4595</v>
      </c>
      <c r="B1532" s="2" t="s">
        <v>4596</v>
      </c>
      <c r="C1532" s="2" t="s">
        <v>3659</v>
      </c>
      <c r="D1532" s="2">
        <v>7.0</v>
      </c>
      <c r="E1532" s="2">
        <v>2461.0</v>
      </c>
      <c r="F1532" s="2">
        <v>2514.0</v>
      </c>
      <c r="G1532" s="2">
        <v>268000.0</v>
      </c>
    </row>
    <row r="1533" ht="15.75" customHeight="1">
      <c r="A1533" s="2" t="s">
        <v>4597</v>
      </c>
      <c r="B1533" s="2" t="s">
        <v>4598</v>
      </c>
      <c r="C1533" s="2" t="s">
        <v>3659</v>
      </c>
      <c r="D1533" s="2">
        <v>7.0</v>
      </c>
      <c r="E1533" s="2">
        <v>1000.0</v>
      </c>
      <c r="F1533" s="2">
        <v>1089.0</v>
      </c>
      <c r="G1533" s="2">
        <v>160000.0</v>
      </c>
    </row>
    <row r="1534" ht="15.75" customHeight="1">
      <c r="A1534" s="2" t="s">
        <v>4599</v>
      </c>
      <c r="B1534" s="2" t="s">
        <v>4600</v>
      </c>
      <c r="C1534" s="2" t="s">
        <v>3659</v>
      </c>
      <c r="D1534" s="2">
        <v>9.0</v>
      </c>
      <c r="E1534" s="2">
        <v>1433.0</v>
      </c>
      <c r="F1534" s="2">
        <v>1735.0</v>
      </c>
      <c r="G1534" s="2">
        <v>225000.0</v>
      </c>
    </row>
    <row r="1535" ht="15.75" customHeight="1">
      <c r="A1535" s="2" t="s">
        <v>4601</v>
      </c>
      <c r="B1535" s="2" t="s">
        <v>4602</v>
      </c>
      <c r="C1535" s="2" t="s">
        <v>3659</v>
      </c>
      <c r="D1535" s="2">
        <v>11.0</v>
      </c>
      <c r="E1535" s="2">
        <v>1933.0</v>
      </c>
      <c r="F1535" s="2">
        <v>1906.0</v>
      </c>
      <c r="G1535" s="2">
        <v>178000.0</v>
      </c>
    </row>
    <row r="1536" ht="15.75" customHeight="1">
      <c r="A1536" s="2" t="s">
        <v>4603</v>
      </c>
      <c r="B1536" s="2" t="s">
        <v>4604</v>
      </c>
      <c r="C1536" s="2" t="s">
        <v>3659</v>
      </c>
      <c r="D1536" s="2">
        <v>5.0</v>
      </c>
      <c r="E1536" s="2">
        <v>1340.0</v>
      </c>
      <c r="F1536" s="2">
        <v>1648.0</v>
      </c>
      <c r="G1536" s="2">
        <v>297550.0</v>
      </c>
    </row>
    <row r="1537" ht="15.75" customHeight="1">
      <c r="A1537" s="2" t="s">
        <v>4605</v>
      </c>
      <c r="B1537" s="2" t="s">
        <v>4606</v>
      </c>
      <c r="C1537" s="2" t="s">
        <v>3659</v>
      </c>
      <c r="D1537" s="2">
        <v>8.0</v>
      </c>
      <c r="E1537" s="2">
        <v>1546.0</v>
      </c>
      <c r="F1537" s="2">
        <v>1568.0</v>
      </c>
      <c r="G1537" s="2">
        <v>212000.0</v>
      </c>
    </row>
    <row r="1538" ht="15.75" customHeight="1">
      <c r="A1538" s="2" t="s">
        <v>4607</v>
      </c>
      <c r="B1538" s="2" t="s">
        <v>4608</v>
      </c>
      <c r="C1538" s="2" t="s">
        <v>3659</v>
      </c>
      <c r="D1538" s="2">
        <v>17.0</v>
      </c>
      <c r="E1538" s="2">
        <v>1235.0</v>
      </c>
      <c r="F1538" s="2">
        <v>1249.0</v>
      </c>
      <c r="G1538" s="2">
        <v>145000.0</v>
      </c>
    </row>
    <row r="1539" ht="15.75" customHeight="1">
      <c r="A1539" s="2" t="s">
        <v>4609</v>
      </c>
      <c r="B1539" s="2" t="s">
        <v>4610</v>
      </c>
      <c r="C1539" s="2" t="s">
        <v>3659</v>
      </c>
      <c r="D1539" s="2">
        <v>7.0</v>
      </c>
      <c r="E1539" s="2">
        <v>1645.0</v>
      </c>
      <c r="F1539" s="2">
        <v>1650.0</v>
      </c>
      <c r="G1539" s="2">
        <v>217200.0</v>
      </c>
    </row>
    <row r="1540" ht="15.75" customHeight="1">
      <c r="A1540" s="2" t="s">
        <v>4611</v>
      </c>
      <c r="B1540" s="2" t="s">
        <v>4612</v>
      </c>
      <c r="C1540" s="2" t="s">
        <v>3659</v>
      </c>
      <c r="D1540" s="2">
        <v>133.0</v>
      </c>
      <c r="E1540" s="2">
        <v>4457.0</v>
      </c>
      <c r="F1540" s="2">
        <v>4555.0</v>
      </c>
      <c r="G1540" s="2">
        <v>321500.0</v>
      </c>
    </row>
    <row r="1541" ht="15.75" customHeight="1">
      <c r="A1541" s="2" t="s">
        <v>4613</v>
      </c>
      <c r="B1541" s="2" t="s">
        <v>4614</v>
      </c>
      <c r="C1541" s="2" t="s">
        <v>3659</v>
      </c>
      <c r="D1541" s="2">
        <v>55.0</v>
      </c>
      <c r="E1541" s="2">
        <v>2126.0</v>
      </c>
      <c r="F1541" s="2">
        <v>2262.0</v>
      </c>
      <c r="G1541" s="2">
        <v>199000.0</v>
      </c>
    </row>
    <row r="1542" ht="15.75" customHeight="1">
      <c r="A1542" s="2" t="s">
        <v>4615</v>
      </c>
      <c r="B1542" s="2" t="s">
        <v>4616</v>
      </c>
      <c r="C1542" s="2" t="s">
        <v>3659</v>
      </c>
      <c r="D1542" s="2">
        <v>68.0</v>
      </c>
      <c r="E1542" s="2">
        <v>1602.0</v>
      </c>
      <c r="F1542" s="2">
        <v>1629.0</v>
      </c>
      <c r="G1542" s="2">
        <v>129500.0</v>
      </c>
    </row>
    <row r="1543" ht="15.75" customHeight="1">
      <c r="A1543" s="2" t="s">
        <v>4617</v>
      </c>
      <c r="B1543" s="2" t="s">
        <v>4618</v>
      </c>
      <c r="C1543" s="2" t="s">
        <v>3659</v>
      </c>
      <c r="D1543" s="2">
        <v>7.0</v>
      </c>
      <c r="E1543" s="2">
        <v>1729.0</v>
      </c>
      <c r="F1543" s="2">
        <v>1787.0</v>
      </c>
      <c r="G1543" s="2">
        <v>215000.0</v>
      </c>
    </row>
    <row r="1544" ht="15.75" customHeight="1">
      <c r="A1544" s="2" t="s">
        <v>4619</v>
      </c>
      <c r="B1544" s="2" t="s">
        <v>4620</v>
      </c>
      <c r="C1544" s="2" t="s">
        <v>3659</v>
      </c>
      <c r="D1544" s="2">
        <v>7.0</v>
      </c>
      <c r="E1544" s="2">
        <v>1098.0</v>
      </c>
      <c r="F1544" s="2">
        <v>1283.0</v>
      </c>
      <c r="G1544" s="2">
        <v>180000.0</v>
      </c>
    </row>
    <row r="1545" ht="15.75" customHeight="1">
      <c r="A1545" s="2" t="s">
        <v>4622</v>
      </c>
      <c r="B1545" s="2" t="s">
        <v>4624</v>
      </c>
      <c r="C1545" s="2" t="s">
        <v>3659</v>
      </c>
      <c r="D1545" s="2">
        <v>29.0</v>
      </c>
      <c r="E1545" s="2">
        <v>4892.0</v>
      </c>
      <c r="F1545" s="2">
        <v>4860.0</v>
      </c>
      <c r="G1545" s="2">
        <v>425000.0</v>
      </c>
    </row>
    <row r="1546" ht="15.75" customHeight="1">
      <c r="A1546" s="2" t="s">
        <v>4625</v>
      </c>
      <c r="B1546" s="2" t="s">
        <v>4626</v>
      </c>
      <c r="C1546" s="2" t="s">
        <v>3659</v>
      </c>
      <c r="D1546" s="2">
        <v>9.0</v>
      </c>
      <c r="E1546" s="2">
        <v>1556.0</v>
      </c>
      <c r="F1546" s="2">
        <v>1711.0</v>
      </c>
      <c r="G1546" s="2">
        <v>140000.0</v>
      </c>
    </row>
    <row r="1547" ht="15.75" customHeight="1">
      <c r="A1547" s="2" t="s">
        <v>4627</v>
      </c>
      <c r="B1547" s="2" t="s">
        <v>4628</v>
      </c>
      <c r="C1547" s="2" t="s">
        <v>3659</v>
      </c>
      <c r="D1547" s="2">
        <v>10.0</v>
      </c>
      <c r="E1547" s="2">
        <v>1684.0</v>
      </c>
      <c r="F1547" s="2">
        <v>1614.0</v>
      </c>
      <c r="G1547" s="2">
        <v>194000.0</v>
      </c>
    </row>
    <row r="1548" ht="15.75" customHeight="1">
      <c r="A1548" s="2" t="s">
        <v>4629</v>
      </c>
      <c r="B1548" s="2" t="s">
        <v>4630</v>
      </c>
      <c r="C1548" s="2" t="s">
        <v>3659</v>
      </c>
      <c r="D1548" s="2">
        <v>27.0</v>
      </c>
      <c r="E1548" s="2">
        <v>1557.0</v>
      </c>
      <c r="F1548" s="2">
        <v>1671.0</v>
      </c>
      <c r="G1548" s="2">
        <v>166000.0</v>
      </c>
    </row>
    <row r="1549" ht="15.75" customHeight="1">
      <c r="A1549" s="2" t="s">
        <v>4631</v>
      </c>
      <c r="B1549" s="2" t="s">
        <v>4632</v>
      </c>
      <c r="C1549" s="2" t="s">
        <v>3659</v>
      </c>
      <c r="D1549" s="2">
        <v>5.0</v>
      </c>
      <c r="E1549" s="2">
        <v>1008.0</v>
      </c>
      <c r="F1549" s="2">
        <v>1329.0</v>
      </c>
      <c r="G1549" s="2">
        <v>170000.0</v>
      </c>
    </row>
    <row r="1550" ht="15.75" customHeight="1">
      <c r="A1550" s="2" t="s">
        <v>4633</v>
      </c>
      <c r="B1550" s="2" t="s">
        <v>4634</v>
      </c>
      <c r="C1550" s="2" t="s">
        <v>3659</v>
      </c>
      <c r="D1550" s="2">
        <v>5.0</v>
      </c>
      <c r="E1550" s="2">
        <v>1235.0</v>
      </c>
      <c r="F1550" s="2">
        <v>1605.0</v>
      </c>
      <c r="G1550" s="2">
        <v>266850.0</v>
      </c>
    </row>
    <row r="1551" ht="15.75" customHeight="1">
      <c r="A1551" s="2" t="s">
        <v>4635</v>
      </c>
      <c r="B1551" s="2" t="s">
        <v>4636</v>
      </c>
      <c r="C1551" s="2" t="s">
        <v>3659</v>
      </c>
      <c r="D1551" s="2">
        <v>21.0</v>
      </c>
      <c r="E1551" s="2">
        <v>1402.0</v>
      </c>
      <c r="F1551" s="2">
        <v>1496.0</v>
      </c>
      <c r="G1551" s="2">
        <v>190000.0</v>
      </c>
    </row>
    <row r="1552" ht="15.75" customHeight="1">
      <c r="A1552" s="2" t="s">
        <v>4637</v>
      </c>
      <c r="B1552" s="2" t="s">
        <v>4638</v>
      </c>
      <c r="C1552" s="2" t="s">
        <v>3659</v>
      </c>
      <c r="D1552" s="2">
        <v>30.0</v>
      </c>
      <c r="E1552" s="2">
        <v>1033.0</v>
      </c>
      <c r="F1552" s="2">
        <v>1202.0</v>
      </c>
      <c r="G1552" s="2">
        <v>122850.0</v>
      </c>
    </row>
    <row r="1553" ht="15.75" customHeight="1">
      <c r="A1553" s="2" t="s">
        <v>4641</v>
      </c>
      <c r="B1553" s="2" t="s">
        <v>4642</v>
      </c>
      <c r="C1553" s="2" t="s">
        <v>3659</v>
      </c>
      <c r="D1553" s="2">
        <v>10.0</v>
      </c>
      <c r="E1553" s="2">
        <v>1044.0</v>
      </c>
      <c r="F1553" s="2">
        <v>1272.0</v>
      </c>
      <c r="G1553" s="2">
        <v>200000.0</v>
      </c>
    </row>
    <row r="1554" ht="15.75" customHeight="1">
      <c r="A1554" s="2" t="s">
        <v>4645</v>
      </c>
      <c r="B1554" s="2" t="s">
        <v>4646</v>
      </c>
      <c r="C1554" s="2" t="s">
        <v>3659</v>
      </c>
      <c r="D1554" s="2">
        <v>43.0</v>
      </c>
      <c r="E1554" s="2">
        <v>1542.0</v>
      </c>
      <c r="F1554" s="2">
        <v>1507.0</v>
      </c>
      <c r="G1554" s="2">
        <v>118000.0</v>
      </c>
    </row>
    <row r="1555" ht="15.75" customHeight="1">
      <c r="A1555" s="2" t="s">
        <v>4647</v>
      </c>
      <c r="B1555" s="2" t="s">
        <v>4648</v>
      </c>
      <c r="C1555" s="2" t="s">
        <v>3659</v>
      </c>
      <c r="D1555" s="2">
        <v>28.0</v>
      </c>
      <c r="E1555" s="2">
        <v>1504.0</v>
      </c>
      <c r="F1555" s="2">
        <v>1449.0</v>
      </c>
      <c r="G1555" s="2">
        <v>156000.0</v>
      </c>
    </row>
    <row r="1556" ht="15.75" customHeight="1">
      <c r="A1556" s="2" t="s">
        <v>4649</v>
      </c>
      <c r="B1556" s="2" t="s">
        <v>4650</v>
      </c>
      <c r="C1556" s="2" t="s">
        <v>3659</v>
      </c>
      <c r="D1556" s="2">
        <v>11.0</v>
      </c>
      <c r="E1556" s="2">
        <v>1212.0</v>
      </c>
      <c r="F1556" s="2">
        <v>1135.0</v>
      </c>
      <c r="G1556" s="2">
        <v>126600.0</v>
      </c>
    </row>
    <row r="1557" ht="15.75" customHeight="1">
      <c r="A1557" s="2" t="s">
        <v>4651</v>
      </c>
      <c r="B1557" s="2" t="s">
        <v>4652</v>
      </c>
      <c r="C1557" s="2" t="s">
        <v>3659</v>
      </c>
      <c r="D1557" s="2">
        <v>21.0</v>
      </c>
      <c r="E1557" s="2">
        <v>3447.0</v>
      </c>
      <c r="F1557" s="2">
        <v>3542.0</v>
      </c>
      <c r="G1557" s="2">
        <v>262000.0</v>
      </c>
    </row>
    <row r="1558" ht="15.75" customHeight="1">
      <c r="A1558" s="2" t="s">
        <v>4653</v>
      </c>
      <c r="B1558" s="2" t="s">
        <v>4654</v>
      </c>
      <c r="C1558" s="2" t="s">
        <v>3659</v>
      </c>
      <c r="D1558" s="2">
        <v>142.0</v>
      </c>
      <c r="E1558" s="2">
        <v>2294.0</v>
      </c>
      <c r="F1558" s="2">
        <v>2440.0</v>
      </c>
      <c r="G1558" s="2">
        <v>159000.0</v>
      </c>
    </row>
    <row r="1559" ht="15.75" customHeight="1">
      <c r="A1559" s="2" t="s">
        <v>4655</v>
      </c>
      <c r="B1559" s="2" t="s">
        <v>4656</v>
      </c>
      <c r="C1559" s="2" t="s">
        <v>3659</v>
      </c>
      <c r="D1559" s="2">
        <v>41.0</v>
      </c>
      <c r="E1559" s="2">
        <v>1806.0</v>
      </c>
      <c r="F1559" s="2">
        <v>1807.0</v>
      </c>
      <c r="G1559" s="2">
        <v>161700.0</v>
      </c>
    </row>
    <row r="1560" ht="15.75" customHeight="1">
      <c r="A1560" s="2" t="s">
        <v>4658</v>
      </c>
      <c r="B1560" s="2" t="s">
        <v>4660</v>
      </c>
      <c r="C1560" s="2" t="s">
        <v>4661</v>
      </c>
      <c r="D1560" s="2">
        <v>270.0</v>
      </c>
      <c r="E1560" s="2">
        <v>1500.0</v>
      </c>
      <c r="F1560" s="2">
        <v>1613.0</v>
      </c>
      <c r="G1560" s="2">
        <v>120000.0</v>
      </c>
    </row>
    <row r="1561" ht="15.75" customHeight="1">
      <c r="A1561" s="2" t="s">
        <v>4662</v>
      </c>
      <c r="B1561" s="2" t="s">
        <v>4663</v>
      </c>
      <c r="C1561" s="2" t="s">
        <v>4661</v>
      </c>
      <c r="D1561" s="2">
        <v>6.0</v>
      </c>
      <c r="E1561" s="2">
        <v>880.0</v>
      </c>
      <c r="F1561" s="2">
        <v>811.0</v>
      </c>
      <c r="G1561" s="2">
        <v>121150.0</v>
      </c>
    </row>
    <row r="1562" ht="15.75" customHeight="1">
      <c r="A1562" s="2" t="s">
        <v>4664</v>
      </c>
      <c r="B1562" s="2" t="s">
        <v>4665</v>
      </c>
      <c r="C1562" s="2" t="s">
        <v>4661</v>
      </c>
      <c r="D1562" s="2">
        <v>9.0</v>
      </c>
      <c r="E1562" s="2">
        <v>1700.0</v>
      </c>
      <c r="F1562" s="2">
        <v>1731.0</v>
      </c>
      <c r="G1562" s="2">
        <v>190000.0</v>
      </c>
    </row>
    <row r="1563" ht="15.75" customHeight="1">
      <c r="A1563" s="2" t="s">
        <v>4667</v>
      </c>
      <c r="B1563" s="2" t="s">
        <v>4669</v>
      </c>
      <c r="C1563" s="2" t="s">
        <v>4661</v>
      </c>
      <c r="D1563" s="2">
        <v>25.0</v>
      </c>
      <c r="E1563" s="2">
        <v>1659.0</v>
      </c>
      <c r="F1563" s="2">
        <v>1689.0</v>
      </c>
      <c r="G1563" s="2">
        <v>136000.0</v>
      </c>
    </row>
    <row r="1564" ht="15.75" customHeight="1">
      <c r="A1564" s="2" t="s">
        <v>4670</v>
      </c>
      <c r="B1564" s="2" t="s">
        <v>4671</v>
      </c>
      <c r="C1564" s="2" t="s">
        <v>4661</v>
      </c>
      <c r="D1564" s="2">
        <v>31.0</v>
      </c>
      <c r="E1564" s="2">
        <v>1769.0</v>
      </c>
      <c r="F1564" s="2">
        <v>2048.0</v>
      </c>
      <c r="G1564" s="2">
        <v>130000.0</v>
      </c>
    </row>
    <row r="1565" ht="15.75" customHeight="1">
      <c r="A1565" s="2" t="s">
        <v>4672</v>
      </c>
      <c r="B1565" s="2" t="s">
        <v>4673</v>
      </c>
      <c r="C1565" s="2" t="s">
        <v>4661</v>
      </c>
      <c r="D1565" s="2">
        <v>15.0</v>
      </c>
      <c r="E1565" s="2">
        <v>1300.0</v>
      </c>
      <c r="F1565" s="2">
        <v>1292.0</v>
      </c>
      <c r="G1565" s="2">
        <v>110000.0</v>
      </c>
    </row>
    <row r="1566" ht="15.75" customHeight="1">
      <c r="A1566" s="2" t="s">
        <v>4676</v>
      </c>
      <c r="B1566" s="2" t="s">
        <v>4677</v>
      </c>
      <c r="C1566" s="2" t="s">
        <v>4661</v>
      </c>
      <c r="D1566" s="2">
        <v>142.0</v>
      </c>
      <c r="E1566" s="2">
        <v>1322.0</v>
      </c>
      <c r="F1566" s="2">
        <v>1339.0</v>
      </c>
      <c r="G1566" s="2">
        <v>104754.0</v>
      </c>
    </row>
    <row r="1567" ht="15.75" customHeight="1">
      <c r="A1567" s="2" t="s">
        <v>4678</v>
      </c>
      <c r="B1567" s="2" t="s">
        <v>4679</v>
      </c>
      <c r="C1567" s="2" t="s">
        <v>4661</v>
      </c>
      <c r="D1567" s="2">
        <v>9.0</v>
      </c>
      <c r="E1567" s="2">
        <v>1500.0</v>
      </c>
      <c r="F1567" s="2">
        <v>1363.0</v>
      </c>
      <c r="G1567" s="2">
        <v>120000.0</v>
      </c>
    </row>
    <row r="1568" ht="15.75" customHeight="1">
      <c r="A1568" s="2" t="s">
        <v>4680</v>
      </c>
      <c r="B1568" s="2" t="s">
        <v>4681</v>
      </c>
      <c r="C1568" s="2" t="s">
        <v>4661</v>
      </c>
      <c r="D1568" s="2">
        <v>1544.0</v>
      </c>
      <c r="E1568" s="2">
        <v>2336.0</v>
      </c>
      <c r="F1568" s="2">
        <v>2393.0</v>
      </c>
      <c r="G1568" s="2">
        <v>144000.0</v>
      </c>
    </row>
    <row r="1569" ht="15.75" customHeight="1">
      <c r="A1569" s="2" t="s">
        <v>4682</v>
      </c>
      <c r="B1569" s="2" t="s">
        <v>4683</v>
      </c>
      <c r="C1569" s="2" t="s">
        <v>4661</v>
      </c>
      <c r="D1569" s="2">
        <v>5.0</v>
      </c>
      <c r="E1569" s="2">
        <v>1474.0</v>
      </c>
      <c r="F1569" s="2">
        <v>1407.0</v>
      </c>
      <c r="G1569" s="2">
        <v>115000.0</v>
      </c>
    </row>
    <row r="1570" ht="15.75" customHeight="1">
      <c r="A1570" s="2" t="s">
        <v>4684</v>
      </c>
      <c r="B1570" s="2" t="s">
        <v>4685</v>
      </c>
      <c r="C1570" s="2" t="s">
        <v>4661</v>
      </c>
      <c r="D1570" s="2">
        <v>8.0</v>
      </c>
      <c r="E1570" s="2">
        <v>1632.0</v>
      </c>
      <c r="F1570" s="2">
        <v>1738.0</v>
      </c>
      <c r="G1570" s="2">
        <v>158500.0</v>
      </c>
    </row>
    <row r="1571" ht="15.75" customHeight="1">
      <c r="A1571" s="2" t="s">
        <v>4686</v>
      </c>
      <c r="B1571" s="2" t="s">
        <v>4687</v>
      </c>
      <c r="C1571" s="2" t="s">
        <v>4661</v>
      </c>
      <c r="D1571" s="2">
        <v>9.0</v>
      </c>
      <c r="E1571" s="2">
        <v>956.0</v>
      </c>
      <c r="F1571" s="2">
        <v>1072.0</v>
      </c>
      <c r="G1571" s="2">
        <v>107000.0</v>
      </c>
    </row>
    <row r="1572" ht="15.75" customHeight="1">
      <c r="A1572" s="2" t="s">
        <v>4690</v>
      </c>
      <c r="B1572" s="2" t="s">
        <v>3723</v>
      </c>
      <c r="C1572" s="2" t="s">
        <v>4661</v>
      </c>
      <c r="D1572" s="2">
        <v>5.0</v>
      </c>
      <c r="E1572" s="2">
        <v>1198.0</v>
      </c>
      <c r="F1572" s="2">
        <v>1161.0</v>
      </c>
      <c r="G1572" s="2">
        <v>97000.0</v>
      </c>
    </row>
    <row r="1573" ht="15.75" customHeight="1">
      <c r="A1573" s="2" t="s">
        <v>4691</v>
      </c>
      <c r="B1573" s="2" t="s">
        <v>4692</v>
      </c>
      <c r="C1573" s="2" t="s">
        <v>4661</v>
      </c>
      <c r="D1573" s="2">
        <v>5.0</v>
      </c>
      <c r="E1573" s="2">
        <v>1400.0</v>
      </c>
      <c r="F1573" s="2">
        <v>1437.0</v>
      </c>
      <c r="G1573" s="2">
        <v>140000.0</v>
      </c>
    </row>
    <row r="1574" ht="15.75" customHeight="1">
      <c r="A1574" s="2" t="s">
        <v>4693</v>
      </c>
      <c r="B1574" s="2" t="s">
        <v>4694</v>
      </c>
      <c r="C1574" s="2" t="s">
        <v>4661</v>
      </c>
      <c r="D1574" s="2">
        <v>76.0</v>
      </c>
      <c r="E1574" s="2">
        <v>2321.0</v>
      </c>
      <c r="F1574" s="2">
        <v>2496.0</v>
      </c>
      <c r="G1574" s="2">
        <v>130560.0</v>
      </c>
    </row>
    <row r="1575" ht="15.75" customHeight="1">
      <c r="A1575" s="2" t="s">
        <v>4696</v>
      </c>
      <c r="B1575" s="2" t="s">
        <v>4698</v>
      </c>
      <c r="C1575" s="2" t="s">
        <v>4661</v>
      </c>
      <c r="D1575" s="2">
        <v>7.0</v>
      </c>
      <c r="E1575" s="2">
        <v>1140.0</v>
      </c>
      <c r="F1575" s="2">
        <v>1153.0</v>
      </c>
      <c r="G1575" s="2">
        <v>105000.0</v>
      </c>
    </row>
    <row r="1576" ht="15.75" customHeight="1">
      <c r="A1576" s="2" t="s">
        <v>4701</v>
      </c>
      <c r="B1576" s="2" t="s">
        <v>4702</v>
      </c>
      <c r="C1576" s="2" t="s">
        <v>4661</v>
      </c>
      <c r="D1576" s="2">
        <v>11.0</v>
      </c>
      <c r="E1576" s="2">
        <v>1478.0</v>
      </c>
      <c r="F1576" s="2">
        <v>1327.0</v>
      </c>
      <c r="G1576" s="2">
        <v>140000.0</v>
      </c>
    </row>
    <row r="1577" ht="15.75" customHeight="1">
      <c r="A1577" s="2" t="s">
        <v>4706</v>
      </c>
      <c r="B1577" s="2" t="s">
        <v>4707</v>
      </c>
      <c r="C1577" s="2" t="s">
        <v>4661</v>
      </c>
      <c r="D1577" s="2">
        <v>5.0</v>
      </c>
      <c r="E1577" s="2">
        <v>436.0</v>
      </c>
      <c r="F1577" s="2">
        <v>715.0</v>
      </c>
      <c r="G1577" s="2">
        <v>96000.0</v>
      </c>
    </row>
    <row r="1578" ht="15.75" customHeight="1">
      <c r="A1578" s="2" t="s">
        <v>4708</v>
      </c>
      <c r="B1578" s="2" t="s">
        <v>4709</v>
      </c>
      <c r="C1578" s="2" t="s">
        <v>4661</v>
      </c>
      <c r="D1578" s="2">
        <v>11.0</v>
      </c>
      <c r="E1578" s="2">
        <v>1393.0</v>
      </c>
      <c r="F1578" s="2">
        <v>1309.0</v>
      </c>
      <c r="G1578" s="2">
        <v>148000.0</v>
      </c>
    </row>
    <row r="1579" ht="15.75" customHeight="1">
      <c r="A1579" s="2" t="s">
        <v>4712</v>
      </c>
      <c r="B1579" s="2" t="s">
        <v>4713</v>
      </c>
      <c r="C1579" s="2" t="s">
        <v>4661</v>
      </c>
      <c r="D1579" s="2">
        <v>26.0</v>
      </c>
      <c r="E1579" s="2">
        <v>1145.0</v>
      </c>
      <c r="F1579" s="2">
        <v>1139.0</v>
      </c>
      <c r="G1579" s="2">
        <v>123325.0</v>
      </c>
    </row>
    <row r="1580" ht="15.75" customHeight="1">
      <c r="A1580" s="2" t="s">
        <v>4714</v>
      </c>
      <c r="B1580" s="2" t="s">
        <v>4715</v>
      </c>
      <c r="C1580" s="2" t="s">
        <v>4661</v>
      </c>
      <c r="D1580" s="2">
        <v>6.0</v>
      </c>
      <c r="E1580" s="2">
        <v>1389.0</v>
      </c>
      <c r="F1580" s="2">
        <v>1367.0</v>
      </c>
      <c r="G1580" s="2">
        <v>164250.0</v>
      </c>
    </row>
    <row r="1581" ht="15.75" customHeight="1">
      <c r="A1581" s="2" t="s">
        <v>4716</v>
      </c>
      <c r="B1581" s="2" t="s">
        <v>4717</v>
      </c>
      <c r="C1581" s="2" t="s">
        <v>4661</v>
      </c>
      <c r="D1581" s="2">
        <v>8.0</v>
      </c>
      <c r="E1581" s="2">
        <v>1514.0</v>
      </c>
      <c r="F1581" s="2">
        <v>1508.0</v>
      </c>
      <c r="G1581" s="2">
        <v>125950.0</v>
      </c>
    </row>
    <row r="1582" ht="15.75" customHeight="1">
      <c r="A1582" s="2" t="s">
        <v>4718</v>
      </c>
      <c r="B1582" s="2" t="s">
        <v>4719</v>
      </c>
      <c r="C1582" s="2" t="s">
        <v>4661</v>
      </c>
      <c r="D1582" s="2">
        <v>11.0</v>
      </c>
      <c r="E1582" s="2">
        <v>1496.0</v>
      </c>
      <c r="F1582" s="2">
        <v>1305.0</v>
      </c>
      <c r="G1582" s="2">
        <v>175000.0</v>
      </c>
    </row>
    <row r="1583" ht="15.75" customHeight="1">
      <c r="A1583" s="2" t="s">
        <v>4721</v>
      </c>
      <c r="B1583" s="2" t="s">
        <v>4723</v>
      </c>
      <c r="C1583" s="2" t="s">
        <v>4661</v>
      </c>
      <c r="D1583" s="2">
        <v>6.0</v>
      </c>
      <c r="E1583" s="2">
        <v>1193.0</v>
      </c>
      <c r="F1583" s="2">
        <v>1179.0</v>
      </c>
      <c r="G1583" s="2">
        <v>155000.0</v>
      </c>
    </row>
    <row r="1584" ht="15.75" customHeight="1">
      <c r="A1584" s="2" t="s">
        <v>4724</v>
      </c>
      <c r="B1584" s="2" t="s">
        <v>4725</v>
      </c>
      <c r="C1584" s="2" t="s">
        <v>4661</v>
      </c>
      <c r="D1584" s="2">
        <v>13.0</v>
      </c>
      <c r="E1584" s="2">
        <v>1361.0</v>
      </c>
      <c r="F1584" s="2">
        <v>1374.0</v>
      </c>
      <c r="G1584" s="2">
        <v>121000.0</v>
      </c>
    </row>
    <row r="1585" ht="15.75" customHeight="1">
      <c r="A1585" s="2" t="s">
        <v>4728</v>
      </c>
      <c r="B1585" s="2" t="s">
        <v>4729</v>
      </c>
      <c r="C1585" s="2" t="s">
        <v>4661</v>
      </c>
      <c r="D1585" s="2">
        <v>14.0</v>
      </c>
      <c r="E1585" s="2">
        <v>1343.0</v>
      </c>
      <c r="F1585" s="2">
        <v>1422.0</v>
      </c>
      <c r="G1585" s="2">
        <v>117100.0</v>
      </c>
    </row>
    <row r="1586" ht="15.75" customHeight="1">
      <c r="A1586" s="2" t="s">
        <v>4730</v>
      </c>
      <c r="B1586" s="2" t="s">
        <v>4731</v>
      </c>
      <c r="C1586" s="2" t="s">
        <v>4661</v>
      </c>
      <c r="D1586" s="2">
        <v>7.0</v>
      </c>
      <c r="E1586" s="2">
        <v>1260.0</v>
      </c>
      <c r="F1586" s="2">
        <v>1321.0</v>
      </c>
      <c r="G1586" s="2">
        <v>94700.0</v>
      </c>
    </row>
    <row r="1587" ht="15.75" customHeight="1">
      <c r="A1587" s="2" t="s">
        <v>4732</v>
      </c>
      <c r="B1587" s="2" t="s">
        <v>4733</v>
      </c>
      <c r="C1587" s="2" t="s">
        <v>4661</v>
      </c>
      <c r="D1587" s="2">
        <v>6.0</v>
      </c>
      <c r="E1587" s="2">
        <v>1238.0</v>
      </c>
      <c r="F1587" s="2">
        <v>1266.0</v>
      </c>
      <c r="G1587" s="2">
        <v>103500.0</v>
      </c>
    </row>
    <row r="1588" ht="15.75" customHeight="1">
      <c r="A1588" s="2" t="s">
        <v>4734</v>
      </c>
      <c r="B1588" s="2" t="s">
        <v>4735</v>
      </c>
      <c r="C1588" s="2" t="s">
        <v>4661</v>
      </c>
      <c r="D1588" s="2">
        <v>9.0</v>
      </c>
      <c r="E1588" s="2">
        <v>1971.0</v>
      </c>
      <c r="F1588" s="2">
        <v>2052.0</v>
      </c>
      <c r="G1588" s="2">
        <v>173500.0</v>
      </c>
    </row>
    <row r="1589" ht="15.75" customHeight="1">
      <c r="A1589" s="2" t="s">
        <v>4736</v>
      </c>
      <c r="B1589" s="2" t="s">
        <v>4737</v>
      </c>
      <c r="C1589" s="2" t="s">
        <v>4661</v>
      </c>
      <c r="D1589" s="2">
        <v>5.0</v>
      </c>
      <c r="E1589" s="2">
        <v>1332.0</v>
      </c>
      <c r="F1589" s="2">
        <v>1437.0</v>
      </c>
      <c r="G1589" s="2">
        <v>193000.0</v>
      </c>
    </row>
    <row r="1590" ht="15.75" customHeight="1">
      <c r="A1590" s="2" t="s">
        <v>4738</v>
      </c>
      <c r="B1590" s="2" t="s">
        <v>4739</v>
      </c>
      <c r="C1590" s="2" t="s">
        <v>4661</v>
      </c>
      <c r="D1590" s="2">
        <v>5.0</v>
      </c>
      <c r="E1590" s="2">
        <v>1704.0</v>
      </c>
      <c r="F1590" s="2">
        <v>1810.0</v>
      </c>
      <c r="G1590" s="2">
        <v>161100.0</v>
      </c>
    </row>
    <row r="1591" ht="15.75" customHeight="1">
      <c r="A1591" s="2" t="s">
        <v>4740</v>
      </c>
      <c r="B1591" s="2" t="s">
        <v>4741</v>
      </c>
      <c r="C1591" s="2" t="s">
        <v>4661</v>
      </c>
      <c r="D1591" s="2">
        <v>6.0</v>
      </c>
      <c r="E1591" s="2">
        <v>1066.0</v>
      </c>
      <c r="F1591" s="2">
        <v>1308.0</v>
      </c>
      <c r="G1591" s="2">
        <v>165500.0</v>
      </c>
    </row>
    <row r="1592" ht="15.75" customHeight="1">
      <c r="A1592" s="2" t="s">
        <v>4742</v>
      </c>
      <c r="B1592" s="2" t="s">
        <v>4743</v>
      </c>
      <c r="C1592" s="2" t="s">
        <v>4661</v>
      </c>
      <c r="D1592" s="2">
        <v>6.0</v>
      </c>
      <c r="E1592" s="2">
        <v>889.0</v>
      </c>
      <c r="F1592" s="2">
        <v>852.0</v>
      </c>
      <c r="G1592" s="2">
        <v>113550.0</v>
      </c>
    </row>
    <row r="1593" ht="15.75" customHeight="1">
      <c r="A1593" s="2" t="s">
        <v>4744</v>
      </c>
      <c r="B1593" s="2" t="s">
        <v>4745</v>
      </c>
      <c r="C1593" s="2" t="s">
        <v>4661</v>
      </c>
      <c r="D1593" s="2">
        <v>10.0</v>
      </c>
      <c r="E1593" s="2">
        <v>1480.0</v>
      </c>
      <c r="F1593" s="2">
        <v>1560.0</v>
      </c>
      <c r="G1593" s="2">
        <v>157900.0</v>
      </c>
    </row>
    <row r="1594" ht="15.75" customHeight="1">
      <c r="A1594" s="2" t="s">
        <v>4746</v>
      </c>
      <c r="B1594" s="2" t="s">
        <v>4747</v>
      </c>
      <c r="C1594" s="2" t="s">
        <v>4661</v>
      </c>
      <c r="D1594" s="2">
        <v>9.0</v>
      </c>
      <c r="E1594" s="2">
        <v>1053.0</v>
      </c>
      <c r="F1594" s="2">
        <v>1107.0</v>
      </c>
      <c r="G1594" s="2">
        <v>123000.0</v>
      </c>
    </row>
    <row r="1595" ht="15.75" customHeight="1">
      <c r="A1595" s="2" t="s">
        <v>4748</v>
      </c>
      <c r="B1595" s="2" t="s">
        <v>4749</v>
      </c>
      <c r="C1595" s="2" t="s">
        <v>4661</v>
      </c>
      <c r="D1595" s="2">
        <v>6.0</v>
      </c>
      <c r="E1595" s="2">
        <v>1867.0</v>
      </c>
      <c r="F1595" s="2">
        <v>1634.0</v>
      </c>
      <c r="G1595" s="2">
        <v>155975.0</v>
      </c>
    </row>
    <row r="1596" ht="15.75" customHeight="1">
      <c r="A1596" s="2" t="s">
        <v>4750</v>
      </c>
      <c r="B1596" s="2" t="s">
        <v>4751</v>
      </c>
      <c r="C1596" s="2" t="s">
        <v>4661</v>
      </c>
      <c r="D1596" s="2">
        <v>5.0</v>
      </c>
      <c r="E1596" s="2">
        <v>2034.0</v>
      </c>
      <c r="F1596" s="2">
        <v>1796.0</v>
      </c>
      <c r="G1596" s="2">
        <v>231900.0</v>
      </c>
    </row>
    <row r="1597" ht="15.75" customHeight="1">
      <c r="A1597" s="2" t="s">
        <v>4752</v>
      </c>
      <c r="B1597" s="2" t="s">
        <v>4753</v>
      </c>
      <c r="C1597" s="2" t="s">
        <v>4661</v>
      </c>
      <c r="D1597" s="2">
        <v>43.0</v>
      </c>
      <c r="E1597" s="2">
        <v>2114.0</v>
      </c>
      <c r="F1597" s="2">
        <v>2035.0</v>
      </c>
      <c r="G1597" s="2">
        <v>181000.0</v>
      </c>
    </row>
    <row r="1598" ht="15.75" customHeight="1">
      <c r="A1598" s="2" t="s">
        <v>4756</v>
      </c>
      <c r="B1598" s="2" t="s">
        <v>4757</v>
      </c>
      <c r="C1598" s="2" t="s">
        <v>4661</v>
      </c>
      <c r="D1598" s="2">
        <v>11.0</v>
      </c>
      <c r="E1598" s="2">
        <v>1575.0</v>
      </c>
      <c r="F1598" s="2">
        <v>1810.0</v>
      </c>
      <c r="G1598" s="2">
        <v>115000.0</v>
      </c>
    </row>
    <row r="1599" ht="15.75" customHeight="1">
      <c r="A1599" s="2" t="s">
        <v>4759</v>
      </c>
      <c r="B1599" s="2" t="s">
        <v>4760</v>
      </c>
      <c r="C1599" s="2" t="s">
        <v>4661</v>
      </c>
      <c r="D1599" s="2">
        <v>9.0</v>
      </c>
      <c r="E1599" s="2">
        <v>866.0</v>
      </c>
      <c r="F1599" s="2">
        <v>1048.0</v>
      </c>
      <c r="G1599" s="2">
        <v>135150.0</v>
      </c>
    </row>
    <row r="1600" ht="15.75" customHeight="1">
      <c r="A1600" s="2" t="s">
        <v>4761</v>
      </c>
      <c r="B1600" s="2" t="s">
        <v>4762</v>
      </c>
      <c r="C1600" s="2" t="s">
        <v>4661</v>
      </c>
      <c r="D1600" s="2">
        <v>7.0</v>
      </c>
      <c r="E1600" s="2">
        <v>1638.0</v>
      </c>
      <c r="F1600" s="2">
        <v>1579.0</v>
      </c>
      <c r="G1600" s="2">
        <v>226500.0</v>
      </c>
    </row>
    <row r="1601" ht="15.75" customHeight="1">
      <c r="A1601" s="2" t="s">
        <v>4765</v>
      </c>
      <c r="B1601" s="2" t="s">
        <v>4766</v>
      </c>
      <c r="C1601" s="2" t="s">
        <v>4661</v>
      </c>
      <c r="D1601" s="2">
        <v>5.0</v>
      </c>
      <c r="E1601" s="2">
        <v>984.0</v>
      </c>
      <c r="F1601" s="2">
        <v>873.0</v>
      </c>
      <c r="G1601" s="2">
        <v>103000.0</v>
      </c>
    </row>
    <row r="1602" ht="15.75" customHeight="1">
      <c r="A1602" s="2" t="s">
        <v>4771</v>
      </c>
      <c r="B1602" s="2" t="s">
        <v>4772</v>
      </c>
      <c r="C1602" s="2" t="s">
        <v>4661</v>
      </c>
      <c r="D1602" s="2">
        <v>5.0</v>
      </c>
      <c r="E1602" s="2">
        <v>1341.0</v>
      </c>
      <c r="F1602" s="2">
        <v>1597.0</v>
      </c>
      <c r="G1602" s="2">
        <v>258000.0</v>
      </c>
    </row>
    <row r="1603" ht="15.75" customHeight="1">
      <c r="A1603" s="2" t="s">
        <v>4776</v>
      </c>
      <c r="B1603" s="2" t="s">
        <v>4777</v>
      </c>
      <c r="C1603" s="2" t="s">
        <v>4661</v>
      </c>
      <c r="D1603" s="2">
        <v>5.0</v>
      </c>
      <c r="E1603" s="2">
        <v>1475.0</v>
      </c>
      <c r="F1603" s="2">
        <v>1306.0</v>
      </c>
      <c r="G1603" s="2">
        <v>218200.0</v>
      </c>
    </row>
    <row r="1604" ht="15.75" customHeight="1">
      <c r="A1604" s="2" t="s">
        <v>4778</v>
      </c>
      <c r="B1604" s="2" t="s">
        <v>4779</v>
      </c>
      <c r="C1604" s="2" t="s">
        <v>4661</v>
      </c>
      <c r="D1604" s="2">
        <v>5.0</v>
      </c>
      <c r="E1604" s="2">
        <v>1094.0</v>
      </c>
      <c r="F1604" s="2">
        <v>1102.0</v>
      </c>
      <c r="G1604" s="2">
        <v>147290.0</v>
      </c>
    </row>
    <row r="1605" ht="15.75" customHeight="1">
      <c r="A1605" s="2" t="s">
        <v>4782</v>
      </c>
      <c r="B1605" s="2" t="s">
        <v>4783</v>
      </c>
      <c r="C1605" s="2" t="s">
        <v>4661</v>
      </c>
      <c r="D1605" s="2">
        <v>12.0</v>
      </c>
      <c r="E1605" s="2">
        <v>1256.0</v>
      </c>
      <c r="F1605" s="2">
        <v>1358.0</v>
      </c>
      <c r="G1605" s="2">
        <v>116500.0</v>
      </c>
    </row>
    <row r="1606" ht="15.75" customHeight="1">
      <c r="A1606" s="2" t="s">
        <v>4786</v>
      </c>
      <c r="B1606" s="2" t="s">
        <v>4787</v>
      </c>
      <c r="C1606" s="2" t="s">
        <v>4661</v>
      </c>
      <c r="D1606" s="2">
        <v>8.0</v>
      </c>
      <c r="E1606" s="2">
        <v>2464.0</v>
      </c>
      <c r="F1606" s="2">
        <v>2341.0</v>
      </c>
      <c r="G1606" s="2">
        <v>284000.0</v>
      </c>
    </row>
    <row r="1607" ht="15.75" customHeight="1">
      <c r="A1607" s="2" t="s">
        <v>4788</v>
      </c>
      <c r="B1607" s="2" t="s">
        <v>4789</v>
      </c>
      <c r="C1607" s="2" t="s">
        <v>4661</v>
      </c>
      <c r="D1607" s="2">
        <v>12.0</v>
      </c>
      <c r="E1607" s="2">
        <v>1194.0</v>
      </c>
      <c r="F1607" s="2">
        <v>1369.0</v>
      </c>
      <c r="G1607" s="2">
        <v>117500.0</v>
      </c>
    </row>
    <row r="1608" ht="15.75" customHeight="1">
      <c r="A1608" s="2" t="s">
        <v>4790</v>
      </c>
      <c r="B1608" s="2" t="s">
        <v>4791</v>
      </c>
      <c r="C1608" s="2" t="s">
        <v>4661</v>
      </c>
      <c r="D1608" s="2">
        <v>32.0</v>
      </c>
      <c r="E1608" s="2">
        <v>2097.0</v>
      </c>
      <c r="F1608" s="2">
        <v>2084.0</v>
      </c>
      <c r="G1608" s="2">
        <v>189500.0</v>
      </c>
    </row>
    <row r="1609" ht="15.75" customHeight="1">
      <c r="A1609" s="2" t="s">
        <v>4794</v>
      </c>
      <c r="B1609" s="2" t="s">
        <v>4795</v>
      </c>
      <c r="C1609" s="2" t="s">
        <v>4661</v>
      </c>
      <c r="D1609" s="2">
        <v>8.0</v>
      </c>
      <c r="E1609" s="2">
        <v>1268.0</v>
      </c>
      <c r="F1609" s="2">
        <v>1260.0</v>
      </c>
      <c r="G1609" s="2">
        <v>121050.0</v>
      </c>
    </row>
    <row r="1610" ht="15.75" customHeight="1">
      <c r="A1610" s="2" t="s">
        <v>4796</v>
      </c>
      <c r="B1610" s="2" t="s">
        <v>4797</v>
      </c>
      <c r="C1610" s="2" t="s">
        <v>4661</v>
      </c>
      <c r="D1610" s="2">
        <v>6.0</v>
      </c>
      <c r="E1610" s="2">
        <v>1077.0</v>
      </c>
      <c r="F1610" s="2">
        <v>1269.0</v>
      </c>
      <c r="G1610" s="2">
        <v>89000.0</v>
      </c>
    </row>
    <row r="1611" ht="15.75" customHeight="1">
      <c r="A1611" s="2" t="s">
        <v>4798</v>
      </c>
      <c r="B1611" s="2" t="s">
        <v>4799</v>
      </c>
      <c r="C1611" s="2" t="s">
        <v>4661</v>
      </c>
      <c r="D1611" s="2">
        <v>9.0</v>
      </c>
      <c r="E1611" s="2">
        <v>1126.0</v>
      </c>
      <c r="F1611" s="2">
        <v>1249.0</v>
      </c>
      <c r="G1611" s="2">
        <v>128000.0</v>
      </c>
    </row>
    <row r="1612" ht="15.75" customHeight="1">
      <c r="A1612" s="2" t="s">
        <v>4800</v>
      </c>
      <c r="B1612" s="2" t="s">
        <v>4801</v>
      </c>
      <c r="C1612" s="2" t="s">
        <v>4661</v>
      </c>
      <c r="D1612" s="2">
        <v>7.0</v>
      </c>
      <c r="E1612" s="2">
        <v>984.0</v>
      </c>
      <c r="F1612" s="2">
        <v>1082.0</v>
      </c>
      <c r="G1612" s="2">
        <v>75000.0</v>
      </c>
    </row>
    <row r="1613" ht="15.75" customHeight="1">
      <c r="A1613" s="2" t="s">
        <v>4802</v>
      </c>
      <c r="B1613" s="2" t="s">
        <v>4803</v>
      </c>
      <c r="C1613" s="2" t="s">
        <v>4661</v>
      </c>
      <c r="D1613" s="2">
        <v>12.0</v>
      </c>
      <c r="E1613" s="2">
        <v>989.0</v>
      </c>
      <c r="F1613" s="2">
        <v>994.0</v>
      </c>
      <c r="G1613" s="2">
        <v>79625.0</v>
      </c>
    </row>
    <row r="1614" ht="15.75" customHeight="1">
      <c r="A1614" s="2" t="s">
        <v>4804</v>
      </c>
      <c r="B1614" s="2" t="s">
        <v>4805</v>
      </c>
      <c r="C1614" s="2" t="s">
        <v>4661</v>
      </c>
      <c r="D1614" s="2">
        <v>110.0</v>
      </c>
      <c r="E1614" s="2">
        <v>2712.0</v>
      </c>
      <c r="F1614" s="2">
        <v>2743.0</v>
      </c>
      <c r="G1614" s="2">
        <v>136140.0</v>
      </c>
    </row>
    <row r="1615" ht="15.75" customHeight="1">
      <c r="A1615" s="2" t="s">
        <v>4808</v>
      </c>
      <c r="B1615" s="2" t="s">
        <v>4809</v>
      </c>
      <c r="C1615" s="2" t="s">
        <v>4661</v>
      </c>
      <c r="D1615" s="2">
        <v>5.0</v>
      </c>
      <c r="E1615" s="2">
        <v>1132.0</v>
      </c>
      <c r="F1615" s="2">
        <v>1263.0</v>
      </c>
      <c r="G1615" s="2">
        <v>212000.0</v>
      </c>
    </row>
    <row r="1616" ht="15.75" customHeight="1">
      <c r="A1616" s="2" t="s">
        <v>4810</v>
      </c>
      <c r="B1616" s="2" t="s">
        <v>4811</v>
      </c>
      <c r="C1616" s="2" t="s">
        <v>4661</v>
      </c>
      <c r="D1616" s="2">
        <v>17.0</v>
      </c>
      <c r="E1616" s="2">
        <v>955.0</v>
      </c>
      <c r="F1616" s="2">
        <v>1006.0</v>
      </c>
      <c r="G1616" s="2">
        <v>115000.0</v>
      </c>
    </row>
    <row r="1617" ht="15.75" customHeight="1">
      <c r="A1617" s="2" t="s">
        <v>4814</v>
      </c>
      <c r="B1617" s="2" t="s">
        <v>4815</v>
      </c>
      <c r="C1617" s="2" t="s">
        <v>4661</v>
      </c>
      <c r="D1617" s="2">
        <v>9.0</v>
      </c>
      <c r="E1617" s="2">
        <v>1451.0</v>
      </c>
      <c r="F1617" s="2">
        <v>1548.0</v>
      </c>
      <c r="G1617" s="2">
        <v>131000.0</v>
      </c>
    </row>
    <row r="1618" ht="15.75" customHeight="1">
      <c r="A1618" s="2" t="s">
        <v>4816</v>
      </c>
      <c r="B1618" s="2" t="s">
        <v>4817</v>
      </c>
      <c r="C1618" s="2" t="s">
        <v>4661</v>
      </c>
      <c r="D1618" s="2">
        <v>7.0</v>
      </c>
      <c r="E1618" s="2">
        <v>1099.0</v>
      </c>
      <c r="F1618" s="2">
        <v>1357.0</v>
      </c>
      <c r="G1618" s="2">
        <v>150500.0</v>
      </c>
    </row>
    <row r="1619" ht="15.75" customHeight="1">
      <c r="A1619" s="2" t="s">
        <v>4818</v>
      </c>
      <c r="B1619" s="2" t="s">
        <v>4819</v>
      </c>
      <c r="C1619" s="2" t="s">
        <v>4661</v>
      </c>
      <c r="D1619" s="2">
        <v>12.0</v>
      </c>
      <c r="E1619" s="2">
        <v>1122.0</v>
      </c>
      <c r="F1619" s="2">
        <v>1036.0</v>
      </c>
      <c r="G1619" s="2">
        <v>97750.0</v>
      </c>
    </row>
    <row r="1620" ht="15.75" customHeight="1">
      <c r="A1620" s="2" t="s">
        <v>4820</v>
      </c>
      <c r="B1620" s="2" t="s">
        <v>4821</v>
      </c>
      <c r="C1620" s="2" t="s">
        <v>4661</v>
      </c>
      <c r="D1620" s="2">
        <v>9.0</v>
      </c>
      <c r="E1620" s="2">
        <v>925.0</v>
      </c>
      <c r="F1620" s="2">
        <v>1008.0</v>
      </c>
      <c r="G1620" s="2">
        <v>129500.0</v>
      </c>
    </row>
    <row r="1621" ht="15.75" customHeight="1">
      <c r="A1621" s="2" t="s">
        <v>4823</v>
      </c>
      <c r="B1621" s="2" t="s">
        <v>4824</v>
      </c>
      <c r="C1621" s="2" t="s">
        <v>4661</v>
      </c>
      <c r="D1621" s="2">
        <v>14.0</v>
      </c>
      <c r="E1621" s="2">
        <v>1243.0</v>
      </c>
      <c r="F1621" s="2">
        <v>1399.0</v>
      </c>
      <c r="G1621" s="2">
        <v>100000.0</v>
      </c>
    </row>
    <row r="1622" ht="15.75" customHeight="1">
      <c r="A1622" s="2" t="s">
        <v>4826</v>
      </c>
      <c r="B1622" s="2" t="s">
        <v>4828</v>
      </c>
      <c r="C1622" s="2" t="s">
        <v>4661</v>
      </c>
      <c r="D1622" s="2">
        <v>71.0</v>
      </c>
      <c r="E1622" s="2">
        <v>1994.0</v>
      </c>
      <c r="F1622" s="2">
        <v>1924.0</v>
      </c>
      <c r="G1622" s="2">
        <v>152120.0</v>
      </c>
    </row>
    <row r="1623" ht="15.75" customHeight="1">
      <c r="A1623" s="2" t="s">
        <v>4830</v>
      </c>
      <c r="B1623" s="2" t="s">
        <v>4831</v>
      </c>
      <c r="C1623" s="2" t="s">
        <v>4661</v>
      </c>
      <c r="D1623" s="2">
        <v>5.0</v>
      </c>
      <c r="E1623" s="2">
        <v>1042.0</v>
      </c>
      <c r="F1623" s="2">
        <v>1375.0</v>
      </c>
      <c r="G1623" s="2">
        <v>190700.0</v>
      </c>
    </row>
    <row r="1624" ht="15.75" customHeight="1">
      <c r="A1624" s="2" t="s">
        <v>4833</v>
      </c>
      <c r="B1624" s="2" t="s">
        <v>4834</v>
      </c>
      <c r="C1624" s="2" t="s">
        <v>4661</v>
      </c>
      <c r="D1624" s="2">
        <v>5.0</v>
      </c>
      <c r="E1624" s="2">
        <v>1000.0</v>
      </c>
      <c r="F1624" s="2">
        <v>966.0</v>
      </c>
      <c r="G1624" s="2">
        <v>57500.0</v>
      </c>
    </row>
    <row r="1625" ht="15.75" customHeight="1">
      <c r="A1625" s="2" t="s">
        <v>4836</v>
      </c>
      <c r="B1625" s="2" t="s">
        <v>4839</v>
      </c>
      <c r="C1625" s="2" t="s">
        <v>4661</v>
      </c>
      <c r="D1625" s="2">
        <v>7.0</v>
      </c>
      <c r="E1625" s="2">
        <v>1206.0</v>
      </c>
      <c r="F1625" s="2">
        <v>1372.0</v>
      </c>
      <c r="G1625" s="2">
        <v>135030.0</v>
      </c>
    </row>
    <row r="1626" ht="15.75" customHeight="1">
      <c r="A1626" s="2" t="s">
        <v>4840</v>
      </c>
      <c r="B1626" s="2" t="s">
        <v>4841</v>
      </c>
      <c r="C1626" s="2" t="s">
        <v>4661</v>
      </c>
      <c r="D1626" s="2">
        <v>22.0</v>
      </c>
      <c r="E1626" s="2">
        <v>1078.0</v>
      </c>
      <c r="F1626" s="2">
        <v>1344.0</v>
      </c>
      <c r="G1626" s="2">
        <v>130000.0</v>
      </c>
    </row>
    <row r="1627" ht="15.75" customHeight="1">
      <c r="A1627" s="2" t="s">
        <v>4842</v>
      </c>
      <c r="B1627" s="2" t="s">
        <v>4843</v>
      </c>
      <c r="C1627" s="2" t="s">
        <v>4661</v>
      </c>
      <c r="D1627" s="2">
        <v>8.0</v>
      </c>
      <c r="E1627" s="2">
        <v>1777.0</v>
      </c>
      <c r="F1627" s="2">
        <v>1508.0</v>
      </c>
      <c r="G1627" s="2">
        <v>182475.0</v>
      </c>
    </row>
    <row r="1628" ht="15.75" customHeight="1">
      <c r="A1628" s="2" t="s">
        <v>4846</v>
      </c>
      <c r="B1628" s="2" t="s">
        <v>4847</v>
      </c>
      <c r="C1628" s="2" t="s">
        <v>4661</v>
      </c>
      <c r="D1628" s="2">
        <v>20.0</v>
      </c>
      <c r="E1628" s="2">
        <v>1599.0</v>
      </c>
      <c r="F1628" s="2">
        <v>1596.0</v>
      </c>
      <c r="G1628" s="2">
        <v>99000.0</v>
      </c>
    </row>
    <row r="1629" ht="15.75" customHeight="1">
      <c r="A1629" s="2" t="s">
        <v>4849</v>
      </c>
      <c r="B1629" s="2" t="s">
        <v>4850</v>
      </c>
      <c r="C1629" s="2" t="s">
        <v>4661</v>
      </c>
      <c r="D1629" s="2">
        <v>10.0</v>
      </c>
      <c r="E1629" s="2">
        <v>1399.0</v>
      </c>
      <c r="F1629" s="2">
        <v>1157.0</v>
      </c>
      <c r="G1629" s="2">
        <v>94750.0</v>
      </c>
    </row>
    <row r="1630" ht="15.75" customHeight="1">
      <c r="A1630" s="2" t="s">
        <v>4852</v>
      </c>
      <c r="B1630" s="2" t="s">
        <v>4854</v>
      </c>
      <c r="C1630" s="2" t="s">
        <v>4661</v>
      </c>
      <c r="D1630" s="2">
        <v>6.0</v>
      </c>
      <c r="E1630" s="2">
        <v>1159.0</v>
      </c>
      <c r="F1630" s="2">
        <v>1249.0</v>
      </c>
      <c r="G1630" s="2">
        <v>128200.0</v>
      </c>
    </row>
    <row r="1631" ht="15.75" customHeight="1">
      <c r="A1631" s="2" t="s">
        <v>4856</v>
      </c>
      <c r="B1631" s="2" t="s">
        <v>4857</v>
      </c>
      <c r="C1631" s="2" t="s">
        <v>4661</v>
      </c>
      <c r="D1631" s="2">
        <v>13.0</v>
      </c>
      <c r="E1631" s="2">
        <v>1129.0</v>
      </c>
      <c r="F1631" s="2">
        <v>1277.0</v>
      </c>
      <c r="G1631" s="2">
        <v>115000.0</v>
      </c>
    </row>
    <row r="1632" ht="15.75" customHeight="1">
      <c r="A1632" s="2" t="s">
        <v>4860</v>
      </c>
      <c r="B1632" s="2" t="s">
        <v>4861</v>
      </c>
      <c r="C1632" s="2" t="s">
        <v>4661</v>
      </c>
      <c r="D1632" s="2">
        <v>11.0</v>
      </c>
      <c r="E1632" s="2">
        <v>1172.0</v>
      </c>
      <c r="F1632" s="2">
        <v>1177.0</v>
      </c>
      <c r="G1632" s="2">
        <v>85000.0</v>
      </c>
    </row>
    <row r="1633" ht="15.75" customHeight="1">
      <c r="A1633" s="2" t="s">
        <v>4862</v>
      </c>
      <c r="B1633" s="2" t="s">
        <v>4863</v>
      </c>
      <c r="C1633" s="2" t="s">
        <v>4661</v>
      </c>
      <c r="D1633" s="2">
        <v>7.0</v>
      </c>
      <c r="E1633" s="2">
        <v>959.0</v>
      </c>
      <c r="F1633" s="2">
        <v>986.0</v>
      </c>
      <c r="G1633" s="2">
        <v>80000.0</v>
      </c>
    </row>
    <row r="1634" ht="15.75" customHeight="1">
      <c r="A1634" s="2" t="s">
        <v>4866</v>
      </c>
      <c r="B1634" s="2" t="s">
        <v>4868</v>
      </c>
      <c r="C1634" s="2" t="s">
        <v>4661</v>
      </c>
      <c r="D1634" s="2">
        <v>11.0</v>
      </c>
      <c r="E1634" s="2">
        <v>782.0</v>
      </c>
      <c r="F1634" s="2">
        <v>859.0</v>
      </c>
      <c r="G1634" s="2">
        <v>107000.0</v>
      </c>
    </row>
    <row r="1635" ht="15.75" customHeight="1">
      <c r="A1635" s="2" t="s">
        <v>4870</v>
      </c>
      <c r="B1635" s="2" t="s">
        <v>4871</v>
      </c>
      <c r="C1635" s="2" t="s">
        <v>4661</v>
      </c>
      <c r="D1635" s="2">
        <v>10.0</v>
      </c>
      <c r="E1635" s="2">
        <v>964.0</v>
      </c>
      <c r="F1635" s="2">
        <v>1136.0</v>
      </c>
      <c r="G1635" s="2">
        <v>101200.0</v>
      </c>
    </row>
    <row r="1636" ht="15.75" customHeight="1">
      <c r="A1636" s="2" t="s">
        <v>4872</v>
      </c>
      <c r="B1636" s="2" t="s">
        <v>4873</v>
      </c>
      <c r="C1636" s="2" t="s">
        <v>4661</v>
      </c>
      <c r="D1636" s="2">
        <v>5.0</v>
      </c>
      <c r="E1636" s="2">
        <v>1121.0</v>
      </c>
      <c r="F1636" s="2">
        <v>1034.0</v>
      </c>
      <c r="G1636" s="2">
        <v>105650.0</v>
      </c>
    </row>
    <row r="1637" ht="15.75" customHeight="1">
      <c r="A1637" s="2" t="s">
        <v>4876</v>
      </c>
      <c r="B1637" s="2" t="s">
        <v>4877</v>
      </c>
      <c r="C1637" s="2" t="s">
        <v>4661</v>
      </c>
      <c r="D1637" s="2">
        <v>59.0</v>
      </c>
      <c r="E1637" s="2">
        <v>1088.0</v>
      </c>
      <c r="F1637" s="2">
        <v>1262.0</v>
      </c>
      <c r="G1637" s="2">
        <v>90000.0</v>
      </c>
    </row>
    <row r="1638" ht="15.75" customHeight="1">
      <c r="A1638" s="2" t="s">
        <v>4879</v>
      </c>
      <c r="B1638" s="2" t="s">
        <v>4880</v>
      </c>
      <c r="C1638" s="2" t="s">
        <v>4661</v>
      </c>
      <c r="D1638" s="2">
        <v>24.0</v>
      </c>
      <c r="E1638" s="2">
        <v>1996.0</v>
      </c>
      <c r="F1638" s="2">
        <v>1915.0</v>
      </c>
      <c r="G1638" s="2">
        <v>154000.0</v>
      </c>
    </row>
    <row r="1639" ht="15.75" customHeight="1">
      <c r="A1639" s="2" t="s">
        <v>4881</v>
      </c>
      <c r="B1639" s="2" t="s">
        <v>4882</v>
      </c>
      <c r="C1639" s="2" t="s">
        <v>4661</v>
      </c>
      <c r="D1639" s="2">
        <v>7.0</v>
      </c>
      <c r="E1639" s="2">
        <v>1535.0</v>
      </c>
      <c r="F1639" s="2">
        <v>1525.0</v>
      </c>
      <c r="G1639" s="2">
        <v>193000.0</v>
      </c>
    </row>
    <row r="1640" ht="15.75" customHeight="1">
      <c r="A1640" s="2" t="s">
        <v>4883</v>
      </c>
      <c r="B1640" s="2" t="s">
        <v>1148</v>
      </c>
      <c r="C1640" s="2" t="s">
        <v>4661</v>
      </c>
      <c r="D1640" s="2">
        <v>10.0</v>
      </c>
      <c r="E1640" s="2">
        <v>3006.0</v>
      </c>
      <c r="F1640" s="2">
        <v>2933.0</v>
      </c>
      <c r="G1640" s="2">
        <v>430250.0</v>
      </c>
    </row>
    <row r="1641" ht="15.75" customHeight="1">
      <c r="A1641" s="2" t="s">
        <v>4884</v>
      </c>
      <c r="B1641" s="2" t="s">
        <v>4885</v>
      </c>
      <c r="C1641" s="2" t="s">
        <v>4661</v>
      </c>
      <c r="D1641" s="2">
        <v>7.0</v>
      </c>
      <c r="E1641" s="2">
        <v>1450.0</v>
      </c>
      <c r="F1641" s="2">
        <v>1664.0</v>
      </c>
      <c r="G1641" s="2">
        <v>147000.0</v>
      </c>
    </row>
    <row r="1642" ht="15.75" customHeight="1">
      <c r="A1642" s="2" t="s">
        <v>4888</v>
      </c>
      <c r="B1642" s="2" t="s">
        <v>4889</v>
      </c>
      <c r="C1642" s="2" t="s">
        <v>4661</v>
      </c>
      <c r="D1642" s="2">
        <v>12.0</v>
      </c>
      <c r="E1642" s="2">
        <v>1259.0</v>
      </c>
      <c r="F1642" s="2">
        <v>1325.0</v>
      </c>
      <c r="G1642" s="2">
        <v>125000.0</v>
      </c>
    </row>
    <row r="1643" ht="15.75" customHeight="1">
      <c r="A1643" s="2" t="s">
        <v>4890</v>
      </c>
      <c r="B1643" s="2" t="s">
        <v>4891</v>
      </c>
      <c r="C1643" s="2" t="s">
        <v>4661</v>
      </c>
      <c r="D1643" s="2">
        <v>19.0</v>
      </c>
      <c r="E1643" s="2">
        <v>970.0</v>
      </c>
      <c r="F1643" s="2">
        <v>998.0</v>
      </c>
      <c r="G1643" s="2">
        <v>90000.0</v>
      </c>
    </row>
    <row r="1644" ht="15.75" customHeight="1">
      <c r="A1644" s="2" t="s">
        <v>4892</v>
      </c>
      <c r="B1644" s="2" t="s">
        <v>4893</v>
      </c>
      <c r="C1644" s="2" t="s">
        <v>4661</v>
      </c>
      <c r="D1644" s="2">
        <v>7.0</v>
      </c>
      <c r="E1644" s="2">
        <v>781.0</v>
      </c>
      <c r="F1644" s="2">
        <v>935.0</v>
      </c>
      <c r="G1644" s="2">
        <v>110000.0</v>
      </c>
    </row>
    <row r="1645" ht="15.75" customHeight="1">
      <c r="A1645" s="2" t="s">
        <v>4894</v>
      </c>
      <c r="B1645" s="2" t="s">
        <v>4895</v>
      </c>
      <c r="C1645" s="2" t="s">
        <v>4661</v>
      </c>
      <c r="D1645" s="2">
        <v>5.0</v>
      </c>
      <c r="E1645" s="2">
        <v>1000.0</v>
      </c>
      <c r="F1645" s="2">
        <v>1546.0</v>
      </c>
      <c r="G1645" s="2">
        <v>128000.0</v>
      </c>
    </row>
    <row r="1646" ht="15.75" customHeight="1">
      <c r="A1646" s="2" t="s">
        <v>4898</v>
      </c>
      <c r="B1646" s="2" t="s">
        <v>4899</v>
      </c>
      <c r="C1646" s="2" t="s">
        <v>4661</v>
      </c>
      <c r="D1646" s="2">
        <v>8.0</v>
      </c>
      <c r="E1646" s="2">
        <v>727.0</v>
      </c>
      <c r="F1646" s="2">
        <v>860.0</v>
      </c>
      <c r="G1646" s="2">
        <v>70000.0</v>
      </c>
    </row>
    <row r="1647" ht="15.75" customHeight="1">
      <c r="A1647" s="2" t="s">
        <v>4902</v>
      </c>
      <c r="B1647" s="2" t="s">
        <v>4903</v>
      </c>
      <c r="C1647" s="2" t="s">
        <v>4661</v>
      </c>
      <c r="D1647" s="2">
        <v>8.0</v>
      </c>
      <c r="E1647" s="2">
        <v>1902.0</v>
      </c>
      <c r="F1647" s="2">
        <v>1787.0</v>
      </c>
      <c r="G1647" s="2">
        <v>270275.0</v>
      </c>
    </row>
    <row r="1648" ht="15.75" customHeight="1">
      <c r="A1648" s="2" t="s">
        <v>4914</v>
      </c>
      <c r="B1648" s="2" t="s">
        <v>4915</v>
      </c>
      <c r="C1648" s="2" t="s">
        <v>4661</v>
      </c>
      <c r="D1648" s="2">
        <v>19.0</v>
      </c>
      <c r="E1648" s="2">
        <v>1276.0</v>
      </c>
      <c r="F1648" s="2">
        <v>1295.0</v>
      </c>
      <c r="G1648" s="2">
        <v>103500.0</v>
      </c>
    </row>
    <row r="1649" ht="15.75" customHeight="1">
      <c r="A1649" s="2" t="s">
        <v>4917</v>
      </c>
      <c r="B1649" s="2" t="s">
        <v>4919</v>
      </c>
      <c r="C1649" s="2" t="s">
        <v>4661</v>
      </c>
      <c r="D1649" s="2">
        <v>5.0</v>
      </c>
      <c r="E1649" s="2">
        <v>971.0</v>
      </c>
      <c r="F1649" s="2">
        <v>1306.0</v>
      </c>
      <c r="G1649" s="2">
        <v>135000.0</v>
      </c>
    </row>
    <row r="1650" ht="15.75" customHeight="1">
      <c r="A1650" s="2" t="s">
        <v>4920</v>
      </c>
      <c r="B1650" s="2" t="s">
        <v>4921</v>
      </c>
      <c r="C1650" s="2" t="s">
        <v>4661</v>
      </c>
      <c r="D1650" s="2">
        <v>5.0</v>
      </c>
      <c r="E1650" s="2">
        <v>1349.0</v>
      </c>
      <c r="F1650" s="2">
        <v>1150.0</v>
      </c>
      <c r="G1650" s="2">
        <v>112000.0</v>
      </c>
    </row>
    <row r="1651" ht="15.75" customHeight="1">
      <c r="A1651" s="2" t="s">
        <v>4924</v>
      </c>
      <c r="B1651" s="2" t="s">
        <v>4925</v>
      </c>
      <c r="C1651" s="2" t="s">
        <v>4661</v>
      </c>
      <c r="D1651" s="2">
        <v>5.0</v>
      </c>
      <c r="E1651" s="2">
        <v>1975.0</v>
      </c>
      <c r="F1651" s="2">
        <v>1886.0</v>
      </c>
      <c r="G1651" s="2">
        <v>220000.0</v>
      </c>
    </row>
    <row r="1652" ht="15.75" customHeight="1">
      <c r="A1652" s="2" t="s">
        <v>4926</v>
      </c>
      <c r="B1652" s="2" t="s">
        <v>4927</v>
      </c>
      <c r="C1652" s="2" t="s">
        <v>4661</v>
      </c>
      <c r="D1652" s="2">
        <v>15.0</v>
      </c>
      <c r="E1652" s="2">
        <v>1884.0</v>
      </c>
      <c r="F1652" s="2">
        <v>1945.0</v>
      </c>
      <c r="G1652" s="2">
        <v>206000.0</v>
      </c>
    </row>
    <row r="1653" ht="15.75" customHeight="1">
      <c r="A1653" s="2" t="s">
        <v>4930</v>
      </c>
      <c r="B1653" s="2" t="s">
        <v>4931</v>
      </c>
      <c r="C1653" s="2" t="s">
        <v>4661</v>
      </c>
      <c r="D1653" s="2">
        <v>40.0</v>
      </c>
      <c r="E1653" s="2">
        <v>1280.0</v>
      </c>
      <c r="F1653" s="2">
        <v>1302.0</v>
      </c>
      <c r="G1653" s="2">
        <v>103500.0</v>
      </c>
    </row>
    <row r="1654" ht="15.75" customHeight="1">
      <c r="A1654" s="2" t="s">
        <v>4932</v>
      </c>
      <c r="B1654" s="2" t="s">
        <v>4933</v>
      </c>
      <c r="C1654" s="2" t="s">
        <v>4661</v>
      </c>
      <c r="D1654" s="2">
        <v>5.0</v>
      </c>
      <c r="E1654" s="2">
        <v>1444.0</v>
      </c>
      <c r="F1654" s="2">
        <v>1354.0</v>
      </c>
      <c r="G1654" s="2">
        <v>100500.0</v>
      </c>
    </row>
    <row r="1655" ht="15.75" customHeight="1">
      <c r="A1655" s="2" t="s">
        <v>4935</v>
      </c>
      <c r="B1655" s="2" t="s">
        <v>4936</v>
      </c>
      <c r="C1655" s="2" t="s">
        <v>4661</v>
      </c>
      <c r="D1655" s="2">
        <v>8.0</v>
      </c>
      <c r="E1655" s="2">
        <v>995.0</v>
      </c>
      <c r="F1655" s="2">
        <v>925.0</v>
      </c>
      <c r="G1655" s="2">
        <v>122175.0</v>
      </c>
    </row>
    <row r="1656" ht="15.75" customHeight="1">
      <c r="A1656" s="2" t="s">
        <v>4938</v>
      </c>
      <c r="B1656" s="2" t="s">
        <v>4939</v>
      </c>
      <c r="C1656" s="2" t="s">
        <v>4661</v>
      </c>
      <c r="D1656" s="2">
        <v>10.0</v>
      </c>
      <c r="E1656" s="2">
        <v>1115.0</v>
      </c>
      <c r="F1656" s="2">
        <v>1161.0</v>
      </c>
      <c r="G1656" s="2">
        <v>143000.0</v>
      </c>
    </row>
    <row r="1657" ht="15.75" customHeight="1">
      <c r="A1657" s="2" t="s">
        <v>4941</v>
      </c>
      <c r="B1657" s="2" t="s">
        <v>4943</v>
      </c>
      <c r="C1657" s="2" t="s">
        <v>4661</v>
      </c>
      <c r="D1657" s="2">
        <v>137.0</v>
      </c>
      <c r="E1657" s="2">
        <v>3919.0</v>
      </c>
      <c r="F1657" s="2">
        <v>3796.0</v>
      </c>
      <c r="G1657" s="2">
        <v>175470.0</v>
      </c>
    </row>
    <row r="1658" ht="15.75" customHeight="1">
      <c r="A1658" s="2" t="s">
        <v>4944</v>
      </c>
      <c r="B1658" s="2" t="s">
        <v>4945</v>
      </c>
      <c r="C1658" s="2" t="s">
        <v>4661</v>
      </c>
      <c r="D1658" s="2">
        <v>24.0</v>
      </c>
      <c r="E1658" s="2">
        <v>1576.0</v>
      </c>
      <c r="F1658" s="2">
        <v>1614.0</v>
      </c>
      <c r="G1658" s="2">
        <v>138750.0</v>
      </c>
    </row>
    <row r="1659" ht="15.75" customHeight="1">
      <c r="A1659" s="2" t="s">
        <v>4946</v>
      </c>
      <c r="B1659" s="2" t="s">
        <v>4948</v>
      </c>
      <c r="C1659" s="2" t="s">
        <v>4661</v>
      </c>
      <c r="D1659" s="2">
        <v>7.0</v>
      </c>
      <c r="E1659" s="2">
        <v>893.0</v>
      </c>
      <c r="F1659" s="2">
        <v>1080.0</v>
      </c>
      <c r="G1659" s="2">
        <v>130000.0</v>
      </c>
    </row>
    <row r="1660" ht="15.75" customHeight="1">
      <c r="A1660" s="2" t="s">
        <v>4950</v>
      </c>
      <c r="B1660" s="2" t="s">
        <v>4952</v>
      </c>
      <c r="C1660" s="2" t="s">
        <v>4661</v>
      </c>
      <c r="D1660" s="2">
        <v>21.0</v>
      </c>
      <c r="E1660" s="2">
        <v>1475.0</v>
      </c>
      <c r="F1660" s="2">
        <v>1498.0</v>
      </c>
      <c r="G1660" s="2">
        <v>127500.0</v>
      </c>
    </row>
    <row r="1661" ht="15.75" customHeight="1">
      <c r="A1661" s="2" t="s">
        <v>4954</v>
      </c>
      <c r="B1661" s="2" t="s">
        <v>4955</v>
      </c>
      <c r="C1661" s="2" t="s">
        <v>4661</v>
      </c>
      <c r="D1661" s="2">
        <v>10.0</v>
      </c>
      <c r="E1661" s="2">
        <v>955.0</v>
      </c>
      <c r="F1661" s="2">
        <v>1054.0</v>
      </c>
      <c r="G1661" s="2">
        <v>102925.0</v>
      </c>
    </row>
    <row r="1662" ht="15.75" customHeight="1">
      <c r="A1662" s="2" t="s">
        <v>4958</v>
      </c>
      <c r="B1662" s="2" t="s">
        <v>4959</v>
      </c>
      <c r="C1662" s="2" t="s">
        <v>4661</v>
      </c>
      <c r="D1662" s="2">
        <v>10.0</v>
      </c>
      <c r="E1662" s="2">
        <v>950.0</v>
      </c>
      <c r="F1662" s="2">
        <v>1086.0</v>
      </c>
      <c r="G1662" s="2">
        <v>72400.0</v>
      </c>
    </row>
    <row r="1663" ht="15.75" customHeight="1">
      <c r="A1663" s="2" t="s">
        <v>4962</v>
      </c>
      <c r="B1663" s="2" t="s">
        <v>4963</v>
      </c>
      <c r="C1663" s="2" t="s">
        <v>4661</v>
      </c>
      <c r="D1663" s="2">
        <v>43.0</v>
      </c>
      <c r="E1663" s="2">
        <v>1310.0</v>
      </c>
      <c r="F1663" s="2">
        <v>1423.0</v>
      </c>
      <c r="G1663" s="2">
        <v>117000.0</v>
      </c>
    </row>
    <row r="1664" ht="15.75" customHeight="1">
      <c r="A1664" s="2" t="s">
        <v>4964</v>
      </c>
      <c r="B1664" s="2" t="s">
        <v>4965</v>
      </c>
      <c r="C1664" s="2" t="s">
        <v>4661</v>
      </c>
      <c r="D1664" s="2">
        <v>23.0</v>
      </c>
      <c r="E1664" s="2">
        <v>1494.0</v>
      </c>
      <c r="F1664" s="2">
        <v>1403.0</v>
      </c>
      <c r="G1664" s="2">
        <v>110000.0</v>
      </c>
    </row>
    <row r="1665" ht="15.75" customHeight="1">
      <c r="A1665" s="2" t="s">
        <v>4967</v>
      </c>
      <c r="B1665" s="2" t="s">
        <v>4969</v>
      </c>
      <c r="C1665" s="2" t="s">
        <v>4661</v>
      </c>
      <c r="D1665" s="2">
        <v>5.0</v>
      </c>
      <c r="E1665" s="2">
        <v>1574.0</v>
      </c>
      <c r="F1665" s="2">
        <v>1735.0</v>
      </c>
      <c r="G1665" s="2">
        <v>129500.0</v>
      </c>
    </row>
    <row r="1666" ht="15.75" customHeight="1">
      <c r="A1666" s="2" t="s">
        <v>4971</v>
      </c>
      <c r="B1666" s="2" t="s">
        <v>4973</v>
      </c>
      <c r="C1666" s="2" t="s">
        <v>4661</v>
      </c>
      <c r="D1666" s="2">
        <v>7.0</v>
      </c>
      <c r="E1666" s="2">
        <v>1875.0</v>
      </c>
      <c r="F1666" s="2">
        <v>1903.0</v>
      </c>
      <c r="G1666" s="2">
        <v>218000.0</v>
      </c>
    </row>
    <row r="1667" ht="15.75" customHeight="1">
      <c r="A1667" s="2" t="s">
        <v>4976</v>
      </c>
      <c r="B1667" s="2" t="s">
        <v>4977</v>
      </c>
      <c r="C1667" s="2" t="s">
        <v>4661</v>
      </c>
      <c r="D1667" s="2">
        <v>8.0</v>
      </c>
      <c r="E1667" s="2">
        <v>1310.0</v>
      </c>
      <c r="F1667" s="2">
        <v>1355.0</v>
      </c>
      <c r="G1667" s="2">
        <v>106000.0</v>
      </c>
    </row>
    <row r="1668" ht="15.75" customHeight="1">
      <c r="A1668" s="2" t="s">
        <v>4980</v>
      </c>
      <c r="B1668" s="2" t="s">
        <v>4981</v>
      </c>
      <c r="C1668" s="2" t="s">
        <v>4661</v>
      </c>
      <c r="D1668" s="2">
        <v>5.0</v>
      </c>
      <c r="E1668" s="2">
        <v>1462.0</v>
      </c>
      <c r="F1668" s="2">
        <v>1486.0</v>
      </c>
      <c r="G1668" s="2">
        <v>136500.0</v>
      </c>
    </row>
    <row r="1669" ht="15.75" customHeight="1">
      <c r="A1669" s="2" t="s">
        <v>4982</v>
      </c>
      <c r="B1669" s="2" t="s">
        <v>4983</v>
      </c>
      <c r="C1669" s="2" t="s">
        <v>4661</v>
      </c>
      <c r="D1669" s="2">
        <v>5.0</v>
      </c>
      <c r="E1669" s="2">
        <v>865.0</v>
      </c>
      <c r="F1669" s="2">
        <v>881.0</v>
      </c>
      <c r="G1669" s="2">
        <v>83000.0</v>
      </c>
    </row>
    <row r="1670" ht="15.75" customHeight="1">
      <c r="A1670" s="2" t="s">
        <v>4984</v>
      </c>
      <c r="B1670" s="2" t="s">
        <v>4985</v>
      </c>
      <c r="C1670" s="2" t="s">
        <v>4661</v>
      </c>
      <c r="D1670" s="2">
        <v>13.0</v>
      </c>
      <c r="E1670" s="2">
        <v>781.0</v>
      </c>
      <c r="F1670" s="2">
        <v>1003.0</v>
      </c>
      <c r="G1670" s="2">
        <v>125000.0</v>
      </c>
    </row>
    <row r="1671" ht="15.75" customHeight="1">
      <c r="A1671" s="2" t="s">
        <v>4986</v>
      </c>
      <c r="B1671" s="2" t="s">
        <v>4987</v>
      </c>
      <c r="C1671" s="2" t="s">
        <v>4661</v>
      </c>
      <c r="D1671" s="2">
        <v>60.0</v>
      </c>
      <c r="E1671" s="2">
        <v>1006.0</v>
      </c>
      <c r="F1671" s="2">
        <v>1040.0</v>
      </c>
      <c r="G1671" s="2">
        <v>95000.0</v>
      </c>
    </row>
    <row r="1672" ht="15.75" customHeight="1">
      <c r="A1672" s="2" t="s">
        <v>4988</v>
      </c>
      <c r="B1672" s="2" t="s">
        <v>4989</v>
      </c>
      <c r="C1672" s="2" t="s">
        <v>4661</v>
      </c>
      <c r="D1672" s="2">
        <v>7.0</v>
      </c>
      <c r="E1672" s="2">
        <v>1840.0</v>
      </c>
      <c r="F1672" s="2">
        <v>1828.0</v>
      </c>
      <c r="G1672" s="2">
        <v>244000.0</v>
      </c>
    </row>
    <row r="1673" ht="15.75" customHeight="1">
      <c r="A1673" s="2" t="s">
        <v>4990</v>
      </c>
      <c r="B1673" s="2" t="s">
        <v>4991</v>
      </c>
      <c r="C1673" s="2" t="s">
        <v>4661</v>
      </c>
      <c r="D1673" s="2">
        <v>8.0</v>
      </c>
      <c r="E1673" s="2">
        <v>1429.0</v>
      </c>
      <c r="F1673" s="2">
        <v>1441.0</v>
      </c>
      <c r="G1673" s="2">
        <v>138000.0</v>
      </c>
    </row>
    <row r="1674" ht="15.75" customHeight="1">
      <c r="A1674" s="2" t="s">
        <v>4992</v>
      </c>
      <c r="B1674" s="2" t="s">
        <v>4993</v>
      </c>
      <c r="C1674" s="2" t="s">
        <v>4661</v>
      </c>
      <c r="D1674" s="2">
        <v>9.0</v>
      </c>
      <c r="E1674" s="2">
        <v>1622.0</v>
      </c>
      <c r="F1674" s="2">
        <v>1426.0</v>
      </c>
      <c r="G1674" s="2">
        <v>122000.0</v>
      </c>
    </row>
    <row r="1675" ht="15.75" customHeight="1">
      <c r="A1675" s="2" t="s">
        <v>4996</v>
      </c>
      <c r="B1675" s="2" t="s">
        <v>4997</v>
      </c>
      <c r="C1675" s="2" t="s">
        <v>4661</v>
      </c>
      <c r="D1675" s="2">
        <v>11.0</v>
      </c>
      <c r="E1675" s="2">
        <v>1023.0</v>
      </c>
      <c r="F1675" s="2">
        <v>998.0</v>
      </c>
      <c r="G1675" s="2">
        <v>70350.0</v>
      </c>
    </row>
    <row r="1676" ht="15.75" customHeight="1">
      <c r="A1676" s="2" t="s">
        <v>4998</v>
      </c>
      <c r="B1676" s="2" t="s">
        <v>4999</v>
      </c>
      <c r="C1676" s="2" t="s">
        <v>4661</v>
      </c>
      <c r="D1676" s="2">
        <v>5.0</v>
      </c>
      <c r="E1676" s="2">
        <v>1906.0</v>
      </c>
      <c r="F1676" s="2">
        <v>1661.0</v>
      </c>
      <c r="G1676" s="2">
        <v>125000.0</v>
      </c>
    </row>
    <row r="1677" ht="15.75" customHeight="1">
      <c r="A1677" s="2" t="s">
        <v>5002</v>
      </c>
      <c r="B1677" s="2" t="s">
        <v>5004</v>
      </c>
      <c r="C1677" s="2" t="s">
        <v>4661</v>
      </c>
      <c r="D1677" s="2">
        <v>6.0</v>
      </c>
      <c r="E1677" s="2">
        <v>1556.0</v>
      </c>
      <c r="F1677" s="2">
        <v>1597.0</v>
      </c>
      <c r="G1677" s="2">
        <v>118500.0</v>
      </c>
    </row>
    <row r="1678" ht="15.75" customHeight="1">
      <c r="A1678" s="2" t="s">
        <v>5006</v>
      </c>
      <c r="B1678" s="2" t="s">
        <v>5007</v>
      </c>
      <c r="C1678" s="2" t="s">
        <v>4661</v>
      </c>
      <c r="D1678" s="2">
        <v>6.0</v>
      </c>
      <c r="E1678" s="2">
        <v>1729.0</v>
      </c>
      <c r="F1678" s="2">
        <v>1536.0</v>
      </c>
      <c r="G1678" s="2">
        <v>184825.0</v>
      </c>
    </row>
    <row r="1679" ht="15.75" customHeight="1">
      <c r="A1679" s="2" t="s">
        <v>5009</v>
      </c>
      <c r="B1679" s="2" t="s">
        <v>5011</v>
      </c>
      <c r="C1679" s="2" t="s">
        <v>4661</v>
      </c>
      <c r="D1679" s="2">
        <v>6.0</v>
      </c>
      <c r="E1679" s="2">
        <v>1410.0</v>
      </c>
      <c r="F1679" s="2">
        <v>1283.0</v>
      </c>
      <c r="G1679" s="2">
        <v>137500.0</v>
      </c>
    </row>
    <row r="1680" ht="15.75" customHeight="1">
      <c r="A1680" s="2" t="s">
        <v>5014</v>
      </c>
      <c r="B1680" s="2" t="s">
        <v>5015</v>
      </c>
      <c r="C1680" s="2" t="s">
        <v>4661</v>
      </c>
      <c r="D1680" s="2">
        <v>7.0</v>
      </c>
      <c r="E1680" s="2">
        <v>1452.0</v>
      </c>
      <c r="F1680" s="2">
        <v>1364.0</v>
      </c>
      <c r="G1680" s="2">
        <v>135000.0</v>
      </c>
    </row>
    <row r="1681" ht="15.75" customHeight="1">
      <c r="A1681" s="2" t="s">
        <v>5016</v>
      </c>
      <c r="B1681" s="2" t="s">
        <v>5017</v>
      </c>
      <c r="C1681" s="2" t="s">
        <v>4661</v>
      </c>
      <c r="D1681" s="2">
        <v>17.0</v>
      </c>
      <c r="E1681" s="2">
        <v>1224.0</v>
      </c>
      <c r="F1681" s="2">
        <v>1321.0</v>
      </c>
      <c r="G1681" s="2">
        <v>115000.0</v>
      </c>
    </row>
    <row r="1682" ht="15.75" customHeight="1">
      <c r="A1682" s="2" t="s">
        <v>5018</v>
      </c>
      <c r="B1682" s="2" t="s">
        <v>5019</v>
      </c>
      <c r="C1682" s="2" t="s">
        <v>4661</v>
      </c>
      <c r="D1682" s="2">
        <v>18.0</v>
      </c>
      <c r="E1682" s="2">
        <v>991.0</v>
      </c>
      <c r="F1682" s="2">
        <v>1088.0</v>
      </c>
      <c r="G1682" s="2">
        <v>148500.0</v>
      </c>
    </row>
    <row r="1683" ht="15.75" customHeight="1">
      <c r="A1683" s="2" t="s">
        <v>5022</v>
      </c>
      <c r="B1683" s="2" t="s">
        <v>5023</v>
      </c>
      <c r="C1683" s="2" t="s">
        <v>4661</v>
      </c>
      <c r="D1683" s="2">
        <v>5.0</v>
      </c>
      <c r="E1683" s="2">
        <v>876.0</v>
      </c>
      <c r="F1683" s="2">
        <v>950.0</v>
      </c>
      <c r="G1683" s="2">
        <v>197700.0</v>
      </c>
    </row>
    <row r="1684" ht="15.75" customHeight="1">
      <c r="A1684" s="2" t="s">
        <v>5026</v>
      </c>
      <c r="B1684" s="2" t="s">
        <v>5027</v>
      </c>
      <c r="C1684" s="2" t="s">
        <v>4661</v>
      </c>
      <c r="D1684" s="2">
        <v>7.0</v>
      </c>
      <c r="E1684" s="2">
        <v>1625.0</v>
      </c>
      <c r="F1684" s="2">
        <v>1508.0</v>
      </c>
      <c r="G1684" s="2">
        <v>135000.0</v>
      </c>
    </row>
    <row r="1685" ht="15.75" customHeight="1">
      <c r="A1685" s="2" t="s">
        <v>5028</v>
      </c>
      <c r="B1685" s="2" t="s">
        <v>5029</v>
      </c>
      <c r="C1685" s="2" t="s">
        <v>4661</v>
      </c>
      <c r="D1685" s="2">
        <v>10.0</v>
      </c>
      <c r="E1685" s="2">
        <v>592.0</v>
      </c>
      <c r="F1685" s="2">
        <v>622.0</v>
      </c>
      <c r="G1685" s="2">
        <v>106250.0</v>
      </c>
    </row>
    <row r="1686" ht="15.75" customHeight="1">
      <c r="A1686" s="2" t="s">
        <v>5030</v>
      </c>
      <c r="B1686" s="2" t="s">
        <v>5031</v>
      </c>
      <c r="C1686" s="2" t="s">
        <v>4661</v>
      </c>
      <c r="D1686" s="2">
        <v>8.0</v>
      </c>
      <c r="E1686" s="2">
        <v>797.0</v>
      </c>
      <c r="F1686" s="2">
        <v>947.0</v>
      </c>
      <c r="G1686" s="2">
        <v>147625.0</v>
      </c>
    </row>
    <row r="1687" ht="15.75" customHeight="1">
      <c r="A1687" s="2" t="s">
        <v>5032</v>
      </c>
      <c r="B1687" s="2" t="s">
        <v>5033</v>
      </c>
      <c r="C1687" s="2" t="s">
        <v>4661</v>
      </c>
      <c r="D1687" s="2">
        <v>13.0</v>
      </c>
      <c r="E1687" s="2">
        <v>1013.0</v>
      </c>
      <c r="F1687" s="2">
        <v>968.0</v>
      </c>
      <c r="G1687" s="2">
        <v>84000.0</v>
      </c>
    </row>
    <row r="1688" ht="15.75" customHeight="1">
      <c r="A1688" s="2" t="s">
        <v>5034</v>
      </c>
      <c r="B1688" s="2" t="s">
        <v>5035</v>
      </c>
      <c r="C1688" s="2" t="s">
        <v>4661</v>
      </c>
      <c r="D1688" s="2">
        <v>7.0</v>
      </c>
      <c r="E1688" s="2">
        <v>2094.0</v>
      </c>
      <c r="F1688" s="2">
        <v>1806.0</v>
      </c>
      <c r="G1688" s="2">
        <v>210000.0</v>
      </c>
    </row>
    <row r="1689" ht="15.75" customHeight="1">
      <c r="A1689" s="2" t="s">
        <v>5038</v>
      </c>
      <c r="B1689" s="2" t="s">
        <v>5039</v>
      </c>
      <c r="C1689" s="2" t="s">
        <v>4661</v>
      </c>
      <c r="D1689" s="2">
        <v>7.0</v>
      </c>
      <c r="E1689" s="2">
        <v>702.0</v>
      </c>
      <c r="F1689" s="2">
        <v>952.0</v>
      </c>
      <c r="G1689" s="2">
        <v>138000.0</v>
      </c>
    </row>
    <row r="1690" ht="15.75" customHeight="1">
      <c r="A1690" s="2" t="s">
        <v>5040</v>
      </c>
      <c r="B1690" s="2" t="s">
        <v>5041</v>
      </c>
      <c r="C1690" s="2" t="s">
        <v>4661</v>
      </c>
      <c r="D1690" s="2">
        <v>5.0</v>
      </c>
      <c r="E1690" s="2">
        <v>1467.0</v>
      </c>
      <c r="F1690" s="2">
        <v>1377.0</v>
      </c>
      <c r="G1690" s="2">
        <v>113034.0</v>
      </c>
    </row>
    <row r="1691" ht="15.75" customHeight="1">
      <c r="A1691" s="2" t="s">
        <v>5042</v>
      </c>
      <c r="B1691" s="2" t="s">
        <v>5044</v>
      </c>
      <c r="C1691" s="2" t="s">
        <v>4661</v>
      </c>
      <c r="D1691" s="2">
        <v>6.0</v>
      </c>
      <c r="E1691" s="2">
        <v>1628.0</v>
      </c>
      <c r="F1691" s="2">
        <v>1284.0</v>
      </c>
      <c r="G1691" s="2">
        <v>126000.0</v>
      </c>
    </row>
    <row r="1692" ht="15.75" customHeight="1">
      <c r="A1692" s="2" t="s">
        <v>5048</v>
      </c>
      <c r="B1692" s="2" t="s">
        <v>5049</v>
      </c>
      <c r="C1692" s="2" t="s">
        <v>4661</v>
      </c>
      <c r="D1692" s="2">
        <v>11.0</v>
      </c>
      <c r="E1692" s="2">
        <v>1354.0</v>
      </c>
      <c r="F1692" s="2">
        <v>1166.0</v>
      </c>
      <c r="G1692" s="2">
        <v>120000.0</v>
      </c>
    </row>
    <row r="1693" ht="15.75" customHeight="1">
      <c r="A1693" s="2" t="s">
        <v>5050</v>
      </c>
      <c r="B1693" s="2" t="s">
        <v>5051</v>
      </c>
      <c r="C1693" s="2" t="s">
        <v>4661</v>
      </c>
      <c r="D1693" s="2">
        <v>20.0</v>
      </c>
      <c r="E1693" s="2">
        <v>1957.0</v>
      </c>
      <c r="F1693" s="2">
        <v>2001.0</v>
      </c>
      <c r="G1693" s="2">
        <v>143000.0</v>
      </c>
    </row>
    <row r="1694" ht="15.75" customHeight="1">
      <c r="A1694" s="2" t="s">
        <v>5054</v>
      </c>
      <c r="B1694" s="2" t="s">
        <v>5055</v>
      </c>
      <c r="C1694" s="2" t="s">
        <v>4661</v>
      </c>
      <c r="D1694" s="2">
        <v>7.0</v>
      </c>
      <c r="E1694" s="2">
        <v>1023.0</v>
      </c>
      <c r="F1694" s="2">
        <v>1125.0</v>
      </c>
      <c r="G1694" s="2">
        <v>88000.0</v>
      </c>
    </row>
    <row r="1695" ht="15.75" customHeight="1">
      <c r="A1695" s="2" t="s">
        <v>5058</v>
      </c>
      <c r="B1695" s="2" t="s">
        <v>5059</v>
      </c>
      <c r="C1695" s="2" t="s">
        <v>4661</v>
      </c>
      <c r="D1695" s="2">
        <v>74.0</v>
      </c>
      <c r="E1695" s="2">
        <v>4359.0</v>
      </c>
      <c r="F1695" s="2">
        <v>4392.0</v>
      </c>
      <c r="G1695" s="2">
        <v>226000.0</v>
      </c>
    </row>
    <row r="1696" ht="15.75" customHeight="1">
      <c r="A1696" s="2" t="s">
        <v>5062</v>
      </c>
      <c r="B1696" s="2" t="s">
        <v>3222</v>
      </c>
      <c r="C1696" s="2" t="s">
        <v>4661</v>
      </c>
      <c r="D1696" s="2">
        <v>7.0</v>
      </c>
      <c r="E1696" s="2">
        <v>1259.0</v>
      </c>
      <c r="F1696" s="2">
        <v>1796.0</v>
      </c>
      <c r="G1696" s="2">
        <v>142000.0</v>
      </c>
    </row>
    <row r="1697" ht="15.75" customHeight="1">
      <c r="A1697" s="2" t="s">
        <v>5063</v>
      </c>
      <c r="B1697" s="2" t="s">
        <v>5064</v>
      </c>
      <c r="C1697" s="2" t="s">
        <v>4661</v>
      </c>
      <c r="D1697" s="2">
        <v>10.0</v>
      </c>
      <c r="E1697" s="2">
        <v>1423.0</v>
      </c>
      <c r="F1697" s="2">
        <v>1463.0</v>
      </c>
      <c r="G1697" s="2">
        <v>140035.0</v>
      </c>
    </row>
    <row r="1698" ht="15.75" customHeight="1">
      <c r="A1698" s="2" t="s">
        <v>5065</v>
      </c>
      <c r="B1698" s="2" t="s">
        <v>5066</v>
      </c>
      <c r="C1698" s="2" t="s">
        <v>4661</v>
      </c>
      <c r="D1698" s="2">
        <v>6.0</v>
      </c>
      <c r="E1698" s="2">
        <v>1008.0</v>
      </c>
      <c r="F1698" s="2">
        <v>934.0</v>
      </c>
      <c r="G1698" s="2">
        <v>122500.0</v>
      </c>
    </row>
    <row r="1699" ht="15.75" customHeight="1">
      <c r="A1699" s="2" t="s">
        <v>5069</v>
      </c>
      <c r="B1699" s="2" t="s">
        <v>5070</v>
      </c>
      <c r="C1699" s="2" t="s">
        <v>4661</v>
      </c>
      <c r="D1699" s="2">
        <v>14.0</v>
      </c>
      <c r="E1699" s="2">
        <v>1562.0</v>
      </c>
      <c r="F1699" s="2">
        <v>1661.0</v>
      </c>
      <c r="G1699" s="2">
        <v>175275.0</v>
      </c>
    </row>
    <row r="1700" ht="15.75" customHeight="1">
      <c r="A1700" s="2" t="s">
        <v>5073</v>
      </c>
      <c r="B1700" s="2" t="s">
        <v>5074</v>
      </c>
      <c r="C1700" s="2" t="s">
        <v>4661</v>
      </c>
      <c r="D1700" s="2">
        <v>5.0</v>
      </c>
      <c r="E1700" s="2">
        <v>1512.0</v>
      </c>
      <c r="F1700" s="2">
        <v>1370.0</v>
      </c>
      <c r="G1700" s="2">
        <v>130000.0</v>
      </c>
    </row>
    <row r="1701" ht="15.75" customHeight="1">
      <c r="A1701" s="2" t="s">
        <v>5075</v>
      </c>
      <c r="B1701" s="2" t="s">
        <v>5076</v>
      </c>
      <c r="C1701" s="2" t="s">
        <v>4661</v>
      </c>
      <c r="D1701" s="2">
        <v>5.0</v>
      </c>
      <c r="E1701" s="2">
        <v>778.0</v>
      </c>
      <c r="F1701" s="2">
        <v>963.0</v>
      </c>
      <c r="G1701" s="2">
        <v>140000.0</v>
      </c>
    </row>
    <row r="1702" ht="15.75" customHeight="1">
      <c r="A1702" s="2" t="s">
        <v>5077</v>
      </c>
      <c r="B1702" s="2" t="s">
        <v>5078</v>
      </c>
      <c r="C1702" s="2" t="s">
        <v>4661</v>
      </c>
      <c r="D1702" s="2">
        <v>6.0</v>
      </c>
      <c r="E1702" s="2">
        <v>894.0</v>
      </c>
      <c r="F1702" s="2">
        <v>995.0</v>
      </c>
      <c r="G1702" s="2">
        <v>125000.0</v>
      </c>
    </row>
    <row r="1703" ht="15.75" customHeight="1">
      <c r="A1703" s="2" t="s">
        <v>5079</v>
      </c>
      <c r="B1703" s="2" t="s">
        <v>5080</v>
      </c>
      <c r="C1703" s="2" t="s">
        <v>4661</v>
      </c>
      <c r="D1703" s="2">
        <v>6.0</v>
      </c>
      <c r="E1703" s="2">
        <v>989.0</v>
      </c>
      <c r="F1703" s="2">
        <v>929.0</v>
      </c>
      <c r="G1703" s="2">
        <v>133000.0</v>
      </c>
    </row>
    <row r="1704" ht="15.75" customHeight="1">
      <c r="A1704" s="2" t="s">
        <v>5081</v>
      </c>
      <c r="B1704" s="2" t="s">
        <v>5082</v>
      </c>
      <c r="C1704" s="2" t="s">
        <v>4661</v>
      </c>
      <c r="D1704" s="2">
        <v>5.0</v>
      </c>
      <c r="E1704" s="2">
        <v>776.0</v>
      </c>
      <c r="F1704" s="2">
        <v>693.0</v>
      </c>
      <c r="G1704" s="2">
        <v>78000.0</v>
      </c>
    </row>
    <row r="1705" ht="15.75" customHeight="1">
      <c r="A1705" s="2" t="s">
        <v>5085</v>
      </c>
      <c r="B1705" s="2" t="s">
        <v>5086</v>
      </c>
      <c r="C1705" s="2" t="s">
        <v>4661</v>
      </c>
      <c r="D1705" s="2">
        <v>7.0</v>
      </c>
      <c r="E1705" s="2">
        <v>1062.0</v>
      </c>
      <c r="F1705" s="2">
        <v>1109.0</v>
      </c>
      <c r="G1705" s="2">
        <v>103000.0</v>
      </c>
    </row>
    <row r="1706" ht="15.75" customHeight="1">
      <c r="A1706" s="2" t="s">
        <v>5087</v>
      </c>
      <c r="B1706" s="2" t="s">
        <v>5088</v>
      </c>
      <c r="C1706" s="2" t="s">
        <v>4661</v>
      </c>
      <c r="D1706" s="2">
        <v>12.0</v>
      </c>
      <c r="E1706" s="2">
        <v>1003.0</v>
      </c>
      <c r="F1706" s="2">
        <v>1268.0</v>
      </c>
      <c r="G1706" s="2">
        <v>70000.0</v>
      </c>
    </row>
    <row r="1707" ht="15.75" customHeight="1">
      <c r="A1707" s="2" t="s">
        <v>5089</v>
      </c>
      <c r="B1707" s="2" t="s">
        <v>5090</v>
      </c>
      <c r="C1707" s="2" t="s">
        <v>4661</v>
      </c>
      <c r="D1707" s="2">
        <v>22.0</v>
      </c>
      <c r="E1707" s="2">
        <v>1633.0</v>
      </c>
      <c r="F1707" s="2">
        <v>1912.0</v>
      </c>
      <c r="G1707" s="2">
        <v>99125.0</v>
      </c>
    </row>
    <row r="1708" ht="15.75" customHeight="1">
      <c r="A1708" s="2" t="s">
        <v>5091</v>
      </c>
      <c r="B1708" s="2" t="s">
        <v>5092</v>
      </c>
      <c r="C1708" s="2" t="s">
        <v>4661</v>
      </c>
      <c r="D1708" s="2">
        <v>64.0</v>
      </c>
      <c r="E1708" s="2">
        <v>1948.0</v>
      </c>
      <c r="F1708" s="2">
        <v>1898.0</v>
      </c>
      <c r="G1708" s="2">
        <v>154350.0</v>
      </c>
    </row>
    <row r="1709" ht="15.75" customHeight="1">
      <c r="A1709" s="2" t="s">
        <v>5093</v>
      </c>
      <c r="B1709" s="2" t="s">
        <v>5094</v>
      </c>
      <c r="C1709" s="2" t="s">
        <v>4661</v>
      </c>
      <c r="D1709" s="2">
        <v>5.0</v>
      </c>
      <c r="E1709" s="2">
        <v>1746.0</v>
      </c>
      <c r="F1709" s="2">
        <v>1440.0</v>
      </c>
      <c r="G1709" s="2">
        <v>134970.0</v>
      </c>
    </row>
    <row r="1710" ht="15.75" customHeight="1">
      <c r="A1710" s="2" t="s">
        <v>5095</v>
      </c>
      <c r="B1710" s="2" t="s">
        <v>5096</v>
      </c>
      <c r="C1710" s="2" t="s">
        <v>4661</v>
      </c>
      <c r="D1710" s="2">
        <v>8.0</v>
      </c>
      <c r="E1710" s="2">
        <v>766.0</v>
      </c>
      <c r="F1710" s="2">
        <v>984.0</v>
      </c>
      <c r="G1710" s="2">
        <v>96500.0</v>
      </c>
    </row>
    <row r="1711" ht="15.75" customHeight="1">
      <c r="A1711" s="2" t="s">
        <v>5097</v>
      </c>
      <c r="B1711" s="2" t="s">
        <v>5098</v>
      </c>
      <c r="C1711" s="2" t="s">
        <v>4661</v>
      </c>
      <c r="D1711" s="2">
        <v>12.0</v>
      </c>
      <c r="E1711" s="2">
        <v>1418.0</v>
      </c>
      <c r="F1711" s="2">
        <v>1631.0</v>
      </c>
      <c r="G1711" s="2">
        <v>175400.0</v>
      </c>
    </row>
    <row r="1712" ht="15.75" customHeight="1">
      <c r="A1712" s="2" t="s">
        <v>5099</v>
      </c>
      <c r="B1712" s="2" t="s">
        <v>5100</v>
      </c>
      <c r="C1712" s="2" t="s">
        <v>4661</v>
      </c>
      <c r="D1712" s="2">
        <v>10.0</v>
      </c>
      <c r="E1712" s="2">
        <v>1555.0</v>
      </c>
      <c r="F1712" s="2">
        <v>1622.0</v>
      </c>
      <c r="G1712" s="2">
        <v>112000.0</v>
      </c>
    </row>
    <row r="1713" ht="15.75" customHeight="1">
      <c r="A1713" s="2" t="s">
        <v>5101</v>
      </c>
      <c r="B1713" s="2" t="s">
        <v>5102</v>
      </c>
      <c r="C1713" s="2" t="s">
        <v>4661</v>
      </c>
      <c r="D1713" s="2">
        <v>93.0</v>
      </c>
      <c r="E1713" s="2">
        <v>2384.0</v>
      </c>
      <c r="F1713" s="2">
        <v>2457.0</v>
      </c>
      <c r="G1713" s="2">
        <v>128000.0</v>
      </c>
    </row>
    <row r="1714" ht="15.75" customHeight="1">
      <c r="A1714" s="2" t="s">
        <v>5105</v>
      </c>
      <c r="B1714" s="2" t="s">
        <v>5106</v>
      </c>
      <c r="C1714" s="2" t="s">
        <v>4661</v>
      </c>
      <c r="D1714" s="2">
        <v>8.0</v>
      </c>
      <c r="E1714" s="2">
        <v>696.0</v>
      </c>
      <c r="F1714" s="2">
        <v>901.0</v>
      </c>
      <c r="G1714" s="2">
        <v>113000.0</v>
      </c>
    </row>
    <row r="1715" ht="15.75" customHeight="1">
      <c r="A1715" s="2" t="s">
        <v>5107</v>
      </c>
      <c r="B1715" s="2" t="s">
        <v>5108</v>
      </c>
      <c r="C1715" s="2" t="s">
        <v>4661</v>
      </c>
      <c r="D1715" s="2">
        <v>5.0</v>
      </c>
      <c r="E1715" s="2">
        <v>818.0</v>
      </c>
      <c r="F1715" s="2">
        <v>979.0</v>
      </c>
      <c r="G1715" s="2">
        <v>90000.0</v>
      </c>
    </row>
    <row r="1716" ht="15.75" customHeight="1">
      <c r="A1716" s="2" t="s">
        <v>5109</v>
      </c>
      <c r="B1716" s="2" t="s">
        <v>5110</v>
      </c>
      <c r="C1716" s="2" t="s">
        <v>4661</v>
      </c>
      <c r="D1716" s="2">
        <v>11.0</v>
      </c>
      <c r="E1716" s="2">
        <v>981.0</v>
      </c>
      <c r="F1716" s="2">
        <v>1180.0</v>
      </c>
      <c r="G1716" s="2">
        <v>105000.0</v>
      </c>
    </row>
    <row r="1717" ht="15.75" customHeight="1">
      <c r="A1717" s="2" t="s">
        <v>5111</v>
      </c>
      <c r="B1717" s="2" t="s">
        <v>5112</v>
      </c>
      <c r="C1717" s="2" t="s">
        <v>4661</v>
      </c>
      <c r="D1717" s="2">
        <v>5.0</v>
      </c>
      <c r="E1717" s="2">
        <v>1175.0</v>
      </c>
      <c r="F1717" s="2">
        <v>1383.0</v>
      </c>
      <c r="G1717" s="2">
        <v>123000.0</v>
      </c>
    </row>
    <row r="1718" ht="15.75" customHeight="1">
      <c r="A1718" s="2" t="s">
        <v>5115</v>
      </c>
      <c r="B1718" s="2" t="s">
        <v>5116</v>
      </c>
      <c r="C1718" s="2" t="s">
        <v>4661</v>
      </c>
      <c r="D1718" s="2">
        <v>5.0</v>
      </c>
      <c r="E1718" s="2">
        <v>2098.0</v>
      </c>
      <c r="F1718" s="2">
        <v>2157.0</v>
      </c>
      <c r="G1718" s="2">
        <v>214000.0</v>
      </c>
    </row>
    <row r="1719" ht="15.75" customHeight="1">
      <c r="A1719" s="2" t="s">
        <v>5117</v>
      </c>
      <c r="B1719" s="2" t="s">
        <v>5118</v>
      </c>
      <c r="C1719" s="2" t="s">
        <v>4661</v>
      </c>
      <c r="D1719" s="2">
        <v>5.0</v>
      </c>
      <c r="E1719" s="2">
        <v>783.0</v>
      </c>
      <c r="F1719" s="2">
        <v>780.0</v>
      </c>
      <c r="G1719" s="2">
        <v>75000.0</v>
      </c>
    </row>
    <row r="1720" ht="15.75" customHeight="1">
      <c r="A1720" s="2" t="s">
        <v>5119</v>
      </c>
      <c r="B1720" s="2" t="s">
        <v>5120</v>
      </c>
      <c r="C1720" s="2" t="s">
        <v>4661</v>
      </c>
      <c r="D1720" s="2">
        <v>6.0</v>
      </c>
      <c r="E1720" s="2">
        <v>1026.0</v>
      </c>
      <c r="F1720" s="2">
        <v>1120.0</v>
      </c>
      <c r="G1720" s="2">
        <v>107500.0</v>
      </c>
    </row>
    <row r="1721" ht="15.75" customHeight="1">
      <c r="A1721" s="2" t="s">
        <v>5121</v>
      </c>
      <c r="B1721" s="2" t="s">
        <v>5122</v>
      </c>
      <c r="C1721" s="2" t="s">
        <v>4661</v>
      </c>
      <c r="D1721" s="2">
        <v>5.0</v>
      </c>
      <c r="E1721" s="2">
        <v>547.0</v>
      </c>
      <c r="F1721" s="2">
        <v>782.0</v>
      </c>
      <c r="G1721" s="2">
        <v>70000.0</v>
      </c>
    </row>
    <row r="1722" ht="15.75" customHeight="1">
      <c r="A1722" s="2" t="s">
        <v>5123</v>
      </c>
      <c r="B1722" s="2" t="s">
        <v>5124</v>
      </c>
      <c r="C1722" s="2" t="s">
        <v>4661</v>
      </c>
      <c r="D1722" s="2">
        <v>55.0</v>
      </c>
      <c r="E1722" s="2">
        <v>1200.0</v>
      </c>
      <c r="F1722" s="2">
        <v>1273.0</v>
      </c>
      <c r="G1722" s="2">
        <v>125000.0</v>
      </c>
    </row>
    <row r="1723" ht="15.75" customHeight="1">
      <c r="A1723" s="2" t="s">
        <v>5126</v>
      </c>
      <c r="B1723" s="2" t="s">
        <v>5127</v>
      </c>
      <c r="C1723" s="2" t="s">
        <v>4661</v>
      </c>
      <c r="D1723" s="2">
        <v>8.0</v>
      </c>
      <c r="E1723" s="2">
        <v>1145.0</v>
      </c>
      <c r="F1723" s="2">
        <v>1107.0</v>
      </c>
      <c r="G1723" s="2">
        <v>90500.0</v>
      </c>
    </row>
    <row r="1724" ht="15.75" customHeight="1">
      <c r="A1724" s="2" t="s">
        <v>5129</v>
      </c>
      <c r="B1724" s="2" t="s">
        <v>5130</v>
      </c>
      <c r="C1724" s="2" t="s">
        <v>4661</v>
      </c>
      <c r="D1724" s="2">
        <v>39.0</v>
      </c>
      <c r="E1724" s="2">
        <v>1566.0</v>
      </c>
      <c r="F1724" s="2">
        <v>1496.0</v>
      </c>
      <c r="G1724" s="2">
        <v>145000.0</v>
      </c>
    </row>
    <row r="1725" ht="15.75" customHeight="1">
      <c r="A1725" s="2" t="s">
        <v>5133</v>
      </c>
      <c r="B1725" s="2" t="s">
        <v>5134</v>
      </c>
      <c r="C1725" s="2" t="s">
        <v>4661</v>
      </c>
      <c r="D1725" s="2">
        <v>5.0</v>
      </c>
      <c r="E1725" s="2">
        <v>1562.0</v>
      </c>
      <c r="F1725" s="2">
        <v>1453.0</v>
      </c>
      <c r="G1725" s="2">
        <v>140000.0</v>
      </c>
    </row>
    <row r="1726" ht="15.75" customHeight="1">
      <c r="A1726" s="2" t="s">
        <v>5135</v>
      </c>
      <c r="B1726" s="2" t="s">
        <v>5136</v>
      </c>
      <c r="C1726" s="2" t="s">
        <v>4661</v>
      </c>
      <c r="D1726" s="2">
        <v>6.0</v>
      </c>
      <c r="E1726" s="2">
        <v>554.0</v>
      </c>
      <c r="F1726" s="2">
        <v>1054.0</v>
      </c>
      <c r="G1726" s="2">
        <v>73750.0</v>
      </c>
    </row>
    <row r="1727" ht="15.75" customHeight="1">
      <c r="A1727" s="2" t="s">
        <v>5137</v>
      </c>
      <c r="B1727" s="2" t="s">
        <v>3337</v>
      </c>
      <c r="C1727" s="2" t="s">
        <v>4661</v>
      </c>
      <c r="D1727" s="2">
        <v>5.0</v>
      </c>
      <c r="E1727" s="2">
        <v>1558.0</v>
      </c>
      <c r="F1727" s="2">
        <v>1615.0</v>
      </c>
      <c r="G1727" s="2">
        <v>185000.0</v>
      </c>
    </row>
    <row r="1728" ht="15.75" customHeight="1">
      <c r="A1728" s="2" t="s">
        <v>5138</v>
      </c>
      <c r="B1728" s="2" t="s">
        <v>5139</v>
      </c>
      <c r="C1728" s="2" t="s">
        <v>4661</v>
      </c>
      <c r="D1728" s="2">
        <v>10.0</v>
      </c>
      <c r="E1728" s="2">
        <v>839.0</v>
      </c>
      <c r="F1728" s="2">
        <v>896.0</v>
      </c>
      <c r="G1728" s="2">
        <v>79000.0</v>
      </c>
    </row>
    <row r="1729" ht="15.75" customHeight="1">
      <c r="A1729" s="2" t="s">
        <v>5140</v>
      </c>
      <c r="B1729" s="2" t="s">
        <v>5141</v>
      </c>
      <c r="C1729" s="2" t="s">
        <v>4661</v>
      </c>
      <c r="D1729" s="2">
        <v>14.0</v>
      </c>
      <c r="E1729" s="2">
        <v>1755.0</v>
      </c>
      <c r="F1729" s="2">
        <v>1627.0</v>
      </c>
      <c r="G1729" s="2">
        <v>156950.0</v>
      </c>
    </row>
    <row r="1730" ht="15.75" customHeight="1">
      <c r="A1730" s="2" t="s">
        <v>5142</v>
      </c>
      <c r="B1730" s="2" t="s">
        <v>5143</v>
      </c>
      <c r="C1730" s="2" t="s">
        <v>4661</v>
      </c>
      <c r="D1730" s="2">
        <v>6.0</v>
      </c>
      <c r="E1730" s="2">
        <v>1121.0</v>
      </c>
      <c r="F1730" s="2">
        <v>1276.0</v>
      </c>
      <c r="G1730" s="2">
        <v>116000.0</v>
      </c>
    </row>
    <row r="1731" ht="15.75" customHeight="1">
      <c r="A1731" s="2" t="s">
        <v>5144</v>
      </c>
      <c r="B1731" s="2" t="s">
        <v>5145</v>
      </c>
      <c r="C1731" s="2" t="s">
        <v>4661</v>
      </c>
      <c r="D1731" s="2">
        <v>9.0</v>
      </c>
      <c r="E1731" s="2">
        <v>1390.0</v>
      </c>
      <c r="F1731" s="2">
        <v>1342.0</v>
      </c>
      <c r="G1731" s="2">
        <v>179800.0</v>
      </c>
    </row>
    <row r="1732" ht="15.75" customHeight="1">
      <c r="A1732" s="2" t="s">
        <v>5147</v>
      </c>
      <c r="B1732" s="2" t="s">
        <v>5149</v>
      </c>
      <c r="C1732" s="2" t="s">
        <v>4661</v>
      </c>
      <c r="D1732" s="2">
        <v>11.0</v>
      </c>
      <c r="E1732" s="2">
        <v>1098.0</v>
      </c>
      <c r="F1732" s="2">
        <v>1250.0</v>
      </c>
      <c r="G1732" s="2">
        <v>205000.0</v>
      </c>
    </row>
    <row r="1733" ht="15.75" customHeight="1">
      <c r="A1733" s="2" t="s">
        <v>5150</v>
      </c>
      <c r="B1733" s="2" t="s">
        <v>5151</v>
      </c>
      <c r="C1733" s="2" t="s">
        <v>4661</v>
      </c>
      <c r="D1733" s="2">
        <v>8.0</v>
      </c>
      <c r="E1733" s="2">
        <v>931.0</v>
      </c>
      <c r="F1733" s="2">
        <v>1204.0</v>
      </c>
      <c r="G1733" s="2">
        <v>171750.0</v>
      </c>
    </row>
    <row r="1734" ht="15.75" customHeight="1">
      <c r="A1734" s="2" t="s">
        <v>5152</v>
      </c>
      <c r="B1734" s="2" t="s">
        <v>5153</v>
      </c>
      <c r="C1734" s="2" t="s">
        <v>4661</v>
      </c>
      <c r="D1734" s="2">
        <v>27.0</v>
      </c>
      <c r="E1734" s="2">
        <v>968.0</v>
      </c>
      <c r="F1734" s="2">
        <v>1050.0</v>
      </c>
      <c r="G1734" s="2">
        <v>95860.0</v>
      </c>
    </row>
    <row r="1735" ht="15.75" customHeight="1">
      <c r="A1735" s="2" t="s">
        <v>5156</v>
      </c>
      <c r="B1735" s="2" t="s">
        <v>5157</v>
      </c>
      <c r="C1735" s="2" t="s">
        <v>4661</v>
      </c>
      <c r="D1735" s="2">
        <v>7.0</v>
      </c>
      <c r="E1735" s="2">
        <v>913.0</v>
      </c>
      <c r="F1735" s="2">
        <v>1162.0</v>
      </c>
      <c r="G1735" s="2">
        <v>164000.0</v>
      </c>
    </row>
    <row r="1736" ht="15.75" customHeight="1">
      <c r="A1736" s="2" t="s">
        <v>5160</v>
      </c>
      <c r="B1736" s="2" t="s">
        <v>5161</v>
      </c>
      <c r="C1736" s="2" t="s">
        <v>4661</v>
      </c>
      <c r="D1736" s="2">
        <v>9.0</v>
      </c>
      <c r="E1736" s="2">
        <v>886.0</v>
      </c>
      <c r="F1736" s="2">
        <v>1110.0</v>
      </c>
      <c r="G1736" s="2">
        <v>93677.0</v>
      </c>
    </row>
    <row r="1737" ht="15.75" customHeight="1">
      <c r="A1737" s="2" t="s">
        <v>5163</v>
      </c>
      <c r="B1737" s="2" t="s">
        <v>2069</v>
      </c>
      <c r="C1737" s="2" t="s">
        <v>4661</v>
      </c>
      <c r="D1737" s="2">
        <v>5.0</v>
      </c>
      <c r="E1737" s="2">
        <v>1150.0</v>
      </c>
      <c r="F1737" s="2">
        <v>1647.0</v>
      </c>
      <c r="G1737" s="2">
        <v>130000.0</v>
      </c>
    </row>
    <row r="1738" ht="15.75" customHeight="1">
      <c r="A1738" s="2" t="s">
        <v>5165</v>
      </c>
      <c r="B1738" s="2" t="s">
        <v>5166</v>
      </c>
      <c r="C1738" s="2" t="s">
        <v>4661</v>
      </c>
      <c r="D1738" s="2">
        <v>11.0</v>
      </c>
      <c r="E1738" s="2">
        <v>1356.0</v>
      </c>
      <c r="F1738" s="2">
        <v>1369.0</v>
      </c>
      <c r="G1738" s="2">
        <v>190000.0</v>
      </c>
    </row>
    <row r="1739" ht="15.75" customHeight="1">
      <c r="A1739" s="2" t="s">
        <v>5167</v>
      </c>
      <c r="B1739" s="2" t="s">
        <v>5168</v>
      </c>
      <c r="C1739" s="2" t="s">
        <v>4661</v>
      </c>
      <c r="D1739" s="2">
        <v>13.0</v>
      </c>
      <c r="E1739" s="2">
        <v>1620.0</v>
      </c>
      <c r="F1739" s="2">
        <v>1757.0</v>
      </c>
      <c r="G1739" s="2">
        <v>176834.0</v>
      </c>
    </row>
    <row r="1740" ht="15.75" customHeight="1">
      <c r="A1740" s="2" t="s">
        <v>5170</v>
      </c>
      <c r="B1740" s="2" t="s">
        <v>5172</v>
      </c>
      <c r="C1740" s="2" t="s">
        <v>4661</v>
      </c>
      <c r="D1740" s="2">
        <v>6.0</v>
      </c>
      <c r="E1740" s="2">
        <v>1106.0</v>
      </c>
      <c r="F1740" s="2">
        <v>1095.0</v>
      </c>
      <c r="G1740" s="2">
        <v>77500.0</v>
      </c>
    </row>
    <row r="1741" ht="15.75" customHeight="1">
      <c r="A1741" s="2" t="s">
        <v>5173</v>
      </c>
      <c r="B1741" s="2" t="s">
        <v>5174</v>
      </c>
      <c r="C1741" s="2" t="s">
        <v>4661</v>
      </c>
      <c r="D1741" s="2">
        <v>13.0</v>
      </c>
      <c r="E1741" s="2">
        <v>1000.0</v>
      </c>
      <c r="F1741" s="2">
        <v>1034.0</v>
      </c>
      <c r="G1741" s="2">
        <v>110000.0</v>
      </c>
    </row>
    <row r="1742" ht="15.75" customHeight="1">
      <c r="A1742" s="2" t="s">
        <v>5175</v>
      </c>
      <c r="B1742" s="2" t="s">
        <v>5176</v>
      </c>
      <c r="C1742" s="2" t="s">
        <v>4661</v>
      </c>
      <c r="D1742" s="2">
        <v>8.0</v>
      </c>
      <c r="E1742" s="2">
        <v>1371.0</v>
      </c>
      <c r="F1742" s="2">
        <v>1760.0</v>
      </c>
      <c r="G1742" s="2">
        <v>216125.0</v>
      </c>
    </row>
    <row r="1743" ht="15.75" customHeight="1">
      <c r="A1743" s="2" t="s">
        <v>5178</v>
      </c>
      <c r="B1743" s="2" t="s">
        <v>5180</v>
      </c>
      <c r="C1743" s="2" t="s">
        <v>4661</v>
      </c>
      <c r="D1743" s="2">
        <v>14.0</v>
      </c>
      <c r="E1743" s="2">
        <v>2001.0</v>
      </c>
      <c r="F1743" s="2">
        <v>2042.0</v>
      </c>
      <c r="G1743" s="2">
        <v>175900.0</v>
      </c>
    </row>
    <row r="1744" ht="15.75" customHeight="1">
      <c r="A1744" s="2" t="s">
        <v>5181</v>
      </c>
      <c r="B1744" s="2" t="s">
        <v>5182</v>
      </c>
      <c r="C1744" s="2" t="s">
        <v>4661</v>
      </c>
      <c r="D1744" s="2">
        <v>7.0</v>
      </c>
      <c r="E1744" s="2">
        <v>1349.0</v>
      </c>
      <c r="F1744" s="2">
        <v>2079.0</v>
      </c>
      <c r="G1744" s="2">
        <v>186000.0</v>
      </c>
    </row>
    <row r="1745" ht="15.75" customHeight="1">
      <c r="A1745" s="2" t="s">
        <v>5183</v>
      </c>
      <c r="B1745" s="2" t="s">
        <v>5184</v>
      </c>
      <c r="C1745" s="2" t="s">
        <v>4661</v>
      </c>
      <c r="D1745" s="2">
        <v>15.0</v>
      </c>
      <c r="E1745" s="2">
        <v>1527.0</v>
      </c>
      <c r="F1745" s="2">
        <v>1521.0</v>
      </c>
      <c r="G1745" s="2">
        <v>163500.0</v>
      </c>
    </row>
    <row r="1746" ht="15.75" customHeight="1">
      <c r="A1746" s="2" t="s">
        <v>5186</v>
      </c>
      <c r="B1746" s="2" t="s">
        <v>5187</v>
      </c>
      <c r="C1746" s="2" t="s">
        <v>4661</v>
      </c>
      <c r="D1746" s="2">
        <v>8.0</v>
      </c>
      <c r="E1746" s="2">
        <v>1999.0</v>
      </c>
      <c r="F1746" s="2">
        <v>2036.0</v>
      </c>
      <c r="G1746" s="2">
        <v>261750.0</v>
      </c>
    </row>
    <row r="1747" ht="15.75" customHeight="1">
      <c r="A1747" s="2" t="s">
        <v>5189</v>
      </c>
      <c r="B1747" s="2" t="s">
        <v>5190</v>
      </c>
      <c r="C1747" s="2" t="s">
        <v>4661</v>
      </c>
      <c r="D1747" s="2">
        <v>18.0</v>
      </c>
      <c r="E1747" s="2">
        <v>1393.0</v>
      </c>
      <c r="F1747" s="2">
        <v>1435.0</v>
      </c>
      <c r="G1747" s="2">
        <v>164500.0</v>
      </c>
    </row>
    <row r="1748" ht="15.75" customHeight="1">
      <c r="A1748" s="2" t="s">
        <v>5191</v>
      </c>
      <c r="B1748" s="2" t="s">
        <v>5192</v>
      </c>
      <c r="C1748" s="2" t="s">
        <v>4661</v>
      </c>
      <c r="D1748" s="2">
        <v>17.0</v>
      </c>
      <c r="E1748" s="2">
        <v>1190.0</v>
      </c>
      <c r="F1748" s="2">
        <v>1302.0</v>
      </c>
      <c r="G1748" s="2">
        <v>128000.0</v>
      </c>
    </row>
    <row r="1749" ht="15.75" customHeight="1">
      <c r="A1749" s="2" t="s">
        <v>5193</v>
      </c>
      <c r="B1749" s="2" t="s">
        <v>5194</v>
      </c>
      <c r="C1749" s="2" t="s">
        <v>4661</v>
      </c>
      <c r="D1749" s="2">
        <v>23.0</v>
      </c>
      <c r="E1749" s="2">
        <v>2655.0</v>
      </c>
      <c r="F1749" s="2">
        <v>2314.0</v>
      </c>
      <c r="G1749" s="2">
        <v>164000.0</v>
      </c>
    </row>
    <row r="1750" ht="15.75" customHeight="1">
      <c r="A1750" s="2" t="s">
        <v>5195</v>
      </c>
      <c r="B1750" s="2" t="s">
        <v>5196</v>
      </c>
      <c r="C1750" s="2" t="s">
        <v>4661</v>
      </c>
      <c r="D1750" s="2">
        <v>18.0</v>
      </c>
      <c r="E1750" s="2">
        <v>2121.0</v>
      </c>
      <c r="F1750" s="2">
        <v>1951.0</v>
      </c>
      <c r="G1750" s="2">
        <v>194860.0</v>
      </c>
    </row>
    <row r="1751" ht="15.75" customHeight="1">
      <c r="A1751" s="2" t="s">
        <v>5197</v>
      </c>
      <c r="B1751" s="2" t="s">
        <v>5198</v>
      </c>
      <c r="C1751" s="2" t="s">
        <v>4661</v>
      </c>
      <c r="D1751" s="2">
        <v>8.0</v>
      </c>
      <c r="E1751" s="2">
        <v>1500.0</v>
      </c>
      <c r="F1751" s="2">
        <v>1428.0</v>
      </c>
      <c r="G1751" s="2">
        <v>135125.0</v>
      </c>
    </row>
    <row r="1752" ht="15.75" customHeight="1">
      <c r="A1752" s="2" t="s">
        <v>5199</v>
      </c>
      <c r="B1752" s="2" t="s">
        <v>5200</v>
      </c>
      <c r="C1752" s="2" t="s">
        <v>4661</v>
      </c>
      <c r="D1752" s="2">
        <v>6.0</v>
      </c>
      <c r="E1752" s="2">
        <v>1106.0</v>
      </c>
      <c r="F1752" s="2">
        <v>1197.0</v>
      </c>
      <c r="G1752" s="2">
        <v>89000.0</v>
      </c>
    </row>
    <row r="1753" ht="15.75" customHeight="1">
      <c r="A1753" s="2" t="s">
        <v>5201</v>
      </c>
      <c r="B1753" s="2" t="s">
        <v>5202</v>
      </c>
      <c r="C1753" s="2" t="s">
        <v>4661</v>
      </c>
      <c r="D1753" s="2">
        <v>84.0</v>
      </c>
      <c r="E1753" s="2">
        <v>1243.0</v>
      </c>
      <c r="F1753" s="2">
        <v>1295.0</v>
      </c>
      <c r="G1753" s="2">
        <v>110000.0</v>
      </c>
    </row>
    <row r="1754" ht="15.75" customHeight="1">
      <c r="A1754" s="2" t="s">
        <v>5205</v>
      </c>
      <c r="B1754" s="2" t="s">
        <v>5206</v>
      </c>
      <c r="C1754" s="2" t="s">
        <v>4661</v>
      </c>
      <c r="D1754" s="2">
        <v>57.0</v>
      </c>
      <c r="E1754" s="2">
        <v>3097.0</v>
      </c>
      <c r="F1754" s="2">
        <v>3024.0</v>
      </c>
      <c r="G1754" s="2">
        <v>178000.0</v>
      </c>
    </row>
    <row r="1755" ht="15.75" customHeight="1">
      <c r="A1755" s="2" t="s">
        <v>5207</v>
      </c>
      <c r="B1755" s="2" t="s">
        <v>5208</v>
      </c>
      <c r="C1755" s="2" t="s">
        <v>4661</v>
      </c>
      <c r="D1755" s="2">
        <v>6.0</v>
      </c>
      <c r="E1755" s="2">
        <v>1597.0</v>
      </c>
      <c r="F1755" s="2">
        <v>1418.0</v>
      </c>
      <c r="G1755" s="2">
        <v>154000.0</v>
      </c>
    </row>
    <row r="1756" ht="15.75" customHeight="1">
      <c r="A1756" s="2" t="s">
        <v>5210</v>
      </c>
      <c r="B1756" s="2" t="s">
        <v>5212</v>
      </c>
      <c r="C1756" s="2" t="s">
        <v>4661</v>
      </c>
      <c r="D1756" s="2">
        <v>7.0</v>
      </c>
      <c r="E1756" s="2">
        <v>824.0</v>
      </c>
      <c r="F1756" s="2">
        <v>944.0</v>
      </c>
      <c r="G1756" s="2">
        <v>82000.0</v>
      </c>
    </row>
    <row r="1757" ht="15.75" customHeight="1">
      <c r="A1757" s="2" t="s">
        <v>5213</v>
      </c>
      <c r="B1757" s="2" t="s">
        <v>5214</v>
      </c>
      <c r="C1757" s="2" t="s">
        <v>4661</v>
      </c>
      <c r="D1757" s="2">
        <v>8.0</v>
      </c>
      <c r="E1757" s="2">
        <v>1548.0</v>
      </c>
      <c r="F1757" s="2">
        <v>1624.0</v>
      </c>
      <c r="G1757" s="2">
        <v>195950.0</v>
      </c>
    </row>
    <row r="1758" ht="15.75" customHeight="1">
      <c r="A1758" s="2" t="s">
        <v>5215</v>
      </c>
      <c r="B1758" s="2" t="s">
        <v>5216</v>
      </c>
      <c r="C1758" s="2" t="s">
        <v>4661</v>
      </c>
      <c r="D1758" s="2">
        <v>5.0</v>
      </c>
      <c r="E1758" s="2">
        <v>1172.0</v>
      </c>
      <c r="F1758" s="2">
        <v>1160.0</v>
      </c>
      <c r="G1758" s="2">
        <v>125000.0</v>
      </c>
    </row>
    <row r="1759" ht="15.75" customHeight="1">
      <c r="A1759" s="2" t="s">
        <v>5217</v>
      </c>
      <c r="B1759" s="2" t="s">
        <v>5220</v>
      </c>
      <c r="C1759" s="2" t="s">
        <v>4661</v>
      </c>
      <c r="D1759" s="2">
        <v>9.0</v>
      </c>
      <c r="E1759" s="2">
        <v>2069.0</v>
      </c>
      <c r="F1759" s="2">
        <v>2115.0</v>
      </c>
      <c r="G1759" s="2">
        <v>253000.0</v>
      </c>
    </row>
    <row r="1760" ht="15.75" customHeight="1">
      <c r="A1760" s="2" t="s">
        <v>5222</v>
      </c>
      <c r="B1760" s="2" t="s">
        <v>5223</v>
      </c>
      <c r="C1760" s="2" t="s">
        <v>4661</v>
      </c>
      <c r="D1760" s="2">
        <v>5.0</v>
      </c>
      <c r="E1760" s="2">
        <v>956.0</v>
      </c>
      <c r="F1760" s="2">
        <v>1178.0</v>
      </c>
      <c r="G1760" s="2">
        <v>115000.0</v>
      </c>
    </row>
    <row r="1761" ht="15.75" customHeight="1">
      <c r="A1761" s="2" t="s">
        <v>5225</v>
      </c>
      <c r="B1761" s="2" t="s">
        <v>5226</v>
      </c>
      <c r="C1761" s="2" t="s">
        <v>4661</v>
      </c>
      <c r="D1761" s="2">
        <v>7.0</v>
      </c>
      <c r="E1761" s="2">
        <v>994.0</v>
      </c>
      <c r="F1761" s="2">
        <v>1021.0</v>
      </c>
      <c r="G1761" s="2">
        <v>135000.0</v>
      </c>
    </row>
    <row r="1762" ht="15.75" customHeight="1">
      <c r="A1762" s="2" t="s">
        <v>5229</v>
      </c>
      <c r="B1762" s="2" t="s">
        <v>5230</v>
      </c>
      <c r="C1762" s="2" t="s">
        <v>4661</v>
      </c>
      <c r="D1762" s="2">
        <v>46.0</v>
      </c>
      <c r="E1762" s="2">
        <v>2085.0</v>
      </c>
      <c r="F1762" s="2">
        <v>2103.0</v>
      </c>
      <c r="G1762" s="2">
        <v>161000.0</v>
      </c>
    </row>
    <row r="1763" ht="15.75" customHeight="1">
      <c r="A1763" s="2" t="s">
        <v>5231</v>
      </c>
      <c r="B1763" s="2" t="s">
        <v>5232</v>
      </c>
      <c r="C1763" s="2" t="s">
        <v>4661</v>
      </c>
      <c r="D1763" s="2">
        <v>18.0</v>
      </c>
      <c r="E1763" s="2">
        <v>894.0</v>
      </c>
      <c r="F1763" s="2">
        <v>968.0</v>
      </c>
      <c r="G1763" s="2">
        <v>82450.0</v>
      </c>
    </row>
    <row r="1764" ht="15.75" customHeight="1">
      <c r="A1764" s="2" t="s">
        <v>5235</v>
      </c>
      <c r="B1764" s="2" t="s">
        <v>5236</v>
      </c>
      <c r="C1764" s="2" t="s">
        <v>4661</v>
      </c>
      <c r="D1764" s="2">
        <v>9.0</v>
      </c>
      <c r="E1764" s="2">
        <v>982.0</v>
      </c>
      <c r="F1764" s="2">
        <v>1495.0</v>
      </c>
      <c r="G1764" s="2">
        <v>118800.0</v>
      </c>
    </row>
    <row r="1765" ht="15.75" customHeight="1">
      <c r="A1765" s="2" t="s">
        <v>5237</v>
      </c>
      <c r="B1765" s="2" t="s">
        <v>5238</v>
      </c>
      <c r="C1765" s="2" t="s">
        <v>4661</v>
      </c>
      <c r="D1765" s="2">
        <v>7.0</v>
      </c>
      <c r="E1765" s="2">
        <v>556.0</v>
      </c>
      <c r="F1765" s="2">
        <v>754.0</v>
      </c>
      <c r="G1765" s="2">
        <v>105000.0</v>
      </c>
    </row>
    <row r="1766" ht="15.75" customHeight="1">
      <c r="A1766" s="2" t="s">
        <v>5239</v>
      </c>
      <c r="B1766" s="2" t="s">
        <v>5240</v>
      </c>
      <c r="C1766" s="2" t="s">
        <v>4661</v>
      </c>
      <c r="D1766" s="2">
        <v>27.0</v>
      </c>
      <c r="E1766" s="2">
        <v>1139.0</v>
      </c>
      <c r="F1766" s="2">
        <v>1161.0</v>
      </c>
      <c r="G1766" s="2">
        <v>118400.0</v>
      </c>
    </row>
    <row r="1767" ht="15.75" customHeight="1">
      <c r="A1767" s="2" t="s">
        <v>5241</v>
      </c>
      <c r="B1767" s="2" t="s">
        <v>5242</v>
      </c>
      <c r="C1767" s="2" t="s">
        <v>4661</v>
      </c>
      <c r="D1767" s="2">
        <v>67.0</v>
      </c>
      <c r="E1767" s="2">
        <v>1167.0</v>
      </c>
      <c r="F1767" s="2">
        <v>1238.0</v>
      </c>
      <c r="G1767" s="2">
        <v>87800.0</v>
      </c>
    </row>
    <row r="1768" ht="15.75" customHeight="1">
      <c r="A1768" s="2" t="s">
        <v>5243</v>
      </c>
      <c r="B1768" s="2" t="s">
        <v>5244</v>
      </c>
      <c r="C1768" s="2" t="s">
        <v>4661</v>
      </c>
      <c r="D1768" s="2">
        <v>5.0</v>
      </c>
      <c r="E1768" s="2">
        <v>1739.0</v>
      </c>
      <c r="F1768" s="2">
        <v>1638.0</v>
      </c>
      <c r="G1768" s="2">
        <v>180000.0</v>
      </c>
    </row>
    <row r="1769" ht="15.75" customHeight="1">
      <c r="A1769" s="2" t="s">
        <v>5245</v>
      </c>
      <c r="B1769" s="2" t="s">
        <v>5246</v>
      </c>
      <c r="C1769" s="2" t="s">
        <v>4661</v>
      </c>
      <c r="D1769" s="2">
        <v>50.0</v>
      </c>
      <c r="E1769" s="2">
        <v>1771.0</v>
      </c>
      <c r="F1769" s="2">
        <v>1967.0</v>
      </c>
      <c r="G1769" s="2">
        <v>170000.0</v>
      </c>
    </row>
    <row r="1770" ht="15.75" customHeight="1">
      <c r="A1770" s="2" t="s">
        <v>5248</v>
      </c>
      <c r="B1770" s="2" t="s">
        <v>5250</v>
      </c>
      <c r="C1770" s="2" t="s">
        <v>4661</v>
      </c>
      <c r="D1770" s="2">
        <v>7.0</v>
      </c>
      <c r="E1770" s="2">
        <v>1667.0</v>
      </c>
      <c r="F1770" s="2">
        <v>1727.0</v>
      </c>
      <c r="G1770" s="2">
        <v>239000.0</v>
      </c>
    </row>
    <row r="1771" ht="15.75" customHeight="1">
      <c r="A1771" s="2" t="s">
        <v>5252</v>
      </c>
      <c r="B1771" s="2" t="s">
        <v>5254</v>
      </c>
      <c r="C1771" s="2" t="s">
        <v>4661</v>
      </c>
      <c r="D1771" s="2">
        <v>16.0</v>
      </c>
      <c r="E1771" s="2">
        <v>1402.0</v>
      </c>
      <c r="F1771" s="2">
        <v>1635.0</v>
      </c>
      <c r="G1771" s="2">
        <v>146000.0</v>
      </c>
    </row>
    <row r="1772" ht="15.75" customHeight="1">
      <c r="A1772" s="2" t="s">
        <v>5255</v>
      </c>
      <c r="B1772" s="2" t="s">
        <v>5256</v>
      </c>
      <c r="C1772" s="2" t="s">
        <v>4661</v>
      </c>
      <c r="D1772" s="2">
        <v>5.0</v>
      </c>
      <c r="E1772" s="2">
        <v>738.0</v>
      </c>
      <c r="F1772" s="2">
        <v>904.0</v>
      </c>
      <c r="G1772" s="2">
        <v>59000.0</v>
      </c>
    </row>
    <row r="1773" ht="15.75" customHeight="1">
      <c r="A1773" s="2" t="s">
        <v>5257</v>
      </c>
      <c r="B1773" s="2" t="s">
        <v>5259</v>
      </c>
      <c r="C1773" s="2" t="s">
        <v>4661</v>
      </c>
      <c r="D1773" s="2">
        <v>9.0</v>
      </c>
      <c r="E1773" s="2">
        <v>2121.0</v>
      </c>
      <c r="F1773" s="2">
        <v>1960.0</v>
      </c>
      <c r="G1773" s="2">
        <v>247000.0</v>
      </c>
    </row>
    <row r="1774" ht="15.75" customHeight="1">
      <c r="A1774" s="2" t="s">
        <v>5261</v>
      </c>
      <c r="B1774" s="2" t="s">
        <v>5262</v>
      </c>
      <c r="C1774" s="2" t="s">
        <v>4661</v>
      </c>
      <c r="D1774" s="2">
        <v>16.0</v>
      </c>
      <c r="E1774" s="2">
        <v>3136.0</v>
      </c>
      <c r="F1774" s="2">
        <v>2817.0</v>
      </c>
      <c r="G1774" s="2">
        <v>356250.0</v>
      </c>
    </row>
    <row r="1775" ht="15.75" customHeight="1">
      <c r="A1775" s="2" t="s">
        <v>5263</v>
      </c>
      <c r="B1775" s="2" t="s">
        <v>5264</v>
      </c>
      <c r="C1775" s="2" t="s">
        <v>4661</v>
      </c>
      <c r="D1775" s="2">
        <v>15.0</v>
      </c>
      <c r="E1775" s="2">
        <v>1031.0</v>
      </c>
      <c r="F1775" s="2">
        <v>1144.0</v>
      </c>
      <c r="G1775" s="2">
        <v>105000.0</v>
      </c>
    </row>
    <row r="1776" ht="15.75" customHeight="1">
      <c r="A1776" s="2" t="s">
        <v>5265</v>
      </c>
      <c r="B1776" s="2" t="s">
        <v>5266</v>
      </c>
      <c r="C1776" s="2" t="s">
        <v>4661</v>
      </c>
      <c r="D1776" s="2">
        <v>33.0</v>
      </c>
      <c r="E1776" s="2">
        <v>909.0</v>
      </c>
      <c r="F1776" s="2">
        <v>958.0</v>
      </c>
      <c r="G1776" s="2">
        <v>70000.0</v>
      </c>
    </row>
    <row r="1777" ht="15.75" customHeight="1">
      <c r="A1777" s="2" t="s">
        <v>5267</v>
      </c>
      <c r="B1777" s="2" t="s">
        <v>5268</v>
      </c>
      <c r="C1777" s="2" t="s">
        <v>4661</v>
      </c>
      <c r="D1777" s="2">
        <v>10.0</v>
      </c>
      <c r="E1777" s="2">
        <v>2160.0</v>
      </c>
      <c r="F1777" s="2">
        <v>2336.0</v>
      </c>
      <c r="G1777" s="2">
        <v>244050.0</v>
      </c>
    </row>
    <row r="1778" ht="15.75" customHeight="1">
      <c r="A1778" s="2" t="s">
        <v>5269</v>
      </c>
      <c r="B1778" s="2" t="s">
        <v>5271</v>
      </c>
      <c r="C1778" s="2" t="s">
        <v>4661</v>
      </c>
      <c r="D1778" s="2">
        <v>20.0</v>
      </c>
      <c r="E1778" s="2">
        <v>1303.0</v>
      </c>
      <c r="F1778" s="2">
        <v>1457.0</v>
      </c>
      <c r="G1778" s="2">
        <v>116350.0</v>
      </c>
    </row>
    <row r="1779" ht="15.75" customHeight="1">
      <c r="A1779" s="2" t="s">
        <v>5273</v>
      </c>
      <c r="B1779" s="2" t="s">
        <v>5274</v>
      </c>
      <c r="C1779" s="2" t="s">
        <v>4661</v>
      </c>
      <c r="D1779" s="2">
        <v>8.0</v>
      </c>
      <c r="E1779" s="2">
        <v>1457.0</v>
      </c>
      <c r="F1779" s="2">
        <v>1363.0</v>
      </c>
      <c r="G1779" s="2">
        <v>133500.0</v>
      </c>
    </row>
    <row r="1780" ht="15.75" customHeight="1">
      <c r="A1780" s="2" t="s">
        <v>5275</v>
      </c>
      <c r="B1780" s="2" t="s">
        <v>5276</v>
      </c>
      <c r="C1780" s="2" t="s">
        <v>4661</v>
      </c>
      <c r="D1780" s="2">
        <v>10.0</v>
      </c>
      <c r="E1780" s="2">
        <v>1969.0</v>
      </c>
      <c r="F1780" s="2">
        <v>2006.0</v>
      </c>
      <c r="G1780" s="2">
        <v>199325.0</v>
      </c>
    </row>
    <row r="1781" ht="15.75" customHeight="1">
      <c r="A1781" s="2" t="s">
        <v>5277</v>
      </c>
      <c r="B1781" s="2" t="s">
        <v>3509</v>
      </c>
      <c r="C1781" s="2" t="s">
        <v>4661</v>
      </c>
      <c r="D1781" s="2">
        <v>8.0</v>
      </c>
      <c r="E1781" s="2">
        <v>2012.0</v>
      </c>
      <c r="F1781" s="2">
        <v>1784.0</v>
      </c>
      <c r="G1781" s="2">
        <v>131250.0</v>
      </c>
    </row>
    <row r="1782" ht="15.75" customHeight="1">
      <c r="A1782" s="2" t="s">
        <v>5278</v>
      </c>
      <c r="B1782" s="2" t="s">
        <v>5280</v>
      </c>
      <c r="C1782" s="2" t="s">
        <v>4661</v>
      </c>
      <c r="D1782" s="2">
        <v>5.0</v>
      </c>
      <c r="E1782" s="2">
        <v>1685.0</v>
      </c>
      <c r="F1782" s="2">
        <v>1597.0</v>
      </c>
      <c r="G1782" s="2">
        <v>182000.0</v>
      </c>
    </row>
    <row r="1783" ht="15.75" customHeight="1">
      <c r="A1783" s="2" t="s">
        <v>5282</v>
      </c>
      <c r="B1783" s="2" t="s">
        <v>5283</v>
      </c>
      <c r="C1783" s="2" t="s">
        <v>4661</v>
      </c>
      <c r="D1783" s="2">
        <v>44.0</v>
      </c>
      <c r="E1783" s="2">
        <v>3772.0</v>
      </c>
      <c r="F1783" s="2">
        <v>3808.0</v>
      </c>
      <c r="G1783" s="2">
        <v>246750.0</v>
      </c>
    </row>
    <row r="1784" ht="15.75" customHeight="1">
      <c r="A1784" s="2" t="s">
        <v>5286</v>
      </c>
      <c r="B1784" s="2" t="s">
        <v>5287</v>
      </c>
      <c r="C1784" s="2" t="s">
        <v>4661</v>
      </c>
      <c r="D1784" s="2">
        <v>35.0</v>
      </c>
      <c r="E1784" s="2">
        <v>1966.0</v>
      </c>
      <c r="F1784" s="2">
        <v>2075.0</v>
      </c>
      <c r="G1784" s="2">
        <v>213950.0</v>
      </c>
    </row>
    <row r="1785" ht="15.75" customHeight="1">
      <c r="A1785" s="2" t="s">
        <v>5290</v>
      </c>
      <c r="B1785" s="2" t="s">
        <v>5291</v>
      </c>
      <c r="C1785" s="2" t="s">
        <v>4661</v>
      </c>
      <c r="D1785" s="2">
        <v>41.0</v>
      </c>
      <c r="E1785" s="2">
        <v>2400.0</v>
      </c>
      <c r="F1785" s="2">
        <v>2476.0</v>
      </c>
      <c r="G1785" s="2">
        <v>155000.0</v>
      </c>
    </row>
    <row r="1786" ht="15.75" customHeight="1">
      <c r="A1786" s="2" t="s">
        <v>5292</v>
      </c>
      <c r="B1786" s="2" t="s">
        <v>5293</v>
      </c>
      <c r="C1786" s="2" t="s">
        <v>4661</v>
      </c>
      <c r="D1786" s="2">
        <v>10.0</v>
      </c>
      <c r="E1786" s="2">
        <v>2280.0</v>
      </c>
      <c r="F1786" s="2">
        <v>2105.0</v>
      </c>
      <c r="G1786" s="2">
        <v>237700.0</v>
      </c>
    </row>
    <row r="1787" ht="15.75" customHeight="1">
      <c r="A1787" s="2" t="s">
        <v>5296</v>
      </c>
      <c r="B1787" s="2" t="s">
        <v>5298</v>
      </c>
      <c r="C1787" s="2" t="s">
        <v>4661</v>
      </c>
      <c r="D1787" s="2">
        <v>7.0</v>
      </c>
      <c r="E1787" s="2">
        <v>1356.0</v>
      </c>
      <c r="F1787" s="2">
        <v>1533.0</v>
      </c>
      <c r="G1787" s="2">
        <v>225000.0</v>
      </c>
    </row>
    <row r="1788" ht="15.75" customHeight="1">
      <c r="A1788" s="2" t="s">
        <v>5300</v>
      </c>
      <c r="B1788" s="2" t="s">
        <v>5301</v>
      </c>
      <c r="C1788" s="2" t="s">
        <v>4661</v>
      </c>
      <c r="D1788" s="2">
        <v>8.0</v>
      </c>
      <c r="E1788" s="2">
        <v>2089.0</v>
      </c>
      <c r="F1788" s="2">
        <v>2062.0</v>
      </c>
      <c r="G1788" s="2">
        <v>236475.0</v>
      </c>
    </row>
    <row r="1789" ht="15.75" customHeight="1">
      <c r="A1789" s="2" t="s">
        <v>5302</v>
      </c>
      <c r="B1789" s="2" t="s">
        <v>5303</v>
      </c>
      <c r="C1789" s="2" t="s">
        <v>4661</v>
      </c>
      <c r="D1789" s="2">
        <v>9.0</v>
      </c>
      <c r="E1789" s="2">
        <v>1161.0</v>
      </c>
      <c r="F1789" s="2">
        <v>1186.0</v>
      </c>
      <c r="G1789" s="2">
        <v>129000.0</v>
      </c>
    </row>
    <row r="1790" ht="15.75" customHeight="1">
      <c r="A1790" s="2" t="s">
        <v>5305</v>
      </c>
      <c r="B1790" s="2" t="s">
        <v>5307</v>
      </c>
      <c r="C1790" s="2" t="s">
        <v>4661</v>
      </c>
      <c r="D1790" s="2">
        <v>5.0</v>
      </c>
      <c r="E1790" s="2">
        <v>831.0</v>
      </c>
      <c r="F1790" s="2">
        <v>932.0</v>
      </c>
      <c r="G1790" s="2">
        <v>66500.0</v>
      </c>
    </row>
    <row r="1791" ht="15.75" customHeight="1">
      <c r="A1791" s="2" t="s">
        <v>5308</v>
      </c>
      <c r="B1791" s="2" t="s">
        <v>5309</v>
      </c>
      <c r="C1791" s="2" t="s">
        <v>4661</v>
      </c>
      <c r="D1791" s="2">
        <v>7.0</v>
      </c>
      <c r="E1791" s="2">
        <v>1225.0</v>
      </c>
      <c r="F1791" s="2">
        <v>1426.0</v>
      </c>
      <c r="G1791" s="2">
        <v>90000.0</v>
      </c>
    </row>
    <row r="1792" ht="15.75" customHeight="1">
      <c r="A1792" s="2" t="s">
        <v>5310</v>
      </c>
      <c r="B1792" s="2" t="s">
        <v>5311</v>
      </c>
      <c r="C1792" s="2" t="s">
        <v>4661</v>
      </c>
      <c r="D1792" s="2">
        <v>7.0</v>
      </c>
      <c r="E1792" s="2">
        <v>1148.0</v>
      </c>
      <c r="F1792" s="2">
        <v>1543.0</v>
      </c>
      <c r="G1792" s="2">
        <v>128500.0</v>
      </c>
    </row>
    <row r="1793" ht="15.75" customHeight="1">
      <c r="A1793" s="2" t="s">
        <v>5312</v>
      </c>
      <c r="B1793" s="2" t="s">
        <v>5313</v>
      </c>
      <c r="C1793" s="2" t="s">
        <v>4661</v>
      </c>
      <c r="D1793" s="2">
        <v>16.0</v>
      </c>
      <c r="E1793" s="2">
        <v>1075.0</v>
      </c>
      <c r="F1793" s="2">
        <v>1283.0</v>
      </c>
      <c r="G1793" s="2">
        <v>142345.0</v>
      </c>
    </row>
    <row r="1794" ht="15.75" customHeight="1">
      <c r="A1794" s="2" t="s">
        <v>5315</v>
      </c>
      <c r="B1794" s="2" t="s">
        <v>5317</v>
      </c>
      <c r="C1794" s="2" t="s">
        <v>4661</v>
      </c>
      <c r="D1794" s="2">
        <v>5.0</v>
      </c>
      <c r="E1794" s="2">
        <v>1218.0</v>
      </c>
      <c r="F1794" s="2">
        <v>1207.0</v>
      </c>
      <c r="G1794" s="2">
        <v>70000.0</v>
      </c>
    </row>
    <row r="1795" ht="15.75" customHeight="1">
      <c r="A1795" s="2" t="s">
        <v>5319</v>
      </c>
      <c r="B1795" s="2" t="s">
        <v>5321</v>
      </c>
      <c r="C1795" s="2" t="s">
        <v>4661</v>
      </c>
      <c r="D1795" s="2">
        <v>13.0</v>
      </c>
      <c r="E1795" s="2">
        <v>1971.0</v>
      </c>
      <c r="F1795" s="2">
        <v>1762.0</v>
      </c>
      <c r="G1795" s="2">
        <v>174000.0</v>
      </c>
    </row>
    <row r="1796" ht="15.75" customHeight="1">
      <c r="A1796" s="2" t="s">
        <v>5322</v>
      </c>
      <c r="B1796" s="2" t="s">
        <v>4566</v>
      </c>
      <c r="C1796" s="2" t="s">
        <v>4661</v>
      </c>
      <c r="D1796" s="2">
        <v>5.0</v>
      </c>
      <c r="E1796" s="2">
        <v>1800.0</v>
      </c>
      <c r="F1796" s="2">
        <v>1780.0</v>
      </c>
      <c r="G1796" s="2">
        <v>149430.0</v>
      </c>
    </row>
    <row r="1797" ht="15.75" customHeight="1">
      <c r="A1797" s="2" t="s">
        <v>5325</v>
      </c>
      <c r="B1797" s="2" t="s">
        <v>5326</v>
      </c>
      <c r="C1797" s="2" t="s">
        <v>4661</v>
      </c>
      <c r="D1797" s="2">
        <v>6.0</v>
      </c>
      <c r="E1797" s="2">
        <v>1729.0</v>
      </c>
      <c r="F1797" s="2">
        <v>1625.0</v>
      </c>
      <c r="G1797" s="2">
        <v>146000.0</v>
      </c>
    </row>
    <row r="1798" ht="15.75" customHeight="1">
      <c r="A1798" s="2" t="s">
        <v>5329</v>
      </c>
      <c r="B1798" s="2" t="s">
        <v>5330</v>
      </c>
      <c r="C1798" s="2" t="s">
        <v>4661</v>
      </c>
      <c r="D1798" s="2">
        <v>6.0</v>
      </c>
      <c r="E1798" s="2">
        <v>2429.0</v>
      </c>
      <c r="F1798" s="2">
        <v>2014.0</v>
      </c>
      <c r="G1798" s="2">
        <v>190400.0</v>
      </c>
    </row>
    <row r="1799" ht="15.75" customHeight="1">
      <c r="A1799" s="2" t="s">
        <v>5331</v>
      </c>
      <c r="B1799" s="2" t="s">
        <v>5332</v>
      </c>
      <c r="C1799" s="2" t="s">
        <v>4661</v>
      </c>
      <c r="D1799" s="2">
        <v>22.0</v>
      </c>
      <c r="E1799" s="2">
        <v>1452.0</v>
      </c>
      <c r="F1799" s="2">
        <v>1496.0</v>
      </c>
      <c r="G1799" s="2">
        <v>138500.0</v>
      </c>
    </row>
    <row r="1800" ht="15.75" customHeight="1">
      <c r="A1800" s="2" t="s">
        <v>5333</v>
      </c>
      <c r="B1800" s="2" t="s">
        <v>5334</v>
      </c>
      <c r="C1800" s="2" t="s">
        <v>4661</v>
      </c>
      <c r="D1800" s="2">
        <v>5.0</v>
      </c>
      <c r="E1800" s="2">
        <v>1264.0</v>
      </c>
      <c r="F1800" s="2">
        <v>1623.0</v>
      </c>
      <c r="G1800" s="2">
        <v>184500.0</v>
      </c>
    </row>
    <row r="1801" ht="15.75" customHeight="1">
      <c r="A1801" s="2" t="s">
        <v>5337</v>
      </c>
      <c r="B1801" s="2" t="s">
        <v>5338</v>
      </c>
      <c r="C1801" s="2" t="s">
        <v>4661</v>
      </c>
      <c r="D1801" s="2">
        <v>8.0</v>
      </c>
      <c r="E1801" s="2">
        <v>1358.0</v>
      </c>
      <c r="F1801" s="2">
        <v>1258.0</v>
      </c>
      <c r="G1801" s="2">
        <v>85630.0</v>
      </c>
    </row>
    <row r="1802" ht="15.75" customHeight="1">
      <c r="A1802" s="2" t="s">
        <v>5340</v>
      </c>
      <c r="B1802" s="2" t="s">
        <v>5341</v>
      </c>
      <c r="C1802" s="2" t="s">
        <v>4661</v>
      </c>
      <c r="D1802" s="2">
        <v>19.0</v>
      </c>
      <c r="E1802" s="2">
        <v>1740.0</v>
      </c>
      <c r="F1802" s="2">
        <v>1646.0</v>
      </c>
      <c r="G1802" s="2">
        <v>241500.0</v>
      </c>
    </row>
    <row r="1803" ht="15.75" customHeight="1">
      <c r="A1803" s="2" t="s">
        <v>5343</v>
      </c>
      <c r="B1803" s="2" t="s">
        <v>5344</v>
      </c>
      <c r="C1803" s="2" t="s">
        <v>4661</v>
      </c>
      <c r="D1803" s="2">
        <v>44.0</v>
      </c>
      <c r="E1803" s="2">
        <v>1783.0</v>
      </c>
      <c r="F1803" s="2">
        <v>1809.0</v>
      </c>
      <c r="G1803" s="2">
        <v>160375.0</v>
      </c>
    </row>
    <row r="1804" ht="15.75" customHeight="1">
      <c r="A1804" s="2" t="s">
        <v>5345</v>
      </c>
      <c r="B1804" s="2" t="s">
        <v>5346</v>
      </c>
      <c r="C1804" s="2" t="s">
        <v>4661</v>
      </c>
      <c r="D1804" s="2">
        <v>8.0</v>
      </c>
      <c r="E1804" s="2">
        <v>1021.0</v>
      </c>
      <c r="F1804" s="2">
        <v>957.0</v>
      </c>
      <c r="G1804" s="2">
        <v>80000.0</v>
      </c>
    </row>
    <row r="1805" ht="15.75" customHeight="1">
      <c r="A1805" s="2" t="s">
        <v>5347</v>
      </c>
      <c r="B1805" s="2" t="s">
        <v>5348</v>
      </c>
      <c r="C1805" s="2" t="s">
        <v>4661</v>
      </c>
      <c r="D1805" s="2">
        <v>5.0</v>
      </c>
      <c r="E1805" s="2">
        <v>822.0</v>
      </c>
      <c r="F1805" s="2">
        <v>848.0</v>
      </c>
      <c r="G1805" s="2">
        <v>125000.0</v>
      </c>
    </row>
    <row r="1806" ht="15.75" customHeight="1">
      <c r="A1806" s="2" t="s">
        <v>5349</v>
      </c>
      <c r="B1806" s="2" t="s">
        <v>5350</v>
      </c>
      <c r="C1806" s="2" t="s">
        <v>4661</v>
      </c>
      <c r="D1806" s="2">
        <v>9.0</v>
      </c>
      <c r="E1806" s="2">
        <v>1517.0</v>
      </c>
      <c r="F1806" s="2">
        <v>1577.0</v>
      </c>
      <c r="G1806" s="2">
        <v>135000.0</v>
      </c>
    </row>
    <row r="1807" ht="15.75" customHeight="1">
      <c r="A1807" s="2" t="s">
        <v>5351</v>
      </c>
      <c r="B1807" s="2" t="s">
        <v>5352</v>
      </c>
      <c r="C1807" s="2" t="s">
        <v>4661</v>
      </c>
      <c r="D1807" s="2">
        <v>11.0</v>
      </c>
      <c r="E1807" s="2">
        <v>2025.0</v>
      </c>
      <c r="F1807" s="2">
        <v>2057.0</v>
      </c>
      <c r="G1807" s="2">
        <v>90000.0</v>
      </c>
    </row>
    <row r="1808" ht="15.75" customHeight="1">
      <c r="A1808" s="2" t="s">
        <v>5355</v>
      </c>
      <c r="B1808" s="2" t="s">
        <v>5356</v>
      </c>
      <c r="C1808" s="2" t="s">
        <v>4661</v>
      </c>
      <c r="D1808" s="2">
        <v>11.0</v>
      </c>
      <c r="E1808" s="2">
        <v>1360.0</v>
      </c>
      <c r="F1808" s="2">
        <v>1444.0</v>
      </c>
      <c r="G1808" s="2">
        <v>110500.0</v>
      </c>
    </row>
    <row r="1809" ht="15.75" customHeight="1">
      <c r="A1809" s="2" t="s">
        <v>5357</v>
      </c>
      <c r="B1809" s="2" t="s">
        <v>5358</v>
      </c>
      <c r="C1809" s="2" t="s">
        <v>4661</v>
      </c>
      <c r="D1809" s="2">
        <v>5.0</v>
      </c>
      <c r="E1809" s="2">
        <v>1781.0</v>
      </c>
      <c r="F1809" s="2">
        <v>1566.0</v>
      </c>
      <c r="G1809" s="2">
        <v>105200.0</v>
      </c>
    </row>
    <row r="1810" ht="15.75" customHeight="1">
      <c r="A1810" s="2" t="s">
        <v>5361</v>
      </c>
      <c r="B1810" s="2" t="s">
        <v>5362</v>
      </c>
      <c r="C1810" s="2" t="s">
        <v>4661</v>
      </c>
      <c r="D1810" s="2">
        <v>7.0</v>
      </c>
      <c r="E1810" s="2">
        <v>1095.0</v>
      </c>
      <c r="F1810" s="2">
        <v>1540.0</v>
      </c>
      <c r="G1810" s="2">
        <v>182000.0</v>
      </c>
    </row>
    <row r="1811" ht="15.75" customHeight="1">
      <c r="A1811" s="2" t="s">
        <v>5364</v>
      </c>
      <c r="B1811" s="2" t="s">
        <v>5366</v>
      </c>
      <c r="C1811" s="2" t="s">
        <v>4661</v>
      </c>
      <c r="D1811" s="2">
        <v>13.0</v>
      </c>
      <c r="E1811" s="2">
        <v>1024.0</v>
      </c>
      <c r="F1811" s="2">
        <v>988.0</v>
      </c>
      <c r="G1811" s="2">
        <v>70000.0</v>
      </c>
    </row>
    <row r="1812" ht="15.75" customHeight="1">
      <c r="A1812" s="2" t="s">
        <v>5368</v>
      </c>
      <c r="B1812" s="2" t="s">
        <v>5370</v>
      </c>
      <c r="C1812" s="2" t="s">
        <v>4661</v>
      </c>
      <c r="D1812" s="2">
        <v>13.0</v>
      </c>
      <c r="E1812" s="2">
        <v>1211.0</v>
      </c>
      <c r="F1812" s="2">
        <v>1230.0</v>
      </c>
      <c r="G1812" s="2">
        <v>155000.0</v>
      </c>
    </row>
    <row r="1813" ht="15.75" customHeight="1">
      <c r="A1813" s="2" t="s">
        <v>5372</v>
      </c>
      <c r="B1813" s="2" t="s">
        <v>5373</v>
      </c>
      <c r="C1813" s="2" t="s">
        <v>4661</v>
      </c>
      <c r="D1813" s="2">
        <v>6.0</v>
      </c>
      <c r="E1813" s="2">
        <v>1009.0</v>
      </c>
      <c r="F1813" s="2">
        <v>1116.0</v>
      </c>
      <c r="G1813" s="2">
        <v>73000.0</v>
      </c>
    </row>
  </sheetData>
  <autoFilter ref="$A$1:$G$1813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0.5"/>
    <col customWidth="1" min="2" max="2" width="35.0"/>
    <col customWidth="1" min="3" max="3" width="17.0"/>
    <col customWidth="1" min="4" max="4" width="17.13"/>
    <col customWidth="1" min="5" max="5" width="24.75"/>
    <col customWidth="1" min="6" max="6" width="14.0"/>
    <col customWidth="1" min="7" max="26" width="7.63"/>
  </cols>
  <sheetData>
    <row r="1">
      <c r="A1" s="3" t="s">
        <v>0</v>
      </c>
      <c r="B1" s="3" t="s">
        <v>1</v>
      </c>
      <c r="C1" s="3" t="s">
        <v>130</v>
      </c>
      <c r="D1" s="3" t="s">
        <v>133</v>
      </c>
      <c r="E1" s="3" t="s">
        <v>136</v>
      </c>
      <c r="F1" s="3" t="s">
        <v>140</v>
      </c>
    </row>
    <row r="2">
      <c r="A2" s="4" t="s">
        <v>9</v>
      </c>
      <c r="B2" s="2" t="s">
        <v>11</v>
      </c>
      <c r="C2" s="2">
        <v>498.0</v>
      </c>
      <c r="D2" s="2">
        <v>518.0</v>
      </c>
      <c r="E2" s="2">
        <v>24700.0</v>
      </c>
      <c r="F2" s="2" t="s">
        <v>150</v>
      </c>
    </row>
    <row r="3">
      <c r="A3" s="4" t="s">
        <v>14</v>
      </c>
      <c r="B3" s="2" t="s">
        <v>15</v>
      </c>
      <c r="C3" s="2">
        <v>598.0</v>
      </c>
      <c r="D3" s="2">
        <v>584.0</v>
      </c>
      <c r="E3" s="2">
        <v>25260.0</v>
      </c>
      <c r="F3" s="2" t="s">
        <v>150</v>
      </c>
    </row>
    <row r="4">
      <c r="A4" s="4" t="s">
        <v>17</v>
      </c>
      <c r="B4" s="2" t="s">
        <v>19</v>
      </c>
      <c r="C4" s="2">
        <v>1012.0</v>
      </c>
      <c r="D4" s="2">
        <v>1004.0</v>
      </c>
      <c r="E4" s="2">
        <v>26000.0</v>
      </c>
      <c r="F4" s="2" t="s">
        <v>150</v>
      </c>
    </row>
    <row r="5">
      <c r="A5" s="4" t="s">
        <v>39</v>
      </c>
      <c r="B5" s="2" t="s">
        <v>41</v>
      </c>
      <c r="C5" s="2">
        <v>177.0</v>
      </c>
      <c r="D5" s="2">
        <v>189.0</v>
      </c>
      <c r="E5" s="2">
        <v>21320.0</v>
      </c>
      <c r="F5" s="2" t="s">
        <v>150</v>
      </c>
    </row>
    <row r="6">
      <c r="A6" s="4" t="s">
        <v>48</v>
      </c>
      <c r="B6" s="2" t="s">
        <v>50</v>
      </c>
      <c r="C6" s="2">
        <v>384.0</v>
      </c>
      <c r="D6" s="2">
        <v>417.0</v>
      </c>
      <c r="E6" s="2">
        <v>27790.0</v>
      </c>
      <c r="F6" s="2" t="s">
        <v>150</v>
      </c>
    </row>
    <row r="7">
      <c r="A7" s="4" t="s">
        <v>56</v>
      </c>
      <c r="B7" s="2" t="s">
        <v>57</v>
      </c>
      <c r="C7" s="2">
        <v>255.0</v>
      </c>
      <c r="D7" s="2">
        <v>259.0</v>
      </c>
      <c r="E7" s="2">
        <v>25470.0</v>
      </c>
      <c r="F7" s="2" t="s">
        <v>150</v>
      </c>
    </row>
    <row r="8">
      <c r="A8" s="4" t="s">
        <v>62</v>
      </c>
      <c r="B8" s="2" t="s">
        <v>64</v>
      </c>
      <c r="C8" s="2">
        <v>125.0</v>
      </c>
      <c r="D8" s="2">
        <v>118.0</v>
      </c>
      <c r="E8" s="2">
        <v>26000.0</v>
      </c>
      <c r="F8" s="2" t="s">
        <v>150</v>
      </c>
    </row>
    <row r="9">
      <c r="A9" s="4" t="s">
        <v>70</v>
      </c>
      <c r="B9" s="2" t="s">
        <v>71</v>
      </c>
      <c r="C9" s="2">
        <v>291.0</v>
      </c>
      <c r="D9" s="2">
        <v>306.0</v>
      </c>
      <c r="E9" s="2">
        <v>26290.0</v>
      </c>
      <c r="F9" s="2" t="s">
        <v>150</v>
      </c>
    </row>
    <row r="10">
      <c r="A10" s="4" t="s">
        <v>76</v>
      </c>
      <c r="B10" s="2" t="s">
        <v>78</v>
      </c>
      <c r="C10" s="2">
        <v>543.0</v>
      </c>
      <c r="D10" s="2">
        <v>517.0</v>
      </c>
      <c r="E10" s="2">
        <v>25820.0</v>
      </c>
      <c r="F10" s="2" t="s">
        <v>150</v>
      </c>
    </row>
    <row r="11">
      <c r="A11" s="4" t="s">
        <v>84</v>
      </c>
      <c r="B11" s="2" t="s">
        <v>85</v>
      </c>
      <c r="C11" s="2">
        <v>177.0</v>
      </c>
      <c r="D11" s="2">
        <v>163.0</v>
      </c>
      <c r="E11" s="2">
        <v>26140.0</v>
      </c>
      <c r="F11" s="2" t="s">
        <v>150</v>
      </c>
    </row>
    <row r="12">
      <c r="A12" s="4" t="s">
        <v>20</v>
      </c>
      <c r="B12" s="2" t="s">
        <v>21</v>
      </c>
      <c r="C12" s="2">
        <v>1155.0</v>
      </c>
      <c r="D12" s="2">
        <v>1205.0</v>
      </c>
      <c r="E12" s="2">
        <v>27570.0</v>
      </c>
      <c r="F12" s="2" t="s">
        <v>150</v>
      </c>
    </row>
    <row r="13">
      <c r="A13" s="4" t="s">
        <v>95</v>
      </c>
      <c r="B13" s="2" t="s">
        <v>97</v>
      </c>
      <c r="C13" s="2">
        <v>70.0</v>
      </c>
      <c r="D13" s="2">
        <v>79.0</v>
      </c>
      <c r="E13" s="2" t="s">
        <v>150</v>
      </c>
      <c r="F13" s="2" t="s">
        <v>150</v>
      </c>
    </row>
    <row r="14">
      <c r="A14" s="4" t="s">
        <v>103</v>
      </c>
      <c r="B14" s="2" t="s">
        <v>105</v>
      </c>
      <c r="C14" s="2">
        <v>404.0</v>
      </c>
      <c r="D14" s="2">
        <v>391.0</v>
      </c>
      <c r="E14" s="2">
        <v>27200.0</v>
      </c>
      <c r="F14" s="2" t="s">
        <v>150</v>
      </c>
    </row>
    <row r="15">
      <c r="A15" s="4" t="s">
        <v>24</v>
      </c>
      <c r="B15" s="2" t="s">
        <v>25</v>
      </c>
      <c r="C15" s="2">
        <v>744.0</v>
      </c>
      <c r="D15" s="2">
        <v>707.0</v>
      </c>
      <c r="E15" s="2">
        <v>25340.0</v>
      </c>
      <c r="F15" s="2" t="s">
        <v>150</v>
      </c>
    </row>
    <row r="16">
      <c r="A16" s="4" t="s">
        <v>113</v>
      </c>
      <c r="B16" s="2" t="s">
        <v>115</v>
      </c>
      <c r="C16" s="2">
        <v>75.0</v>
      </c>
      <c r="D16" s="2">
        <v>78.0</v>
      </c>
      <c r="E16" s="2" t="s">
        <v>150</v>
      </c>
      <c r="F16" s="2" t="s">
        <v>150</v>
      </c>
    </row>
    <row r="17">
      <c r="A17" s="4" t="s">
        <v>118</v>
      </c>
      <c r="B17" s="2" t="s">
        <v>119</v>
      </c>
      <c r="C17" s="2">
        <v>228.0</v>
      </c>
      <c r="D17" s="2">
        <v>212.0</v>
      </c>
      <c r="E17" s="2">
        <v>24940.0</v>
      </c>
      <c r="F17" s="2" t="s">
        <v>150</v>
      </c>
    </row>
    <row r="18">
      <c r="A18" s="4" t="s">
        <v>124</v>
      </c>
      <c r="B18" s="2" t="s">
        <v>125</v>
      </c>
      <c r="C18" s="2">
        <v>315.0</v>
      </c>
      <c r="D18" s="2">
        <v>274.0</v>
      </c>
      <c r="E18" s="2">
        <v>25510.0</v>
      </c>
      <c r="F18" s="2" t="s">
        <v>150</v>
      </c>
    </row>
    <row r="19" hidden="1">
      <c r="A19" s="4" t="s">
        <v>26</v>
      </c>
      <c r="B19" s="2" t="s">
        <v>28</v>
      </c>
      <c r="C19" s="2">
        <v>2533.0</v>
      </c>
      <c r="D19" s="2">
        <v>2472.0</v>
      </c>
      <c r="E19" s="2">
        <v>23090.0</v>
      </c>
      <c r="F19" s="2">
        <v>16.0</v>
      </c>
    </row>
    <row r="20">
      <c r="A20" s="4" t="s">
        <v>141</v>
      </c>
      <c r="B20" s="2" t="s">
        <v>142</v>
      </c>
      <c r="C20" s="2">
        <v>364.0</v>
      </c>
      <c r="D20" s="2">
        <v>349.0</v>
      </c>
      <c r="E20" s="2">
        <v>23740.0</v>
      </c>
      <c r="F20" s="2" t="s">
        <v>150</v>
      </c>
    </row>
    <row r="21" ht="15.75" customHeight="1">
      <c r="A21" s="4" t="s">
        <v>29</v>
      </c>
      <c r="B21" s="2" t="s">
        <v>30</v>
      </c>
      <c r="C21" s="2">
        <v>456.0</v>
      </c>
      <c r="D21" s="2">
        <v>456.0</v>
      </c>
      <c r="E21" s="2">
        <v>23100.0</v>
      </c>
      <c r="F21" s="2" t="s">
        <v>150</v>
      </c>
    </row>
    <row r="22" ht="15.75" customHeight="1">
      <c r="A22" s="4" t="s">
        <v>156</v>
      </c>
      <c r="B22" s="2" t="s">
        <v>158</v>
      </c>
      <c r="C22" s="2">
        <v>87.0</v>
      </c>
      <c r="D22" s="2">
        <v>76.0</v>
      </c>
      <c r="E22" s="2" t="s">
        <v>150</v>
      </c>
      <c r="F22" s="2" t="s">
        <v>150</v>
      </c>
    </row>
    <row r="23" ht="15.75" customHeight="1">
      <c r="A23" s="4" t="s">
        <v>164</v>
      </c>
      <c r="B23" s="2" t="s">
        <v>167</v>
      </c>
      <c r="C23" s="2">
        <v>403.0</v>
      </c>
      <c r="D23" s="2">
        <v>396.0</v>
      </c>
      <c r="E23" s="2">
        <v>25950.0</v>
      </c>
      <c r="F23" s="2" t="s">
        <v>150</v>
      </c>
    </row>
    <row r="24" ht="15.75" customHeight="1">
      <c r="A24" s="4" t="s">
        <v>170</v>
      </c>
      <c r="B24" s="2" t="s">
        <v>171</v>
      </c>
      <c r="C24" s="2">
        <v>103.0</v>
      </c>
      <c r="D24" s="2">
        <v>96.0</v>
      </c>
      <c r="E24" s="2" t="s">
        <v>150</v>
      </c>
      <c r="F24" s="2" t="s">
        <v>150</v>
      </c>
    </row>
    <row r="25" ht="15.75" customHeight="1">
      <c r="A25" s="4" t="s">
        <v>178</v>
      </c>
      <c r="B25" s="2" t="s">
        <v>180</v>
      </c>
      <c r="C25" s="2">
        <v>53.0</v>
      </c>
      <c r="D25" s="2">
        <v>45.0</v>
      </c>
      <c r="E25" s="2" t="s">
        <v>150</v>
      </c>
      <c r="F25" s="2" t="s">
        <v>150</v>
      </c>
    </row>
    <row r="26" ht="15.75" customHeight="1">
      <c r="A26" s="4" t="s">
        <v>188</v>
      </c>
      <c r="B26" s="2" t="s">
        <v>189</v>
      </c>
      <c r="C26" s="2">
        <v>371.0</v>
      </c>
      <c r="D26" s="2">
        <v>361.0</v>
      </c>
      <c r="E26" s="2">
        <v>26150.0</v>
      </c>
      <c r="F26" s="2" t="s">
        <v>150</v>
      </c>
    </row>
    <row r="27" ht="15.75" customHeight="1">
      <c r="A27" s="4" t="s">
        <v>31</v>
      </c>
      <c r="B27" s="2" t="s">
        <v>32</v>
      </c>
      <c r="C27" s="2">
        <v>222.0</v>
      </c>
      <c r="D27" s="2">
        <v>209.0</v>
      </c>
      <c r="E27" s="2">
        <v>22280.0</v>
      </c>
      <c r="F27" s="2" t="s">
        <v>150</v>
      </c>
    </row>
    <row r="28" ht="15.75" hidden="1" customHeight="1">
      <c r="A28" s="4" t="s">
        <v>33</v>
      </c>
      <c r="B28" s="2" t="s">
        <v>34</v>
      </c>
      <c r="C28" s="2">
        <v>2604.0</v>
      </c>
      <c r="D28" s="2">
        <v>2578.0</v>
      </c>
      <c r="E28" s="2">
        <v>25840.0</v>
      </c>
      <c r="F28" s="2">
        <v>11.0</v>
      </c>
    </row>
    <row r="29" ht="15.75" customHeight="1">
      <c r="A29" s="4" t="s">
        <v>200</v>
      </c>
      <c r="B29" s="2" t="s">
        <v>202</v>
      </c>
      <c r="C29" s="2">
        <v>363.0</v>
      </c>
      <c r="D29" s="2">
        <v>337.0</v>
      </c>
      <c r="E29" s="2">
        <v>27020.0</v>
      </c>
      <c r="F29" s="2" t="s">
        <v>150</v>
      </c>
    </row>
    <row r="30" ht="15.75" customHeight="1">
      <c r="A30" s="4" t="s">
        <v>208</v>
      </c>
      <c r="B30" s="2" t="s">
        <v>210</v>
      </c>
      <c r="C30" s="2">
        <v>269.0</v>
      </c>
      <c r="D30" s="2">
        <v>238.0</v>
      </c>
      <c r="E30" s="2">
        <v>25630.0</v>
      </c>
      <c r="F30" s="2" t="s">
        <v>150</v>
      </c>
    </row>
    <row r="31" ht="15.75" customHeight="1">
      <c r="A31" s="4" t="s">
        <v>37</v>
      </c>
      <c r="B31" s="2" t="s">
        <v>38</v>
      </c>
      <c r="C31" s="2">
        <v>657.0</v>
      </c>
      <c r="D31" s="2">
        <v>658.0</v>
      </c>
      <c r="E31" s="2">
        <v>20520.0</v>
      </c>
      <c r="F31" s="2" t="s">
        <v>150</v>
      </c>
    </row>
    <row r="32" ht="15.75" customHeight="1">
      <c r="A32" s="4" t="s">
        <v>218</v>
      </c>
      <c r="B32" s="2" t="s">
        <v>219</v>
      </c>
      <c r="C32" s="2">
        <v>253.0</v>
      </c>
      <c r="D32" s="2">
        <v>231.0</v>
      </c>
      <c r="E32" s="2">
        <v>21870.0</v>
      </c>
      <c r="F32" s="2" t="s">
        <v>150</v>
      </c>
    </row>
    <row r="33" ht="15.75" customHeight="1">
      <c r="A33" s="4" t="s">
        <v>224</v>
      </c>
      <c r="B33" s="2" t="s">
        <v>225</v>
      </c>
      <c r="C33" s="2">
        <v>105.0</v>
      </c>
      <c r="D33" s="2">
        <v>102.0</v>
      </c>
      <c r="E33" s="2">
        <v>27820.0</v>
      </c>
      <c r="F33" s="2" t="s">
        <v>150</v>
      </c>
    </row>
    <row r="34" ht="15.75" customHeight="1">
      <c r="A34" s="4" t="s">
        <v>226</v>
      </c>
      <c r="B34" s="2" t="s">
        <v>227</v>
      </c>
      <c r="C34" s="2">
        <v>118.0</v>
      </c>
      <c r="D34" s="2">
        <v>104.0</v>
      </c>
      <c r="E34" s="2">
        <v>26480.0</v>
      </c>
      <c r="F34" s="2" t="s">
        <v>150</v>
      </c>
    </row>
    <row r="35" ht="15.75" customHeight="1">
      <c r="A35" s="4" t="s">
        <v>228</v>
      </c>
      <c r="B35" s="2" t="s">
        <v>229</v>
      </c>
      <c r="C35" s="2">
        <v>279.0</v>
      </c>
      <c r="D35" s="2">
        <v>273.0</v>
      </c>
      <c r="E35" s="2">
        <v>24790.0</v>
      </c>
      <c r="F35" s="2" t="s">
        <v>150</v>
      </c>
    </row>
    <row r="36" ht="15.75" customHeight="1">
      <c r="A36" s="4" t="s">
        <v>232</v>
      </c>
      <c r="B36" s="2" t="s">
        <v>233</v>
      </c>
      <c r="C36" s="2">
        <v>82.0</v>
      </c>
      <c r="D36" s="2">
        <v>72.0</v>
      </c>
      <c r="E36" s="2" t="s">
        <v>150</v>
      </c>
      <c r="F36" s="2" t="s">
        <v>150</v>
      </c>
    </row>
    <row r="37" ht="15.75" customHeight="1">
      <c r="A37" s="4" t="s">
        <v>40</v>
      </c>
      <c r="B37" s="2" t="s">
        <v>42</v>
      </c>
      <c r="C37" s="2">
        <v>1422.0</v>
      </c>
      <c r="D37" s="2">
        <v>1348.0</v>
      </c>
      <c r="E37" s="2">
        <v>24480.0</v>
      </c>
      <c r="F37" s="2" t="s">
        <v>150</v>
      </c>
    </row>
    <row r="38" ht="15.75" customHeight="1">
      <c r="A38" s="4" t="s">
        <v>276</v>
      </c>
      <c r="B38" s="2" t="s">
        <v>279</v>
      </c>
      <c r="C38" s="2">
        <v>57.0</v>
      </c>
      <c r="D38" s="2">
        <v>62.0</v>
      </c>
      <c r="E38" s="2" t="s">
        <v>150</v>
      </c>
      <c r="F38" s="2" t="s">
        <v>150</v>
      </c>
    </row>
    <row r="39" ht="15.75" customHeight="1">
      <c r="A39" s="4" t="s">
        <v>242</v>
      </c>
      <c r="B39" s="2" t="s">
        <v>243</v>
      </c>
      <c r="C39" s="2">
        <v>169.0</v>
      </c>
      <c r="D39" s="2">
        <v>176.0</v>
      </c>
      <c r="E39" s="2">
        <v>21760.0</v>
      </c>
      <c r="F39" s="2" t="s">
        <v>150</v>
      </c>
    </row>
    <row r="40" ht="15.75" customHeight="1">
      <c r="A40" s="4" t="s">
        <v>246</v>
      </c>
      <c r="B40" s="2" t="s">
        <v>248</v>
      </c>
      <c r="C40" s="2">
        <v>178.0</v>
      </c>
      <c r="D40" s="2">
        <v>175.0</v>
      </c>
      <c r="E40" s="2">
        <v>23920.0</v>
      </c>
      <c r="F40" s="2" t="s">
        <v>150</v>
      </c>
    </row>
    <row r="41" ht="15.75" customHeight="1">
      <c r="A41" s="4" t="s">
        <v>45</v>
      </c>
      <c r="B41" s="2" t="s">
        <v>46</v>
      </c>
      <c r="C41" s="2">
        <v>814.0</v>
      </c>
      <c r="D41" s="2">
        <v>777.0</v>
      </c>
      <c r="E41" s="2">
        <v>25610.0</v>
      </c>
      <c r="F41" s="2" t="s">
        <v>150</v>
      </c>
    </row>
    <row r="42" ht="15.75" customHeight="1">
      <c r="A42" s="4" t="s">
        <v>258</v>
      </c>
      <c r="B42" s="2" t="s">
        <v>259</v>
      </c>
      <c r="C42" s="2">
        <v>389.0</v>
      </c>
      <c r="D42" s="2">
        <v>369.0</v>
      </c>
      <c r="E42" s="2">
        <v>27130.0</v>
      </c>
      <c r="F42" s="2" t="s">
        <v>150</v>
      </c>
    </row>
    <row r="43" ht="15.75" customHeight="1">
      <c r="A43" s="4" t="s">
        <v>262</v>
      </c>
      <c r="B43" s="2" t="s">
        <v>264</v>
      </c>
      <c r="C43" s="2">
        <v>69.0</v>
      </c>
      <c r="D43" s="2">
        <v>62.0</v>
      </c>
      <c r="E43" s="2" t="s">
        <v>150</v>
      </c>
      <c r="F43" s="2" t="s">
        <v>150</v>
      </c>
    </row>
    <row r="44" ht="15.75" customHeight="1">
      <c r="A44" s="4" t="s">
        <v>272</v>
      </c>
      <c r="B44" s="2" t="s">
        <v>273</v>
      </c>
      <c r="C44" s="2">
        <v>26.0</v>
      </c>
      <c r="D44" s="2">
        <v>26.0</v>
      </c>
      <c r="E44" s="2" t="s">
        <v>150</v>
      </c>
      <c r="F44" s="2" t="s">
        <v>150</v>
      </c>
    </row>
    <row r="45" ht="15.75" customHeight="1">
      <c r="A45" s="4" t="s">
        <v>49</v>
      </c>
      <c r="B45" s="2" t="s">
        <v>51</v>
      </c>
      <c r="C45" s="2">
        <v>555.0</v>
      </c>
      <c r="D45" s="2">
        <v>555.0</v>
      </c>
      <c r="E45" s="2">
        <v>25430.0</v>
      </c>
      <c r="F45" s="2" t="s">
        <v>150</v>
      </c>
    </row>
    <row r="46" ht="15.75" customHeight="1">
      <c r="A46" s="4" t="s">
        <v>282</v>
      </c>
      <c r="B46" s="2" t="s">
        <v>283</v>
      </c>
      <c r="C46" s="2">
        <v>114.0</v>
      </c>
      <c r="D46" s="2">
        <v>108.0</v>
      </c>
      <c r="E46" s="2">
        <v>26470.0</v>
      </c>
      <c r="F46" s="2" t="s">
        <v>150</v>
      </c>
    </row>
    <row r="47" ht="15.75" customHeight="1">
      <c r="A47" s="4" t="s">
        <v>288</v>
      </c>
      <c r="B47" s="2" t="s">
        <v>289</v>
      </c>
      <c r="C47" s="2">
        <v>134.0</v>
      </c>
      <c r="D47" s="2">
        <v>130.0</v>
      </c>
      <c r="E47" s="2">
        <v>27750.0</v>
      </c>
      <c r="F47" s="2" t="s">
        <v>150</v>
      </c>
    </row>
    <row r="48" ht="15.75" customHeight="1">
      <c r="A48" s="4" t="s">
        <v>293</v>
      </c>
      <c r="B48" s="2" t="s">
        <v>295</v>
      </c>
      <c r="C48" s="2">
        <v>740.0</v>
      </c>
      <c r="D48" s="2">
        <v>752.0</v>
      </c>
      <c r="E48" s="2">
        <v>26480.0</v>
      </c>
      <c r="F48" s="2" t="s">
        <v>150</v>
      </c>
    </row>
    <row r="49" ht="15.75" customHeight="1">
      <c r="A49" s="4" t="s">
        <v>298</v>
      </c>
      <c r="B49" s="2" t="s">
        <v>299</v>
      </c>
      <c r="C49" s="2">
        <v>330.0</v>
      </c>
      <c r="D49" s="2">
        <v>316.0</v>
      </c>
      <c r="E49" s="2">
        <v>24490.0</v>
      </c>
      <c r="F49" s="2" t="s">
        <v>150</v>
      </c>
    </row>
    <row r="50" ht="15.75" customHeight="1">
      <c r="A50" s="4" t="s">
        <v>304</v>
      </c>
      <c r="B50" s="2" t="s">
        <v>305</v>
      </c>
      <c r="C50" s="2">
        <v>384.0</v>
      </c>
      <c r="D50" s="2">
        <v>380.0</v>
      </c>
      <c r="E50" s="2">
        <v>29670.0</v>
      </c>
      <c r="F50" s="2" t="s">
        <v>150</v>
      </c>
    </row>
    <row r="51" ht="15.75" customHeight="1">
      <c r="A51" s="4" t="s">
        <v>308</v>
      </c>
      <c r="B51" s="2" t="s">
        <v>310</v>
      </c>
      <c r="C51" s="2">
        <v>139.0</v>
      </c>
      <c r="D51" s="2">
        <v>131.0</v>
      </c>
      <c r="E51" s="2">
        <v>25620.0</v>
      </c>
      <c r="F51" s="2" t="s">
        <v>150</v>
      </c>
    </row>
    <row r="52" ht="15.75" customHeight="1">
      <c r="A52" s="4" t="s">
        <v>326</v>
      </c>
      <c r="B52" s="2" t="s">
        <v>327</v>
      </c>
      <c r="C52" s="2">
        <v>570.0</v>
      </c>
      <c r="D52" s="2">
        <v>599.0</v>
      </c>
      <c r="E52" s="2">
        <v>28870.0</v>
      </c>
      <c r="F52" s="2" t="s">
        <v>150</v>
      </c>
    </row>
    <row r="53" ht="15.75" customHeight="1">
      <c r="A53" s="4" t="s">
        <v>54</v>
      </c>
      <c r="B53" s="2" t="s">
        <v>55</v>
      </c>
      <c r="C53" s="2">
        <v>538.0</v>
      </c>
      <c r="D53" s="2">
        <v>516.0</v>
      </c>
      <c r="E53" s="2">
        <v>27310.0</v>
      </c>
      <c r="F53" s="2" t="s">
        <v>150</v>
      </c>
    </row>
    <row r="54" ht="15.75" customHeight="1">
      <c r="A54" s="4" t="s">
        <v>322</v>
      </c>
      <c r="B54" s="2" t="s">
        <v>323</v>
      </c>
      <c r="C54" s="2">
        <v>92.0</v>
      </c>
      <c r="D54" s="2">
        <v>82.0</v>
      </c>
      <c r="E54" s="2" t="s">
        <v>150</v>
      </c>
      <c r="F54" s="2" t="s">
        <v>150</v>
      </c>
    </row>
    <row r="55" ht="15.75" customHeight="1">
      <c r="A55" s="4" t="s">
        <v>317</v>
      </c>
      <c r="B55" s="2" t="s">
        <v>319</v>
      </c>
      <c r="C55" s="2">
        <v>177.0</v>
      </c>
      <c r="D55" s="2">
        <v>168.0</v>
      </c>
      <c r="E55" s="2">
        <v>24770.0</v>
      </c>
      <c r="F55" s="2" t="s">
        <v>150</v>
      </c>
    </row>
    <row r="56" ht="15.75" customHeight="1">
      <c r="A56" s="4" t="s">
        <v>60</v>
      </c>
      <c r="B56" s="2" t="s">
        <v>61</v>
      </c>
      <c r="C56" s="2">
        <v>1424.0</v>
      </c>
      <c r="D56" s="2">
        <v>1281.0</v>
      </c>
      <c r="E56" s="2">
        <v>21310.0</v>
      </c>
      <c r="F56" s="2" t="s">
        <v>150</v>
      </c>
    </row>
    <row r="57" ht="15.75" customHeight="1">
      <c r="A57" s="4" t="s">
        <v>334</v>
      </c>
      <c r="B57" s="2" t="s">
        <v>335</v>
      </c>
      <c r="C57" s="2">
        <v>844.0</v>
      </c>
      <c r="D57" s="2">
        <v>794.0</v>
      </c>
      <c r="E57" s="2">
        <v>24450.0</v>
      </c>
      <c r="F57" s="2" t="s">
        <v>150</v>
      </c>
    </row>
    <row r="58" ht="15.75" hidden="1" customHeight="1">
      <c r="A58" s="4" t="s">
        <v>63</v>
      </c>
      <c r="B58" s="2" t="s">
        <v>65</v>
      </c>
      <c r="C58" s="2">
        <v>2699.0</v>
      </c>
      <c r="D58" s="2">
        <v>2579.0</v>
      </c>
      <c r="E58" s="2">
        <v>19790.0</v>
      </c>
      <c r="F58" s="2">
        <v>29.0</v>
      </c>
    </row>
    <row r="59" ht="15.75" customHeight="1">
      <c r="A59" s="4" t="s">
        <v>344</v>
      </c>
      <c r="B59" s="2" t="s">
        <v>345</v>
      </c>
      <c r="C59" s="2">
        <v>268.0</v>
      </c>
      <c r="D59" s="2">
        <v>263.0</v>
      </c>
      <c r="E59" s="2">
        <v>26390.0</v>
      </c>
      <c r="F59" s="2" t="s">
        <v>150</v>
      </c>
    </row>
    <row r="60" ht="15.75" customHeight="1">
      <c r="A60" s="4" t="s">
        <v>349</v>
      </c>
      <c r="B60" s="2" t="s">
        <v>351</v>
      </c>
      <c r="C60" s="2">
        <v>250.0</v>
      </c>
      <c r="D60" s="2">
        <v>268.0</v>
      </c>
      <c r="E60" s="2">
        <v>23230.0</v>
      </c>
      <c r="F60" s="2" t="s">
        <v>150</v>
      </c>
    </row>
    <row r="61" ht="15.75" customHeight="1">
      <c r="A61" s="4" t="s">
        <v>354</v>
      </c>
      <c r="B61" s="2" t="s">
        <v>356</v>
      </c>
      <c r="C61" s="2">
        <v>136.0</v>
      </c>
      <c r="D61" s="2">
        <v>131.0</v>
      </c>
      <c r="E61" s="2">
        <v>29840.0</v>
      </c>
      <c r="F61" s="2" t="s">
        <v>150</v>
      </c>
    </row>
    <row r="62" ht="15.75" customHeight="1">
      <c r="A62" s="4" t="s">
        <v>68</v>
      </c>
      <c r="B62" s="2" t="s">
        <v>69</v>
      </c>
      <c r="C62" s="2">
        <v>381.0</v>
      </c>
      <c r="D62" s="2">
        <v>378.0</v>
      </c>
      <c r="E62" s="2">
        <v>24840.0</v>
      </c>
      <c r="F62" s="2" t="s">
        <v>150</v>
      </c>
    </row>
    <row r="63" ht="15.75" hidden="1" customHeight="1">
      <c r="A63" s="4" t="s">
        <v>72</v>
      </c>
      <c r="B63" s="2" t="s">
        <v>74</v>
      </c>
      <c r="C63" s="2">
        <v>3810.0</v>
      </c>
      <c r="D63" s="2">
        <v>3659.0</v>
      </c>
      <c r="E63" s="2">
        <v>22680.0</v>
      </c>
      <c r="F63" s="2">
        <v>19.0</v>
      </c>
    </row>
    <row r="64" ht="15.75" customHeight="1">
      <c r="A64" s="4" t="s">
        <v>77</v>
      </c>
      <c r="B64" s="2" t="s">
        <v>79</v>
      </c>
      <c r="C64" s="2">
        <v>602.0</v>
      </c>
      <c r="D64" s="2">
        <v>560.0</v>
      </c>
      <c r="E64" s="2">
        <v>22400.0</v>
      </c>
      <c r="F64" s="2" t="s">
        <v>150</v>
      </c>
    </row>
    <row r="65" ht="15.75" customHeight="1">
      <c r="A65" s="4" t="s">
        <v>370</v>
      </c>
      <c r="B65" s="2" t="s">
        <v>371</v>
      </c>
      <c r="C65" s="2">
        <v>204.0</v>
      </c>
      <c r="D65" s="2">
        <v>191.0</v>
      </c>
      <c r="E65" s="2">
        <v>25700.0</v>
      </c>
      <c r="F65" s="2" t="s">
        <v>150</v>
      </c>
    </row>
    <row r="66" ht="15.75" customHeight="1">
      <c r="A66" s="4" t="s">
        <v>82</v>
      </c>
      <c r="B66" s="2" t="s">
        <v>83</v>
      </c>
      <c r="C66" s="2">
        <v>213.0</v>
      </c>
      <c r="D66" s="2">
        <v>205.0</v>
      </c>
      <c r="E66" s="2">
        <v>24670.0</v>
      </c>
      <c r="F66" s="2" t="s">
        <v>150</v>
      </c>
    </row>
    <row r="67" ht="15.75" customHeight="1">
      <c r="A67" s="4" t="s">
        <v>376</v>
      </c>
      <c r="B67" s="2" t="s">
        <v>377</v>
      </c>
      <c r="C67" s="2">
        <v>103.0</v>
      </c>
      <c r="D67" s="2">
        <v>85.0</v>
      </c>
      <c r="E67" s="2" t="s">
        <v>150</v>
      </c>
      <c r="F67" s="2" t="s">
        <v>150</v>
      </c>
    </row>
    <row r="68" ht="15.75" customHeight="1">
      <c r="A68" s="4" t="s">
        <v>384</v>
      </c>
      <c r="B68" s="2" t="s">
        <v>385</v>
      </c>
      <c r="C68" s="2">
        <v>111.0</v>
      </c>
      <c r="D68" s="2">
        <v>104.0</v>
      </c>
      <c r="E68" s="2" t="s">
        <v>150</v>
      </c>
      <c r="F68" s="2" t="s">
        <v>150</v>
      </c>
    </row>
    <row r="69" ht="15.75" customHeight="1">
      <c r="A69" s="4" t="s">
        <v>386</v>
      </c>
      <c r="B69" s="2" t="s">
        <v>387</v>
      </c>
      <c r="C69" s="2">
        <v>452.0</v>
      </c>
      <c r="D69" s="2">
        <v>431.0</v>
      </c>
      <c r="E69" s="2">
        <v>24430.0</v>
      </c>
      <c r="F69" s="2" t="s">
        <v>150</v>
      </c>
    </row>
    <row r="70" ht="15.75" customHeight="1">
      <c r="A70" s="4" t="s">
        <v>388</v>
      </c>
      <c r="B70" s="2" t="s">
        <v>389</v>
      </c>
      <c r="C70" s="2">
        <v>651.0</v>
      </c>
      <c r="D70" s="2">
        <v>631.0</v>
      </c>
      <c r="E70" s="2">
        <v>27780.0</v>
      </c>
      <c r="F70" s="2" t="s">
        <v>150</v>
      </c>
    </row>
    <row r="71" ht="15.75" customHeight="1">
      <c r="A71" s="4" t="s">
        <v>390</v>
      </c>
      <c r="B71" s="2" t="s">
        <v>391</v>
      </c>
      <c r="C71" s="2">
        <v>188.0</v>
      </c>
      <c r="D71" s="2">
        <v>178.0</v>
      </c>
      <c r="E71" s="2">
        <v>28150.0</v>
      </c>
      <c r="F71" s="2" t="s">
        <v>150</v>
      </c>
    </row>
    <row r="72" ht="15.75" customHeight="1">
      <c r="A72" s="4" t="s">
        <v>392</v>
      </c>
      <c r="B72" s="2" t="s">
        <v>393</v>
      </c>
      <c r="C72" s="2">
        <v>653.0</v>
      </c>
      <c r="D72" s="2">
        <v>722.0</v>
      </c>
      <c r="E72" s="2">
        <v>24880.0</v>
      </c>
      <c r="F72" s="2" t="s">
        <v>150</v>
      </c>
    </row>
    <row r="73" ht="15.75" customHeight="1">
      <c r="A73" s="4" t="s">
        <v>88</v>
      </c>
      <c r="B73" s="2" t="s">
        <v>89</v>
      </c>
      <c r="C73" s="2">
        <v>604.0</v>
      </c>
      <c r="D73" s="2">
        <v>601.0</v>
      </c>
      <c r="E73" s="2">
        <v>25070.0</v>
      </c>
      <c r="F73" s="2" t="s">
        <v>150</v>
      </c>
    </row>
    <row r="74" ht="15.75" customHeight="1">
      <c r="A74" s="4" t="s">
        <v>394</v>
      </c>
      <c r="B74" s="2" t="s">
        <v>395</v>
      </c>
      <c r="C74" s="2">
        <v>199.0</v>
      </c>
      <c r="D74" s="2">
        <v>203.0</v>
      </c>
      <c r="E74" s="2">
        <v>25930.0</v>
      </c>
      <c r="F74" s="2" t="s">
        <v>150</v>
      </c>
    </row>
    <row r="75" ht="15.75" customHeight="1">
      <c r="A75" s="4" t="s">
        <v>396</v>
      </c>
      <c r="B75" s="2" t="s">
        <v>397</v>
      </c>
      <c r="C75" s="2">
        <v>162.0</v>
      </c>
      <c r="D75" s="2">
        <v>159.0</v>
      </c>
      <c r="E75" s="2">
        <v>30200.0</v>
      </c>
      <c r="F75" s="2" t="s">
        <v>150</v>
      </c>
    </row>
    <row r="76" ht="15.75" customHeight="1">
      <c r="A76" s="4" t="s">
        <v>398</v>
      </c>
      <c r="B76" s="2" t="s">
        <v>399</v>
      </c>
      <c r="C76" s="2">
        <v>160.0</v>
      </c>
      <c r="D76" s="2">
        <v>166.0</v>
      </c>
      <c r="E76" s="2">
        <v>25090.0</v>
      </c>
      <c r="F76" s="2" t="s">
        <v>150</v>
      </c>
    </row>
    <row r="77" ht="15.75" customHeight="1">
      <c r="A77" s="4" t="s">
        <v>402</v>
      </c>
      <c r="B77" s="2" t="s">
        <v>403</v>
      </c>
      <c r="C77" s="2">
        <v>152.0</v>
      </c>
      <c r="D77" s="2">
        <v>132.0</v>
      </c>
      <c r="E77" s="2">
        <v>22520.0</v>
      </c>
      <c r="F77" s="2" t="s">
        <v>150</v>
      </c>
    </row>
    <row r="78" ht="15.75" customHeight="1">
      <c r="A78" s="4" t="s">
        <v>405</v>
      </c>
      <c r="B78" s="2" t="s">
        <v>406</v>
      </c>
      <c r="C78" s="2">
        <v>350.0</v>
      </c>
      <c r="D78" s="2">
        <v>309.0</v>
      </c>
      <c r="E78" s="2">
        <v>28770.0</v>
      </c>
      <c r="F78" s="2" t="s">
        <v>150</v>
      </c>
    </row>
    <row r="79" ht="15.75" customHeight="1">
      <c r="A79" s="4" t="s">
        <v>408</v>
      </c>
      <c r="B79" s="2" t="s">
        <v>409</v>
      </c>
      <c r="C79" s="2">
        <v>440.0</v>
      </c>
      <c r="D79" s="2">
        <v>421.0</v>
      </c>
      <c r="E79" s="2">
        <v>27460.0</v>
      </c>
      <c r="F79" s="2" t="s">
        <v>150</v>
      </c>
    </row>
    <row r="80" ht="15.75" customHeight="1">
      <c r="A80" s="4" t="s">
        <v>412</v>
      </c>
      <c r="B80" s="2" t="s">
        <v>413</v>
      </c>
      <c r="C80" s="2">
        <v>111.0</v>
      </c>
      <c r="D80" s="2">
        <v>120.0</v>
      </c>
      <c r="E80" s="2">
        <v>27560.0</v>
      </c>
      <c r="F80" s="2" t="s">
        <v>150</v>
      </c>
    </row>
    <row r="81" ht="15.75" customHeight="1">
      <c r="A81" s="4" t="s">
        <v>92</v>
      </c>
      <c r="B81" s="2" t="s">
        <v>93</v>
      </c>
      <c r="C81" s="2">
        <v>749.0</v>
      </c>
      <c r="D81" s="2">
        <v>736.0</v>
      </c>
      <c r="E81" s="2">
        <v>26620.0</v>
      </c>
      <c r="F81" s="2" t="s">
        <v>150</v>
      </c>
    </row>
    <row r="82" ht="15.75" customHeight="1">
      <c r="A82" s="4" t="s">
        <v>416</v>
      </c>
      <c r="B82" s="2" t="s">
        <v>417</v>
      </c>
      <c r="C82" s="2">
        <v>260.0</v>
      </c>
      <c r="D82" s="2">
        <v>248.0</v>
      </c>
      <c r="E82" s="2">
        <v>27910.0</v>
      </c>
      <c r="F82" s="2" t="s">
        <v>150</v>
      </c>
    </row>
    <row r="83" ht="15.75" customHeight="1">
      <c r="A83" s="4" t="s">
        <v>149</v>
      </c>
      <c r="B83" s="2" t="s">
        <v>151</v>
      </c>
      <c r="C83" s="2">
        <v>1043.0</v>
      </c>
      <c r="D83" s="2">
        <v>991.0</v>
      </c>
      <c r="E83" s="2">
        <v>26190.0</v>
      </c>
      <c r="F83" s="2" t="s">
        <v>150</v>
      </c>
    </row>
    <row r="84" ht="15.75" customHeight="1">
      <c r="A84" s="4" t="s">
        <v>94</v>
      </c>
      <c r="B84" s="2" t="s">
        <v>96</v>
      </c>
      <c r="C84" s="2">
        <v>1048.0</v>
      </c>
      <c r="D84" s="2">
        <v>979.0</v>
      </c>
      <c r="E84" s="2">
        <v>25140.0</v>
      </c>
      <c r="F84" s="2" t="s">
        <v>150</v>
      </c>
    </row>
    <row r="85" ht="15.75" customHeight="1">
      <c r="A85" s="4" t="s">
        <v>422</v>
      </c>
      <c r="B85" s="2" t="s">
        <v>423</v>
      </c>
      <c r="C85" s="2">
        <v>30.0</v>
      </c>
      <c r="D85" s="2">
        <v>31.0</v>
      </c>
      <c r="E85" s="2" t="s">
        <v>150</v>
      </c>
      <c r="F85" s="2" t="s">
        <v>150</v>
      </c>
    </row>
    <row r="86" ht="15.75" customHeight="1">
      <c r="A86" s="4" t="s">
        <v>426</v>
      </c>
      <c r="B86" s="2" t="s">
        <v>428</v>
      </c>
      <c r="C86" s="2">
        <v>88.0</v>
      </c>
      <c r="D86" s="2">
        <v>80.0</v>
      </c>
      <c r="E86" s="2" t="s">
        <v>150</v>
      </c>
      <c r="F86" s="2" t="s">
        <v>150</v>
      </c>
    </row>
    <row r="87" ht="15.75" customHeight="1">
      <c r="A87" s="4" t="s">
        <v>99</v>
      </c>
      <c r="B87" s="2" t="s">
        <v>101</v>
      </c>
      <c r="C87" s="2">
        <v>1154.0</v>
      </c>
      <c r="D87" s="2">
        <v>1130.0</v>
      </c>
      <c r="E87" s="2">
        <v>25940.0</v>
      </c>
      <c r="F87" s="2" t="s">
        <v>150</v>
      </c>
    </row>
    <row r="88" ht="15.75" customHeight="1">
      <c r="A88" s="4" t="s">
        <v>432</v>
      </c>
      <c r="B88" s="2" t="s">
        <v>433</v>
      </c>
      <c r="C88" s="2">
        <v>213.0</v>
      </c>
      <c r="D88" s="2">
        <v>194.0</v>
      </c>
      <c r="E88" s="2">
        <v>26790.0</v>
      </c>
      <c r="F88" s="2" t="s">
        <v>150</v>
      </c>
    </row>
    <row r="89" ht="15.75" customHeight="1">
      <c r="A89" s="4" t="s">
        <v>435</v>
      </c>
      <c r="B89" s="2" t="s">
        <v>437</v>
      </c>
      <c r="C89" s="2">
        <v>106.0</v>
      </c>
      <c r="D89" s="2">
        <v>98.0</v>
      </c>
      <c r="E89" s="2">
        <v>26730.0</v>
      </c>
      <c r="F89" s="2" t="s">
        <v>150</v>
      </c>
    </row>
    <row r="90" ht="15.75" customHeight="1">
      <c r="A90" s="4" t="s">
        <v>102</v>
      </c>
      <c r="B90" s="2" t="s">
        <v>104</v>
      </c>
      <c r="C90" s="2">
        <v>1290.0</v>
      </c>
      <c r="D90" s="2">
        <v>1162.0</v>
      </c>
      <c r="E90" s="2">
        <v>22560.0</v>
      </c>
      <c r="F90" s="2" t="s">
        <v>150</v>
      </c>
    </row>
    <row r="91" ht="15.75" customHeight="1">
      <c r="A91" s="4" t="s">
        <v>440</v>
      </c>
      <c r="B91" s="2" t="s">
        <v>441</v>
      </c>
      <c r="C91" s="2">
        <v>447.0</v>
      </c>
      <c r="D91" s="2">
        <v>474.0</v>
      </c>
      <c r="E91" s="2">
        <v>28400.0</v>
      </c>
      <c r="F91" s="2" t="s">
        <v>150</v>
      </c>
    </row>
    <row r="92" ht="15.75" hidden="1" customHeight="1">
      <c r="A92" s="4" t="s">
        <v>106</v>
      </c>
      <c r="B92" s="2" t="s">
        <v>107</v>
      </c>
      <c r="C92" s="2">
        <v>5664.0</v>
      </c>
      <c r="D92" s="2">
        <v>5605.0</v>
      </c>
      <c r="E92" s="2">
        <v>17770.0</v>
      </c>
      <c r="F92" s="2">
        <v>39.0</v>
      </c>
    </row>
    <row r="93" ht="15.75" customHeight="1">
      <c r="A93" s="4" t="s">
        <v>442</v>
      </c>
      <c r="B93" s="2" t="s">
        <v>443</v>
      </c>
      <c r="C93" s="2">
        <v>201.0</v>
      </c>
      <c r="D93" s="2">
        <v>187.0</v>
      </c>
      <c r="E93" s="2">
        <v>24700.0</v>
      </c>
      <c r="F93" s="2" t="s">
        <v>150</v>
      </c>
    </row>
    <row r="94" ht="15.75" customHeight="1">
      <c r="A94" s="4" t="s">
        <v>444</v>
      </c>
      <c r="B94" s="2" t="s">
        <v>445</v>
      </c>
      <c r="C94" s="2">
        <v>259.0</v>
      </c>
      <c r="D94" s="2">
        <v>272.0</v>
      </c>
      <c r="E94" s="2">
        <v>22700.0</v>
      </c>
      <c r="F94" s="2" t="s">
        <v>150</v>
      </c>
    </row>
    <row r="95" ht="15.75" customHeight="1">
      <c r="A95" s="4" t="s">
        <v>108</v>
      </c>
      <c r="B95" s="2" t="s">
        <v>109</v>
      </c>
      <c r="C95" s="2">
        <v>375.0</v>
      </c>
      <c r="D95" s="2">
        <v>375.0</v>
      </c>
      <c r="E95" s="2">
        <v>30380.0</v>
      </c>
      <c r="F95" s="2" t="s">
        <v>150</v>
      </c>
    </row>
    <row r="96" ht="15.75" customHeight="1">
      <c r="A96" s="4" t="s">
        <v>448</v>
      </c>
      <c r="B96" s="2" t="s">
        <v>449</v>
      </c>
      <c r="C96" s="2">
        <v>236.0</v>
      </c>
      <c r="D96" s="2">
        <v>212.0</v>
      </c>
      <c r="E96" s="2">
        <v>27020.0</v>
      </c>
      <c r="F96" s="2" t="s">
        <v>150</v>
      </c>
    </row>
    <row r="97" ht="15.75" customHeight="1">
      <c r="A97" s="4" t="s">
        <v>452</v>
      </c>
      <c r="B97" s="2" t="s">
        <v>453</v>
      </c>
      <c r="C97" s="2">
        <v>137.0</v>
      </c>
      <c r="D97" s="2">
        <v>137.0</v>
      </c>
      <c r="E97" s="2">
        <v>24390.0</v>
      </c>
      <c r="F97" s="2" t="s">
        <v>150</v>
      </c>
    </row>
    <row r="98" ht="15.75" customHeight="1">
      <c r="A98" s="4" t="s">
        <v>456</v>
      </c>
      <c r="B98" s="2" t="s">
        <v>457</v>
      </c>
      <c r="C98" s="2">
        <v>193.0</v>
      </c>
      <c r="D98" s="2">
        <v>170.0</v>
      </c>
      <c r="E98" s="2">
        <v>22910.0</v>
      </c>
      <c r="F98" s="2" t="s">
        <v>150</v>
      </c>
    </row>
    <row r="99" ht="15.75" customHeight="1">
      <c r="A99" s="4" t="s">
        <v>460</v>
      </c>
      <c r="B99" s="2" t="s">
        <v>461</v>
      </c>
      <c r="C99" s="2">
        <v>187.0</v>
      </c>
      <c r="D99" s="2">
        <v>181.0</v>
      </c>
      <c r="E99" s="2">
        <v>25270.0</v>
      </c>
      <c r="F99" s="2" t="s">
        <v>150</v>
      </c>
    </row>
    <row r="100" ht="15.75" customHeight="1">
      <c r="A100" s="4" t="s">
        <v>112</v>
      </c>
      <c r="B100" s="2" t="s">
        <v>114</v>
      </c>
      <c r="C100" s="2">
        <v>1324.0</v>
      </c>
      <c r="D100" s="2">
        <v>1315.0</v>
      </c>
      <c r="E100" s="2">
        <v>23060.0</v>
      </c>
      <c r="F100" s="2" t="s">
        <v>150</v>
      </c>
    </row>
    <row r="101" ht="15.75" customHeight="1">
      <c r="A101" s="4" t="s">
        <v>464</v>
      </c>
      <c r="B101" s="2" t="s">
        <v>465</v>
      </c>
      <c r="C101" s="2">
        <v>102.0</v>
      </c>
      <c r="D101" s="2">
        <v>96.0</v>
      </c>
      <c r="E101" s="2" t="s">
        <v>150</v>
      </c>
      <c r="F101" s="2" t="s">
        <v>150</v>
      </c>
    </row>
    <row r="102" ht="15.75" customHeight="1">
      <c r="A102" s="4" t="s">
        <v>468</v>
      </c>
      <c r="B102" s="2" t="s">
        <v>469</v>
      </c>
      <c r="C102" s="2">
        <v>202.0</v>
      </c>
      <c r="D102" s="2">
        <v>183.0</v>
      </c>
      <c r="E102" s="2">
        <v>26000.0</v>
      </c>
      <c r="F102" s="2" t="s">
        <v>150</v>
      </c>
    </row>
    <row r="103" ht="15.75" customHeight="1">
      <c r="A103" s="4" t="s">
        <v>110</v>
      </c>
      <c r="B103" s="2" t="s">
        <v>111</v>
      </c>
      <c r="C103" s="2">
        <v>822.0</v>
      </c>
      <c r="D103" s="2">
        <v>809.0</v>
      </c>
      <c r="E103" s="2">
        <v>22750.0</v>
      </c>
      <c r="F103" s="2" t="s">
        <v>150</v>
      </c>
    </row>
    <row r="104" ht="15.75" customHeight="1">
      <c r="A104" s="4" t="s">
        <v>473</v>
      </c>
      <c r="B104" s="2" t="s">
        <v>474</v>
      </c>
      <c r="C104" s="2">
        <v>103.0</v>
      </c>
      <c r="D104" s="2">
        <v>104.0</v>
      </c>
      <c r="E104" s="2" t="s">
        <v>150</v>
      </c>
      <c r="F104" s="2" t="s">
        <v>150</v>
      </c>
    </row>
    <row r="105" ht="15.75" customHeight="1">
      <c r="A105" s="4" t="s">
        <v>476</v>
      </c>
      <c r="B105" s="2" t="s">
        <v>477</v>
      </c>
      <c r="C105" s="2">
        <v>158.0</v>
      </c>
      <c r="D105" s="2">
        <v>140.0</v>
      </c>
      <c r="E105" s="2">
        <v>28970.0</v>
      </c>
      <c r="F105" s="2" t="s">
        <v>150</v>
      </c>
    </row>
    <row r="106" ht="15.75" customHeight="1">
      <c r="A106" s="4" t="s">
        <v>480</v>
      </c>
      <c r="B106" s="2" t="s">
        <v>481</v>
      </c>
      <c r="C106" s="2">
        <v>486.0</v>
      </c>
      <c r="D106" s="2">
        <v>464.0</v>
      </c>
      <c r="E106" s="2">
        <v>23760.0</v>
      </c>
      <c r="F106" s="2" t="s">
        <v>150</v>
      </c>
    </row>
    <row r="107" ht="15.75" hidden="1" customHeight="1">
      <c r="A107" s="4" t="s">
        <v>116</v>
      </c>
      <c r="B107" s="2" t="s">
        <v>117</v>
      </c>
      <c r="C107" s="2">
        <v>2213.0</v>
      </c>
      <c r="D107" s="2">
        <v>2248.0</v>
      </c>
      <c r="E107" s="2">
        <v>22340.0</v>
      </c>
      <c r="F107" s="2">
        <v>22.0</v>
      </c>
    </row>
    <row r="108" ht="15.75" customHeight="1">
      <c r="A108" s="4" t="s">
        <v>485</v>
      </c>
      <c r="B108" s="2" t="s">
        <v>487</v>
      </c>
      <c r="C108" s="2">
        <v>708.0</v>
      </c>
      <c r="D108" s="2">
        <v>702.0</v>
      </c>
      <c r="E108" s="2">
        <v>26750.0</v>
      </c>
      <c r="F108" s="2" t="s">
        <v>150</v>
      </c>
    </row>
    <row r="109" ht="15.75" customHeight="1">
      <c r="A109" s="4" t="s">
        <v>488</v>
      </c>
      <c r="B109" s="2" t="s">
        <v>490</v>
      </c>
      <c r="C109" s="2">
        <v>565.0</v>
      </c>
      <c r="D109" s="2">
        <v>554.0</v>
      </c>
      <c r="E109" s="2">
        <v>25730.0</v>
      </c>
      <c r="F109" s="2" t="s">
        <v>150</v>
      </c>
    </row>
    <row r="110" ht="15.75" customHeight="1">
      <c r="A110" s="4" t="s">
        <v>120</v>
      </c>
      <c r="B110" s="2" t="s">
        <v>121</v>
      </c>
      <c r="C110" s="2">
        <v>1529.0</v>
      </c>
      <c r="D110" s="2">
        <v>1788.0</v>
      </c>
      <c r="E110" s="2">
        <v>24530.0</v>
      </c>
      <c r="F110" s="2" t="s">
        <v>150</v>
      </c>
    </row>
    <row r="111" ht="15.75" customHeight="1">
      <c r="A111" s="4" t="s">
        <v>494</v>
      </c>
      <c r="B111" s="2" t="s">
        <v>497</v>
      </c>
      <c r="C111" s="2">
        <v>203.0</v>
      </c>
      <c r="D111" s="2">
        <v>195.0</v>
      </c>
      <c r="E111" s="2">
        <v>26490.0</v>
      </c>
      <c r="F111" s="2" t="s">
        <v>150</v>
      </c>
    </row>
    <row r="112" ht="15.75" customHeight="1">
      <c r="A112" s="4" t="s">
        <v>498</v>
      </c>
      <c r="B112" s="2" t="s">
        <v>501</v>
      </c>
      <c r="C112" s="2">
        <v>146.0</v>
      </c>
      <c r="D112" s="2">
        <v>131.0</v>
      </c>
      <c r="E112" s="2">
        <v>24420.0</v>
      </c>
      <c r="F112" s="2" t="s">
        <v>150</v>
      </c>
    </row>
    <row r="113" ht="15.75" customHeight="1">
      <c r="A113" s="4" t="s">
        <v>502</v>
      </c>
      <c r="B113" s="2" t="s">
        <v>503</v>
      </c>
      <c r="C113" s="2">
        <v>67.0</v>
      </c>
      <c r="D113" s="2">
        <v>64.0</v>
      </c>
      <c r="E113" s="2" t="s">
        <v>150</v>
      </c>
      <c r="F113" s="2" t="s">
        <v>150</v>
      </c>
    </row>
    <row r="114" ht="15.75" customHeight="1">
      <c r="A114" s="4" t="s">
        <v>504</v>
      </c>
      <c r="B114" s="2" t="s">
        <v>505</v>
      </c>
      <c r="C114" s="2">
        <v>121.0</v>
      </c>
      <c r="D114" s="2">
        <v>129.0</v>
      </c>
      <c r="E114" s="2">
        <v>25490.0</v>
      </c>
      <c r="F114" s="2" t="s">
        <v>150</v>
      </c>
    </row>
    <row r="115" ht="15.75" customHeight="1">
      <c r="A115" s="4" t="s">
        <v>508</v>
      </c>
      <c r="B115" s="2" t="s">
        <v>509</v>
      </c>
      <c r="C115" s="2">
        <v>340.0</v>
      </c>
      <c r="D115" s="2">
        <v>317.0</v>
      </c>
      <c r="E115" s="2">
        <v>24510.0</v>
      </c>
      <c r="F115" s="2" t="s">
        <v>150</v>
      </c>
    </row>
    <row r="116" ht="15.75" customHeight="1">
      <c r="A116" s="4" t="s">
        <v>512</v>
      </c>
      <c r="B116" s="2" t="s">
        <v>513</v>
      </c>
      <c r="C116" s="2">
        <v>195.0</v>
      </c>
      <c r="D116" s="2">
        <v>193.0</v>
      </c>
      <c r="E116" s="2">
        <v>24490.0</v>
      </c>
      <c r="F116" s="2" t="s">
        <v>150</v>
      </c>
    </row>
    <row r="117" ht="15.75" customHeight="1">
      <c r="A117" s="4" t="s">
        <v>516</v>
      </c>
      <c r="B117" s="2" t="s">
        <v>517</v>
      </c>
      <c r="C117" s="2">
        <v>244.0</v>
      </c>
      <c r="D117" s="2">
        <v>210.0</v>
      </c>
      <c r="E117" s="2">
        <v>24150.0</v>
      </c>
      <c r="F117" s="2" t="s">
        <v>150</v>
      </c>
    </row>
    <row r="118" ht="15.75" customHeight="1">
      <c r="A118" s="4" t="s">
        <v>520</v>
      </c>
      <c r="B118" s="2" t="s">
        <v>521</v>
      </c>
      <c r="C118" s="2">
        <v>53.0</v>
      </c>
      <c r="D118" s="2">
        <v>55.0</v>
      </c>
      <c r="E118" s="2" t="s">
        <v>150</v>
      </c>
      <c r="F118" s="2" t="s">
        <v>150</v>
      </c>
    </row>
    <row r="119" ht="15.75" customHeight="1">
      <c r="A119" s="4" t="s">
        <v>522</v>
      </c>
      <c r="B119" s="2" t="s">
        <v>524</v>
      </c>
      <c r="C119" s="2">
        <v>303.0</v>
      </c>
      <c r="D119" s="2">
        <v>296.0</v>
      </c>
      <c r="E119" s="2">
        <v>25710.0</v>
      </c>
      <c r="F119" s="2" t="s">
        <v>150</v>
      </c>
    </row>
    <row r="120" ht="15.75" customHeight="1">
      <c r="A120" s="4" t="s">
        <v>122</v>
      </c>
      <c r="B120" s="2" t="s">
        <v>123</v>
      </c>
      <c r="C120" s="2">
        <v>653.0</v>
      </c>
      <c r="D120" s="2">
        <v>653.0</v>
      </c>
      <c r="E120" s="2">
        <v>24240.0</v>
      </c>
      <c r="F120" s="2" t="s">
        <v>150</v>
      </c>
    </row>
    <row r="121" ht="15.75" customHeight="1">
      <c r="A121" s="4" t="s">
        <v>528</v>
      </c>
      <c r="B121" s="2" t="s">
        <v>529</v>
      </c>
      <c r="C121" s="2">
        <v>213.0</v>
      </c>
      <c r="D121" s="2">
        <v>175.0</v>
      </c>
      <c r="E121" s="2">
        <v>27220.0</v>
      </c>
      <c r="F121" s="2" t="s">
        <v>150</v>
      </c>
    </row>
    <row r="122" ht="15.75" customHeight="1">
      <c r="A122" s="4" t="s">
        <v>126</v>
      </c>
      <c r="B122" s="2" t="s">
        <v>127</v>
      </c>
      <c r="C122" s="2">
        <v>456.0</v>
      </c>
      <c r="D122" s="2">
        <v>463.0</v>
      </c>
      <c r="E122" s="2">
        <v>19930.0</v>
      </c>
      <c r="F122" s="2" t="s">
        <v>150</v>
      </c>
    </row>
    <row r="123" ht="15.75" customHeight="1">
      <c r="A123" s="4" t="s">
        <v>534</v>
      </c>
      <c r="B123" s="2" t="s">
        <v>535</v>
      </c>
      <c r="C123" s="2">
        <v>189.0</v>
      </c>
      <c r="D123" s="2">
        <v>199.0</v>
      </c>
      <c r="E123" s="2">
        <v>24000.0</v>
      </c>
      <c r="F123" s="2" t="s">
        <v>150</v>
      </c>
    </row>
    <row r="124" ht="15.75" customHeight="1">
      <c r="A124" s="4" t="s">
        <v>128</v>
      </c>
      <c r="B124" s="2" t="s">
        <v>129</v>
      </c>
      <c r="C124" s="2">
        <v>1532.0</v>
      </c>
      <c r="D124" s="2">
        <v>1411.0</v>
      </c>
      <c r="E124" s="2">
        <v>27230.0</v>
      </c>
      <c r="F124" s="2" t="s">
        <v>150</v>
      </c>
    </row>
    <row r="125" ht="15.75" customHeight="1">
      <c r="A125" s="4" t="s">
        <v>539</v>
      </c>
      <c r="B125" s="2" t="s">
        <v>540</v>
      </c>
      <c r="C125" s="2">
        <v>19.0</v>
      </c>
      <c r="D125" s="2">
        <v>20.0</v>
      </c>
      <c r="E125" s="2" t="s">
        <v>150</v>
      </c>
      <c r="F125" s="2" t="s">
        <v>150</v>
      </c>
    </row>
    <row r="126" ht="15.75" customHeight="1">
      <c r="A126" s="4" t="s">
        <v>542</v>
      </c>
      <c r="B126" s="2" t="s">
        <v>544</v>
      </c>
      <c r="C126" s="2">
        <v>193.0</v>
      </c>
      <c r="D126" s="2">
        <v>204.0</v>
      </c>
      <c r="E126" s="2">
        <v>23700.0</v>
      </c>
      <c r="F126" s="2" t="s">
        <v>150</v>
      </c>
    </row>
    <row r="127" ht="15.75" customHeight="1">
      <c r="A127" s="4" t="s">
        <v>131</v>
      </c>
      <c r="B127" s="2" t="s">
        <v>132</v>
      </c>
      <c r="C127" s="2">
        <v>1880.0</v>
      </c>
      <c r="D127" s="2">
        <v>1947.0</v>
      </c>
      <c r="E127" s="2">
        <v>26680.0</v>
      </c>
      <c r="F127" s="2" t="s">
        <v>150</v>
      </c>
    </row>
    <row r="128" ht="15.75" customHeight="1">
      <c r="A128" s="4" t="s">
        <v>548</v>
      </c>
      <c r="B128" s="2" t="s">
        <v>549</v>
      </c>
      <c r="C128" s="2">
        <v>203.0</v>
      </c>
      <c r="D128" s="2">
        <v>188.0</v>
      </c>
      <c r="E128" s="2">
        <v>27460.0</v>
      </c>
      <c r="F128" s="2" t="s">
        <v>150</v>
      </c>
    </row>
    <row r="129" ht="15.75" customHeight="1">
      <c r="A129" s="4" t="s">
        <v>137</v>
      </c>
      <c r="B129" s="2" t="s">
        <v>139</v>
      </c>
      <c r="C129" s="2">
        <v>411.0</v>
      </c>
      <c r="D129" s="2">
        <v>410.0</v>
      </c>
      <c r="E129" s="2">
        <v>21950.0</v>
      </c>
      <c r="F129" s="2" t="s">
        <v>150</v>
      </c>
    </row>
    <row r="130" ht="15.75" customHeight="1">
      <c r="A130" s="4" t="s">
        <v>143</v>
      </c>
      <c r="B130" s="2" t="s">
        <v>144</v>
      </c>
      <c r="C130" s="2">
        <v>869.0</v>
      </c>
      <c r="D130" s="2">
        <v>795.0</v>
      </c>
      <c r="E130" s="2">
        <v>23420.0</v>
      </c>
      <c r="F130" s="2" t="s">
        <v>150</v>
      </c>
    </row>
    <row r="131" ht="15.75" customHeight="1">
      <c r="A131" s="4" t="s">
        <v>147</v>
      </c>
      <c r="B131" s="2" t="s">
        <v>148</v>
      </c>
      <c r="C131" s="2">
        <v>1168.0</v>
      </c>
      <c r="D131" s="2">
        <v>1122.0</v>
      </c>
      <c r="E131" s="2">
        <v>21550.0</v>
      </c>
      <c r="F131" s="2" t="s">
        <v>150</v>
      </c>
    </row>
    <row r="132" ht="15.75" customHeight="1">
      <c r="A132" s="4" t="s">
        <v>558</v>
      </c>
      <c r="B132" s="2" t="s">
        <v>559</v>
      </c>
      <c r="C132" s="2">
        <v>128.0</v>
      </c>
      <c r="D132" s="2">
        <v>123.0</v>
      </c>
      <c r="E132" s="2">
        <v>26700.0</v>
      </c>
      <c r="F132" s="2" t="s">
        <v>150</v>
      </c>
    </row>
    <row r="133" ht="15.75" customHeight="1">
      <c r="A133" s="4" t="s">
        <v>563</v>
      </c>
      <c r="B133" s="2" t="s">
        <v>564</v>
      </c>
      <c r="C133" s="2">
        <v>152.0</v>
      </c>
      <c r="D133" s="2">
        <v>126.0</v>
      </c>
      <c r="E133" s="2">
        <v>24800.0</v>
      </c>
      <c r="F133" s="2" t="s">
        <v>150</v>
      </c>
    </row>
    <row r="134" ht="15.75" customHeight="1">
      <c r="A134" s="4" t="s">
        <v>566</v>
      </c>
      <c r="B134" s="2" t="s">
        <v>568</v>
      </c>
      <c r="C134" s="2">
        <v>190.0</v>
      </c>
      <c r="D134" s="2">
        <v>175.0</v>
      </c>
      <c r="E134" s="2">
        <v>27850.0</v>
      </c>
      <c r="F134" s="2" t="s">
        <v>150</v>
      </c>
    </row>
    <row r="135" ht="15.75" customHeight="1">
      <c r="A135" s="4" t="s">
        <v>570</v>
      </c>
      <c r="B135" s="2" t="s">
        <v>572</v>
      </c>
      <c r="C135" s="2">
        <v>438.0</v>
      </c>
      <c r="D135" s="2">
        <v>459.0</v>
      </c>
      <c r="E135" s="2">
        <v>26040.0</v>
      </c>
      <c r="F135" s="2" t="s">
        <v>150</v>
      </c>
    </row>
    <row r="136" ht="15.75" customHeight="1">
      <c r="A136" s="4" t="s">
        <v>154</v>
      </c>
      <c r="B136" s="2" t="s">
        <v>155</v>
      </c>
      <c r="C136" s="2">
        <v>454.0</v>
      </c>
      <c r="D136" s="2">
        <v>426.0</v>
      </c>
      <c r="E136" s="2">
        <v>23350.0</v>
      </c>
      <c r="F136" s="2" t="s">
        <v>150</v>
      </c>
    </row>
    <row r="137" ht="15.75" customHeight="1">
      <c r="A137" s="4" t="s">
        <v>410</v>
      </c>
      <c r="B137" s="2" t="s">
        <v>411</v>
      </c>
      <c r="C137" s="2">
        <v>1788.0</v>
      </c>
      <c r="D137" s="2">
        <v>1745.0</v>
      </c>
      <c r="E137" s="2">
        <v>20000.0</v>
      </c>
      <c r="F137" s="2" t="s">
        <v>150</v>
      </c>
    </row>
    <row r="138" ht="15.75" customHeight="1">
      <c r="A138" s="4" t="s">
        <v>578</v>
      </c>
      <c r="B138" s="2" t="s">
        <v>579</v>
      </c>
      <c r="C138" s="2">
        <v>244.0</v>
      </c>
      <c r="D138" s="2">
        <v>246.0</v>
      </c>
      <c r="E138" s="2">
        <v>28870.0</v>
      </c>
      <c r="F138" s="2" t="s">
        <v>150</v>
      </c>
    </row>
    <row r="139" ht="15.75" customHeight="1">
      <c r="A139" s="4" t="s">
        <v>582</v>
      </c>
      <c r="B139" s="2" t="s">
        <v>583</v>
      </c>
      <c r="C139" s="2">
        <v>192.0</v>
      </c>
      <c r="D139" s="2">
        <v>186.0</v>
      </c>
      <c r="E139" s="2">
        <v>20950.0</v>
      </c>
      <c r="F139" s="2" t="s">
        <v>150</v>
      </c>
    </row>
    <row r="140" ht="15.75" customHeight="1">
      <c r="A140" s="4" t="s">
        <v>586</v>
      </c>
      <c r="B140" s="2" t="s">
        <v>587</v>
      </c>
      <c r="C140" s="2">
        <v>145.0</v>
      </c>
      <c r="D140" s="2">
        <v>143.0</v>
      </c>
      <c r="E140" s="2">
        <v>25980.0</v>
      </c>
      <c r="F140" s="2" t="s">
        <v>150</v>
      </c>
    </row>
    <row r="141" ht="15.75" customHeight="1">
      <c r="A141" s="4" t="s">
        <v>592</v>
      </c>
      <c r="B141" s="2" t="s">
        <v>593</v>
      </c>
      <c r="C141" s="2">
        <v>546.0</v>
      </c>
      <c r="D141" s="2">
        <v>547.0</v>
      </c>
      <c r="E141" s="2">
        <v>26260.0</v>
      </c>
      <c r="F141" s="2" t="s">
        <v>150</v>
      </c>
    </row>
    <row r="142" ht="15.75" customHeight="1">
      <c r="A142" s="4" t="s">
        <v>596</v>
      </c>
      <c r="B142" s="2" t="s">
        <v>597</v>
      </c>
      <c r="C142" s="2">
        <v>87.0</v>
      </c>
      <c r="D142" s="2">
        <v>88.0</v>
      </c>
      <c r="E142" s="2" t="s">
        <v>150</v>
      </c>
      <c r="F142" s="2" t="s">
        <v>150</v>
      </c>
    </row>
    <row r="143" ht="15.75" customHeight="1">
      <c r="A143" s="4" t="s">
        <v>600</v>
      </c>
      <c r="B143" s="2" t="s">
        <v>601</v>
      </c>
      <c r="C143" s="2">
        <v>258.0</v>
      </c>
      <c r="D143" s="2">
        <v>248.0</v>
      </c>
      <c r="E143" s="2">
        <v>26520.0</v>
      </c>
      <c r="F143" s="2" t="s">
        <v>150</v>
      </c>
    </row>
    <row r="144" ht="15.75" customHeight="1">
      <c r="A144" s="4" t="s">
        <v>605</v>
      </c>
      <c r="B144" s="2" t="s">
        <v>607</v>
      </c>
      <c r="C144" s="2">
        <v>67.0</v>
      </c>
      <c r="D144" s="2">
        <v>58.0</v>
      </c>
      <c r="E144" s="2" t="s">
        <v>150</v>
      </c>
      <c r="F144" s="2" t="s">
        <v>150</v>
      </c>
    </row>
    <row r="145" ht="15.75" customHeight="1">
      <c r="A145" s="4" t="s">
        <v>609</v>
      </c>
      <c r="B145" s="2" t="s">
        <v>611</v>
      </c>
      <c r="C145" s="2">
        <v>64.0</v>
      </c>
      <c r="D145" s="2">
        <v>63.0</v>
      </c>
      <c r="E145" s="2" t="s">
        <v>150</v>
      </c>
      <c r="F145" s="2" t="s">
        <v>150</v>
      </c>
    </row>
    <row r="146" ht="15.75" customHeight="1">
      <c r="A146" s="4" t="s">
        <v>612</v>
      </c>
      <c r="B146" s="2" t="s">
        <v>614</v>
      </c>
      <c r="C146" s="2">
        <v>115.0</v>
      </c>
      <c r="D146" s="2">
        <v>111.0</v>
      </c>
      <c r="E146" s="2">
        <v>31620.0</v>
      </c>
      <c r="F146" s="2" t="s">
        <v>150</v>
      </c>
    </row>
    <row r="147" ht="15.75" customHeight="1">
      <c r="A147" s="4" t="s">
        <v>616</v>
      </c>
      <c r="B147" s="2" t="s">
        <v>618</v>
      </c>
      <c r="C147" s="2">
        <v>89.0</v>
      </c>
      <c r="D147" s="2">
        <v>87.0</v>
      </c>
      <c r="E147" s="2" t="s">
        <v>150</v>
      </c>
      <c r="F147" s="2" t="s">
        <v>150</v>
      </c>
    </row>
    <row r="148" ht="15.75" customHeight="1">
      <c r="A148" s="4" t="s">
        <v>157</v>
      </c>
      <c r="B148" s="2" t="s">
        <v>159</v>
      </c>
      <c r="C148" s="2">
        <v>763.0</v>
      </c>
      <c r="D148" s="2">
        <v>801.0</v>
      </c>
      <c r="E148" s="2">
        <v>26320.0</v>
      </c>
      <c r="F148" s="2" t="s">
        <v>150</v>
      </c>
    </row>
    <row r="149" ht="15.75" customHeight="1">
      <c r="A149" s="4" t="s">
        <v>622</v>
      </c>
      <c r="B149" s="2" t="s">
        <v>623</v>
      </c>
      <c r="C149" s="2">
        <v>361.0</v>
      </c>
      <c r="D149" s="2">
        <v>375.0</v>
      </c>
      <c r="E149" s="2">
        <v>25180.0</v>
      </c>
      <c r="F149" s="2" t="s">
        <v>150</v>
      </c>
    </row>
    <row r="150" ht="15.75" customHeight="1">
      <c r="A150" s="4" t="s">
        <v>626</v>
      </c>
      <c r="B150" s="2" t="s">
        <v>627</v>
      </c>
      <c r="C150" s="2">
        <v>174.0</v>
      </c>
      <c r="D150" s="2">
        <v>201.0</v>
      </c>
      <c r="E150" s="2">
        <v>25640.0</v>
      </c>
      <c r="F150" s="2" t="s">
        <v>150</v>
      </c>
    </row>
    <row r="151" ht="15.75" customHeight="1">
      <c r="A151" s="4" t="s">
        <v>162</v>
      </c>
      <c r="B151" s="2" t="s">
        <v>163</v>
      </c>
      <c r="C151" s="2">
        <v>253.0</v>
      </c>
      <c r="D151" s="2">
        <v>234.0</v>
      </c>
      <c r="E151" s="2">
        <v>25520.0</v>
      </c>
      <c r="F151" s="2" t="s">
        <v>150</v>
      </c>
    </row>
    <row r="152" ht="15.75" customHeight="1">
      <c r="A152" s="4" t="s">
        <v>632</v>
      </c>
      <c r="B152" s="2" t="s">
        <v>633</v>
      </c>
      <c r="C152" s="2">
        <v>848.0</v>
      </c>
      <c r="D152" s="2">
        <v>827.0</v>
      </c>
      <c r="E152" s="2">
        <v>26100.0</v>
      </c>
      <c r="F152" s="2" t="s">
        <v>150</v>
      </c>
    </row>
    <row r="153" ht="15.75" customHeight="1">
      <c r="A153" s="4" t="s">
        <v>635</v>
      </c>
      <c r="B153" s="2" t="s">
        <v>637</v>
      </c>
      <c r="C153" s="2">
        <v>284.0</v>
      </c>
      <c r="D153" s="2">
        <v>272.0</v>
      </c>
      <c r="E153" s="2">
        <v>22560.0</v>
      </c>
      <c r="F153" s="2" t="s">
        <v>150</v>
      </c>
    </row>
    <row r="154" ht="15.75" customHeight="1">
      <c r="A154" s="4" t="s">
        <v>638</v>
      </c>
      <c r="B154" s="2" t="s">
        <v>641</v>
      </c>
      <c r="C154" s="2">
        <v>280.0</v>
      </c>
      <c r="D154" s="2">
        <v>313.0</v>
      </c>
      <c r="E154" s="2">
        <v>23240.0</v>
      </c>
      <c r="F154" s="2" t="s">
        <v>150</v>
      </c>
    </row>
    <row r="155" ht="15.75" customHeight="1">
      <c r="A155" s="4" t="s">
        <v>165</v>
      </c>
      <c r="B155" s="2" t="s">
        <v>166</v>
      </c>
      <c r="C155" s="2">
        <v>539.0</v>
      </c>
      <c r="D155" s="2">
        <v>495.0</v>
      </c>
      <c r="E155" s="2">
        <v>21950.0</v>
      </c>
      <c r="F155" s="2" t="s">
        <v>150</v>
      </c>
    </row>
    <row r="156" ht="15.75" customHeight="1">
      <c r="A156" s="4" t="s">
        <v>646</v>
      </c>
      <c r="B156" s="2" t="s">
        <v>647</v>
      </c>
      <c r="C156" s="2">
        <v>278.0</v>
      </c>
      <c r="D156" s="2">
        <v>301.0</v>
      </c>
      <c r="E156" s="2">
        <v>24250.0</v>
      </c>
      <c r="F156" s="2" t="s">
        <v>150</v>
      </c>
    </row>
    <row r="157" ht="15.75" hidden="1" customHeight="1">
      <c r="A157" s="4" t="s">
        <v>168</v>
      </c>
      <c r="B157" s="2" t="s">
        <v>169</v>
      </c>
      <c r="C157" s="2">
        <v>2617.0</v>
      </c>
      <c r="D157" s="2">
        <v>2594.0</v>
      </c>
      <c r="E157" s="2">
        <v>23580.0</v>
      </c>
      <c r="F157" s="2">
        <v>17.0</v>
      </c>
    </row>
    <row r="158" ht="15.75" customHeight="1">
      <c r="A158" s="4" t="s">
        <v>653</v>
      </c>
      <c r="B158" s="2" t="s">
        <v>655</v>
      </c>
      <c r="C158" s="2">
        <v>316.0</v>
      </c>
      <c r="D158" s="2">
        <v>323.0</v>
      </c>
      <c r="E158" s="2">
        <v>26240.0</v>
      </c>
      <c r="F158" s="2" t="s">
        <v>150</v>
      </c>
    </row>
    <row r="159" ht="15.75" customHeight="1">
      <c r="A159" s="4" t="s">
        <v>172</v>
      </c>
      <c r="B159" s="2" t="s">
        <v>173</v>
      </c>
      <c r="C159" s="2">
        <v>1652.0</v>
      </c>
      <c r="D159" s="2">
        <v>1568.0</v>
      </c>
      <c r="E159" s="2">
        <v>23480.0</v>
      </c>
      <c r="F159" s="2" t="s">
        <v>150</v>
      </c>
    </row>
    <row r="160" ht="15.75" customHeight="1">
      <c r="A160" s="4" t="s">
        <v>176</v>
      </c>
      <c r="B160" s="2" t="s">
        <v>177</v>
      </c>
      <c r="C160" s="2">
        <v>352.0</v>
      </c>
      <c r="D160" s="2">
        <v>361.0</v>
      </c>
      <c r="E160" s="2">
        <v>27350.0</v>
      </c>
      <c r="F160" s="2" t="s">
        <v>150</v>
      </c>
    </row>
    <row r="161" ht="15.75" customHeight="1">
      <c r="A161" s="4" t="s">
        <v>179</v>
      </c>
      <c r="B161" s="2" t="s">
        <v>181</v>
      </c>
      <c r="C161" s="2">
        <v>881.0</v>
      </c>
      <c r="D161" s="2">
        <v>895.0</v>
      </c>
      <c r="E161" s="2">
        <v>25530.0</v>
      </c>
      <c r="F161" s="2" t="s">
        <v>150</v>
      </c>
    </row>
    <row r="162" ht="15.75" hidden="1" customHeight="1">
      <c r="A162" s="4" t="s">
        <v>196</v>
      </c>
      <c r="B162" s="2" t="s">
        <v>197</v>
      </c>
      <c r="C162" s="2">
        <v>15107.0</v>
      </c>
      <c r="D162" s="2">
        <v>15097.0</v>
      </c>
      <c r="E162" s="2">
        <v>20900.0</v>
      </c>
      <c r="F162" s="2">
        <v>29.0</v>
      </c>
    </row>
    <row r="163" ht="15.75" customHeight="1">
      <c r="A163" s="4" t="s">
        <v>664</v>
      </c>
      <c r="B163" s="2" t="s">
        <v>665</v>
      </c>
      <c r="C163" s="2">
        <v>83.0</v>
      </c>
      <c r="D163" s="2">
        <v>83.0</v>
      </c>
      <c r="E163" s="2" t="s">
        <v>150</v>
      </c>
      <c r="F163" s="2" t="s">
        <v>150</v>
      </c>
    </row>
    <row r="164" ht="15.75" customHeight="1">
      <c r="A164" s="4" t="s">
        <v>668</v>
      </c>
      <c r="B164" s="2" t="s">
        <v>669</v>
      </c>
      <c r="C164" s="2">
        <v>127.0</v>
      </c>
      <c r="D164" s="2">
        <v>125.0</v>
      </c>
      <c r="E164" s="2">
        <v>24420.0</v>
      </c>
      <c r="F164" s="2" t="s">
        <v>150</v>
      </c>
    </row>
    <row r="165" ht="15.75" customHeight="1">
      <c r="A165" s="4" t="s">
        <v>672</v>
      </c>
      <c r="B165" s="2" t="s">
        <v>673</v>
      </c>
      <c r="C165" s="2">
        <v>87.0</v>
      </c>
      <c r="D165" s="2">
        <v>91.0</v>
      </c>
      <c r="E165" s="2" t="s">
        <v>150</v>
      </c>
      <c r="F165" s="2" t="s">
        <v>150</v>
      </c>
    </row>
    <row r="166" ht="15.75" customHeight="1">
      <c r="A166" s="4" t="s">
        <v>676</v>
      </c>
      <c r="B166" s="2" t="s">
        <v>677</v>
      </c>
      <c r="C166" s="2">
        <v>249.0</v>
      </c>
      <c r="D166" s="2">
        <v>238.0</v>
      </c>
      <c r="E166" s="2">
        <v>27640.0</v>
      </c>
      <c r="F166" s="2" t="s">
        <v>150</v>
      </c>
    </row>
    <row r="167" ht="15.75" hidden="1" customHeight="1">
      <c r="A167" s="4" t="s">
        <v>183</v>
      </c>
      <c r="B167" s="2" t="s">
        <v>185</v>
      </c>
      <c r="C167" s="2">
        <v>11878.0</v>
      </c>
      <c r="D167" s="2">
        <v>11596.0</v>
      </c>
      <c r="E167" s="2">
        <v>20410.0</v>
      </c>
      <c r="F167" s="2">
        <v>30.0</v>
      </c>
    </row>
    <row r="168" ht="15.75" customHeight="1">
      <c r="A168" s="4" t="s">
        <v>186</v>
      </c>
      <c r="B168" s="2" t="s">
        <v>187</v>
      </c>
      <c r="C168" s="2">
        <v>818.0</v>
      </c>
      <c r="D168" s="2">
        <v>859.0</v>
      </c>
      <c r="E168" s="2">
        <v>24800.0</v>
      </c>
      <c r="F168" s="2" t="s">
        <v>150</v>
      </c>
    </row>
    <row r="169" ht="15.75" customHeight="1">
      <c r="A169" s="4" t="s">
        <v>682</v>
      </c>
      <c r="B169" s="2" t="s">
        <v>685</v>
      </c>
      <c r="C169" s="2">
        <v>150.0</v>
      </c>
      <c r="D169" s="2">
        <v>153.0</v>
      </c>
      <c r="E169" s="2">
        <v>23630.0</v>
      </c>
      <c r="F169" s="2" t="s">
        <v>150</v>
      </c>
    </row>
    <row r="170" ht="15.75" customHeight="1">
      <c r="A170" s="4" t="s">
        <v>687</v>
      </c>
      <c r="B170" s="2" t="s">
        <v>689</v>
      </c>
      <c r="C170" s="2">
        <v>205.0</v>
      </c>
      <c r="D170" s="2">
        <v>214.0</v>
      </c>
      <c r="E170" s="2">
        <v>21990.0</v>
      </c>
      <c r="F170" s="2" t="s">
        <v>150</v>
      </c>
    </row>
    <row r="171" ht="15.75" customHeight="1">
      <c r="A171" s="4" t="s">
        <v>692</v>
      </c>
      <c r="B171" s="2" t="s">
        <v>693</v>
      </c>
      <c r="C171" s="2">
        <v>142.0</v>
      </c>
      <c r="D171" s="2">
        <v>147.0</v>
      </c>
      <c r="E171" s="2">
        <v>25730.0</v>
      </c>
      <c r="F171" s="2" t="s">
        <v>150</v>
      </c>
    </row>
    <row r="172" ht="15.75" customHeight="1">
      <c r="A172" s="4" t="s">
        <v>696</v>
      </c>
      <c r="B172" s="2" t="s">
        <v>697</v>
      </c>
      <c r="C172" s="2">
        <v>106.0</v>
      </c>
      <c r="D172" s="2">
        <v>127.0</v>
      </c>
      <c r="E172" s="2">
        <v>27400.0</v>
      </c>
      <c r="F172" s="2" t="s">
        <v>150</v>
      </c>
    </row>
    <row r="173" ht="15.75" customHeight="1">
      <c r="A173" s="4" t="s">
        <v>198</v>
      </c>
      <c r="B173" s="2" t="s">
        <v>199</v>
      </c>
      <c r="C173" s="2">
        <v>392.0</v>
      </c>
      <c r="D173" s="2">
        <v>378.0</v>
      </c>
      <c r="E173" s="2">
        <v>25530.0</v>
      </c>
      <c r="F173" s="2" t="s">
        <v>150</v>
      </c>
    </row>
    <row r="174" ht="15.75" customHeight="1">
      <c r="A174" s="4" t="s">
        <v>201</v>
      </c>
      <c r="B174" s="2" t="s">
        <v>203</v>
      </c>
      <c r="C174" s="2">
        <v>710.0</v>
      </c>
      <c r="D174" s="2">
        <v>742.0</v>
      </c>
      <c r="E174" s="2">
        <v>25400.0</v>
      </c>
      <c r="F174" s="2" t="s">
        <v>150</v>
      </c>
    </row>
    <row r="175" ht="15.75" customHeight="1">
      <c r="A175" s="4" t="s">
        <v>704</v>
      </c>
      <c r="B175" s="2" t="s">
        <v>705</v>
      </c>
      <c r="C175" s="2">
        <v>80.0</v>
      </c>
      <c r="D175" s="2">
        <v>98.0</v>
      </c>
      <c r="E175" s="2" t="s">
        <v>150</v>
      </c>
      <c r="F175" s="2" t="s">
        <v>150</v>
      </c>
    </row>
    <row r="176" ht="15.75" customHeight="1">
      <c r="A176" s="4" t="s">
        <v>708</v>
      </c>
      <c r="B176" s="2" t="s">
        <v>712</v>
      </c>
      <c r="C176" s="2">
        <v>125.0</v>
      </c>
      <c r="D176" s="2">
        <v>136.0</v>
      </c>
      <c r="E176" s="2">
        <v>21900.0</v>
      </c>
      <c r="F176" s="2" t="s">
        <v>150</v>
      </c>
    </row>
    <row r="177" ht="15.75" customHeight="1">
      <c r="A177" s="4" t="s">
        <v>714</v>
      </c>
      <c r="B177" s="2" t="s">
        <v>716</v>
      </c>
      <c r="C177" s="2">
        <v>187.0</v>
      </c>
      <c r="D177" s="2">
        <v>197.0</v>
      </c>
      <c r="E177" s="2">
        <v>28710.0</v>
      </c>
      <c r="F177" s="2" t="s">
        <v>150</v>
      </c>
    </row>
    <row r="178" ht="15.75" customHeight="1">
      <c r="A178" s="4" t="s">
        <v>718</v>
      </c>
      <c r="B178" s="2" t="s">
        <v>719</v>
      </c>
      <c r="C178" s="2">
        <v>355.0</v>
      </c>
      <c r="D178" s="2">
        <v>329.0</v>
      </c>
      <c r="E178" s="2">
        <v>24340.0</v>
      </c>
      <c r="F178" s="2" t="s">
        <v>150</v>
      </c>
    </row>
    <row r="179" ht="15.75" customHeight="1">
      <c r="A179" s="4" t="s">
        <v>722</v>
      </c>
      <c r="B179" s="2" t="s">
        <v>723</v>
      </c>
      <c r="C179" s="2">
        <v>404.0</v>
      </c>
      <c r="D179" s="2">
        <v>389.0</v>
      </c>
      <c r="E179" s="2">
        <v>24630.0</v>
      </c>
      <c r="F179" s="2" t="s">
        <v>150</v>
      </c>
    </row>
    <row r="180" ht="15.75" customHeight="1">
      <c r="A180" s="4" t="s">
        <v>206</v>
      </c>
      <c r="B180" s="2" t="s">
        <v>207</v>
      </c>
      <c r="C180" s="2">
        <v>1353.0</v>
      </c>
      <c r="D180" s="2">
        <v>1296.0</v>
      </c>
      <c r="E180" s="2">
        <v>27010.0</v>
      </c>
      <c r="F180" s="2" t="s">
        <v>150</v>
      </c>
    </row>
    <row r="181" ht="15.75" customHeight="1">
      <c r="A181" s="4" t="s">
        <v>190</v>
      </c>
      <c r="B181" s="2" t="s">
        <v>191</v>
      </c>
      <c r="C181" s="2">
        <v>1109.0</v>
      </c>
      <c r="D181" s="2">
        <v>1195.0</v>
      </c>
      <c r="E181" s="2">
        <v>26980.0</v>
      </c>
      <c r="F181" s="2" t="s">
        <v>150</v>
      </c>
    </row>
    <row r="182" ht="15.75" customHeight="1">
      <c r="A182" s="4" t="s">
        <v>730</v>
      </c>
      <c r="B182" s="2" t="s">
        <v>731</v>
      </c>
      <c r="C182" s="2">
        <v>149.0</v>
      </c>
      <c r="D182" s="2">
        <v>140.0</v>
      </c>
      <c r="E182" s="2">
        <v>24320.0</v>
      </c>
      <c r="F182" s="2" t="s">
        <v>150</v>
      </c>
    </row>
    <row r="183" ht="15.75" customHeight="1">
      <c r="A183" s="4" t="s">
        <v>733</v>
      </c>
      <c r="B183" s="2" t="s">
        <v>735</v>
      </c>
      <c r="C183" s="2">
        <v>362.0</v>
      </c>
      <c r="D183" s="2">
        <v>359.0</v>
      </c>
      <c r="E183" s="2">
        <v>22340.0</v>
      </c>
      <c r="F183" s="2" t="s">
        <v>150</v>
      </c>
    </row>
    <row r="184" ht="15.75" customHeight="1">
      <c r="A184" s="4" t="s">
        <v>737</v>
      </c>
      <c r="B184" s="2" t="s">
        <v>739</v>
      </c>
      <c r="C184" s="2">
        <v>530.0</v>
      </c>
      <c r="D184" s="2">
        <v>526.0</v>
      </c>
      <c r="E184" s="2">
        <v>25680.0</v>
      </c>
      <c r="F184" s="2" t="s">
        <v>150</v>
      </c>
    </row>
    <row r="185" ht="15.75" customHeight="1">
      <c r="A185" s="4" t="s">
        <v>192</v>
      </c>
      <c r="B185" s="2" t="s">
        <v>193</v>
      </c>
      <c r="C185" s="2">
        <v>510.0</v>
      </c>
      <c r="D185" s="2">
        <v>484.0</v>
      </c>
      <c r="E185" s="2">
        <v>26150.0</v>
      </c>
      <c r="F185" s="2" t="s">
        <v>150</v>
      </c>
    </row>
    <row r="186" ht="15.75" customHeight="1">
      <c r="A186" s="4" t="s">
        <v>194</v>
      </c>
      <c r="B186" s="2" t="s">
        <v>195</v>
      </c>
      <c r="C186" s="2">
        <v>370.0</v>
      </c>
      <c r="D186" s="2">
        <v>364.0</v>
      </c>
      <c r="E186" s="2">
        <v>26330.0</v>
      </c>
      <c r="F186" s="2" t="s">
        <v>150</v>
      </c>
    </row>
    <row r="187" ht="15.75" customHeight="1">
      <c r="A187" s="4" t="s">
        <v>744</v>
      </c>
      <c r="B187" s="2" t="s">
        <v>747</v>
      </c>
      <c r="C187" s="2">
        <v>66.0</v>
      </c>
      <c r="D187" s="2">
        <v>62.0</v>
      </c>
      <c r="E187" s="2" t="s">
        <v>150</v>
      </c>
      <c r="F187" s="2" t="s">
        <v>150</v>
      </c>
    </row>
    <row r="188" ht="15.75" customHeight="1">
      <c r="A188" s="4" t="s">
        <v>748</v>
      </c>
      <c r="B188" s="2" t="s">
        <v>749</v>
      </c>
      <c r="C188" s="2">
        <v>193.0</v>
      </c>
      <c r="D188" s="2">
        <v>173.0</v>
      </c>
      <c r="E188" s="2">
        <v>23520.0</v>
      </c>
      <c r="F188" s="2" t="s">
        <v>150</v>
      </c>
    </row>
    <row r="189" ht="15.75" customHeight="1">
      <c r="A189" s="4" t="s">
        <v>752</v>
      </c>
      <c r="B189" s="2" t="s">
        <v>753</v>
      </c>
      <c r="C189" s="2">
        <v>930.0</v>
      </c>
      <c r="D189" s="2">
        <v>882.0</v>
      </c>
      <c r="E189" s="2">
        <v>27650.0</v>
      </c>
      <c r="F189" s="2" t="s">
        <v>150</v>
      </c>
    </row>
    <row r="190" ht="15.75" customHeight="1">
      <c r="A190" s="4" t="s">
        <v>758</v>
      </c>
      <c r="B190" s="2" t="s">
        <v>759</v>
      </c>
      <c r="C190" s="2">
        <v>314.0</v>
      </c>
      <c r="D190" s="2">
        <v>289.0</v>
      </c>
      <c r="E190" s="2">
        <v>28110.0</v>
      </c>
      <c r="F190" s="2" t="s">
        <v>150</v>
      </c>
    </row>
    <row r="191" ht="15.75" customHeight="1">
      <c r="A191" s="4" t="s">
        <v>209</v>
      </c>
      <c r="B191" s="2" t="s">
        <v>211</v>
      </c>
      <c r="C191" s="2">
        <v>552.0</v>
      </c>
      <c r="D191" s="2">
        <v>509.0</v>
      </c>
      <c r="E191" s="2">
        <v>26280.0</v>
      </c>
      <c r="F191" s="2" t="s">
        <v>150</v>
      </c>
    </row>
    <row r="192" ht="15.75" customHeight="1">
      <c r="A192" s="4" t="s">
        <v>212</v>
      </c>
      <c r="B192" s="2" t="s">
        <v>213</v>
      </c>
      <c r="C192" s="2">
        <v>228.0</v>
      </c>
      <c r="D192" s="2">
        <v>243.0</v>
      </c>
      <c r="E192" s="2">
        <v>26610.0</v>
      </c>
      <c r="F192" s="2" t="s">
        <v>150</v>
      </c>
    </row>
    <row r="193" ht="15.75" customHeight="1">
      <c r="A193" s="4" t="s">
        <v>214</v>
      </c>
      <c r="B193" s="2" t="s">
        <v>215</v>
      </c>
      <c r="C193" s="2">
        <v>635.0</v>
      </c>
      <c r="D193" s="2">
        <v>589.0</v>
      </c>
      <c r="E193" s="2">
        <v>24220.0</v>
      </c>
      <c r="F193" s="2" t="s">
        <v>150</v>
      </c>
    </row>
    <row r="194" ht="15.75" customHeight="1">
      <c r="A194" s="4" t="s">
        <v>768</v>
      </c>
      <c r="B194" s="2" t="s">
        <v>769</v>
      </c>
      <c r="C194" s="2">
        <v>120.0</v>
      </c>
      <c r="D194" s="2">
        <v>97.0</v>
      </c>
      <c r="E194" s="2" t="s">
        <v>150</v>
      </c>
      <c r="F194" s="2" t="s">
        <v>150</v>
      </c>
    </row>
    <row r="195" ht="15.75" customHeight="1">
      <c r="A195" s="4" t="s">
        <v>274</v>
      </c>
      <c r="B195" s="2" t="s">
        <v>275</v>
      </c>
      <c r="C195" s="2">
        <v>438.0</v>
      </c>
      <c r="D195" s="2">
        <v>467.0</v>
      </c>
      <c r="E195" s="2">
        <v>25560.0</v>
      </c>
      <c r="F195" s="2" t="s">
        <v>150</v>
      </c>
    </row>
    <row r="196" ht="15.75" customHeight="1">
      <c r="A196" s="4" t="s">
        <v>216</v>
      </c>
      <c r="B196" s="2" t="s">
        <v>217</v>
      </c>
      <c r="C196" s="2">
        <v>1310.0</v>
      </c>
      <c r="D196" s="2">
        <v>1308.0</v>
      </c>
      <c r="E196" s="2">
        <v>21840.0</v>
      </c>
      <c r="F196" s="2" t="s">
        <v>150</v>
      </c>
    </row>
    <row r="197" ht="15.75" customHeight="1">
      <c r="A197" s="4" t="s">
        <v>771</v>
      </c>
      <c r="B197" s="2" t="s">
        <v>772</v>
      </c>
      <c r="C197" s="2">
        <v>68.0</v>
      </c>
      <c r="D197" s="2">
        <v>61.0</v>
      </c>
      <c r="E197" s="2" t="s">
        <v>150</v>
      </c>
      <c r="F197" s="2" t="s">
        <v>150</v>
      </c>
    </row>
    <row r="198" ht="15.75" customHeight="1">
      <c r="A198" s="4" t="s">
        <v>220</v>
      </c>
      <c r="B198" s="2" t="s">
        <v>221</v>
      </c>
      <c r="C198" s="2">
        <v>248.0</v>
      </c>
      <c r="D198" s="2">
        <v>207.0</v>
      </c>
      <c r="E198" s="2">
        <v>24200.0</v>
      </c>
      <c r="F198" s="2" t="s">
        <v>150</v>
      </c>
    </row>
    <row r="199" ht="15.75" customHeight="1">
      <c r="A199" s="4" t="s">
        <v>776</v>
      </c>
      <c r="B199" s="2" t="s">
        <v>777</v>
      </c>
      <c r="C199" s="2">
        <v>78.0</v>
      </c>
      <c r="D199" s="2">
        <v>71.0</v>
      </c>
      <c r="E199" s="2" t="s">
        <v>150</v>
      </c>
      <c r="F199" s="2" t="s">
        <v>150</v>
      </c>
    </row>
    <row r="200" ht="15.75" customHeight="1">
      <c r="A200" s="4" t="s">
        <v>781</v>
      </c>
      <c r="B200" s="2" t="s">
        <v>783</v>
      </c>
      <c r="C200" s="2">
        <v>214.0</v>
      </c>
      <c r="D200" s="2">
        <v>224.0</v>
      </c>
      <c r="E200" s="2">
        <v>26920.0</v>
      </c>
      <c r="F200" s="2" t="s">
        <v>150</v>
      </c>
    </row>
    <row r="201" ht="15.75" customHeight="1">
      <c r="A201" s="4" t="s">
        <v>786</v>
      </c>
      <c r="B201" s="2" t="s">
        <v>788</v>
      </c>
      <c r="C201" s="2">
        <v>278.0</v>
      </c>
      <c r="D201" s="2">
        <v>256.0</v>
      </c>
      <c r="E201" s="2">
        <v>27400.0</v>
      </c>
      <c r="F201" s="2" t="s">
        <v>150</v>
      </c>
    </row>
    <row r="202" ht="15.75" customHeight="1">
      <c r="A202" s="4" t="s">
        <v>230</v>
      </c>
      <c r="B202" s="2" t="s">
        <v>231</v>
      </c>
      <c r="C202" s="2">
        <v>685.0</v>
      </c>
      <c r="D202" s="2">
        <v>654.0</v>
      </c>
      <c r="E202" s="2">
        <v>22790.0</v>
      </c>
      <c r="F202" s="2" t="s">
        <v>150</v>
      </c>
    </row>
    <row r="203" ht="15.75" customHeight="1">
      <c r="A203" s="4" t="s">
        <v>234</v>
      </c>
      <c r="B203" s="2" t="s">
        <v>235</v>
      </c>
      <c r="C203" s="2">
        <v>360.0</v>
      </c>
      <c r="D203" s="2">
        <v>352.0</v>
      </c>
      <c r="E203" s="2">
        <v>26370.0</v>
      </c>
      <c r="F203" s="2" t="s">
        <v>150</v>
      </c>
    </row>
    <row r="204" ht="15.75" customHeight="1">
      <c r="A204" s="4" t="s">
        <v>798</v>
      </c>
      <c r="B204" s="2" t="s">
        <v>799</v>
      </c>
      <c r="C204" s="2">
        <v>285.0</v>
      </c>
      <c r="D204" s="2">
        <v>357.0</v>
      </c>
      <c r="E204" s="2">
        <v>25320.0</v>
      </c>
      <c r="F204" s="2" t="s">
        <v>150</v>
      </c>
    </row>
    <row r="205" ht="15.75" customHeight="1">
      <c r="A205" s="4" t="s">
        <v>222</v>
      </c>
      <c r="B205" s="2" t="s">
        <v>223</v>
      </c>
      <c r="C205" s="2">
        <v>707.0</v>
      </c>
      <c r="D205" s="2">
        <v>674.0</v>
      </c>
      <c r="E205" s="2">
        <v>24500.0</v>
      </c>
      <c r="F205" s="2" t="s">
        <v>150</v>
      </c>
    </row>
    <row r="206" ht="15.75" customHeight="1">
      <c r="A206" s="4" t="s">
        <v>820</v>
      </c>
      <c r="B206" s="2" t="s">
        <v>822</v>
      </c>
      <c r="C206" s="2">
        <v>332.0</v>
      </c>
      <c r="D206" s="2">
        <v>306.0</v>
      </c>
      <c r="E206" s="2">
        <v>24810.0</v>
      </c>
      <c r="F206" s="2" t="s">
        <v>150</v>
      </c>
    </row>
    <row r="207" ht="15.75" customHeight="1">
      <c r="A207" s="4" t="s">
        <v>825</v>
      </c>
      <c r="B207" s="2" t="s">
        <v>827</v>
      </c>
      <c r="C207" s="2">
        <v>61.0</v>
      </c>
      <c r="D207" s="2">
        <v>61.0</v>
      </c>
      <c r="E207" s="2" t="s">
        <v>150</v>
      </c>
      <c r="F207" s="2" t="s">
        <v>150</v>
      </c>
    </row>
    <row r="208" ht="15.75" customHeight="1">
      <c r="A208" s="4" t="s">
        <v>236</v>
      </c>
      <c r="B208" s="2" t="s">
        <v>237</v>
      </c>
      <c r="C208" s="2">
        <v>801.0</v>
      </c>
      <c r="D208" s="2">
        <v>851.0</v>
      </c>
      <c r="E208" s="2">
        <v>25500.0</v>
      </c>
      <c r="F208" s="2" t="s">
        <v>150</v>
      </c>
    </row>
    <row r="209" ht="15.75" customHeight="1">
      <c r="A209" s="4" t="s">
        <v>834</v>
      </c>
      <c r="B209" s="2" t="s">
        <v>837</v>
      </c>
      <c r="C209" s="2">
        <v>306.0</v>
      </c>
      <c r="D209" s="2">
        <v>332.0</v>
      </c>
      <c r="E209" s="2">
        <v>26910.0</v>
      </c>
      <c r="F209" s="2" t="s">
        <v>150</v>
      </c>
    </row>
    <row r="210" ht="15.75" customHeight="1">
      <c r="A210" s="4" t="s">
        <v>238</v>
      </c>
      <c r="B210" s="2" t="s">
        <v>239</v>
      </c>
      <c r="C210" s="2">
        <v>1014.0</v>
      </c>
      <c r="D210" s="2">
        <v>990.0</v>
      </c>
      <c r="E210" s="2">
        <v>24440.0</v>
      </c>
      <c r="F210" s="2" t="s">
        <v>150</v>
      </c>
    </row>
    <row r="211" ht="15.75" customHeight="1">
      <c r="A211" s="4" t="s">
        <v>843</v>
      </c>
      <c r="B211" s="2" t="s">
        <v>845</v>
      </c>
      <c r="C211" s="2">
        <v>624.0</v>
      </c>
      <c r="D211" s="2">
        <v>649.0</v>
      </c>
      <c r="E211" s="2">
        <v>24960.0</v>
      </c>
      <c r="F211" s="2" t="s">
        <v>150</v>
      </c>
    </row>
    <row r="212" ht="15.75" customHeight="1">
      <c r="A212" s="4" t="s">
        <v>849</v>
      </c>
      <c r="B212" s="2" t="s">
        <v>851</v>
      </c>
      <c r="C212" s="2">
        <v>219.0</v>
      </c>
      <c r="D212" s="2">
        <v>194.0</v>
      </c>
      <c r="E212" s="2">
        <v>21800.0</v>
      </c>
      <c r="F212" s="2" t="s">
        <v>150</v>
      </c>
    </row>
    <row r="213" ht="15.75" customHeight="1">
      <c r="A213" s="4" t="s">
        <v>856</v>
      </c>
      <c r="B213" s="2" t="s">
        <v>860</v>
      </c>
      <c r="C213" s="2">
        <v>436.0</v>
      </c>
      <c r="D213" s="2">
        <v>443.0</v>
      </c>
      <c r="E213" s="2">
        <v>25010.0</v>
      </c>
      <c r="F213" s="2" t="s">
        <v>150</v>
      </c>
    </row>
    <row r="214" ht="15.75" customHeight="1">
      <c r="A214" s="4" t="s">
        <v>240</v>
      </c>
      <c r="B214" s="2" t="s">
        <v>241</v>
      </c>
      <c r="C214" s="2">
        <v>149.0</v>
      </c>
      <c r="D214" s="2">
        <v>161.0</v>
      </c>
      <c r="E214" s="2">
        <v>28490.0</v>
      </c>
      <c r="F214" s="2" t="s">
        <v>150</v>
      </c>
    </row>
    <row r="215" ht="15.75" customHeight="1">
      <c r="A215" s="4" t="s">
        <v>871</v>
      </c>
      <c r="B215" s="2" t="s">
        <v>872</v>
      </c>
      <c r="C215" s="2">
        <v>31.0</v>
      </c>
      <c r="D215" s="2">
        <v>39.0</v>
      </c>
      <c r="E215" s="2" t="s">
        <v>150</v>
      </c>
      <c r="F215" s="2" t="s">
        <v>150</v>
      </c>
    </row>
    <row r="216" ht="15.75" customHeight="1">
      <c r="A216" s="4" t="s">
        <v>877</v>
      </c>
      <c r="B216" s="2" t="s">
        <v>878</v>
      </c>
      <c r="C216" s="2">
        <v>300.0</v>
      </c>
      <c r="D216" s="2">
        <v>304.0</v>
      </c>
      <c r="E216" s="2">
        <v>24810.0</v>
      </c>
      <c r="F216" s="2" t="s">
        <v>150</v>
      </c>
    </row>
    <row r="217" ht="15.75" customHeight="1">
      <c r="A217" s="4" t="s">
        <v>879</v>
      </c>
      <c r="B217" s="2" t="s">
        <v>882</v>
      </c>
      <c r="C217" s="2">
        <v>350.0</v>
      </c>
      <c r="D217" s="2">
        <v>352.0</v>
      </c>
      <c r="E217" s="2">
        <v>23590.0</v>
      </c>
      <c r="F217" s="2" t="s">
        <v>150</v>
      </c>
    </row>
    <row r="218" ht="15.75" customHeight="1">
      <c r="A218" s="4" t="s">
        <v>884</v>
      </c>
      <c r="B218" s="2" t="s">
        <v>895</v>
      </c>
      <c r="C218" s="2">
        <v>88.0</v>
      </c>
      <c r="D218" s="2">
        <v>82.0</v>
      </c>
      <c r="E218" s="2" t="s">
        <v>150</v>
      </c>
      <c r="F218" s="2" t="s">
        <v>150</v>
      </c>
    </row>
    <row r="219" ht="15.75" customHeight="1">
      <c r="A219" s="4" t="s">
        <v>244</v>
      </c>
      <c r="B219" s="2" t="s">
        <v>245</v>
      </c>
      <c r="C219" s="2">
        <v>1826.0</v>
      </c>
      <c r="D219" s="2">
        <v>1808.0</v>
      </c>
      <c r="E219" s="2">
        <v>25430.0</v>
      </c>
      <c r="F219" s="2" t="s">
        <v>150</v>
      </c>
    </row>
    <row r="220" ht="15.75" customHeight="1">
      <c r="A220" s="4" t="s">
        <v>901</v>
      </c>
      <c r="B220" s="2" t="s">
        <v>902</v>
      </c>
      <c r="C220" s="2">
        <v>133.0</v>
      </c>
      <c r="D220" s="2">
        <v>126.0</v>
      </c>
      <c r="E220" s="2">
        <v>27380.0</v>
      </c>
      <c r="F220" s="2" t="s">
        <v>150</v>
      </c>
    </row>
    <row r="221" ht="15.75" customHeight="1">
      <c r="A221" s="4" t="s">
        <v>247</v>
      </c>
      <c r="B221" s="2" t="s">
        <v>249</v>
      </c>
      <c r="C221" s="2">
        <v>333.0</v>
      </c>
      <c r="D221" s="2">
        <v>361.0</v>
      </c>
      <c r="E221" s="2">
        <v>24580.0</v>
      </c>
      <c r="F221" s="2" t="s">
        <v>150</v>
      </c>
    </row>
    <row r="222" ht="15.75" customHeight="1">
      <c r="A222" s="4" t="s">
        <v>912</v>
      </c>
      <c r="B222" s="2" t="s">
        <v>916</v>
      </c>
      <c r="C222" s="2">
        <v>66.0</v>
      </c>
      <c r="D222" s="2">
        <v>78.0</v>
      </c>
      <c r="E222" s="2" t="s">
        <v>150</v>
      </c>
      <c r="F222" s="2" t="s">
        <v>150</v>
      </c>
    </row>
    <row r="223" ht="15.75" customHeight="1">
      <c r="A223" s="4" t="s">
        <v>922</v>
      </c>
      <c r="B223" s="2" t="s">
        <v>923</v>
      </c>
      <c r="C223" s="2">
        <v>188.0</v>
      </c>
      <c r="D223" s="2">
        <v>174.0</v>
      </c>
      <c r="E223" s="2">
        <v>24030.0</v>
      </c>
      <c r="F223" s="2" t="s">
        <v>150</v>
      </c>
    </row>
    <row r="224" ht="15.75" customHeight="1">
      <c r="A224" s="4" t="s">
        <v>252</v>
      </c>
      <c r="B224" s="2" t="s">
        <v>253</v>
      </c>
      <c r="C224" s="2">
        <v>938.0</v>
      </c>
      <c r="D224" s="2">
        <v>926.0</v>
      </c>
      <c r="E224" s="2">
        <v>23440.0</v>
      </c>
      <c r="F224" s="2" t="s">
        <v>150</v>
      </c>
    </row>
    <row r="225" ht="15.75" customHeight="1">
      <c r="A225" s="4" t="s">
        <v>931</v>
      </c>
      <c r="B225" s="2" t="s">
        <v>932</v>
      </c>
      <c r="C225" s="2">
        <v>344.0</v>
      </c>
      <c r="D225" s="2">
        <v>366.0</v>
      </c>
      <c r="E225" s="2">
        <v>23230.0</v>
      </c>
      <c r="F225" s="2" t="s">
        <v>150</v>
      </c>
    </row>
    <row r="226" ht="15.75" customHeight="1">
      <c r="A226" s="4" t="s">
        <v>934</v>
      </c>
      <c r="B226" s="2" t="s">
        <v>938</v>
      </c>
      <c r="C226" s="2">
        <v>143.0</v>
      </c>
      <c r="D226" s="2">
        <v>127.0</v>
      </c>
      <c r="E226" s="2">
        <v>23900.0</v>
      </c>
      <c r="F226" s="2" t="s">
        <v>150</v>
      </c>
    </row>
    <row r="227" ht="15.75" customHeight="1">
      <c r="A227" s="4" t="s">
        <v>939</v>
      </c>
      <c r="B227" s="2" t="s">
        <v>940</v>
      </c>
      <c r="C227" s="2">
        <v>82.0</v>
      </c>
      <c r="D227" s="2">
        <v>84.0</v>
      </c>
      <c r="E227" s="2" t="s">
        <v>150</v>
      </c>
      <c r="F227" s="2" t="s">
        <v>150</v>
      </c>
    </row>
    <row r="228" ht="15.75" customHeight="1">
      <c r="A228" s="4" t="s">
        <v>941</v>
      </c>
      <c r="B228" s="2" t="s">
        <v>942</v>
      </c>
      <c r="C228" s="2">
        <v>117.0</v>
      </c>
      <c r="D228" s="2">
        <v>119.0</v>
      </c>
      <c r="E228" s="2">
        <v>25270.0</v>
      </c>
      <c r="F228" s="2" t="s">
        <v>150</v>
      </c>
    </row>
    <row r="229" ht="15.75" customHeight="1">
      <c r="A229" s="4" t="s">
        <v>944</v>
      </c>
      <c r="B229" s="2" t="s">
        <v>946</v>
      </c>
      <c r="C229" s="2">
        <v>346.0</v>
      </c>
      <c r="D229" s="2">
        <v>335.0</v>
      </c>
      <c r="E229" s="2">
        <v>24640.0</v>
      </c>
      <c r="F229" s="2" t="s">
        <v>150</v>
      </c>
    </row>
    <row r="230" ht="15.75" customHeight="1">
      <c r="A230" s="4" t="s">
        <v>260</v>
      </c>
      <c r="B230" s="2" t="s">
        <v>261</v>
      </c>
      <c r="C230" s="2">
        <v>1498.0</v>
      </c>
      <c r="D230" s="2">
        <v>1472.0</v>
      </c>
      <c r="E230" s="2">
        <v>22750.0</v>
      </c>
      <c r="F230" s="2" t="s">
        <v>150</v>
      </c>
    </row>
    <row r="231" ht="15.75" customHeight="1">
      <c r="A231" s="4" t="s">
        <v>263</v>
      </c>
      <c r="B231" s="2" t="s">
        <v>265</v>
      </c>
      <c r="C231" s="2">
        <v>1837.0</v>
      </c>
      <c r="D231" s="2">
        <v>1812.0</v>
      </c>
      <c r="E231" s="2">
        <v>23700.0</v>
      </c>
      <c r="F231" s="2" t="s">
        <v>150</v>
      </c>
    </row>
    <row r="232" ht="15.75" customHeight="1">
      <c r="A232" s="4" t="s">
        <v>266</v>
      </c>
      <c r="B232" s="2" t="s">
        <v>267</v>
      </c>
      <c r="C232" s="2">
        <v>1230.0</v>
      </c>
      <c r="D232" s="2">
        <v>1166.0</v>
      </c>
      <c r="E232" s="2">
        <v>23540.0</v>
      </c>
      <c r="F232" s="2" t="s">
        <v>150</v>
      </c>
    </row>
    <row r="233" ht="15.75" customHeight="1">
      <c r="A233" s="4" t="s">
        <v>961</v>
      </c>
      <c r="B233" s="2" t="s">
        <v>963</v>
      </c>
      <c r="C233" s="2">
        <v>257.0</v>
      </c>
      <c r="D233" s="2">
        <v>183.0</v>
      </c>
      <c r="E233" s="2">
        <v>25620.0</v>
      </c>
      <c r="F233" s="2" t="s">
        <v>150</v>
      </c>
    </row>
    <row r="234" ht="15.75" customHeight="1">
      <c r="A234" s="4" t="s">
        <v>967</v>
      </c>
      <c r="B234" s="2" t="s">
        <v>969</v>
      </c>
      <c r="C234" s="2">
        <v>105.0</v>
      </c>
      <c r="D234" s="2">
        <v>87.0</v>
      </c>
      <c r="E234" s="2" t="s">
        <v>150</v>
      </c>
      <c r="F234" s="2" t="s">
        <v>150</v>
      </c>
    </row>
    <row r="235" ht="15.75" customHeight="1">
      <c r="A235" s="4" t="s">
        <v>254</v>
      </c>
      <c r="B235" s="2" t="s">
        <v>255</v>
      </c>
      <c r="C235" s="2">
        <v>647.0</v>
      </c>
      <c r="D235" s="2">
        <v>591.0</v>
      </c>
      <c r="E235" s="2">
        <v>26940.0</v>
      </c>
      <c r="F235" s="2" t="s">
        <v>150</v>
      </c>
    </row>
    <row r="236" ht="15.75" hidden="1" customHeight="1">
      <c r="A236" s="4" t="s">
        <v>256</v>
      </c>
      <c r="B236" s="2" t="s">
        <v>257</v>
      </c>
      <c r="C236" s="2">
        <v>2905.0</v>
      </c>
      <c r="D236" s="2">
        <v>3049.0</v>
      </c>
      <c r="E236" s="2">
        <v>23690.0</v>
      </c>
      <c r="F236" s="2">
        <v>20.0</v>
      </c>
    </row>
    <row r="237" ht="15.75" customHeight="1">
      <c r="A237" s="4" t="s">
        <v>984</v>
      </c>
      <c r="B237" s="2" t="s">
        <v>986</v>
      </c>
      <c r="C237" s="2">
        <v>64.0</v>
      </c>
      <c r="D237" s="2">
        <v>64.0</v>
      </c>
      <c r="E237" s="2" t="s">
        <v>150</v>
      </c>
      <c r="F237" s="2" t="s">
        <v>150</v>
      </c>
    </row>
    <row r="238" ht="15.75" customHeight="1">
      <c r="A238" s="4" t="s">
        <v>268</v>
      </c>
      <c r="B238" s="2" t="s">
        <v>269</v>
      </c>
      <c r="C238" s="2">
        <v>1789.0</v>
      </c>
      <c r="D238" s="2">
        <v>1733.0</v>
      </c>
      <c r="E238" s="2">
        <v>24820.0</v>
      </c>
      <c r="F238" s="2" t="s">
        <v>150</v>
      </c>
    </row>
    <row r="239" ht="15.75" customHeight="1">
      <c r="A239" s="4" t="s">
        <v>995</v>
      </c>
      <c r="B239" s="2" t="s">
        <v>1013</v>
      </c>
      <c r="C239" s="2">
        <v>606.0</v>
      </c>
      <c r="D239" s="2">
        <v>607.0</v>
      </c>
      <c r="E239" s="2">
        <v>25420.0</v>
      </c>
      <c r="F239" s="2" t="s">
        <v>150</v>
      </c>
    </row>
    <row r="240" ht="15.75" customHeight="1">
      <c r="A240" s="4" t="s">
        <v>1023</v>
      </c>
      <c r="B240" s="2" t="s">
        <v>1027</v>
      </c>
      <c r="C240" s="2">
        <v>157.0</v>
      </c>
      <c r="D240" s="2">
        <v>152.0</v>
      </c>
      <c r="E240" s="2">
        <v>23310.0</v>
      </c>
      <c r="F240" s="2" t="s">
        <v>150</v>
      </c>
    </row>
    <row r="241" ht="15.75" customHeight="1">
      <c r="A241" s="4" t="s">
        <v>1040</v>
      </c>
      <c r="B241" s="2" t="s">
        <v>1048</v>
      </c>
      <c r="C241" s="2">
        <v>102.0</v>
      </c>
      <c r="D241" s="2">
        <v>102.0</v>
      </c>
      <c r="E241" s="2" t="s">
        <v>150</v>
      </c>
      <c r="F241" s="2" t="s">
        <v>150</v>
      </c>
    </row>
    <row r="242" ht="15.75" customHeight="1">
      <c r="A242" s="4" t="s">
        <v>1050</v>
      </c>
      <c r="B242" s="2" t="s">
        <v>1052</v>
      </c>
      <c r="C242" s="2">
        <v>76.0</v>
      </c>
      <c r="D242" s="2">
        <v>84.0</v>
      </c>
      <c r="E242" s="2" t="s">
        <v>150</v>
      </c>
      <c r="F242" s="2" t="s">
        <v>150</v>
      </c>
    </row>
    <row r="243" ht="15.75" customHeight="1">
      <c r="A243" s="4" t="s">
        <v>1056</v>
      </c>
      <c r="B243" s="2" t="s">
        <v>1057</v>
      </c>
      <c r="C243" s="2">
        <v>28.0</v>
      </c>
      <c r="D243" s="2">
        <v>28.0</v>
      </c>
      <c r="E243" s="2" t="s">
        <v>150</v>
      </c>
      <c r="F243" s="2" t="s">
        <v>150</v>
      </c>
    </row>
    <row r="244" ht="15.75" customHeight="1">
      <c r="A244" s="4" t="s">
        <v>1064</v>
      </c>
      <c r="B244" s="2" t="s">
        <v>1065</v>
      </c>
      <c r="C244" s="2">
        <v>71.0</v>
      </c>
      <c r="D244" s="2">
        <v>72.0</v>
      </c>
      <c r="E244" s="2" t="s">
        <v>150</v>
      </c>
      <c r="F244" s="2" t="s">
        <v>150</v>
      </c>
    </row>
    <row r="245" ht="15.75" customHeight="1">
      <c r="A245" s="4" t="s">
        <v>1070</v>
      </c>
      <c r="B245" s="2" t="s">
        <v>1073</v>
      </c>
      <c r="C245" s="2">
        <v>355.0</v>
      </c>
      <c r="D245" s="2">
        <v>361.0</v>
      </c>
      <c r="E245" s="2">
        <v>27400.0</v>
      </c>
      <c r="F245" s="2" t="s">
        <v>150</v>
      </c>
    </row>
    <row r="246" ht="15.75" customHeight="1">
      <c r="A246" s="4" t="s">
        <v>270</v>
      </c>
      <c r="B246" s="2" t="s">
        <v>271</v>
      </c>
      <c r="C246" s="2">
        <v>128.0</v>
      </c>
      <c r="D246" s="2">
        <v>126.0</v>
      </c>
      <c r="E246" s="2">
        <v>28120.0</v>
      </c>
      <c r="F246" s="2" t="s">
        <v>150</v>
      </c>
    </row>
    <row r="247" ht="15.75" customHeight="1">
      <c r="A247" s="4" t="s">
        <v>1080</v>
      </c>
      <c r="B247" s="2" t="s">
        <v>1081</v>
      </c>
      <c r="C247" s="2">
        <v>143.0</v>
      </c>
      <c r="D247" s="2">
        <v>161.0</v>
      </c>
      <c r="E247" s="2">
        <v>24010.0</v>
      </c>
      <c r="F247" s="2" t="s">
        <v>150</v>
      </c>
    </row>
    <row r="248" ht="15.75" customHeight="1">
      <c r="A248" s="4" t="s">
        <v>1083</v>
      </c>
      <c r="B248" s="2" t="s">
        <v>1085</v>
      </c>
      <c r="C248" s="2">
        <v>125.0</v>
      </c>
      <c r="D248" s="2">
        <v>123.0</v>
      </c>
      <c r="E248" s="2">
        <v>22820.0</v>
      </c>
      <c r="F248" s="2" t="s">
        <v>150</v>
      </c>
    </row>
    <row r="249" ht="15.75" customHeight="1">
      <c r="A249" s="4" t="s">
        <v>1088</v>
      </c>
      <c r="B249" s="2" t="s">
        <v>1090</v>
      </c>
      <c r="C249" s="2">
        <v>436.0</v>
      </c>
      <c r="D249" s="2">
        <v>424.0</v>
      </c>
      <c r="E249" s="2">
        <v>29600.0</v>
      </c>
      <c r="F249" s="2" t="s">
        <v>150</v>
      </c>
    </row>
    <row r="250" ht="15.75" customHeight="1">
      <c r="A250" s="4" t="s">
        <v>1094</v>
      </c>
      <c r="B250" s="2" t="s">
        <v>1095</v>
      </c>
      <c r="C250" s="2">
        <v>379.0</v>
      </c>
      <c r="D250" s="2">
        <v>378.0</v>
      </c>
      <c r="E250" s="2">
        <v>25180.0</v>
      </c>
      <c r="F250" s="2" t="s">
        <v>150</v>
      </c>
    </row>
    <row r="251" ht="15.75" customHeight="1">
      <c r="A251" s="4" t="s">
        <v>277</v>
      </c>
      <c r="B251" s="2" t="s">
        <v>278</v>
      </c>
      <c r="C251" s="2">
        <v>398.0</v>
      </c>
      <c r="D251" s="2">
        <v>370.0</v>
      </c>
      <c r="E251" s="2">
        <v>28370.0</v>
      </c>
      <c r="F251" s="2" t="s">
        <v>150</v>
      </c>
    </row>
    <row r="252" ht="15.75" customHeight="1">
      <c r="A252" s="4" t="s">
        <v>280</v>
      </c>
      <c r="B252" s="2" t="s">
        <v>281</v>
      </c>
      <c r="C252" s="2">
        <v>650.0</v>
      </c>
      <c r="D252" s="2">
        <v>609.0</v>
      </c>
      <c r="E252" s="2">
        <v>22980.0</v>
      </c>
      <c r="F252" s="2" t="s">
        <v>150</v>
      </c>
    </row>
    <row r="253" ht="15.75" customHeight="1">
      <c r="A253" s="4" t="s">
        <v>284</v>
      </c>
      <c r="B253" s="2" t="s">
        <v>285</v>
      </c>
      <c r="C253" s="2">
        <v>391.0</v>
      </c>
      <c r="D253" s="2">
        <v>392.0</v>
      </c>
      <c r="E253" s="2">
        <v>22570.0</v>
      </c>
      <c r="F253" s="2" t="s">
        <v>150</v>
      </c>
    </row>
    <row r="254" ht="15.75" customHeight="1">
      <c r="A254" s="4" t="s">
        <v>1109</v>
      </c>
      <c r="B254" s="2" t="s">
        <v>1111</v>
      </c>
      <c r="C254" s="2">
        <v>216.0</v>
      </c>
      <c r="D254" s="2">
        <v>208.0</v>
      </c>
      <c r="E254" s="2">
        <v>24770.0</v>
      </c>
      <c r="F254" s="2" t="s">
        <v>150</v>
      </c>
    </row>
    <row r="255" ht="15.75" customHeight="1">
      <c r="A255" s="4" t="s">
        <v>1113</v>
      </c>
      <c r="B255" s="2" t="s">
        <v>1115</v>
      </c>
      <c r="C255" s="2">
        <v>114.0</v>
      </c>
      <c r="D255" s="2">
        <v>114.0</v>
      </c>
      <c r="E255" s="2">
        <v>26450.0</v>
      </c>
      <c r="F255" s="2" t="s">
        <v>150</v>
      </c>
    </row>
    <row r="256" ht="15.75" customHeight="1">
      <c r="A256" s="4" t="s">
        <v>290</v>
      </c>
      <c r="B256" s="2" t="s">
        <v>291</v>
      </c>
      <c r="C256" s="2">
        <v>747.0</v>
      </c>
      <c r="D256" s="2">
        <v>717.0</v>
      </c>
      <c r="E256" s="2">
        <v>22030.0</v>
      </c>
      <c r="F256" s="2" t="s">
        <v>150</v>
      </c>
    </row>
    <row r="257" ht="15.75" customHeight="1">
      <c r="A257" s="4" t="s">
        <v>1119</v>
      </c>
      <c r="B257" s="2" t="s">
        <v>1120</v>
      </c>
      <c r="C257" s="2">
        <v>99.0</v>
      </c>
      <c r="D257" s="2">
        <v>84.0</v>
      </c>
      <c r="E257" s="2" t="s">
        <v>150</v>
      </c>
      <c r="F257" s="2" t="s">
        <v>150</v>
      </c>
    </row>
    <row r="258" ht="15.75" customHeight="1">
      <c r="A258" s="4" t="s">
        <v>1123</v>
      </c>
      <c r="B258" s="2" t="s">
        <v>1124</v>
      </c>
      <c r="C258" s="2">
        <v>49.0</v>
      </c>
      <c r="D258" s="2">
        <v>30.0</v>
      </c>
      <c r="E258" s="2" t="s">
        <v>150</v>
      </c>
      <c r="F258" s="2" t="s">
        <v>150</v>
      </c>
    </row>
    <row r="259" ht="15.75" customHeight="1">
      <c r="A259" s="4" t="s">
        <v>1127</v>
      </c>
      <c r="B259" s="2" t="s">
        <v>1128</v>
      </c>
      <c r="C259" s="2">
        <v>289.0</v>
      </c>
      <c r="D259" s="2">
        <v>287.0</v>
      </c>
      <c r="E259" s="2">
        <v>25930.0</v>
      </c>
      <c r="F259" s="2" t="s">
        <v>150</v>
      </c>
    </row>
    <row r="260" ht="15.75" customHeight="1">
      <c r="A260" s="4" t="s">
        <v>292</v>
      </c>
      <c r="B260" s="2" t="s">
        <v>294</v>
      </c>
      <c r="C260" s="2">
        <v>654.0</v>
      </c>
      <c r="D260" s="2">
        <v>654.0</v>
      </c>
      <c r="E260" s="2">
        <v>27190.0</v>
      </c>
      <c r="F260" s="2" t="s">
        <v>150</v>
      </c>
    </row>
    <row r="261" ht="15.75" customHeight="1">
      <c r="A261" s="4" t="s">
        <v>1132</v>
      </c>
      <c r="B261" s="2" t="s">
        <v>1134</v>
      </c>
      <c r="C261" s="2">
        <v>154.0</v>
      </c>
      <c r="D261" s="2">
        <v>148.0</v>
      </c>
      <c r="E261" s="2">
        <v>23650.0</v>
      </c>
      <c r="F261" s="2" t="s">
        <v>150</v>
      </c>
    </row>
    <row r="262" ht="15.75" customHeight="1">
      <c r="A262" s="4" t="s">
        <v>1135</v>
      </c>
      <c r="B262" s="2" t="s">
        <v>1138</v>
      </c>
      <c r="C262" s="2">
        <v>162.0</v>
      </c>
      <c r="D262" s="2">
        <v>153.0</v>
      </c>
      <c r="E262" s="2">
        <v>22910.0</v>
      </c>
      <c r="F262" s="2" t="s">
        <v>150</v>
      </c>
    </row>
    <row r="263" ht="15.75" customHeight="1">
      <c r="A263" s="4" t="s">
        <v>1139</v>
      </c>
      <c r="B263" s="2" t="s">
        <v>1141</v>
      </c>
      <c r="C263" s="2">
        <v>132.0</v>
      </c>
      <c r="D263" s="2">
        <v>134.0</v>
      </c>
      <c r="E263" s="2">
        <v>24540.0</v>
      </c>
      <c r="F263" s="2" t="s">
        <v>150</v>
      </c>
    </row>
    <row r="264" ht="15.75" customHeight="1">
      <c r="A264" s="4" t="s">
        <v>1143</v>
      </c>
      <c r="B264" s="2" t="s">
        <v>1144</v>
      </c>
      <c r="C264" s="2">
        <v>75.0</v>
      </c>
      <c r="D264" s="2">
        <v>75.0</v>
      </c>
      <c r="E264" s="2" t="s">
        <v>150</v>
      </c>
      <c r="F264" s="2" t="s">
        <v>150</v>
      </c>
    </row>
    <row r="265" ht="15.75" customHeight="1">
      <c r="A265" s="4" t="s">
        <v>1147</v>
      </c>
      <c r="B265" s="2" t="s">
        <v>1148</v>
      </c>
      <c r="C265" s="2">
        <v>222.0</v>
      </c>
      <c r="D265" s="2">
        <v>191.0</v>
      </c>
      <c r="E265" s="2">
        <v>24590.0</v>
      </c>
      <c r="F265" s="2" t="s">
        <v>150</v>
      </c>
    </row>
    <row r="266" ht="15.75" customHeight="1">
      <c r="A266" s="4" t="s">
        <v>1151</v>
      </c>
      <c r="B266" s="2" t="s">
        <v>1152</v>
      </c>
      <c r="C266" s="2">
        <v>200.0</v>
      </c>
      <c r="D266" s="2">
        <v>164.0</v>
      </c>
      <c r="E266" s="2">
        <v>24390.0</v>
      </c>
      <c r="F266" s="2" t="s">
        <v>150</v>
      </c>
    </row>
    <row r="267" ht="15.75" customHeight="1">
      <c r="A267" s="4" t="s">
        <v>1155</v>
      </c>
      <c r="B267" s="2" t="s">
        <v>1156</v>
      </c>
      <c r="C267" s="2">
        <v>324.0</v>
      </c>
      <c r="D267" s="2">
        <v>307.0</v>
      </c>
      <c r="E267" s="2">
        <v>18100.0</v>
      </c>
      <c r="F267" s="2" t="s">
        <v>150</v>
      </c>
    </row>
    <row r="268" ht="15.75" customHeight="1">
      <c r="A268" s="4" t="s">
        <v>1159</v>
      </c>
      <c r="B268" s="2" t="s">
        <v>1160</v>
      </c>
      <c r="C268" s="2">
        <v>122.0</v>
      </c>
      <c r="D268" s="2">
        <v>122.0</v>
      </c>
      <c r="E268" s="2">
        <v>25990.0</v>
      </c>
      <c r="F268" s="2" t="s">
        <v>150</v>
      </c>
    </row>
    <row r="269" ht="15.75" customHeight="1">
      <c r="A269" s="4" t="s">
        <v>1163</v>
      </c>
      <c r="B269" s="2" t="s">
        <v>1164</v>
      </c>
      <c r="C269" s="2">
        <v>340.0</v>
      </c>
      <c r="D269" s="2">
        <v>337.0</v>
      </c>
      <c r="E269" s="2">
        <v>23140.0</v>
      </c>
      <c r="F269" s="2" t="s">
        <v>150</v>
      </c>
    </row>
    <row r="270" ht="15.75" customHeight="1">
      <c r="A270" s="4" t="s">
        <v>1166</v>
      </c>
      <c r="B270" s="2" t="s">
        <v>1168</v>
      </c>
      <c r="C270" s="2">
        <v>30.0</v>
      </c>
      <c r="D270" s="2">
        <v>38.0</v>
      </c>
      <c r="E270" s="2" t="s">
        <v>150</v>
      </c>
      <c r="F270" s="2" t="s">
        <v>150</v>
      </c>
    </row>
    <row r="271" ht="15.75" customHeight="1">
      <c r="A271" s="4" t="s">
        <v>933</v>
      </c>
      <c r="B271" s="2" t="s">
        <v>935</v>
      </c>
      <c r="C271" s="2">
        <v>556.0</v>
      </c>
      <c r="D271" s="2">
        <v>534.0</v>
      </c>
      <c r="E271" s="2">
        <v>26480.0</v>
      </c>
      <c r="F271" s="2" t="s">
        <v>150</v>
      </c>
    </row>
    <row r="272" ht="15.75" customHeight="1">
      <c r="A272" s="4" t="s">
        <v>1171</v>
      </c>
      <c r="B272" s="2" t="s">
        <v>1172</v>
      </c>
      <c r="C272" s="2">
        <v>392.0</v>
      </c>
      <c r="D272" s="2">
        <v>395.0</v>
      </c>
      <c r="E272" s="2">
        <v>26920.0</v>
      </c>
      <c r="F272" s="2" t="s">
        <v>150</v>
      </c>
    </row>
    <row r="273" ht="15.75" customHeight="1">
      <c r="A273" s="4" t="s">
        <v>1175</v>
      </c>
      <c r="B273" s="2" t="s">
        <v>1176</v>
      </c>
      <c r="C273" s="2">
        <v>261.0</v>
      </c>
      <c r="D273" s="2">
        <v>241.0</v>
      </c>
      <c r="E273" s="2">
        <v>24040.0</v>
      </c>
      <c r="F273" s="2" t="s">
        <v>150</v>
      </c>
    </row>
    <row r="274" ht="15.75" customHeight="1">
      <c r="A274" s="4" t="s">
        <v>1178</v>
      </c>
      <c r="B274" s="2" t="s">
        <v>1180</v>
      </c>
      <c r="C274" s="2">
        <v>417.0</v>
      </c>
      <c r="D274" s="2">
        <v>438.0</v>
      </c>
      <c r="E274" s="2">
        <v>24200.0</v>
      </c>
      <c r="F274" s="2" t="s">
        <v>150</v>
      </c>
    </row>
    <row r="275" ht="15.75" customHeight="1">
      <c r="A275" s="4" t="s">
        <v>1183</v>
      </c>
      <c r="B275" s="2" t="s">
        <v>1184</v>
      </c>
      <c r="C275" s="2">
        <v>284.0</v>
      </c>
      <c r="D275" s="2">
        <v>278.0</v>
      </c>
      <c r="E275" s="2">
        <v>22920.0</v>
      </c>
      <c r="F275" s="2" t="s">
        <v>150</v>
      </c>
    </row>
    <row r="276" ht="15.75" customHeight="1">
      <c r="A276" s="4" t="s">
        <v>1187</v>
      </c>
      <c r="B276" s="2" t="s">
        <v>1188</v>
      </c>
      <c r="C276" s="2">
        <v>97.0</v>
      </c>
      <c r="D276" s="2">
        <v>98.0</v>
      </c>
      <c r="E276" s="2" t="s">
        <v>150</v>
      </c>
      <c r="F276" s="2" t="s">
        <v>150</v>
      </c>
    </row>
    <row r="277" ht="15.75" customHeight="1">
      <c r="A277" s="4" t="s">
        <v>296</v>
      </c>
      <c r="B277" s="2" t="s">
        <v>297</v>
      </c>
      <c r="C277" s="2">
        <v>858.0</v>
      </c>
      <c r="D277" s="2">
        <v>847.0</v>
      </c>
      <c r="E277" s="2">
        <v>23800.0</v>
      </c>
      <c r="F277" s="2" t="s">
        <v>150</v>
      </c>
    </row>
    <row r="278" ht="15.75" customHeight="1">
      <c r="A278" s="4" t="s">
        <v>300</v>
      </c>
      <c r="B278" s="2" t="s">
        <v>301</v>
      </c>
      <c r="C278" s="2">
        <v>1022.0</v>
      </c>
      <c r="D278" s="2">
        <v>1072.0</v>
      </c>
      <c r="E278" s="2">
        <v>27880.0</v>
      </c>
      <c r="F278" s="2" t="s">
        <v>150</v>
      </c>
    </row>
    <row r="279" ht="15.75" customHeight="1">
      <c r="A279" s="4" t="s">
        <v>302</v>
      </c>
      <c r="B279" s="2" t="s">
        <v>303</v>
      </c>
      <c r="C279" s="2">
        <v>344.0</v>
      </c>
      <c r="D279" s="2">
        <v>345.0</v>
      </c>
      <c r="E279" s="2">
        <v>24420.0</v>
      </c>
      <c r="F279" s="2" t="s">
        <v>150</v>
      </c>
    </row>
    <row r="280" ht="15.75" customHeight="1">
      <c r="A280" s="4" t="s">
        <v>1197</v>
      </c>
      <c r="B280" s="2" t="s">
        <v>1198</v>
      </c>
      <c r="C280" s="2">
        <v>417.0</v>
      </c>
      <c r="D280" s="2">
        <v>399.0</v>
      </c>
      <c r="E280" s="2">
        <v>27400.0</v>
      </c>
      <c r="F280" s="2" t="s">
        <v>150</v>
      </c>
    </row>
    <row r="281" ht="15.75" hidden="1" customHeight="1">
      <c r="A281" s="4" t="s">
        <v>306</v>
      </c>
      <c r="B281" s="2" t="s">
        <v>307</v>
      </c>
      <c r="C281" s="2">
        <v>2776.0</v>
      </c>
      <c r="D281" s="2">
        <v>2691.0</v>
      </c>
      <c r="E281" s="2">
        <v>26290.0</v>
      </c>
      <c r="F281" s="2">
        <v>11.0</v>
      </c>
    </row>
    <row r="282" ht="15.75" customHeight="1">
      <c r="A282" s="4" t="s">
        <v>1203</v>
      </c>
      <c r="B282" s="2" t="s">
        <v>1204</v>
      </c>
      <c r="C282" s="2">
        <v>412.0</v>
      </c>
      <c r="D282" s="2">
        <v>408.0</v>
      </c>
      <c r="E282" s="2">
        <v>23650.0</v>
      </c>
      <c r="F282" s="2" t="s">
        <v>150</v>
      </c>
    </row>
    <row r="283" ht="15.75" customHeight="1">
      <c r="A283" s="4" t="s">
        <v>947</v>
      </c>
      <c r="B283" s="2" t="s">
        <v>949</v>
      </c>
      <c r="C283" s="2">
        <v>1253.0</v>
      </c>
      <c r="D283" s="2">
        <v>1329.0</v>
      </c>
      <c r="E283" s="2">
        <v>24610.0</v>
      </c>
      <c r="F283" s="2" t="s">
        <v>150</v>
      </c>
    </row>
    <row r="284" ht="15.75" customHeight="1">
      <c r="A284" s="4" t="s">
        <v>1208</v>
      </c>
      <c r="B284" s="2" t="s">
        <v>1210</v>
      </c>
      <c r="C284" s="2">
        <v>557.0</v>
      </c>
      <c r="D284" s="2">
        <v>543.0</v>
      </c>
      <c r="E284" s="2">
        <v>24090.0</v>
      </c>
      <c r="F284" s="2" t="s">
        <v>150</v>
      </c>
    </row>
    <row r="285" ht="15.75" customHeight="1">
      <c r="A285" s="4" t="s">
        <v>1211</v>
      </c>
      <c r="B285" s="2" t="s">
        <v>1212</v>
      </c>
      <c r="C285" s="2">
        <v>213.0</v>
      </c>
      <c r="D285" s="2">
        <v>208.0</v>
      </c>
      <c r="E285" s="2">
        <v>27690.0</v>
      </c>
      <c r="F285" s="2" t="s">
        <v>150</v>
      </c>
    </row>
    <row r="286" ht="15.75" customHeight="1">
      <c r="A286" s="4" t="s">
        <v>964</v>
      </c>
      <c r="B286" s="2" t="s">
        <v>966</v>
      </c>
      <c r="C286" s="2">
        <v>859.0</v>
      </c>
      <c r="D286" s="2">
        <v>839.0</v>
      </c>
      <c r="E286" s="2">
        <v>21440.0</v>
      </c>
      <c r="F286" s="2" t="s">
        <v>150</v>
      </c>
    </row>
    <row r="287" ht="15.75" customHeight="1">
      <c r="A287" s="4" t="s">
        <v>952</v>
      </c>
      <c r="B287" s="2" t="s">
        <v>954</v>
      </c>
      <c r="C287" s="2">
        <v>1208.0</v>
      </c>
      <c r="D287" s="2">
        <v>1157.0</v>
      </c>
      <c r="E287" s="2">
        <v>26230.0</v>
      </c>
      <c r="F287" s="2" t="s">
        <v>150</v>
      </c>
    </row>
    <row r="288" ht="15.75" customHeight="1">
      <c r="A288" s="4" t="s">
        <v>1219</v>
      </c>
      <c r="B288" s="2" t="s">
        <v>1220</v>
      </c>
      <c r="C288" s="2">
        <v>118.0</v>
      </c>
      <c r="D288" s="2">
        <v>125.0</v>
      </c>
      <c r="E288" s="2">
        <v>26170.0</v>
      </c>
      <c r="F288" s="2" t="s">
        <v>150</v>
      </c>
    </row>
    <row r="289" ht="15.75" customHeight="1">
      <c r="A289" s="4" t="s">
        <v>959</v>
      </c>
      <c r="B289" s="2" t="s">
        <v>960</v>
      </c>
      <c r="C289" s="2">
        <v>1459.0</v>
      </c>
      <c r="D289" s="2">
        <v>1436.0</v>
      </c>
      <c r="E289" s="2">
        <v>22200.0</v>
      </c>
      <c r="F289" s="2" t="s">
        <v>150</v>
      </c>
    </row>
    <row r="290" ht="15.75" customHeight="1">
      <c r="A290" s="4" t="s">
        <v>970</v>
      </c>
      <c r="B290" s="2" t="s">
        <v>972</v>
      </c>
      <c r="C290" s="2">
        <v>570.0</v>
      </c>
      <c r="D290" s="2">
        <v>522.0</v>
      </c>
      <c r="E290" s="2">
        <v>24650.0</v>
      </c>
      <c r="F290" s="2" t="s">
        <v>150</v>
      </c>
    </row>
    <row r="291" ht="15.75" customHeight="1">
      <c r="A291" s="4" t="s">
        <v>1227</v>
      </c>
      <c r="B291" s="2" t="s">
        <v>1228</v>
      </c>
      <c r="C291" s="2">
        <v>317.0</v>
      </c>
      <c r="D291" s="2">
        <v>363.0</v>
      </c>
      <c r="E291" s="2">
        <v>27490.0</v>
      </c>
      <c r="F291" s="2" t="s">
        <v>150</v>
      </c>
    </row>
    <row r="292" ht="15.75" customHeight="1">
      <c r="A292" s="4" t="s">
        <v>309</v>
      </c>
      <c r="B292" s="2" t="s">
        <v>311</v>
      </c>
      <c r="C292" s="2">
        <v>654.0</v>
      </c>
      <c r="D292" s="2">
        <v>724.0</v>
      </c>
      <c r="E292" s="2">
        <v>36460.0</v>
      </c>
      <c r="F292" s="2" t="s">
        <v>150</v>
      </c>
    </row>
    <row r="293" ht="15.75" hidden="1" customHeight="1">
      <c r="A293" s="4" t="s">
        <v>424</v>
      </c>
      <c r="B293" s="2" t="s">
        <v>425</v>
      </c>
      <c r="C293" s="2">
        <v>2859.0</v>
      </c>
      <c r="D293" s="2">
        <v>2796.0</v>
      </c>
      <c r="E293" s="2">
        <v>18440.0</v>
      </c>
      <c r="F293" s="2">
        <v>37.0</v>
      </c>
    </row>
    <row r="294" ht="15.75" hidden="1" customHeight="1">
      <c r="A294" s="4" t="s">
        <v>346</v>
      </c>
      <c r="B294" s="2" t="s">
        <v>347</v>
      </c>
      <c r="C294" s="2">
        <v>3053.0</v>
      </c>
      <c r="D294" s="2">
        <v>2836.0</v>
      </c>
      <c r="E294" s="2">
        <v>21370.0</v>
      </c>
      <c r="F294" s="2">
        <v>25.0</v>
      </c>
    </row>
    <row r="295" ht="15.75" customHeight="1">
      <c r="A295" s="4" t="s">
        <v>414</v>
      </c>
      <c r="B295" s="2" t="s">
        <v>415</v>
      </c>
      <c r="C295" s="2">
        <v>542.0</v>
      </c>
      <c r="D295" s="2">
        <v>526.0</v>
      </c>
      <c r="E295" s="2">
        <v>22840.0</v>
      </c>
      <c r="F295" s="2" t="s">
        <v>150</v>
      </c>
    </row>
    <row r="296" ht="15.75" customHeight="1">
      <c r="A296" s="4" t="s">
        <v>418</v>
      </c>
      <c r="B296" s="2" t="s">
        <v>419</v>
      </c>
      <c r="C296" s="2">
        <v>2085.0</v>
      </c>
      <c r="D296" s="2">
        <v>2027.0</v>
      </c>
      <c r="E296" s="2">
        <v>25040.0</v>
      </c>
      <c r="F296" s="2" t="s">
        <v>150</v>
      </c>
    </row>
    <row r="297" ht="15.75" customHeight="1">
      <c r="A297" s="4" t="s">
        <v>312</v>
      </c>
      <c r="B297" s="2" t="s">
        <v>313</v>
      </c>
      <c r="C297" s="2">
        <v>486.0</v>
      </c>
      <c r="D297" s="2">
        <v>519.0</v>
      </c>
      <c r="E297" s="2">
        <v>23580.0</v>
      </c>
      <c r="F297" s="2" t="s">
        <v>150</v>
      </c>
    </row>
    <row r="298" ht="15.75" customHeight="1">
      <c r="A298" s="4" t="s">
        <v>314</v>
      </c>
      <c r="B298" s="2" t="s">
        <v>315</v>
      </c>
      <c r="C298" s="2">
        <v>680.0</v>
      </c>
      <c r="D298" s="2">
        <v>704.0</v>
      </c>
      <c r="E298" s="2">
        <v>24940.0</v>
      </c>
      <c r="F298" s="2" t="s">
        <v>150</v>
      </c>
    </row>
    <row r="299" ht="15.75" customHeight="1">
      <c r="A299" s="4" t="s">
        <v>1243</v>
      </c>
      <c r="B299" s="2" t="s">
        <v>1244</v>
      </c>
      <c r="C299" s="2">
        <v>256.0</v>
      </c>
      <c r="D299" s="2">
        <v>249.0</v>
      </c>
      <c r="E299" s="2">
        <v>24670.0</v>
      </c>
      <c r="F299" s="2" t="s">
        <v>150</v>
      </c>
    </row>
    <row r="300" ht="15.75" customHeight="1">
      <c r="A300" s="4" t="s">
        <v>420</v>
      </c>
      <c r="B300" s="2" t="s">
        <v>421</v>
      </c>
      <c r="C300" s="2">
        <v>1118.0</v>
      </c>
      <c r="D300" s="2">
        <v>1103.0</v>
      </c>
      <c r="E300" s="2">
        <v>23720.0</v>
      </c>
      <c r="F300" s="2" t="s">
        <v>150</v>
      </c>
    </row>
    <row r="301" ht="15.75" customHeight="1">
      <c r="A301" s="4" t="s">
        <v>1253</v>
      </c>
      <c r="B301" s="2" t="s">
        <v>1254</v>
      </c>
      <c r="C301" s="2">
        <v>468.0</v>
      </c>
      <c r="D301" s="2">
        <v>420.0</v>
      </c>
      <c r="E301" s="2">
        <v>23840.0</v>
      </c>
      <c r="F301" s="2" t="s">
        <v>150</v>
      </c>
    </row>
    <row r="302" ht="15.75" customHeight="1">
      <c r="A302" s="4" t="s">
        <v>316</v>
      </c>
      <c r="B302" s="2" t="s">
        <v>318</v>
      </c>
      <c r="C302" s="2">
        <v>1687.0</v>
      </c>
      <c r="D302" s="2">
        <v>1701.0</v>
      </c>
      <c r="E302" s="2">
        <v>23860.0</v>
      </c>
      <c r="F302" s="2" t="s">
        <v>150</v>
      </c>
    </row>
    <row r="303" ht="15.75" customHeight="1">
      <c r="A303" s="4" t="s">
        <v>1258</v>
      </c>
      <c r="B303" s="2" t="s">
        <v>1260</v>
      </c>
      <c r="C303" s="2">
        <v>136.0</v>
      </c>
      <c r="D303" s="2">
        <v>130.0</v>
      </c>
      <c r="E303" s="2">
        <v>28230.0</v>
      </c>
      <c r="F303" s="2" t="s">
        <v>150</v>
      </c>
    </row>
    <row r="304" ht="15.75" customHeight="1">
      <c r="A304" s="4" t="s">
        <v>1261</v>
      </c>
      <c r="B304" s="2" t="s">
        <v>1262</v>
      </c>
      <c r="C304" s="2">
        <v>220.0</v>
      </c>
      <c r="D304" s="2">
        <v>194.0</v>
      </c>
      <c r="E304" s="2">
        <v>28190.0</v>
      </c>
      <c r="F304" s="2" t="s">
        <v>150</v>
      </c>
    </row>
    <row r="305" ht="15.75" customHeight="1">
      <c r="A305" s="4" t="s">
        <v>320</v>
      </c>
      <c r="B305" s="2" t="s">
        <v>321</v>
      </c>
      <c r="C305" s="2">
        <v>1386.0</v>
      </c>
      <c r="D305" s="2">
        <v>1355.0</v>
      </c>
      <c r="E305" s="2">
        <v>22910.0</v>
      </c>
      <c r="F305" s="2" t="s">
        <v>150</v>
      </c>
    </row>
    <row r="306" ht="15.75" customHeight="1">
      <c r="A306" s="4" t="s">
        <v>324</v>
      </c>
      <c r="B306" s="2" t="s">
        <v>325</v>
      </c>
      <c r="C306" s="2">
        <v>469.0</v>
      </c>
      <c r="D306" s="2">
        <v>518.0</v>
      </c>
      <c r="E306" s="2">
        <v>21530.0</v>
      </c>
      <c r="F306" s="2" t="s">
        <v>150</v>
      </c>
    </row>
    <row r="307" ht="15.75" customHeight="1">
      <c r="A307" s="4" t="s">
        <v>1269</v>
      </c>
      <c r="B307" s="2" t="s">
        <v>1270</v>
      </c>
      <c r="C307" s="2">
        <v>250.0</v>
      </c>
      <c r="D307" s="2">
        <v>232.0</v>
      </c>
      <c r="E307" s="2">
        <v>30960.0</v>
      </c>
      <c r="F307" s="2" t="s">
        <v>150</v>
      </c>
    </row>
    <row r="308" ht="15.75" customHeight="1">
      <c r="A308" s="4" t="s">
        <v>328</v>
      </c>
      <c r="B308" s="2" t="s">
        <v>329</v>
      </c>
      <c r="C308" s="2">
        <v>913.0</v>
      </c>
      <c r="D308" s="2">
        <v>862.0</v>
      </c>
      <c r="E308" s="2">
        <v>25470.0</v>
      </c>
      <c r="F308" s="2" t="s">
        <v>150</v>
      </c>
    </row>
    <row r="309" ht="15.75" customHeight="1">
      <c r="A309" s="4" t="s">
        <v>1275</v>
      </c>
      <c r="B309" s="2" t="s">
        <v>1277</v>
      </c>
      <c r="C309" s="2">
        <v>389.0</v>
      </c>
      <c r="D309" s="2">
        <v>378.0</v>
      </c>
      <c r="E309" s="2">
        <v>27900.0</v>
      </c>
      <c r="F309" s="2" t="s">
        <v>150</v>
      </c>
    </row>
    <row r="310" ht="15.75" customHeight="1">
      <c r="A310" s="4" t="s">
        <v>1279</v>
      </c>
      <c r="B310" s="2" t="s">
        <v>1282</v>
      </c>
      <c r="C310" s="2">
        <v>127.0</v>
      </c>
      <c r="D310" s="2">
        <v>140.0</v>
      </c>
      <c r="E310" s="2">
        <v>28070.0</v>
      </c>
      <c r="F310" s="2" t="s">
        <v>150</v>
      </c>
    </row>
    <row r="311" ht="15.75" customHeight="1">
      <c r="A311" s="4" t="s">
        <v>1283</v>
      </c>
      <c r="B311" s="2" t="s">
        <v>1284</v>
      </c>
      <c r="C311" s="2">
        <v>277.0</v>
      </c>
      <c r="D311" s="2">
        <v>280.0</v>
      </c>
      <c r="E311" s="2">
        <v>25480.0</v>
      </c>
      <c r="F311" s="2" t="s">
        <v>150</v>
      </c>
    </row>
    <row r="312" ht="15.75" customHeight="1">
      <c r="A312" s="4" t="s">
        <v>330</v>
      </c>
      <c r="B312" s="2" t="s">
        <v>331</v>
      </c>
      <c r="C312" s="2">
        <v>489.0</v>
      </c>
      <c r="D312" s="2">
        <v>483.0</v>
      </c>
      <c r="E312" s="2">
        <v>25900.0</v>
      </c>
      <c r="F312" s="2" t="s">
        <v>150</v>
      </c>
    </row>
    <row r="313" ht="15.75" customHeight="1">
      <c r="A313" s="4" t="s">
        <v>332</v>
      </c>
      <c r="B313" s="2" t="s">
        <v>333</v>
      </c>
      <c r="C313" s="2">
        <v>165.0</v>
      </c>
      <c r="D313" s="2">
        <v>166.0</v>
      </c>
      <c r="E313" s="2">
        <v>23450.0</v>
      </c>
      <c r="F313" s="2" t="s">
        <v>150</v>
      </c>
    </row>
    <row r="314" ht="15.75" customHeight="1">
      <c r="A314" s="4" t="s">
        <v>1289</v>
      </c>
      <c r="B314" s="2" t="s">
        <v>1290</v>
      </c>
      <c r="C314" s="2">
        <v>524.0</v>
      </c>
      <c r="D314" s="2">
        <v>535.0</v>
      </c>
      <c r="E314" s="2">
        <v>27690.0</v>
      </c>
      <c r="F314" s="2" t="s">
        <v>150</v>
      </c>
    </row>
    <row r="315" ht="15.75" customHeight="1">
      <c r="A315" s="4" t="s">
        <v>336</v>
      </c>
      <c r="B315" s="2" t="s">
        <v>337</v>
      </c>
      <c r="C315" s="2">
        <v>419.0</v>
      </c>
      <c r="D315" s="2">
        <v>404.0</v>
      </c>
      <c r="E315" s="2">
        <v>26320.0</v>
      </c>
      <c r="F315" s="2" t="s">
        <v>150</v>
      </c>
    </row>
    <row r="316" ht="15.75" customHeight="1">
      <c r="A316" s="4" t="s">
        <v>1295</v>
      </c>
      <c r="B316" s="2" t="s">
        <v>1296</v>
      </c>
      <c r="C316" s="2">
        <v>474.0</v>
      </c>
      <c r="D316" s="2">
        <v>463.0</v>
      </c>
      <c r="E316" s="2">
        <v>29410.0</v>
      </c>
      <c r="F316" s="2" t="s">
        <v>150</v>
      </c>
    </row>
    <row r="317" ht="15.75" customHeight="1">
      <c r="A317" s="4" t="s">
        <v>1299</v>
      </c>
      <c r="B317" s="2" t="s">
        <v>1300</v>
      </c>
      <c r="C317" s="2">
        <v>113.0</v>
      </c>
      <c r="D317" s="2">
        <v>106.0</v>
      </c>
      <c r="E317" s="2">
        <v>21640.0</v>
      </c>
      <c r="F317" s="2" t="s">
        <v>150</v>
      </c>
    </row>
    <row r="318" ht="15.75" customHeight="1">
      <c r="A318" s="4" t="s">
        <v>338</v>
      </c>
      <c r="B318" s="2" t="s">
        <v>339</v>
      </c>
      <c r="C318" s="2">
        <v>268.0</v>
      </c>
      <c r="D318" s="2">
        <v>272.0</v>
      </c>
      <c r="E318" s="2">
        <v>25610.0</v>
      </c>
      <c r="F318" s="2" t="s">
        <v>150</v>
      </c>
    </row>
    <row r="319" ht="15.75" customHeight="1">
      <c r="A319" s="4" t="s">
        <v>1305</v>
      </c>
      <c r="B319" s="2" t="s">
        <v>1306</v>
      </c>
      <c r="C319" s="2">
        <v>161.0</v>
      </c>
      <c r="D319" s="2">
        <v>160.0</v>
      </c>
      <c r="E319" s="2">
        <v>22600.0</v>
      </c>
      <c r="F319" s="2" t="s">
        <v>150</v>
      </c>
    </row>
    <row r="320" ht="15.75" hidden="1" customHeight="1">
      <c r="A320" s="4" t="s">
        <v>340</v>
      </c>
      <c r="B320" s="2" t="s">
        <v>341</v>
      </c>
      <c r="C320" s="2">
        <v>2945.0</v>
      </c>
      <c r="D320" s="2">
        <v>2890.0</v>
      </c>
      <c r="E320" s="2">
        <v>21300.0</v>
      </c>
      <c r="F320" s="2">
        <v>20.0</v>
      </c>
    </row>
    <row r="321" ht="15.75" customHeight="1">
      <c r="A321" s="4" t="s">
        <v>1310</v>
      </c>
      <c r="B321" s="2" t="s">
        <v>1312</v>
      </c>
      <c r="C321" s="2">
        <v>192.0</v>
      </c>
      <c r="D321" s="2">
        <v>166.0</v>
      </c>
      <c r="E321" s="2">
        <v>24750.0</v>
      </c>
      <c r="F321" s="2" t="s">
        <v>150</v>
      </c>
    </row>
    <row r="322" ht="15.75" customHeight="1">
      <c r="A322" s="4" t="s">
        <v>342</v>
      </c>
      <c r="B322" s="2" t="s">
        <v>343</v>
      </c>
      <c r="C322" s="2">
        <v>998.0</v>
      </c>
      <c r="D322" s="2">
        <v>971.0</v>
      </c>
      <c r="E322" s="2">
        <v>25700.0</v>
      </c>
      <c r="F322" s="2" t="s">
        <v>150</v>
      </c>
    </row>
    <row r="323" ht="15.75" customHeight="1">
      <c r="A323" s="4" t="s">
        <v>1315</v>
      </c>
      <c r="B323" s="2" t="s">
        <v>1317</v>
      </c>
      <c r="C323" s="2">
        <v>176.0</v>
      </c>
      <c r="D323" s="2">
        <v>198.0</v>
      </c>
      <c r="E323" s="2">
        <v>25950.0</v>
      </c>
      <c r="F323" s="2" t="s">
        <v>150</v>
      </c>
    </row>
    <row r="324" ht="15.75" customHeight="1">
      <c r="A324" s="4" t="s">
        <v>1318</v>
      </c>
      <c r="B324" s="2" t="s">
        <v>1319</v>
      </c>
      <c r="C324" s="2">
        <v>261.0</v>
      </c>
      <c r="D324" s="2">
        <v>236.0</v>
      </c>
      <c r="E324" s="2">
        <v>24090.0</v>
      </c>
      <c r="F324" s="2" t="s">
        <v>150</v>
      </c>
    </row>
    <row r="325" ht="15.75" customHeight="1">
      <c r="A325" s="4" t="s">
        <v>348</v>
      </c>
      <c r="B325" s="2" t="s">
        <v>350</v>
      </c>
      <c r="C325" s="2">
        <v>687.0</v>
      </c>
      <c r="D325" s="2">
        <v>683.0</v>
      </c>
      <c r="E325" s="2">
        <v>25750.0</v>
      </c>
      <c r="F325" s="2" t="s">
        <v>150</v>
      </c>
    </row>
    <row r="326" ht="15.75" hidden="1" customHeight="1">
      <c r="A326" s="4" t="s">
        <v>352</v>
      </c>
      <c r="B326" s="2" t="s">
        <v>353</v>
      </c>
      <c r="C326" s="2">
        <v>5276.0</v>
      </c>
      <c r="D326" s="2">
        <v>5183.0</v>
      </c>
      <c r="E326" s="2">
        <v>23200.0</v>
      </c>
      <c r="F326" s="2">
        <v>17.0</v>
      </c>
    </row>
    <row r="327" ht="15.75" customHeight="1">
      <c r="A327" s="4" t="s">
        <v>1325</v>
      </c>
      <c r="B327" s="2" t="s">
        <v>1326</v>
      </c>
      <c r="C327" s="2">
        <v>277.0</v>
      </c>
      <c r="D327" s="2">
        <v>258.0</v>
      </c>
      <c r="E327" s="2">
        <v>28140.0</v>
      </c>
      <c r="F327" s="2" t="s">
        <v>150</v>
      </c>
    </row>
    <row r="328" ht="15.75" customHeight="1">
      <c r="A328" s="4" t="s">
        <v>1329</v>
      </c>
      <c r="B328" s="2" t="s">
        <v>1331</v>
      </c>
      <c r="C328" s="2">
        <v>135.0</v>
      </c>
      <c r="D328" s="2">
        <v>127.0</v>
      </c>
      <c r="E328" s="2">
        <v>23730.0</v>
      </c>
      <c r="F328" s="2" t="s">
        <v>150</v>
      </c>
    </row>
    <row r="329" ht="15.75" customHeight="1">
      <c r="A329" s="4" t="s">
        <v>1334</v>
      </c>
      <c r="B329" s="2" t="s">
        <v>1336</v>
      </c>
      <c r="C329" s="2">
        <v>81.0</v>
      </c>
      <c r="D329" s="2">
        <v>84.0</v>
      </c>
      <c r="E329" s="2" t="s">
        <v>150</v>
      </c>
      <c r="F329" s="2" t="s">
        <v>150</v>
      </c>
    </row>
    <row r="330" ht="15.75" customHeight="1">
      <c r="A330" s="4" t="s">
        <v>1338</v>
      </c>
      <c r="B330" s="2" t="s">
        <v>1340</v>
      </c>
      <c r="C330" s="2">
        <v>42.0</v>
      </c>
      <c r="D330" s="2">
        <v>37.0</v>
      </c>
      <c r="E330" s="2" t="s">
        <v>150</v>
      </c>
      <c r="F330" s="2" t="s">
        <v>150</v>
      </c>
    </row>
    <row r="331" ht="15.75" customHeight="1">
      <c r="A331" s="4" t="s">
        <v>355</v>
      </c>
      <c r="B331" s="2" t="s">
        <v>357</v>
      </c>
      <c r="C331" s="2">
        <v>672.0</v>
      </c>
      <c r="D331" s="2">
        <v>630.0</v>
      </c>
      <c r="E331" s="2">
        <v>25180.0</v>
      </c>
      <c r="F331" s="2" t="s">
        <v>150</v>
      </c>
    </row>
    <row r="332" ht="15.75" customHeight="1">
      <c r="A332" s="4" t="s">
        <v>1343</v>
      </c>
      <c r="B332" s="2" t="s">
        <v>1344</v>
      </c>
      <c r="C332" s="2">
        <v>450.0</v>
      </c>
      <c r="D332" s="2">
        <v>425.0</v>
      </c>
      <c r="E332" s="2">
        <v>27380.0</v>
      </c>
      <c r="F332" s="2" t="s">
        <v>150</v>
      </c>
    </row>
    <row r="333" ht="15.75" customHeight="1">
      <c r="A333" s="4" t="s">
        <v>1347</v>
      </c>
      <c r="B333" s="2" t="s">
        <v>1348</v>
      </c>
      <c r="C333" s="2">
        <v>57.0</v>
      </c>
      <c r="D333" s="2">
        <v>65.0</v>
      </c>
      <c r="E333" s="2" t="s">
        <v>150</v>
      </c>
      <c r="F333" s="2" t="s">
        <v>150</v>
      </c>
    </row>
    <row r="334" ht="15.75" customHeight="1">
      <c r="A334" s="4" t="s">
        <v>1351</v>
      </c>
      <c r="B334" s="2" t="s">
        <v>1352</v>
      </c>
      <c r="C334" s="2">
        <v>135.0</v>
      </c>
      <c r="D334" s="2">
        <v>140.0</v>
      </c>
      <c r="E334" s="2">
        <v>20070.0</v>
      </c>
      <c r="F334" s="2" t="s">
        <v>150</v>
      </c>
    </row>
    <row r="335" ht="15.75" customHeight="1">
      <c r="A335" s="4" t="s">
        <v>1355</v>
      </c>
      <c r="B335" s="2" t="s">
        <v>1356</v>
      </c>
      <c r="C335" s="2">
        <v>116.0</v>
      </c>
      <c r="D335" s="2">
        <v>120.0</v>
      </c>
      <c r="E335" s="2">
        <v>26740.0</v>
      </c>
      <c r="F335" s="2" t="s">
        <v>150</v>
      </c>
    </row>
    <row r="336" ht="15.75" customHeight="1">
      <c r="A336" s="4" t="s">
        <v>358</v>
      </c>
      <c r="B336" s="2" t="s">
        <v>359</v>
      </c>
      <c r="C336" s="2">
        <v>560.0</v>
      </c>
      <c r="D336" s="2">
        <v>572.0</v>
      </c>
      <c r="E336" s="2">
        <v>24600.0</v>
      </c>
      <c r="F336" s="2" t="s">
        <v>150</v>
      </c>
    </row>
    <row r="337" ht="15.75" customHeight="1">
      <c r="A337" s="4" t="s">
        <v>1360</v>
      </c>
      <c r="B337" s="2" t="s">
        <v>1362</v>
      </c>
      <c r="C337" s="2">
        <v>301.0</v>
      </c>
      <c r="D337" s="2">
        <v>275.0</v>
      </c>
      <c r="E337" s="2">
        <v>24040.0</v>
      </c>
      <c r="F337" s="2" t="s">
        <v>150</v>
      </c>
    </row>
    <row r="338" ht="15.75" customHeight="1">
      <c r="A338" s="4" t="s">
        <v>1364</v>
      </c>
      <c r="B338" s="2" t="s">
        <v>1366</v>
      </c>
      <c r="C338" s="2">
        <v>83.0</v>
      </c>
      <c r="D338" s="2">
        <v>80.0</v>
      </c>
      <c r="E338" s="2" t="s">
        <v>150</v>
      </c>
      <c r="F338" s="2" t="s">
        <v>150</v>
      </c>
    </row>
    <row r="339" ht="15.75" customHeight="1">
      <c r="A339" s="4" t="s">
        <v>1367</v>
      </c>
      <c r="B339" s="2" t="s">
        <v>1369</v>
      </c>
      <c r="C339" s="2">
        <v>980.0</v>
      </c>
      <c r="D339" s="2">
        <v>1011.0</v>
      </c>
      <c r="E339" s="2">
        <v>27280.0</v>
      </c>
      <c r="F339" s="2" t="s">
        <v>150</v>
      </c>
    </row>
    <row r="340" ht="15.75" customHeight="1">
      <c r="A340" s="4" t="s">
        <v>1371</v>
      </c>
      <c r="B340" s="2" t="s">
        <v>1372</v>
      </c>
      <c r="C340" s="2">
        <v>252.0</v>
      </c>
      <c r="D340" s="2">
        <v>227.0</v>
      </c>
      <c r="E340" s="2">
        <v>24210.0</v>
      </c>
      <c r="F340" s="2" t="s">
        <v>150</v>
      </c>
    </row>
    <row r="341" ht="15.75" customHeight="1">
      <c r="A341" s="4" t="s">
        <v>1375</v>
      </c>
      <c r="B341" s="2" t="s">
        <v>1376</v>
      </c>
      <c r="C341" s="2">
        <v>73.0</v>
      </c>
      <c r="D341" s="2">
        <v>56.0</v>
      </c>
      <c r="E341" s="2" t="s">
        <v>150</v>
      </c>
      <c r="F341" s="2" t="s">
        <v>150</v>
      </c>
    </row>
    <row r="342" ht="15.75" customHeight="1">
      <c r="A342" s="4" t="s">
        <v>1379</v>
      </c>
      <c r="B342" s="2" t="s">
        <v>1380</v>
      </c>
      <c r="C342" s="2">
        <v>358.0</v>
      </c>
      <c r="D342" s="2">
        <v>304.0</v>
      </c>
      <c r="E342" s="2">
        <v>22570.0</v>
      </c>
      <c r="F342" s="2" t="s">
        <v>150</v>
      </c>
    </row>
    <row r="343" ht="15.75" customHeight="1">
      <c r="A343" s="4" t="s">
        <v>360</v>
      </c>
      <c r="B343" s="2" t="s">
        <v>361</v>
      </c>
      <c r="C343" s="2">
        <v>1355.0</v>
      </c>
      <c r="D343" s="2">
        <v>1280.0</v>
      </c>
      <c r="E343" s="2">
        <v>25640.0</v>
      </c>
      <c r="F343" s="2" t="s">
        <v>150</v>
      </c>
    </row>
    <row r="344" ht="15.75" hidden="1" customHeight="1">
      <c r="A344" s="4" t="s">
        <v>874</v>
      </c>
      <c r="B344" s="2" t="s">
        <v>875</v>
      </c>
      <c r="C344" s="2">
        <v>2704.0</v>
      </c>
      <c r="D344" s="2">
        <v>2792.0</v>
      </c>
      <c r="E344" s="2">
        <v>26320.0</v>
      </c>
      <c r="F344" s="2">
        <v>9.0</v>
      </c>
    </row>
    <row r="345" ht="15.75" hidden="1" customHeight="1">
      <c r="A345" s="4" t="s">
        <v>362</v>
      </c>
      <c r="B345" s="2" t="s">
        <v>363</v>
      </c>
      <c r="C345" s="2">
        <v>4824.0</v>
      </c>
      <c r="D345" s="2">
        <v>4490.0</v>
      </c>
      <c r="E345" s="2">
        <v>19250.0</v>
      </c>
      <c r="F345" s="2">
        <v>33.0</v>
      </c>
    </row>
    <row r="346" ht="15.75" customHeight="1">
      <c r="A346" s="4" t="s">
        <v>1388</v>
      </c>
      <c r="B346" s="2" t="s">
        <v>1390</v>
      </c>
      <c r="C346" s="2">
        <v>243.0</v>
      </c>
      <c r="D346" s="2">
        <v>238.0</v>
      </c>
      <c r="E346" s="2">
        <v>26800.0</v>
      </c>
      <c r="F346" s="2" t="s">
        <v>150</v>
      </c>
    </row>
    <row r="347" ht="15.75" customHeight="1">
      <c r="A347" s="4" t="s">
        <v>1391</v>
      </c>
      <c r="B347" s="2" t="s">
        <v>1393</v>
      </c>
      <c r="C347" s="2">
        <v>423.0</v>
      </c>
      <c r="D347" s="2">
        <v>357.0</v>
      </c>
      <c r="E347" s="2">
        <v>21520.0</v>
      </c>
      <c r="F347" s="2" t="s">
        <v>150</v>
      </c>
    </row>
    <row r="348" ht="15.75" customHeight="1">
      <c r="A348" s="4" t="s">
        <v>1395</v>
      </c>
      <c r="B348" s="2" t="s">
        <v>1398</v>
      </c>
      <c r="C348" s="2">
        <v>253.0</v>
      </c>
      <c r="D348" s="2">
        <v>244.0</v>
      </c>
      <c r="E348" s="2">
        <v>27660.0</v>
      </c>
      <c r="F348" s="2" t="s">
        <v>150</v>
      </c>
    </row>
    <row r="349" ht="15.75" customHeight="1">
      <c r="A349" s="4" t="s">
        <v>364</v>
      </c>
      <c r="B349" s="2" t="s">
        <v>365</v>
      </c>
      <c r="C349" s="2">
        <v>318.0</v>
      </c>
      <c r="D349" s="2">
        <v>320.0</v>
      </c>
      <c r="E349" s="2">
        <v>22850.0</v>
      </c>
      <c r="F349" s="2" t="s">
        <v>150</v>
      </c>
    </row>
    <row r="350" ht="15.75" customHeight="1">
      <c r="A350" s="4" t="s">
        <v>1401</v>
      </c>
      <c r="B350" s="2" t="s">
        <v>1403</v>
      </c>
      <c r="C350" s="2">
        <v>133.0</v>
      </c>
      <c r="D350" s="2">
        <v>179.0</v>
      </c>
      <c r="E350" s="2">
        <v>24150.0</v>
      </c>
      <c r="F350" s="2" t="s">
        <v>150</v>
      </c>
    </row>
    <row r="351" ht="15.75" customHeight="1">
      <c r="A351" s="4" t="s">
        <v>1405</v>
      </c>
      <c r="B351" s="2" t="s">
        <v>1406</v>
      </c>
      <c r="C351" s="2">
        <v>580.0</v>
      </c>
      <c r="D351" s="2">
        <v>556.0</v>
      </c>
      <c r="E351" s="2">
        <v>27390.0</v>
      </c>
      <c r="F351" s="2" t="s">
        <v>150</v>
      </c>
    </row>
    <row r="352" ht="15.75" customHeight="1">
      <c r="A352" s="4" t="s">
        <v>1409</v>
      </c>
      <c r="B352" s="2" t="s">
        <v>1410</v>
      </c>
      <c r="C352" s="2">
        <v>242.0</v>
      </c>
      <c r="D352" s="2">
        <v>244.0</v>
      </c>
      <c r="E352" s="2">
        <v>22610.0</v>
      </c>
      <c r="F352" s="2" t="s">
        <v>150</v>
      </c>
    </row>
    <row r="353" ht="15.75" customHeight="1">
      <c r="A353" s="4" t="s">
        <v>1413</v>
      </c>
      <c r="B353" s="2" t="s">
        <v>1414</v>
      </c>
      <c r="C353" s="2">
        <v>598.0</v>
      </c>
      <c r="D353" s="2">
        <v>545.0</v>
      </c>
      <c r="E353" s="2">
        <v>23910.0</v>
      </c>
      <c r="F353" s="2" t="s">
        <v>150</v>
      </c>
    </row>
    <row r="354" ht="15.75" customHeight="1">
      <c r="A354" s="4" t="s">
        <v>366</v>
      </c>
      <c r="B354" s="2" t="s">
        <v>367</v>
      </c>
      <c r="C354" s="2">
        <v>1610.0</v>
      </c>
      <c r="D354" s="2">
        <v>1569.0</v>
      </c>
      <c r="E354" s="2">
        <v>23750.0</v>
      </c>
      <c r="F354" s="2" t="s">
        <v>150</v>
      </c>
    </row>
    <row r="355" ht="15.75" customHeight="1">
      <c r="A355" s="4" t="s">
        <v>368</v>
      </c>
      <c r="B355" s="2" t="s">
        <v>369</v>
      </c>
      <c r="C355" s="2">
        <v>371.0</v>
      </c>
      <c r="D355" s="2">
        <v>343.0</v>
      </c>
      <c r="E355" s="2">
        <v>26050.0</v>
      </c>
      <c r="F355" s="2" t="s">
        <v>150</v>
      </c>
    </row>
    <row r="356" ht="15.75" customHeight="1">
      <c r="A356" s="4" t="s">
        <v>1419</v>
      </c>
      <c r="B356" s="2" t="s">
        <v>1420</v>
      </c>
      <c r="C356" s="2">
        <v>208.0</v>
      </c>
      <c r="D356" s="2">
        <v>203.0</v>
      </c>
      <c r="E356" s="2">
        <v>25430.0</v>
      </c>
      <c r="F356" s="2" t="s">
        <v>150</v>
      </c>
    </row>
    <row r="357" ht="15.75" customHeight="1">
      <c r="A357" s="4" t="s">
        <v>438</v>
      </c>
      <c r="B357" s="2" t="s">
        <v>439</v>
      </c>
      <c r="C357" s="2">
        <v>877.0</v>
      </c>
      <c r="D357" s="2">
        <v>822.0</v>
      </c>
      <c r="E357" s="2">
        <v>22480.0</v>
      </c>
      <c r="F357" s="2" t="s">
        <v>150</v>
      </c>
    </row>
    <row r="358" ht="15.75" customHeight="1">
      <c r="A358" s="4" t="s">
        <v>1425</v>
      </c>
      <c r="B358" s="2" t="s">
        <v>1427</v>
      </c>
      <c r="C358" s="2">
        <v>167.0</v>
      </c>
      <c r="D358" s="2">
        <v>165.0</v>
      </c>
      <c r="E358" s="2">
        <v>27820.0</v>
      </c>
      <c r="F358" s="2" t="s">
        <v>150</v>
      </c>
    </row>
    <row r="359" ht="15.75" customHeight="1">
      <c r="A359" s="4" t="s">
        <v>1429</v>
      </c>
      <c r="B359" s="2" t="s">
        <v>1431</v>
      </c>
      <c r="C359" s="2">
        <v>166.0</v>
      </c>
      <c r="D359" s="2">
        <v>189.0</v>
      </c>
      <c r="E359" s="2">
        <v>23970.0</v>
      </c>
      <c r="F359" s="2" t="s">
        <v>150</v>
      </c>
    </row>
    <row r="360" ht="15.75" customHeight="1">
      <c r="A360" s="4" t="s">
        <v>1433</v>
      </c>
      <c r="B360" s="2" t="s">
        <v>1434</v>
      </c>
      <c r="C360" s="2">
        <v>144.0</v>
      </c>
      <c r="D360" s="2">
        <v>131.0</v>
      </c>
      <c r="E360" s="2">
        <v>24980.0</v>
      </c>
      <c r="F360" s="2" t="s">
        <v>150</v>
      </c>
    </row>
    <row r="361" ht="15.75" customHeight="1">
      <c r="A361" s="4" t="s">
        <v>1437</v>
      </c>
      <c r="B361" s="2" t="s">
        <v>1438</v>
      </c>
      <c r="C361" s="2">
        <v>143.0</v>
      </c>
      <c r="D361" s="2">
        <v>125.0</v>
      </c>
      <c r="E361" s="2">
        <v>22850.0</v>
      </c>
      <c r="F361" s="2" t="s">
        <v>150</v>
      </c>
    </row>
    <row r="362" ht="15.75" customHeight="1">
      <c r="A362" s="4" t="s">
        <v>1441</v>
      </c>
      <c r="B362" s="2" t="s">
        <v>1442</v>
      </c>
      <c r="C362" s="2">
        <v>230.0</v>
      </c>
      <c r="D362" s="2">
        <v>192.0</v>
      </c>
      <c r="E362" s="2">
        <v>23710.0</v>
      </c>
      <c r="F362" s="2" t="s">
        <v>150</v>
      </c>
    </row>
    <row r="363" ht="15.75" customHeight="1">
      <c r="A363" s="4" t="s">
        <v>1445</v>
      </c>
      <c r="B363" s="2" t="s">
        <v>1448</v>
      </c>
      <c r="C363" s="2">
        <v>25.0</v>
      </c>
      <c r="D363" s="2">
        <v>28.0</v>
      </c>
      <c r="E363" s="2" t="s">
        <v>150</v>
      </c>
      <c r="F363" s="2" t="s">
        <v>150</v>
      </c>
    </row>
    <row r="364" ht="15.75" hidden="1" customHeight="1">
      <c r="A364" s="4" t="s">
        <v>372</v>
      </c>
      <c r="B364" s="2" t="s">
        <v>373</v>
      </c>
      <c r="C364" s="2">
        <v>8813.0</v>
      </c>
      <c r="D364" s="2">
        <v>8469.0</v>
      </c>
      <c r="E364" s="2">
        <v>18280.0</v>
      </c>
      <c r="F364" s="2">
        <v>35.0</v>
      </c>
    </row>
    <row r="365" ht="15.75" customHeight="1">
      <c r="A365" s="4" t="s">
        <v>374</v>
      </c>
      <c r="B365" s="2" t="s">
        <v>375</v>
      </c>
      <c r="C365" s="2">
        <v>1387.0</v>
      </c>
      <c r="D365" s="2">
        <v>1343.0</v>
      </c>
      <c r="E365" s="2">
        <v>26900.0</v>
      </c>
      <c r="F365" s="2" t="s">
        <v>150</v>
      </c>
    </row>
    <row r="366" ht="15.75" customHeight="1">
      <c r="A366" s="4" t="s">
        <v>378</v>
      </c>
      <c r="B366" s="2" t="s">
        <v>379</v>
      </c>
      <c r="C366" s="2">
        <v>1464.0</v>
      </c>
      <c r="D366" s="2">
        <v>1412.0</v>
      </c>
      <c r="E366" s="2">
        <v>27200.0</v>
      </c>
      <c r="F366" s="2" t="s">
        <v>150</v>
      </c>
    </row>
    <row r="367" ht="15.75" customHeight="1">
      <c r="A367" s="4" t="s">
        <v>1455</v>
      </c>
      <c r="B367" s="2" t="s">
        <v>1457</v>
      </c>
      <c r="C367" s="2">
        <v>53.0</v>
      </c>
      <c r="D367" s="2">
        <v>57.0</v>
      </c>
      <c r="E367" s="2" t="s">
        <v>150</v>
      </c>
      <c r="F367" s="2" t="s">
        <v>150</v>
      </c>
    </row>
    <row r="368" ht="15.75" customHeight="1">
      <c r="A368" s="4" t="s">
        <v>1459</v>
      </c>
      <c r="B368" s="2" t="s">
        <v>1461</v>
      </c>
      <c r="C368" s="2">
        <v>149.0</v>
      </c>
      <c r="D368" s="2">
        <v>170.0</v>
      </c>
      <c r="E368" s="2">
        <v>23870.0</v>
      </c>
      <c r="F368" s="2" t="s">
        <v>150</v>
      </c>
    </row>
    <row r="369" ht="15.75" customHeight="1">
      <c r="A369" s="4" t="s">
        <v>1463</v>
      </c>
      <c r="B369" s="2" t="s">
        <v>1465</v>
      </c>
      <c r="C369" s="2">
        <v>239.0</v>
      </c>
      <c r="D369" s="2">
        <v>224.0</v>
      </c>
      <c r="E369" s="2">
        <v>22550.0</v>
      </c>
      <c r="F369" s="2" t="s">
        <v>150</v>
      </c>
    </row>
    <row r="370" ht="15.75" customHeight="1">
      <c r="A370" s="4" t="s">
        <v>1467</v>
      </c>
      <c r="B370" s="2" t="s">
        <v>1468</v>
      </c>
      <c r="C370" s="2">
        <v>1031.0</v>
      </c>
      <c r="D370" s="2">
        <v>999.0</v>
      </c>
      <c r="E370" s="2">
        <v>27960.0</v>
      </c>
      <c r="F370" s="2" t="s">
        <v>150</v>
      </c>
    </row>
    <row r="371" ht="15.75" customHeight="1">
      <c r="A371" s="4" t="s">
        <v>380</v>
      </c>
      <c r="B371" s="2" t="s">
        <v>381</v>
      </c>
      <c r="C371" s="2">
        <v>232.0</v>
      </c>
      <c r="D371" s="2">
        <v>218.0</v>
      </c>
      <c r="E371" s="2">
        <v>22720.0</v>
      </c>
      <c r="F371" s="2" t="s">
        <v>150</v>
      </c>
    </row>
    <row r="372" ht="15.75" customHeight="1">
      <c r="A372" s="4" t="s">
        <v>382</v>
      </c>
      <c r="B372" s="2" t="s">
        <v>383</v>
      </c>
      <c r="C372" s="2">
        <v>645.0</v>
      </c>
      <c r="D372" s="2">
        <v>672.0</v>
      </c>
      <c r="E372" s="2">
        <v>25410.0</v>
      </c>
      <c r="F372" s="2" t="s">
        <v>150</v>
      </c>
    </row>
    <row r="373" ht="15.75" customHeight="1">
      <c r="A373" s="4" t="s">
        <v>1475</v>
      </c>
      <c r="B373" s="2" t="s">
        <v>1476</v>
      </c>
      <c r="C373" s="2">
        <v>271.0</v>
      </c>
      <c r="D373" s="2">
        <v>251.0</v>
      </c>
      <c r="E373" s="2">
        <v>26340.0</v>
      </c>
      <c r="F373" s="2" t="s">
        <v>150</v>
      </c>
    </row>
    <row r="374" ht="15.75" customHeight="1">
      <c r="A374" s="4" t="s">
        <v>1479</v>
      </c>
      <c r="B374" s="2" t="s">
        <v>1480</v>
      </c>
      <c r="C374" s="2">
        <v>205.0</v>
      </c>
      <c r="D374" s="2">
        <v>229.0</v>
      </c>
      <c r="E374" s="2">
        <v>22690.0</v>
      </c>
      <c r="F374" s="2" t="s">
        <v>150</v>
      </c>
    </row>
    <row r="375" ht="15.75" customHeight="1">
      <c r="A375" s="4" t="s">
        <v>1482</v>
      </c>
      <c r="B375" s="2" t="s">
        <v>1484</v>
      </c>
      <c r="C375" s="2">
        <v>299.0</v>
      </c>
      <c r="D375" s="2">
        <v>328.0</v>
      </c>
      <c r="E375" s="2">
        <v>25670.0</v>
      </c>
      <c r="F375" s="2" t="s">
        <v>150</v>
      </c>
    </row>
    <row r="376" ht="15.75" customHeight="1">
      <c r="A376" s="4" t="s">
        <v>1485</v>
      </c>
      <c r="B376" s="2" t="s">
        <v>1486</v>
      </c>
      <c r="C376" s="2">
        <v>144.0</v>
      </c>
      <c r="D376" s="2">
        <v>141.0</v>
      </c>
      <c r="E376" s="2">
        <v>25070.0</v>
      </c>
      <c r="F376" s="2" t="s">
        <v>150</v>
      </c>
    </row>
    <row r="377" ht="15.75" customHeight="1">
      <c r="A377" s="4" t="s">
        <v>1489</v>
      </c>
      <c r="B377" s="2" t="s">
        <v>1490</v>
      </c>
      <c r="C377" s="2">
        <v>146.0</v>
      </c>
      <c r="D377" s="2">
        <v>120.0</v>
      </c>
      <c r="E377" s="2">
        <v>26890.0</v>
      </c>
      <c r="F377" s="2" t="s">
        <v>150</v>
      </c>
    </row>
    <row r="378" ht="15.75" customHeight="1">
      <c r="A378" s="4" t="s">
        <v>1492</v>
      </c>
      <c r="B378" s="2" t="s">
        <v>1494</v>
      </c>
      <c r="C378" s="2">
        <v>64.0</v>
      </c>
      <c r="D378" s="2">
        <v>60.0</v>
      </c>
      <c r="E378" s="2" t="s">
        <v>150</v>
      </c>
      <c r="F378" s="2" t="s">
        <v>150</v>
      </c>
    </row>
    <row r="379" ht="15.75" customHeight="1">
      <c r="A379" s="4" t="s">
        <v>400</v>
      </c>
      <c r="B379" s="2" t="s">
        <v>401</v>
      </c>
      <c r="C379" s="2">
        <v>1260.0</v>
      </c>
      <c r="D379" s="2">
        <v>1153.0</v>
      </c>
      <c r="E379" s="2">
        <v>24770.0</v>
      </c>
      <c r="F379" s="2" t="s">
        <v>150</v>
      </c>
    </row>
    <row r="380" ht="15.75" customHeight="1">
      <c r="A380" s="4" t="s">
        <v>1498</v>
      </c>
      <c r="B380" s="2" t="s">
        <v>1499</v>
      </c>
      <c r="C380" s="2">
        <v>277.0</v>
      </c>
      <c r="D380" s="2">
        <v>288.0</v>
      </c>
      <c r="E380" s="2">
        <v>24960.0</v>
      </c>
      <c r="F380" s="2" t="s">
        <v>150</v>
      </c>
    </row>
    <row r="381" ht="15.75" customHeight="1">
      <c r="A381" s="4" t="s">
        <v>404</v>
      </c>
      <c r="B381" s="2" t="s">
        <v>407</v>
      </c>
      <c r="C381" s="2">
        <v>599.0</v>
      </c>
      <c r="D381" s="2">
        <v>604.0</v>
      </c>
      <c r="E381" s="2">
        <v>25920.0</v>
      </c>
      <c r="F381" s="2" t="s">
        <v>150</v>
      </c>
    </row>
    <row r="382" ht="15.75" customHeight="1">
      <c r="A382" s="4" t="s">
        <v>1505</v>
      </c>
      <c r="B382" s="2" t="s">
        <v>1506</v>
      </c>
      <c r="C382" s="2">
        <v>149.0</v>
      </c>
      <c r="D382" s="2">
        <v>149.0</v>
      </c>
      <c r="E382" s="2">
        <v>24730.0</v>
      </c>
      <c r="F382" s="2" t="s">
        <v>150</v>
      </c>
    </row>
    <row r="383" ht="15.75" customHeight="1">
      <c r="A383" s="4" t="s">
        <v>1509</v>
      </c>
      <c r="B383" s="2" t="s">
        <v>1510</v>
      </c>
      <c r="C383" s="2">
        <v>196.0</v>
      </c>
      <c r="D383" s="2">
        <v>189.0</v>
      </c>
      <c r="E383" s="2">
        <v>26020.0</v>
      </c>
      <c r="F383" s="2" t="s">
        <v>150</v>
      </c>
    </row>
    <row r="384" ht="15.75" customHeight="1">
      <c r="A384" s="4" t="s">
        <v>1512</v>
      </c>
      <c r="B384" s="2" t="s">
        <v>1514</v>
      </c>
      <c r="C384" s="2">
        <v>37.0</v>
      </c>
      <c r="D384" s="2">
        <v>38.0</v>
      </c>
      <c r="E384" s="2" t="s">
        <v>150</v>
      </c>
      <c r="F384" s="2" t="s">
        <v>150</v>
      </c>
    </row>
    <row r="385" ht="15.75" customHeight="1">
      <c r="A385" s="4" t="s">
        <v>427</v>
      </c>
      <c r="B385" s="2" t="s">
        <v>429</v>
      </c>
      <c r="C385" s="2">
        <v>269.0</v>
      </c>
      <c r="D385" s="2">
        <v>241.0</v>
      </c>
      <c r="E385" s="2">
        <v>22610.0</v>
      </c>
      <c r="F385" s="2" t="s">
        <v>150</v>
      </c>
    </row>
    <row r="386" ht="15.75" customHeight="1">
      <c r="A386" s="4" t="s">
        <v>1519</v>
      </c>
      <c r="B386" s="2" t="s">
        <v>1520</v>
      </c>
      <c r="C386" s="2">
        <v>187.0</v>
      </c>
      <c r="D386" s="2">
        <v>167.0</v>
      </c>
      <c r="E386" s="2">
        <v>24840.0</v>
      </c>
      <c r="F386" s="2" t="s">
        <v>150</v>
      </c>
    </row>
    <row r="387" ht="15.75" customHeight="1">
      <c r="A387" s="4" t="s">
        <v>1523</v>
      </c>
      <c r="B387" s="2" t="s">
        <v>1524</v>
      </c>
      <c r="C387" s="2">
        <v>541.0</v>
      </c>
      <c r="D387" s="2">
        <v>503.0</v>
      </c>
      <c r="E387" s="2">
        <v>23520.0</v>
      </c>
      <c r="F387" s="2" t="s">
        <v>150</v>
      </c>
    </row>
    <row r="388" ht="15.75" customHeight="1">
      <c r="A388" s="4" t="s">
        <v>1526</v>
      </c>
      <c r="B388" s="2" t="s">
        <v>1527</v>
      </c>
      <c r="C388" s="2">
        <v>137.0</v>
      </c>
      <c r="D388" s="2">
        <v>126.0</v>
      </c>
      <c r="E388" s="2">
        <v>25800.0</v>
      </c>
      <c r="F388" s="2" t="s">
        <v>150</v>
      </c>
    </row>
    <row r="389" ht="15.75" customHeight="1">
      <c r="A389" s="4" t="s">
        <v>1528</v>
      </c>
      <c r="B389" s="2" t="s">
        <v>1530</v>
      </c>
      <c r="C389" s="2">
        <v>182.0</v>
      </c>
      <c r="D389" s="2">
        <v>216.0</v>
      </c>
      <c r="E389" s="2">
        <v>27450.0</v>
      </c>
      <c r="F389" s="2" t="s">
        <v>150</v>
      </c>
    </row>
    <row r="390" ht="15.75" hidden="1" customHeight="1">
      <c r="A390" s="4" t="s">
        <v>430</v>
      </c>
      <c r="B390" s="2" t="s">
        <v>431</v>
      </c>
      <c r="C390" s="2">
        <v>24876.0</v>
      </c>
      <c r="D390" s="2">
        <v>24220.0</v>
      </c>
      <c r="E390" s="2">
        <v>19870.0</v>
      </c>
      <c r="F390" s="2">
        <v>31.9</v>
      </c>
    </row>
    <row r="391" ht="15.75" customHeight="1">
      <c r="A391" s="4" t="s">
        <v>1534</v>
      </c>
      <c r="B391" s="2" t="s">
        <v>1535</v>
      </c>
      <c r="C391" s="2">
        <v>268.0</v>
      </c>
      <c r="D391" s="2">
        <v>283.0</v>
      </c>
      <c r="E391" s="2">
        <v>23800.0</v>
      </c>
      <c r="F391" s="2" t="s">
        <v>150</v>
      </c>
    </row>
    <row r="392" ht="15.75" customHeight="1">
      <c r="A392" s="4" t="s">
        <v>1543</v>
      </c>
      <c r="B392" s="2" t="s">
        <v>1545</v>
      </c>
      <c r="C392" s="2">
        <v>244.0</v>
      </c>
      <c r="D392" s="2">
        <v>239.0</v>
      </c>
      <c r="E392" s="2">
        <v>29010.0</v>
      </c>
      <c r="F392" s="2" t="s">
        <v>150</v>
      </c>
    </row>
    <row r="393" ht="15.75" customHeight="1">
      <c r="A393" s="4" t="s">
        <v>1548</v>
      </c>
      <c r="B393" s="2" t="s">
        <v>1549</v>
      </c>
      <c r="C393" s="2">
        <v>208.0</v>
      </c>
      <c r="D393" s="2">
        <v>198.0</v>
      </c>
      <c r="E393" s="2">
        <v>23980.0</v>
      </c>
      <c r="F393" s="2" t="s">
        <v>150</v>
      </c>
    </row>
    <row r="394" ht="15.75" customHeight="1">
      <c r="A394" s="4" t="s">
        <v>1552</v>
      </c>
      <c r="B394" s="2" t="s">
        <v>1553</v>
      </c>
      <c r="C394" s="2">
        <v>99.0</v>
      </c>
      <c r="D394" s="2">
        <v>96.0</v>
      </c>
      <c r="E394" s="2" t="s">
        <v>150</v>
      </c>
      <c r="F394" s="2" t="s">
        <v>150</v>
      </c>
    </row>
    <row r="395" ht="15.75" customHeight="1">
      <c r="A395" s="4" t="s">
        <v>1556</v>
      </c>
      <c r="B395" s="2" t="s">
        <v>1557</v>
      </c>
      <c r="C395" s="2">
        <v>250.0</v>
      </c>
      <c r="D395" s="2">
        <v>251.0</v>
      </c>
      <c r="E395" s="2">
        <v>28770.0</v>
      </c>
      <c r="F395" s="2" t="s">
        <v>150</v>
      </c>
    </row>
    <row r="396" ht="15.75" customHeight="1">
      <c r="A396" s="4" t="s">
        <v>1560</v>
      </c>
      <c r="B396" s="2" t="s">
        <v>1561</v>
      </c>
      <c r="C396" s="2">
        <v>202.0</v>
      </c>
      <c r="D396" s="2">
        <v>203.0</v>
      </c>
      <c r="E396" s="2">
        <v>23870.0</v>
      </c>
      <c r="F396" s="2" t="s">
        <v>150</v>
      </c>
    </row>
    <row r="397" ht="15.75" customHeight="1">
      <c r="A397" s="4" t="s">
        <v>1564</v>
      </c>
      <c r="B397" s="2" t="s">
        <v>1565</v>
      </c>
      <c r="C397" s="2">
        <v>159.0</v>
      </c>
      <c r="D397" s="2">
        <v>155.0</v>
      </c>
      <c r="E397" s="2">
        <v>29760.0</v>
      </c>
      <c r="F397" s="2" t="s">
        <v>150</v>
      </c>
    </row>
    <row r="398" ht="15.75" customHeight="1">
      <c r="A398" s="4" t="s">
        <v>446</v>
      </c>
      <c r="B398" s="2" t="s">
        <v>447</v>
      </c>
      <c r="C398" s="2">
        <v>430.0</v>
      </c>
      <c r="D398" s="2">
        <v>409.0</v>
      </c>
      <c r="E398" s="2">
        <v>23030.0</v>
      </c>
      <c r="F398" s="2" t="s">
        <v>150</v>
      </c>
    </row>
    <row r="399" ht="15.75" customHeight="1">
      <c r="A399" s="4" t="s">
        <v>1569</v>
      </c>
      <c r="B399" s="2" t="s">
        <v>1571</v>
      </c>
      <c r="C399" s="2">
        <v>100.0</v>
      </c>
      <c r="D399" s="2">
        <v>125.0</v>
      </c>
      <c r="E399" s="2">
        <v>22810.0</v>
      </c>
      <c r="F399" s="2" t="s">
        <v>150</v>
      </c>
    </row>
    <row r="400" ht="15.75" customHeight="1">
      <c r="A400" s="4" t="s">
        <v>450</v>
      </c>
      <c r="B400" s="2" t="s">
        <v>451</v>
      </c>
      <c r="C400" s="2">
        <v>213.0</v>
      </c>
      <c r="D400" s="2">
        <v>223.0</v>
      </c>
      <c r="E400" s="2">
        <v>25010.0</v>
      </c>
      <c r="F400" s="2" t="s">
        <v>150</v>
      </c>
    </row>
    <row r="401" ht="15.75" customHeight="1">
      <c r="A401" s="4" t="s">
        <v>1574</v>
      </c>
      <c r="B401" s="2" t="s">
        <v>1575</v>
      </c>
      <c r="C401" s="2">
        <v>270.0</v>
      </c>
      <c r="D401" s="2">
        <v>269.0</v>
      </c>
      <c r="E401" s="2">
        <v>27500.0</v>
      </c>
      <c r="F401" s="2" t="s">
        <v>150</v>
      </c>
    </row>
    <row r="402" ht="15.75" customHeight="1">
      <c r="A402" s="4" t="s">
        <v>1576</v>
      </c>
      <c r="B402" s="2" t="s">
        <v>1577</v>
      </c>
      <c r="C402" s="2">
        <v>832.0</v>
      </c>
      <c r="D402" s="2">
        <v>790.0</v>
      </c>
      <c r="E402" s="2">
        <v>27790.0</v>
      </c>
      <c r="F402" s="2" t="s">
        <v>150</v>
      </c>
    </row>
    <row r="403" ht="15.75" customHeight="1">
      <c r="A403" s="4" t="s">
        <v>1578</v>
      </c>
      <c r="B403" s="2" t="s">
        <v>1579</v>
      </c>
      <c r="C403" s="2">
        <v>102.0</v>
      </c>
      <c r="D403" s="2">
        <v>83.0</v>
      </c>
      <c r="E403" s="2" t="s">
        <v>150</v>
      </c>
      <c r="F403" s="2" t="s">
        <v>150</v>
      </c>
    </row>
    <row r="404" ht="15.75" customHeight="1">
      <c r="A404" s="4" t="s">
        <v>458</v>
      </c>
      <c r="B404" s="2" t="s">
        <v>459</v>
      </c>
      <c r="C404" s="2">
        <v>810.0</v>
      </c>
      <c r="D404" s="2">
        <v>754.0</v>
      </c>
      <c r="E404" s="2">
        <v>21650.0</v>
      </c>
      <c r="F404" s="2" t="s">
        <v>150</v>
      </c>
    </row>
    <row r="405" ht="15.75" customHeight="1">
      <c r="A405" s="4" t="s">
        <v>462</v>
      </c>
      <c r="B405" s="2" t="s">
        <v>463</v>
      </c>
      <c r="C405" s="2">
        <v>420.0</v>
      </c>
      <c r="D405" s="2">
        <v>455.0</v>
      </c>
      <c r="E405" s="2">
        <v>25750.0</v>
      </c>
      <c r="F405" s="2" t="s">
        <v>150</v>
      </c>
    </row>
    <row r="406" ht="15.75" customHeight="1">
      <c r="A406" s="4" t="s">
        <v>1581</v>
      </c>
      <c r="B406" s="2" t="s">
        <v>1582</v>
      </c>
      <c r="C406" s="2">
        <v>106.0</v>
      </c>
      <c r="D406" s="2">
        <v>101.0</v>
      </c>
      <c r="E406" s="2">
        <v>25810.0</v>
      </c>
      <c r="F406" s="2" t="s">
        <v>150</v>
      </c>
    </row>
    <row r="407" ht="15.75" customHeight="1">
      <c r="A407" s="4" t="s">
        <v>1585</v>
      </c>
      <c r="B407" s="2" t="s">
        <v>1586</v>
      </c>
      <c r="C407" s="2">
        <v>173.0</v>
      </c>
      <c r="D407" s="2">
        <v>190.0</v>
      </c>
      <c r="E407" s="2">
        <v>22120.0</v>
      </c>
      <c r="F407" s="2" t="s">
        <v>150</v>
      </c>
    </row>
    <row r="408" ht="15.75" customHeight="1">
      <c r="A408" s="4" t="s">
        <v>466</v>
      </c>
      <c r="B408" s="2" t="s">
        <v>467</v>
      </c>
      <c r="C408" s="2">
        <v>545.0</v>
      </c>
      <c r="D408" s="2">
        <v>543.0</v>
      </c>
      <c r="E408" s="2">
        <v>25000.0</v>
      </c>
      <c r="F408" s="2" t="s">
        <v>150</v>
      </c>
    </row>
    <row r="409" ht="15.75" customHeight="1">
      <c r="A409" s="4" t="s">
        <v>470</v>
      </c>
      <c r="B409" s="2" t="s">
        <v>471</v>
      </c>
      <c r="C409" s="2">
        <v>141.0</v>
      </c>
      <c r="D409" s="2">
        <v>140.0</v>
      </c>
      <c r="E409" s="2">
        <v>22540.0</v>
      </c>
      <c r="F409" s="2" t="s">
        <v>150</v>
      </c>
    </row>
    <row r="410" ht="15.75" customHeight="1">
      <c r="A410" s="4" t="s">
        <v>1593</v>
      </c>
      <c r="B410" s="2" t="s">
        <v>1594</v>
      </c>
      <c r="C410" s="2">
        <v>74.0</v>
      </c>
      <c r="D410" s="2">
        <v>65.0</v>
      </c>
      <c r="E410" s="2" t="s">
        <v>150</v>
      </c>
      <c r="F410" s="2" t="s">
        <v>150</v>
      </c>
    </row>
    <row r="411" ht="15.75" customHeight="1">
      <c r="A411" s="4" t="s">
        <v>1597</v>
      </c>
      <c r="B411" s="2" t="s">
        <v>1599</v>
      </c>
      <c r="C411" s="2">
        <v>118.0</v>
      </c>
      <c r="D411" s="2">
        <v>117.0</v>
      </c>
      <c r="E411" s="2">
        <v>26560.0</v>
      </c>
      <c r="F411" s="2" t="s">
        <v>150</v>
      </c>
    </row>
    <row r="412" ht="15.75" customHeight="1">
      <c r="A412" s="4" t="s">
        <v>472</v>
      </c>
      <c r="B412" s="2" t="s">
        <v>475</v>
      </c>
      <c r="C412" s="2">
        <v>1298.0</v>
      </c>
      <c r="D412" s="2">
        <v>1264.0</v>
      </c>
      <c r="E412" s="2">
        <v>22340.0</v>
      </c>
      <c r="F412" s="2" t="s">
        <v>150</v>
      </c>
    </row>
    <row r="413" ht="15.75" customHeight="1">
      <c r="A413" s="4" t="s">
        <v>478</v>
      </c>
      <c r="B413" s="2" t="s">
        <v>479</v>
      </c>
      <c r="C413" s="2">
        <v>391.0</v>
      </c>
      <c r="D413" s="2">
        <v>385.0</v>
      </c>
      <c r="E413" s="2">
        <v>23570.0</v>
      </c>
      <c r="F413" s="2" t="s">
        <v>150</v>
      </c>
    </row>
    <row r="414" ht="15.75" customHeight="1">
      <c r="A414" s="4" t="s">
        <v>1605</v>
      </c>
      <c r="B414" s="2" t="s">
        <v>1606</v>
      </c>
      <c r="C414" s="2">
        <v>187.0</v>
      </c>
      <c r="D414" s="2">
        <v>192.0</v>
      </c>
      <c r="E414" s="2">
        <v>26300.0</v>
      </c>
      <c r="F414" s="2" t="s">
        <v>150</v>
      </c>
    </row>
    <row r="415" ht="15.75" customHeight="1">
      <c r="A415" s="4" t="s">
        <v>1609</v>
      </c>
      <c r="B415" s="2" t="s">
        <v>1610</v>
      </c>
      <c r="C415" s="2">
        <v>225.0</v>
      </c>
      <c r="D415" s="2">
        <v>220.0</v>
      </c>
      <c r="E415" s="2">
        <v>24020.0</v>
      </c>
      <c r="F415" s="2" t="s">
        <v>150</v>
      </c>
    </row>
    <row r="416" ht="15.75" customHeight="1">
      <c r="A416" s="4" t="s">
        <v>1613</v>
      </c>
      <c r="B416" s="2" t="s">
        <v>1614</v>
      </c>
      <c r="C416" s="2">
        <v>74.0</v>
      </c>
      <c r="D416" s="2">
        <v>84.0</v>
      </c>
      <c r="E416" s="2" t="s">
        <v>150</v>
      </c>
      <c r="F416" s="2" t="s">
        <v>150</v>
      </c>
    </row>
    <row r="417" ht="15.75" customHeight="1">
      <c r="A417" s="4" t="s">
        <v>1617</v>
      </c>
      <c r="B417" s="2" t="s">
        <v>1619</v>
      </c>
      <c r="C417" s="2">
        <v>262.0</v>
      </c>
      <c r="D417" s="2">
        <v>249.0</v>
      </c>
      <c r="E417" s="2">
        <v>25690.0</v>
      </c>
      <c r="F417" s="2" t="s">
        <v>150</v>
      </c>
    </row>
    <row r="418" ht="15.75" customHeight="1">
      <c r="A418" s="4" t="s">
        <v>454</v>
      </c>
      <c r="B418" s="2" t="s">
        <v>455</v>
      </c>
      <c r="C418" s="2">
        <v>1180.0</v>
      </c>
      <c r="D418" s="2">
        <v>1232.0</v>
      </c>
      <c r="E418" s="2">
        <v>24680.0</v>
      </c>
      <c r="F418" s="2" t="s">
        <v>150</v>
      </c>
    </row>
    <row r="419" ht="15.75" customHeight="1">
      <c r="A419" s="4" t="s">
        <v>1623</v>
      </c>
      <c r="B419" s="2" t="s">
        <v>1625</v>
      </c>
      <c r="C419" s="2">
        <v>142.0</v>
      </c>
      <c r="D419" s="2">
        <v>141.0</v>
      </c>
      <c r="E419" s="2">
        <v>22710.0</v>
      </c>
      <c r="F419" s="2" t="s">
        <v>150</v>
      </c>
    </row>
    <row r="420" ht="15.75" customHeight="1">
      <c r="A420" s="4" t="s">
        <v>1627</v>
      </c>
      <c r="B420" s="2" t="s">
        <v>1628</v>
      </c>
      <c r="C420" s="2">
        <v>199.0</v>
      </c>
      <c r="D420" s="2">
        <v>203.0</v>
      </c>
      <c r="E420" s="2">
        <v>26720.0</v>
      </c>
      <c r="F420" s="2" t="s">
        <v>150</v>
      </c>
    </row>
    <row r="421" ht="15.75" customHeight="1">
      <c r="A421" s="4" t="s">
        <v>1630</v>
      </c>
      <c r="B421" s="2" t="s">
        <v>1632</v>
      </c>
      <c r="C421" s="2">
        <v>91.0</v>
      </c>
      <c r="D421" s="2">
        <v>85.0</v>
      </c>
      <c r="E421" s="2" t="s">
        <v>150</v>
      </c>
      <c r="F421" s="2" t="s">
        <v>150</v>
      </c>
    </row>
    <row r="422" ht="15.75" customHeight="1">
      <c r="A422" s="4" t="s">
        <v>1633</v>
      </c>
      <c r="B422" s="2" t="s">
        <v>1635</v>
      </c>
      <c r="C422" s="2">
        <v>195.0</v>
      </c>
      <c r="D422" s="2">
        <v>202.0</v>
      </c>
      <c r="E422" s="2">
        <v>30590.0</v>
      </c>
      <c r="F422" s="2" t="s">
        <v>150</v>
      </c>
    </row>
    <row r="423" ht="15.75" customHeight="1">
      <c r="A423" s="4" t="s">
        <v>1637</v>
      </c>
      <c r="B423" s="2" t="s">
        <v>1638</v>
      </c>
      <c r="C423" s="2">
        <v>114.0</v>
      </c>
      <c r="D423" s="2">
        <v>110.0</v>
      </c>
      <c r="E423" s="2">
        <v>21810.0</v>
      </c>
      <c r="F423" s="2" t="s">
        <v>150</v>
      </c>
    </row>
    <row r="424" ht="15.75" customHeight="1">
      <c r="A424" s="4" t="s">
        <v>1641</v>
      </c>
      <c r="B424" s="2" t="s">
        <v>1642</v>
      </c>
      <c r="C424" s="2">
        <v>285.0</v>
      </c>
      <c r="D424" s="2">
        <v>266.0</v>
      </c>
      <c r="E424" s="2">
        <v>22750.0</v>
      </c>
      <c r="F424" s="2" t="s">
        <v>150</v>
      </c>
    </row>
    <row r="425" ht="15.75" customHeight="1">
      <c r="A425" s="4" t="s">
        <v>1645</v>
      </c>
      <c r="B425" s="2" t="s">
        <v>1647</v>
      </c>
      <c r="C425" s="2">
        <v>121.0</v>
      </c>
      <c r="D425" s="2">
        <v>118.0</v>
      </c>
      <c r="E425" s="2">
        <v>28660.0</v>
      </c>
      <c r="F425" s="2" t="s">
        <v>150</v>
      </c>
    </row>
    <row r="426" ht="15.75" customHeight="1">
      <c r="A426" s="4" t="s">
        <v>1649</v>
      </c>
      <c r="B426" s="2" t="s">
        <v>1651</v>
      </c>
      <c r="C426" s="2">
        <v>147.0</v>
      </c>
      <c r="D426" s="2">
        <v>126.0</v>
      </c>
      <c r="E426" s="2">
        <v>23580.0</v>
      </c>
      <c r="F426" s="2" t="s">
        <v>150</v>
      </c>
    </row>
    <row r="427" ht="15.75" customHeight="1">
      <c r="A427" s="4" t="s">
        <v>1653</v>
      </c>
      <c r="B427" s="2" t="s">
        <v>1656</v>
      </c>
      <c r="C427" s="2">
        <v>122.0</v>
      </c>
      <c r="D427" s="2">
        <v>108.0</v>
      </c>
      <c r="E427" s="2">
        <v>22540.0</v>
      </c>
      <c r="F427" s="2" t="s">
        <v>150</v>
      </c>
    </row>
    <row r="428" ht="15.75" customHeight="1">
      <c r="A428" s="4" t="s">
        <v>1657</v>
      </c>
      <c r="B428" s="2" t="s">
        <v>1659</v>
      </c>
      <c r="C428" s="2">
        <v>73.0</v>
      </c>
      <c r="D428" s="2">
        <v>64.0</v>
      </c>
      <c r="E428" s="2" t="s">
        <v>150</v>
      </c>
      <c r="F428" s="2" t="s">
        <v>150</v>
      </c>
    </row>
    <row r="429" ht="15.75" customHeight="1">
      <c r="A429" s="4" t="s">
        <v>1661</v>
      </c>
      <c r="B429" s="2" t="s">
        <v>1663</v>
      </c>
      <c r="C429" s="2">
        <v>376.0</v>
      </c>
      <c r="D429" s="2">
        <v>357.0</v>
      </c>
      <c r="E429" s="2">
        <v>21710.0</v>
      </c>
      <c r="F429" s="2" t="s">
        <v>150</v>
      </c>
    </row>
    <row r="430" ht="15.75" customHeight="1">
      <c r="A430" s="4" t="s">
        <v>1665</v>
      </c>
      <c r="B430" s="2" t="s">
        <v>1667</v>
      </c>
      <c r="C430" s="2">
        <v>125.0</v>
      </c>
      <c r="D430" s="2">
        <v>122.0</v>
      </c>
      <c r="E430" s="2">
        <v>24820.0</v>
      </c>
      <c r="F430" s="2" t="s">
        <v>150</v>
      </c>
    </row>
    <row r="431" ht="15.75" customHeight="1">
      <c r="A431" s="4" t="s">
        <v>1670</v>
      </c>
      <c r="B431" s="2" t="s">
        <v>1672</v>
      </c>
      <c r="C431" s="2">
        <v>239.0</v>
      </c>
      <c r="D431" s="2">
        <v>232.0</v>
      </c>
      <c r="E431" s="2">
        <v>26110.0</v>
      </c>
      <c r="F431" s="2" t="s">
        <v>150</v>
      </c>
    </row>
    <row r="432" ht="15.75" customHeight="1">
      <c r="A432" s="4" t="s">
        <v>482</v>
      </c>
      <c r="B432" s="2" t="s">
        <v>483</v>
      </c>
      <c r="C432" s="2">
        <v>411.0</v>
      </c>
      <c r="D432" s="2">
        <v>392.0</v>
      </c>
      <c r="E432" s="2">
        <v>25370.0</v>
      </c>
      <c r="F432" s="2" t="s">
        <v>150</v>
      </c>
    </row>
    <row r="433" ht="15.75" customHeight="1">
      <c r="A433" s="4" t="s">
        <v>1677</v>
      </c>
      <c r="B433" s="2" t="s">
        <v>1678</v>
      </c>
      <c r="C433" s="2">
        <v>410.0</v>
      </c>
      <c r="D433" s="2">
        <v>403.0</v>
      </c>
      <c r="E433" s="2">
        <v>24410.0</v>
      </c>
      <c r="F433" s="2" t="s">
        <v>150</v>
      </c>
    </row>
    <row r="434" ht="15.75" customHeight="1">
      <c r="A434" s="4" t="s">
        <v>1681</v>
      </c>
      <c r="B434" s="2" t="s">
        <v>1682</v>
      </c>
      <c r="C434" s="2">
        <v>203.0</v>
      </c>
      <c r="D434" s="2">
        <v>178.0</v>
      </c>
      <c r="E434" s="2">
        <v>24100.0</v>
      </c>
      <c r="F434" s="2" t="s">
        <v>150</v>
      </c>
    </row>
    <row r="435" ht="15.75" customHeight="1">
      <c r="A435" s="4" t="s">
        <v>1685</v>
      </c>
      <c r="B435" s="2" t="s">
        <v>1686</v>
      </c>
      <c r="C435" s="2">
        <v>307.0</v>
      </c>
      <c r="D435" s="2">
        <v>311.0</v>
      </c>
      <c r="E435" s="2">
        <v>24150.0</v>
      </c>
      <c r="F435" s="2" t="s">
        <v>150</v>
      </c>
    </row>
    <row r="436" ht="15.75" customHeight="1">
      <c r="A436" s="4" t="s">
        <v>1689</v>
      </c>
      <c r="B436" s="2" t="s">
        <v>1690</v>
      </c>
      <c r="C436" s="2">
        <v>435.0</v>
      </c>
      <c r="D436" s="2">
        <v>389.0</v>
      </c>
      <c r="E436" s="2">
        <v>22860.0</v>
      </c>
      <c r="F436" s="2" t="s">
        <v>150</v>
      </c>
    </row>
    <row r="437" ht="15.75" customHeight="1">
      <c r="A437" s="4" t="s">
        <v>286</v>
      </c>
      <c r="B437" s="2" t="s">
        <v>287</v>
      </c>
      <c r="C437" s="2">
        <v>818.0</v>
      </c>
      <c r="D437" s="2">
        <v>821.0</v>
      </c>
      <c r="E437" s="2">
        <v>26150.0</v>
      </c>
      <c r="F437" s="2" t="s">
        <v>150</v>
      </c>
    </row>
    <row r="438" ht="15.75" customHeight="1">
      <c r="A438" s="4" t="s">
        <v>1695</v>
      </c>
      <c r="B438" s="2" t="s">
        <v>1698</v>
      </c>
      <c r="C438" s="2">
        <v>173.0</v>
      </c>
      <c r="D438" s="2">
        <v>151.0</v>
      </c>
      <c r="E438" s="2">
        <v>29900.0</v>
      </c>
      <c r="F438" s="2" t="s">
        <v>150</v>
      </c>
    </row>
    <row r="439" ht="15.75" customHeight="1">
      <c r="A439" s="4" t="s">
        <v>1700</v>
      </c>
      <c r="B439" s="2" t="s">
        <v>1702</v>
      </c>
      <c r="C439" s="2">
        <v>192.0</v>
      </c>
      <c r="D439" s="2">
        <v>203.0</v>
      </c>
      <c r="E439" s="2">
        <v>24430.0</v>
      </c>
      <c r="F439" s="2" t="s">
        <v>150</v>
      </c>
    </row>
    <row r="440" ht="15.75" customHeight="1">
      <c r="A440" s="4" t="s">
        <v>1703</v>
      </c>
      <c r="B440" s="2" t="s">
        <v>1706</v>
      </c>
      <c r="C440" s="2">
        <v>369.0</v>
      </c>
      <c r="D440" s="2">
        <v>341.0</v>
      </c>
      <c r="E440" s="2">
        <v>25410.0</v>
      </c>
      <c r="F440" s="2" t="s">
        <v>150</v>
      </c>
    </row>
    <row r="441" ht="15.75" customHeight="1">
      <c r="A441" s="4" t="s">
        <v>484</v>
      </c>
      <c r="B441" s="2" t="s">
        <v>486</v>
      </c>
      <c r="C441" s="2">
        <v>240.0</v>
      </c>
      <c r="D441" s="2">
        <v>221.0</v>
      </c>
      <c r="E441" s="2">
        <v>25990.0</v>
      </c>
      <c r="F441" s="2" t="s">
        <v>150</v>
      </c>
    </row>
    <row r="442" ht="15.75" customHeight="1">
      <c r="A442" s="4" t="s">
        <v>1711</v>
      </c>
      <c r="B442" s="2" t="s">
        <v>1713</v>
      </c>
      <c r="C442" s="2">
        <v>86.0</v>
      </c>
      <c r="D442" s="2">
        <v>83.0</v>
      </c>
      <c r="E442" s="2" t="s">
        <v>150</v>
      </c>
      <c r="F442" s="2" t="s">
        <v>150</v>
      </c>
    </row>
    <row r="443" ht="15.75" customHeight="1">
      <c r="A443" s="4" t="s">
        <v>489</v>
      </c>
      <c r="B443" s="2" t="s">
        <v>491</v>
      </c>
      <c r="C443" s="2">
        <v>370.0</v>
      </c>
      <c r="D443" s="2">
        <v>377.0</v>
      </c>
      <c r="E443" s="2">
        <v>25850.0</v>
      </c>
      <c r="F443" s="2" t="s">
        <v>150</v>
      </c>
    </row>
    <row r="444" ht="15.75" customHeight="1">
      <c r="A444" s="4" t="s">
        <v>492</v>
      </c>
      <c r="B444" s="2" t="s">
        <v>493</v>
      </c>
      <c r="C444" s="2">
        <v>485.0</v>
      </c>
      <c r="D444" s="2">
        <v>530.0</v>
      </c>
      <c r="E444" s="2">
        <v>24940.0</v>
      </c>
      <c r="F444" s="2" t="s">
        <v>150</v>
      </c>
    </row>
    <row r="445" ht="15.75" customHeight="1">
      <c r="A445" s="4" t="s">
        <v>1720</v>
      </c>
      <c r="B445" s="2" t="s">
        <v>1723</v>
      </c>
      <c r="C445" s="2">
        <v>130.0</v>
      </c>
      <c r="D445" s="2">
        <v>125.0</v>
      </c>
      <c r="E445" s="2">
        <v>26920.0</v>
      </c>
      <c r="F445" s="2" t="s">
        <v>150</v>
      </c>
    </row>
    <row r="446" ht="15.75" customHeight="1">
      <c r="A446" s="4" t="s">
        <v>1726</v>
      </c>
      <c r="B446" s="2" t="s">
        <v>1727</v>
      </c>
      <c r="C446" s="2">
        <v>50.0</v>
      </c>
      <c r="D446" s="2">
        <v>47.0</v>
      </c>
      <c r="E446" s="2" t="s">
        <v>150</v>
      </c>
      <c r="F446" s="2" t="s">
        <v>150</v>
      </c>
    </row>
    <row r="447" ht="15.75" hidden="1" customHeight="1">
      <c r="A447" s="4" t="s">
        <v>495</v>
      </c>
      <c r="B447" s="2" t="s">
        <v>496</v>
      </c>
      <c r="C447" s="2">
        <v>2268.0</v>
      </c>
      <c r="D447" s="2">
        <v>2229.0</v>
      </c>
      <c r="E447" s="2">
        <v>21320.0</v>
      </c>
      <c r="F447" s="2">
        <v>25.0</v>
      </c>
    </row>
    <row r="448" ht="15.75" customHeight="1">
      <c r="A448" s="4" t="s">
        <v>1733</v>
      </c>
      <c r="B448" s="2" t="s">
        <v>1734</v>
      </c>
      <c r="C448" s="2">
        <v>475.0</v>
      </c>
      <c r="D448" s="2">
        <v>483.0</v>
      </c>
      <c r="E448" s="2">
        <v>20840.0</v>
      </c>
      <c r="F448" s="2" t="s">
        <v>150</v>
      </c>
    </row>
    <row r="449" ht="15.75" customHeight="1">
      <c r="A449" s="4" t="s">
        <v>1737</v>
      </c>
      <c r="B449" s="2" t="s">
        <v>1740</v>
      </c>
      <c r="C449" s="2">
        <v>434.0</v>
      </c>
      <c r="D449" s="2">
        <v>410.0</v>
      </c>
      <c r="E449" s="2">
        <v>23270.0</v>
      </c>
      <c r="F449" s="2" t="s">
        <v>150</v>
      </c>
    </row>
    <row r="450" ht="15.75" customHeight="1">
      <c r="A450" s="4" t="s">
        <v>1743</v>
      </c>
      <c r="B450" s="2" t="s">
        <v>1744</v>
      </c>
      <c r="C450" s="2">
        <v>124.0</v>
      </c>
      <c r="D450" s="2">
        <v>130.0</v>
      </c>
      <c r="E450" s="2">
        <v>25510.0</v>
      </c>
      <c r="F450" s="2" t="s">
        <v>150</v>
      </c>
    </row>
    <row r="451" ht="15.75" customHeight="1">
      <c r="A451" s="4" t="s">
        <v>499</v>
      </c>
      <c r="B451" s="2" t="s">
        <v>500</v>
      </c>
      <c r="C451" s="2">
        <v>420.0</v>
      </c>
      <c r="D451" s="2">
        <v>398.0</v>
      </c>
      <c r="E451" s="2">
        <v>23090.0</v>
      </c>
      <c r="F451" s="2" t="s">
        <v>150</v>
      </c>
    </row>
    <row r="452" ht="15.75" customHeight="1">
      <c r="A452" s="4" t="s">
        <v>1749</v>
      </c>
      <c r="B452" s="2" t="s">
        <v>1750</v>
      </c>
      <c r="C452" s="2">
        <v>211.0</v>
      </c>
      <c r="D452" s="2">
        <v>207.0</v>
      </c>
      <c r="E452" s="2">
        <v>23670.0</v>
      </c>
      <c r="F452" s="2" t="s">
        <v>150</v>
      </c>
    </row>
    <row r="453" ht="15.75" customHeight="1">
      <c r="A453" s="4" t="s">
        <v>506</v>
      </c>
      <c r="B453" s="2" t="s">
        <v>507</v>
      </c>
      <c r="C453" s="2">
        <v>408.0</v>
      </c>
      <c r="D453" s="2">
        <v>419.0</v>
      </c>
      <c r="E453" s="2">
        <v>24420.0</v>
      </c>
      <c r="F453" s="2" t="s">
        <v>150</v>
      </c>
    </row>
    <row r="454" ht="15.75" customHeight="1">
      <c r="A454" s="4" t="s">
        <v>510</v>
      </c>
      <c r="B454" s="2" t="s">
        <v>511</v>
      </c>
      <c r="C454" s="2">
        <v>651.0</v>
      </c>
      <c r="D454" s="2">
        <v>637.0</v>
      </c>
      <c r="E454" s="2">
        <v>21930.0</v>
      </c>
      <c r="F454" s="2" t="s">
        <v>150</v>
      </c>
    </row>
    <row r="455" ht="15.75" customHeight="1">
      <c r="A455" s="4" t="s">
        <v>514</v>
      </c>
      <c r="B455" s="2" t="s">
        <v>515</v>
      </c>
      <c r="C455" s="2">
        <v>962.0</v>
      </c>
      <c r="D455" s="2">
        <v>935.0</v>
      </c>
      <c r="E455" s="2">
        <v>28840.0</v>
      </c>
      <c r="F455" s="2" t="s">
        <v>150</v>
      </c>
    </row>
    <row r="456" ht="15.75" customHeight="1">
      <c r="A456" s="4" t="s">
        <v>1773</v>
      </c>
      <c r="B456" s="2" t="s">
        <v>1775</v>
      </c>
      <c r="C456" s="2">
        <v>259.0</v>
      </c>
      <c r="D456" s="2">
        <v>253.0</v>
      </c>
      <c r="E456" s="2">
        <v>23770.0</v>
      </c>
      <c r="F456" s="2" t="s">
        <v>150</v>
      </c>
    </row>
    <row r="457" ht="15.75" customHeight="1">
      <c r="A457" s="4" t="s">
        <v>1779</v>
      </c>
      <c r="B457" s="2" t="s">
        <v>1780</v>
      </c>
      <c r="C457" s="2">
        <v>305.0</v>
      </c>
      <c r="D457" s="2">
        <v>320.0</v>
      </c>
      <c r="E457" s="2">
        <v>25640.0</v>
      </c>
      <c r="F457" s="2" t="s">
        <v>150</v>
      </c>
    </row>
    <row r="458" ht="15.75" customHeight="1">
      <c r="A458" s="4" t="s">
        <v>1783</v>
      </c>
      <c r="B458" s="2" t="s">
        <v>1784</v>
      </c>
      <c r="C458" s="2">
        <v>476.0</v>
      </c>
      <c r="D458" s="2">
        <v>435.0</v>
      </c>
      <c r="E458" s="2">
        <v>32860.0</v>
      </c>
      <c r="F458" s="2" t="s">
        <v>150</v>
      </c>
    </row>
    <row r="459" ht="15.75" customHeight="1">
      <c r="A459" s="4" t="s">
        <v>1787</v>
      </c>
      <c r="B459" s="2" t="s">
        <v>1788</v>
      </c>
      <c r="C459" s="2">
        <v>52.0</v>
      </c>
      <c r="D459" s="2">
        <v>56.0</v>
      </c>
      <c r="E459" s="2" t="s">
        <v>150</v>
      </c>
      <c r="F459" s="2" t="s">
        <v>150</v>
      </c>
    </row>
    <row r="460" ht="15.75" customHeight="1">
      <c r="A460" s="4" t="s">
        <v>567</v>
      </c>
      <c r="B460" s="2" t="s">
        <v>569</v>
      </c>
      <c r="C460" s="2">
        <v>516.0</v>
      </c>
      <c r="D460" s="2">
        <v>507.0</v>
      </c>
      <c r="E460" s="2">
        <v>26130.0</v>
      </c>
      <c r="F460" s="2" t="s">
        <v>150</v>
      </c>
    </row>
    <row r="461" ht="15.75" customHeight="1">
      <c r="A461" s="4" t="s">
        <v>571</v>
      </c>
      <c r="B461" s="2" t="s">
        <v>573</v>
      </c>
      <c r="C461" s="2">
        <v>517.0</v>
      </c>
      <c r="D461" s="2">
        <v>558.0</v>
      </c>
      <c r="E461" s="2">
        <v>24690.0</v>
      </c>
      <c r="F461" s="2" t="s">
        <v>150</v>
      </c>
    </row>
    <row r="462" ht="15.75" customHeight="1">
      <c r="A462" s="4" t="s">
        <v>1800</v>
      </c>
      <c r="B462" s="2" t="s">
        <v>1802</v>
      </c>
      <c r="C462" s="2">
        <v>97.0</v>
      </c>
      <c r="D462" s="2">
        <v>100.0</v>
      </c>
      <c r="E462" s="2">
        <v>28270.0</v>
      </c>
      <c r="F462" s="2" t="s">
        <v>150</v>
      </c>
    </row>
    <row r="463" ht="15.75" customHeight="1">
      <c r="A463" s="4" t="s">
        <v>1806</v>
      </c>
      <c r="B463" s="2" t="s">
        <v>1808</v>
      </c>
      <c r="C463" s="2">
        <v>108.0</v>
      </c>
      <c r="D463" s="2">
        <v>107.0</v>
      </c>
      <c r="E463" s="2">
        <v>24130.0</v>
      </c>
      <c r="F463" s="2" t="s">
        <v>150</v>
      </c>
    </row>
    <row r="464" ht="15.75" customHeight="1">
      <c r="A464" s="4" t="s">
        <v>518</v>
      </c>
      <c r="B464" s="2" t="s">
        <v>519</v>
      </c>
      <c r="C464" s="2">
        <v>640.0</v>
      </c>
      <c r="D464" s="2">
        <v>625.0</v>
      </c>
      <c r="E464" s="2">
        <v>27660.0</v>
      </c>
      <c r="F464" s="2" t="s">
        <v>150</v>
      </c>
    </row>
    <row r="465" ht="15.75" customHeight="1">
      <c r="A465" s="4" t="s">
        <v>1816</v>
      </c>
      <c r="B465" s="2" t="s">
        <v>1817</v>
      </c>
      <c r="C465" s="2">
        <v>152.0</v>
      </c>
      <c r="D465" s="2">
        <v>161.0</v>
      </c>
      <c r="E465" s="2">
        <v>23360.0</v>
      </c>
      <c r="F465" s="2" t="s">
        <v>150</v>
      </c>
    </row>
    <row r="466" ht="15.75" customHeight="1">
      <c r="A466" s="4" t="s">
        <v>523</v>
      </c>
      <c r="B466" s="2" t="s">
        <v>525</v>
      </c>
      <c r="C466" s="2">
        <v>329.0</v>
      </c>
      <c r="D466" s="2">
        <v>359.0</v>
      </c>
      <c r="E466" s="2">
        <v>28140.0</v>
      </c>
      <c r="F466" s="2" t="s">
        <v>150</v>
      </c>
    </row>
    <row r="467" ht="15.75" customHeight="1">
      <c r="A467" s="4" t="s">
        <v>1822</v>
      </c>
      <c r="B467" s="2" t="s">
        <v>1824</v>
      </c>
      <c r="C467" s="2">
        <v>131.0</v>
      </c>
      <c r="D467" s="2">
        <v>122.0</v>
      </c>
      <c r="E467" s="2">
        <v>31820.0</v>
      </c>
      <c r="F467" s="2" t="s">
        <v>150</v>
      </c>
    </row>
    <row r="468" ht="15.75" customHeight="1">
      <c r="A468" s="4" t="s">
        <v>1826</v>
      </c>
      <c r="B468" s="2" t="s">
        <v>1827</v>
      </c>
      <c r="C468" s="2">
        <v>319.0</v>
      </c>
      <c r="D468" s="2">
        <v>320.0</v>
      </c>
      <c r="E468" s="2">
        <v>23550.0</v>
      </c>
      <c r="F468" s="2" t="s">
        <v>150</v>
      </c>
    </row>
    <row r="469" ht="15.75" customHeight="1">
      <c r="A469" s="4" t="s">
        <v>1830</v>
      </c>
      <c r="B469" s="2" t="s">
        <v>1833</v>
      </c>
      <c r="C469" s="2">
        <v>473.0</v>
      </c>
      <c r="D469" s="2">
        <v>426.0</v>
      </c>
      <c r="E469" s="2">
        <v>23590.0</v>
      </c>
      <c r="F469" s="2" t="s">
        <v>150</v>
      </c>
    </row>
    <row r="470" ht="15.75" customHeight="1">
      <c r="A470" s="4" t="s">
        <v>526</v>
      </c>
      <c r="B470" s="2" t="s">
        <v>527</v>
      </c>
      <c r="C470" s="2">
        <v>220.0</v>
      </c>
      <c r="D470" s="2">
        <v>211.0</v>
      </c>
      <c r="E470" s="2">
        <v>25350.0</v>
      </c>
      <c r="F470" s="2" t="s">
        <v>150</v>
      </c>
    </row>
    <row r="471" ht="15.75" customHeight="1">
      <c r="A471" s="4" t="s">
        <v>1838</v>
      </c>
      <c r="B471" s="2" t="s">
        <v>1839</v>
      </c>
      <c r="C471" s="2">
        <v>128.0</v>
      </c>
      <c r="D471" s="2">
        <v>132.0</v>
      </c>
      <c r="E471" s="2">
        <v>24870.0</v>
      </c>
      <c r="F471" s="2" t="s">
        <v>150</v>
      </c>
    </row>
    <row r="472" ht="15.75" customHeight="1">
      <c r="A472" s="4" t="s">
        <v>530</v>
      </c>
      <c r="B472" s="2" t="s">
        <v>531</v>
      </c>
      <c r="C472" s="2">
        <v>1040.0</v>
      </c>
      <c r="D472" s="2">
        <v>1028.0</v>
      </c>
      <c r="E472" s="2">
        <v>23970.0</v>
      </c>
      <c r="F472" s="2" t="s">
        <v>150</v>
      </c>
    </row>
    <row r="473" ht="15.75" customHeight="1">
      <c r="A473" s="4" t="s">
        <v>1848</v>
      </c>
      <c r="B473" s="2" t="s">
        <v>1849</v>
      </c>
      <c r="C473" s="2">
        <v>104.0</v>
      </c>
      <c r="D473" s="2">
        <v>90.0</v>
      </c>
      <c r="E473" s="2" t="s">
        <v>150</v>
      </c>
      <c r="F473" s="2" t="s">
        <v>150</v>
      </c>
    </row>
    <row r="474" ht="15.75" customHeight="1">
      <c r="A474" s="4" t="s">
        <v>532</v>
      </c>
      <c r="B474" s="2" t="s">
        <v>533</v>
      </c>
      <c r="C474" s="2">
        <v>1152.0</v>
      </c>
      <c r="D474" s="2">
        <v>1146.0</v>
      </c>
      <c r="E474" s="2">
        <v>27030.0</v>
      </c>
      <c r="F474" s="2" t="s">
        <v>150</v>
      </c>
    </row>
    <row r="475" ht="15.75" customHeight="1">
      <c r="A475" s="4" t="s">
        <v>546</v>
      </c>
      <c r="B475" s="2" t="s">
        <v>547</v>
      </c>
      <c r="C475" s="2">
        <v>761.0</v>
      </c>
      <c r="D475" s="2">
        <v>766.0</v>
      </c>
      <c r="E475" s="2">
        <v>24970.0</v>
      </c>
      <c r="F475" s="2" t="s">
        <v>150</v>
      </c>
    </row>
    <row r="476" ht="15.75" customHeight="1">
      <c r="A476" s="4" t="s">
        <v>1858</v>
      </c>
      <c r="B476" s="2" t="s">
        <v>1859</v>
      </c>
      <c r="C476" s="2">
        <v>44.0</v>
      </c>
      <c r="D476" s="2">
        <v>39.0</v>
      </c>
      <c r="E476" s="2" t="s">
        <v>150</v>
      </c>
      <c r="F476" s="2" t="s">
        <v>150</v>
      </c>
    </row>
    <row r="477" ht="15.75" customHeight="1">
      <c r="A477" s="4" t="s">
        <v>550</v>
      </c>
      <c r="B477" s="2" t="s">
        <v>551</v>
      </c>
      <c r="C477" s="2">
        <v>810.0</v>
      </c>
      <c r="D477" s="2">
        <v>816.0</v>
      </c>
      <c r="E477" s="2">
        <v>23540.0</v>
      </c>
      <c r="F477" s="2" t="s">
        <v>150</v>
      </c>
    </row>
    <row r="478" ht="15.75" customHeight="1">
      <c r="A478" s="4" t="s">
        <v>1864</v>
      </c>
      <c r="B478" s="2" t="s">
        <v>1865</v>
      </c>
      <c r="C478" s="2">
        <v>84.0</v>
      </c>
      <c r="D478" s="2">
        <v>63.0</v>
      </c>
      <c r="E478" s="2" t="s">
        <v>150</v>
      </c>
      <c r="F478" s="2" t="s">
        <v>150</v>
      </c>
    </row>
    <row r="479" ht="15.75" customHeight="1">
      <c r="A479" s="4" t="s">
        <v>552</v>
      </c>
      <c r="B479" s="2" t="s">
        <v>553</v>
      </c>
      <c r="C479" s="2">
        <v>1338.0</v>
      </c>
      <c r="D479" s="2">
        <v>1207.0</v>
      </c>
      <c r="E479" s="2">
        <v>20040.0</v>
      </c>
      <c r="F479" s="2" t="s">
        <v>150</v>
      </c>
    </row>
    <row r="480" ht="15.75" customHeight="1">
      <c r="A480" s="4" t="s">
        <v>543</v>
      </c>
      <c r="B480" s="2" t="s">
        <v>545</v>
      </c>
      <c r="C480" s="2">
        <v>847.0</v>
      </c>
      <c r="D480" s="2">
        <v>839.0</v>
      </c>
      <c r="E480" s="2">
        <v>21290.0</v>
      </c>
      <c r="F480" s="2" t="s">
        <v>150</v>
      </c>
    </row>
    <row r="481" ht="15.75" customHeight="1">
      <c r="A481" s="4" t="s">
        <v>554</v>
      </c>
      <c r="B481" s="2" t="s">
        <v>555</v>
      </c>
      <c r="C481" s="2">
        <v>1648.0</v>
      </c>
      <c r="D481" s="2">
        <v>1606.0</v>
      </c>
      <c r="E481" s="2">
        <v>24130.0</v>
      </c>
      <c r="F481" s="2" t="s">
        <v>150</v>
      </c>
    </row>
    <row r="482" ht="15.75" customHeight="1">
      <c r="A482" s="4" t="s">
        <v>1874</v>
      </c>
      <c r="B482" s="2" t="s">
        <v>1875</v>
      </c>
      <c r="C482" s="2">
        <v>203.0</v>
      </c>
      <c r="D482" s="2">
        <v>209.0</v>
      </c>
      <c r="E482" s="2">
        <v>27450.0</v>
      </c>
      <c r="F482" s="2" t="s">
        <v>150</v>
      </c>
    </row>
    <row r="483" ht="15.75" customHeight="1">
      <c r="A483" s="4" t="s">
        <v>1878</v>
      </c>
      <c r="B483" s="2" t="s">
        <v>1880</v>
      </c>
      <c r="C483" s="2">
        <v>193.0</v>
      </c>
      <c r="D483" s="2">
        <v>200.0</v>
      </c>
      <c r="E483" s="2">
        <v>30300.0</v>
      </c>
      <c r="F483" s="2" t="s">
        <v>150</v>
      </c>
    </row>
    <row r="484" ht="15.75" customHeight="1">
      <c r="A484" s="4" t="s">
        <v>1888</v>
      </c>
      <c r="B484" s="2" t="s">
        <v>1889</v>
      </c>
      <c r="C484" s="2">
        <v>32.0</v>
      </c>
      <c r="D484" s="2">
        <v>30.0</v>
      </c>
      <c r="E484" s="2" t="s">
        <v>150</v>
      </c>
      <c r="F484" s="2" t="s">
        <v>150</v>
      </c>
    </row>
    <row r="485" ht="15.75" customHeight="1">
      <c r="A485" s="4" t="s">
        <v>1894</v>
      </c>
      <c r="B485" s="2" t="s">
        <v>1895</v>
      </c>
      <c r="C485" s="2">
        <v>152.0</v>
      </c>
      <c r="D485" s="2">
        <v>140.0</v>
      </c>
      <c r="E485" s="2">
        <v>28390.0</v>
      </c>
      <c r="F485" s="2" t="s">
        <v>150</v>
      </c>
    </row>
    <row r="486" ht="15.75" customHeight="1">
      <c r="A486" s="4" t="s">
        <v>1898</v>
      </c>
      <c r="B486" s="2" t="s">
        <v>1899</v>
      </c>
      <c r="C486" s="2">
        <v>161.0</v>
      </c>
      <c r="D486" s="2">
        <v>157.0</v>
      </c>
      <c r="E486" s="2">
        <v>25340.0</v>
      </c>
      <c r="F486" s="2" t="s">
        <v>150</v>
      </c>
    </row>
    <row r="487" ht="15.75" customHeight="1">
      <c r="A487" s="4" t="s">
        <v>1902</v>
      </c>
      <c r="B487" s="2" t="s">
        <v>1903</v>
      </c>
      <c r="C487" s="2">
        <v>151.0</v>
      </c>
      <c r="D487" s="2">
        <v>135.0</v>
      </c>
      <c r="E487" s="2">
        <v>27320.0</v>
      </c>
      <c r="F487" s="2" t="s">
        <v>150</v>
      </c>
    </row>
    <row r="488" ht="15.75" customHeight="1">
      <c r="A488" s="4" t="s">
        <v>1906</v>
      </c>
      <c r="B488" s="2" t="s">
        <v>1908</v>
      </c>
      <c r="C488" s="2">
        <v>291.0</v>
      </c>
      <c r="D488" s="2">
        <v>317.0</v>
      </c>
      <c r="E488" s="2">
        <v>23830.0</v>
      </c>
      <c r="F488" s="2" t="s">
        <v>150</v>
      </c>
    </row>
    <row r="489" ht="15.75" customHeight="1">
      <c r="A489" s="4" t="s">
        <v>1912</v>
      </c>
      <c r="B489" s="2" t="s">
        <v>1913</v>
      </c>
      <c r="C489" s="2">
        <v>274.0</v>
      </c>
      <c r="D489" s="2">
        <v>273.0</v>
      </c>
      <c r="E489" s="2">
        <v>25380.0</v>
      </c>
      <c r="F489" s="2" t="s">
        <v>150</v>
      </c>
    </row>
    <row r="490" ht="15.75" customHeight="1">
      <c r="A490" s="4" t="s">
        <v>1916</v>
      </c>
      <c r="B490" s="2" t="s">
        <v>1917</v>
      </c>
      <c r="C490" s="2">
        <v>142.0</v>
      </c>
      <c r="D490" s="2">
        <v>141.0</v>
      </c>
      <c r="E490" s="2">
        <v>23880.0</v>
      </c>
      <c r="F490" s="2" t="s">
        <v>150</v>
      </c>
    </row>
    <row r="491" ht="15.75" customHeight="1">
      <c r="A491" s="4" t="s">
        <v>1922</v>
      </c>
      <c r="B491" s="2" t="s">
        <v>1923</v>
      </c>
      <c r="C491" s="2">
        <v>702.0</v>
      </c>
      <c r="D491" s="2">
        <v>674.0</v>
      </c>
      <c r="E491" s="2">
        <v>25400.0</v>
      </c>
      <c r="F491" s="2" t="s">
        <v>150</v>
      </c>
    </row>
    <row r="492" ht="15.75" customHeight="1">
      <c r="A492" s="4" t="s">
        <v>1926</v>
      </c>
      <c r="B492" s="2" t="s">
        <v>1927</v>
      </c>
      <c r="C492" s="2">
        <v>59.0</v>
      </c>
      <c r="D492" s="2">
        <v>51.0</v>
      </c>
      <c r="E492" s="2" t="s">
        <v>150</v>
      </c>
      <c r="F492" s="2" t="s">
        <v>150</v>
      </c>
    </row>
    <row r="493" ht="15.75" customHeight="1">
      <c r="A493" s="4" t="s">
        <v>1930</v>
      </c>
      <c r="B493" s="2" t="s">
        <v>1931</v>
      </c>
      <c r="C493" s="2">
        <v>63.0</v>
      </c>
      <c r="D493" s="2">
        <v>71.0</v>
      </c>
      <c r="E493" s="2" t="s">
        <v>150</v>
      </c>
      <c r="F493" s="2" t="s">
        <v>150</v>
      </c>
    </row>
    <row r="494" ht="15.75" customHeight="1">
      <c r="A494" s="4" t="s">
        <v>556</v>
      </c>
      <c r="B494" s="2" t="s">
        <v>557</v>
      </c>
      <c r="C494" s="2">
        <v>315.0</v>
      </c>
      <c r="D494" s="2">
        <v>306.0</v>
      </c>
      <c r="E494" s="2">
        <v>23110.0</v>
      </c>
      <c r="F494" s="2" t="s">
        <v>150</v>
      </c>
    </row>
    <row r="495" ht="15.75" customHeight="1">
      <c r="A495" s="4" t="s">
        <v>1938</v>
      </c>
      <c r="B495" s="2" t="s">
        <v>1939</v>
      </c>
      <c r="C495" s="2">
        <v>301.0</v>
      </c>
      <c r="D495" s="2">
        <v>279.0</v>
      </c>
      <c r="E495" s="2">
        <v>25520.0</v>
      </c>
      <c r="F495" s="2" t="s">
        <v>150</v>
      </c>
    </row>
    <row r="496" ht="15.75" customHeight="1">
      <c r="A496" s="4" t="s">
        <v>1942</v>
      </c>
      <c r="B496" s="2" t="s">
        <v>1943</v>
      </c>
      <c r="C496" s="2">
        <v>187.0</v>
      </c>
      <c r="D496" s="2">
        <v>193.0</v>
      </c>
      <c r="E496" s="2">
        <v>18430.0</v>
      </c>
      <c r="F496" s="2" t="s">
        <v>150</v>
      </c>
    </row>
    <row r="497" ht="15.75" customHeight="1">
      <c r="A497" s="4" t="s">
        <v>536</v>
      </c>
      <c r="B497" s="2" t="s">
        <v>537</v>
      </c>
      <c r="C497" s="2">
        <v>736.0</v>
      </c>
      <c r="D497" s="2">
        <v>751.0</v>
      </c>
      <c r="E497" s="2">
        <v>24700.0</v>
      </c>
      <c r="F497" s="2" t="s">
        <v>150</v>
      </c>
    </row>
    <row r="498" ht="15.75" customHeight="1">
      <c r="A498" s="4" t="s">
        <v>560</v>
      </c>
      <c r="B498" s="2" t="s">
        <v>561</v>
      </c>
      <c r="C498" s="2">
        <v>1369.0</v>
      </c>
      <c r="D498" s="2">
        <v>1305.0</v>
      </c>
      <c r="E498" s="2">
        <v>26710.0</v>
      </c>
      <c r="F498" s="2" t="s">
        <v>150</v>
      </c>
    </row>
    <row r="499" ht="15.75" customHeight="1">
      <c r="A499" s="4" t="s">
        <v>1950</v>
      </c>
      <c r="B499" s="2" t="s">
        <v>1951</v>
      </c>
      <c r="C499" s="2">
        <v>75.0</v>
      </c>
      <c r="D499" s="2">
        <v>79.0</v>
      </c>
      <c r="E499" s="2" t="s">
        <v>150</v>
      </c>
      <c r="F499" s="2" t="s">
        <v>150</v>
      </c>
    </row>
    <row r="500" ht="15.75" customHeight="1">
      <c r="A500" s="4" t="s">
        <v>1954</v>
      </c>
      <c r="B500" s="2" t="s">
        <v>1955</v>
      </c>
      <c r="C500" s="2">
        <v>74.0</v>
      </c>
      <c r="D500" s="2">
        <v>70.0</v>
      </c>
      <c r="E500" s="2" t="s">
        <v>150</v>
      </c>
      <c r="F500" s="2" t="s">
        <v>150</v>
      </c>
    </row>
    <row r="501" ht="15.75" customHeight="1">
      <c r="A501" s="4" t="s">
        <v>538</v>
      </c>
      <c r="B501" s="2" t="s">
        <v>541</v>
      </c>
      <c r="C501" s="2">
        <v>700.0</v>
      </c>
      <c r="D501" s="2">
        <v>684.0</v>
      </c>
      <c r="E501" s="2">
        <v>26590.0</v>
      </c>
      <c r="F501" s="2" t="s">
        <v>150</v>
      </c>
    </row>
    <row r="502" ht="15.75" customHeight="1">
      <c r="A502" s="4" t="s">
        <v>1960</v>
      </c>
      <c r="B502" s="2" t="s">
        <v>1961</v>
      </c>
      <c r="C502" s="2">
        <v>574.0</v>
      </c>
      <c r="D502" s="2">
        <v>544.0</v>
      </c>
      <c r="E502" s="2">
        <v>28410.0</v>
      </c>
      <c r="F502" s="2" t="s">
        <v>150</v>
      </c>
    </row>
    <row r="503" ht="15.75" customHeight="1">
      <c r="A503" s="4" t="s">
        <v>1964</v>
      </c>
      <c r="B503" s="2" t="s">
        <v>1966</v>
      </c>
      <c r="C503" s="2">
        <v>89.0</v>
      </c>
      <c r="D503" s="2">
        <v>98.0</v>
      </c>
      <c r="E503" s="2" t="s">
        <v>150</v>
      </c>
      <c r="F503" s="2" t="s">
        <v>150</v>
      </c>
    </row>
    <row r="504" ht="15.75" customHeight="1">
      <c r="A504" s="4" t="s">
        <v>1974</v>
      </c>
      <c r="B504" s="2" t="s">
        <v>1975</v>
      </c>
      <c r="C504" s="2">
        <v>444.0</v>
      </c>
      <c r="D504" s="2">
        <v>469.0</v>
      </c>
      <c r="E504" s="2">
        <v>25950.0</v>
      </c>
      <c r="F504" s="2" t="s">
        <v>150</v>
      </c>
    </row>
    <row r="505" ht="15.75" customHeight="1">
      <c r="A505" s="4" t="s">
        <v>1978</v>
      </c>
      <c r="B505" s="2" t="s">
        <v>1979</v>
      </c>
      <c r="C505" s="2">
        <v>233.0</v>
      </c>
      <c r="D505" s="2">
        <v>208.0</v>
      </c>
      <c r="E505" s="2">
        <v>25330.0</v>
      </c>
      <c r="F505" s="2" t="s">
        <v>150</v>
      </c>
    </row>
    <row r="506" ht="15.75" customHeight="1">
      <c r="A506" s="4" t="s">
        <v>1983</v>
      </c>
      <c r="B506" s="2" t="s">
        <v>1984</v>
      </c>
      <c r="C506" s="2">
        <v>187.0</v>
      </c>
      <c r="D506" s="2">
        <v>185.0</v>
      </c>
      <c r="E506" s="2">
        <v>25670.0</v>
      </c>
      <c r="F506" s="2" t="s">
        <v>150</v>
      </c>
    </row>
    <row r="507" ht="15.75" customHeight="1">
      <c r="A507" s="4" t="s">
        <v>1986</v>
      </c>
      <c r="B507" s="2" t="s">
        <v>1988</v>
      </c>
      <c r="C507" s="2">
        <v>76.0</v>
      </c>
      <c r="D507" s="2">
        <v>74.0</v>
      </c>
      <c r="E507" s="2" t="s">
        <v>150</v>
      </c>
      <c r="F507" s="2" t="s">
        <v>150</v>
      </c>
    </row>
    <row r="508" ht="15.75" customHeight="1">
      <c r="A508" s="4" t="s">
        <v>1991</v>
      </c>
      <c r="B508" s="2" t="s">
        <v>1992</v>
      </c>
      <c r="C508" s="2">
        <v>123.0</v>
      </c>
      <c r="D508" s="2">
        <v>141.0</v>
      </c>
      <c r="E508" s="2">
        <v>26050.0</v>
      </c>
      <c r="F508" s="2" t="s">
        <v>150</v>
      </c>
    </row>
    <row r="509" ht="15.75" customHeight="1">
      <c r="A509" s="4" t="s">
        <v>562</v>
      </c>
      <c r="B509" s="2" t="s">
        <v>565</v>
      </c>
      <c r="C509" s="2">
        <v>975.0</v>
      </c>
      <c r="D509" s="2">
        <v>994.0</v>
      </c>
      <c r="E509" s="2">
        <v>25620.0</v>
      </c>
      <c r="F509" s="2" t="s">
        <v>150</v>
      </c>
    </row>
    <row r="510" ht="15.75" customHeight="1">
      <c r="A510" s="4" t="s">
        <v>1996</v>
      </c>
      <c r="B510" s="2" t="s">
        <v>1999</v>
      </c>
      <c r="C510" s="2">
        <v>119.0</v>
      </c>
      <c r="D510" s="2">
        <v>117.0</v>
      </c>
      <c r="E510" s="2">
        <v>25830.0</v>
      </c>
      <c r="F510" s="2" t="s">
        <v>150</v>
      </c>
    </row>
    <row r="511" ht="15.75" customHeight="1">
      <c r="A511" s="4" t="s">
        <v>2000</v>
      </c>
      <c r="B511" s="2" t="s">
        <v>2002</v>
      </c>
      <c r="C511" s="2">
        <v>52.0</v>
      </c>
      <c r="D511" s="2">
        <v>44.0</v>
      </c>
      <c r="E511" s="2" t="s">
        <v>150</v>
      </c>
      <c r="F511" s="2" t="s">
        <v>150</v>
      </c>
    </row>
    <row r="512" ht="15.75" customHeight="1">
      <c r="A512" s="4" t="s">
        <v>2004</v>
      </c>
      <c r="B512" s="2" t="s">
        <v>2006</v>
      </c>
      <c r="C512" s="2">
        <v>118.0</v>
      </c>
      <c r="D512" s="2">
        <v>115.0</v>
      </c>
      <c r="E512" s="2" t="s">
        <v>150</v>
      </c>
      <c r="F512" s="2" t="s">
        <v>150</v>
      </c>
    </row>
    <row r="513" ht="15.75" customHeight="1">
      <c r="A513" s="4" t="s">
        <v>2010</v>
      </c>
      <c r="B513" s="2" t="s">
        <v>2012</v>
      </c>
      <c r="C513" s="2">
        <v>103.0</v>
      </c>
      <c r="D513" s="2">
        <v>88.0</v>
      </c>
      <c r="E513" s="2" t="s">
        <v>150</v>
      </c>
      <c r="F513" s="2" t="s">
        <v>150</v>
      </c>
    </row>
    <row r="514" ht="15.75" customHeight="1">
      <c r="A514" s="4" t="s">
        <v>2015</v>
      </c>
      <c r="B514" s="2" t="s">
        <v>2017</v>
      </c>
      <c r="C514" s="2">
        <v>193.0</v>
      </c>
      <c r="D514" s="2">
        <v>186.0</v>
      </c>
      <c r="E514" s="2">
        <v>25680.0</v>
      </c>
      <c r="F514" s="2" t="s">
        <v>150</v>
      </c>
    </row>
    <row r="515" ht="15.75" customHeight="1">
      <c r="A515" s="4" t="s">
        <v>2020</v>
      </c>
      <c r="B515" s="2" t="s">
        <v>2021</v>
      </c>
      <c r="C515" s="2">
        <v>62.0</v>
      </c>
      <c r="D515" s="2">
        <v>86.0</v>
      </c>
      <c r="E515" s="2" t="s">
        <v>150</v>
      </c>
      <c r="F515" s="2" t="s">
        <v>150</v>
      </c>
    </row>
    <row r="516" ht="15.75" customHeight="1">
      <c r="A516" s="4" t="s">
        <v>574</v>
      </c>
      <c r="B516" s="2" t="s">
        <v>575</v>
      </c>
      <c r="C516" s="2">
        <v>703.0</v>
      </c>
      <c r="D516" s="2">
        <v>659.0</v>
      </c>
      <c r="E516" s="2">
        <v>24530.0</v>
      </c>
      <c r="F516" s="2" t="s">
        <v>150</v>
      </c>
    </row>
    <row r="517" ht="15.75" customHeight="1">
      <c r="A517" s="4" t="s">
        <v>576</v>
      </c>
      <c r="B517" s="2" t="s">
        <v>577</v>
      </c>
      <c r="C517" s="2">
        <v>1230.0</v>
      </c>
      <c r="D517" s="2">
        <v>1189.0</v>
      </c>
      <c r="E517" s="2">
        <v>27800.0</v>
      </c>
      <c r="F517" s="2" t="s">
        <v>150</v>
      </c>
    </row>
    <row r="518" ht="15.75" customHeight="1">
      <c r="A518" s="4" t="s">
        <v>580</v>
      </c>
      <c r="B518" s="2" t="s">
        <v>581</v>
      </c>
      <c r="C518" s="2">
        <v>423.0</v>
      </c>
      <c r="D518" s="2">
        <v>424.0</v>
      </c>
      <c r="E518" s="2">
        <v>25870.0</v>
      </c>
      <c r="F518" s="2" t="s">
        <v>150</v>
      </c>
    </row>
    <row r="519" ht="15.75" customHeight="1">
      <c r="A519" s="4" t="s">
        <v>2034</v>
      </c>
      <c r="B519" s="2" t="s">
        <v>2035</v>
      </c>
      <c r="C519" s="2">
        <v>91.0</v>
      </c>
      <c r="D519" s="2">
        <v>80.0</v>
      </c>
      <c r="E519" s="2" t="s">
        <v>150</v>
      </c>
      <c r="F519" s="2" t="s">
        <v>150</v>
      </c>
    </row>
    <row r="520" ht="15.75" customHeight="1">
      <c r="A520" s="4" t="s">
        <v>584</v>
      </c>
      <c r="B520" s="2" t="s">
        <v>585</v>
      </c>
      <c r="C520" s="2">
        <v>2078.0</v>
      </c>
      <c r="D520" s="2">
        <v>1943.0</v>
      </c>
      <c r="E520" s="2">
        <v>23500.0</v>
      </c>
      <c r="F520" s="2" t="s">
        <v>150</v>
      </c>
    </row>
    <row r="521" ht="15.75" customHeight="1">
      <c r="A521" s="4" t="s">
        <v>588</v>
      </c>
      <c r="B521" s="2" t="s">
        <v>589</v>
      </c>
      <c r="C521" s="2">
        <v>611.0</v>
      </c>
      <c r="D521" s="2">
        <v>602.0</v>
      </c>
      <c r="E521" s="2">
        <v>19970.0</v>
      </c>
      <c r="F521" s="2" t="s">
        <v>150</v>
      </c>
    </row>
    <row r="522" ht="15.75" customHeight="1">
      <c r="A522" s="4" t="s">
        <v>2044</v>
      </c>
      <c r="B522" s="2" t="s">
        <v>2045</v>
      </c>
      <c r="C522" s="2">
        <v>187.0</v>
      </c>
      <c r="D522" s="2">
        <v>187.0</v>
      </c>
      <c r="E522" s="2">
        <v>24460.0</v>
      </c>
      <c r="F522" s="2" t="s">
        <v>150</v>
      </c>
    </row>
    <row r="523" ht="15.75" customHeight="1">
      <c r="A523" s="4" t="s">
        <v>2047</v>
      </c>
      <c r="B523" s="2" t="s">
        <v>2049</v>
      </c>
      <c r="C523" s="2">
        <v>197.0</v>
      </c>
      <c r="D523" s="2">
        <v>197.0</v>
      </c>
      <c r="E523" s="2">
        <v>23450.0</v>
      </c>
      <c r="F523" s="2" t="s">
        <v>150</v>
      </c>
    </row>
    <row r="524" ht="15.75" customHeight="1">
      <c r="A524" s="4" t="s">
        <v>2051</v>
      </c>
      <c r="B524" s="2" t="s">
        <v>2053</v>
      </c>
      <c r="C524" s="2">
        <v>67.0</v>
      </c>
      <c r="D524" s="2">
        <v>61.0</v>
      </c>
      <c r="E524" s="2" t="s">
        <v>150</v>
      </c>
      <c r="F524" s="2" t="s">
        <v>150</v>
      </c>
    </row>
    <row r="525" ht="15.75" customHeight="1">
      <c r="A525" s="4" t="s">
        <v>2056</v>
      </c>
      <c r="B525" s="2" t="s">
        <v>2057</v>
      </c>
      <c r="C525" s="2">
        <v>380.0</v>
      </c>
      <c r="D525" s="2">
        <v>394.0</v>
      </c>
      <c r="E525" s="2">
        <v>22690.0</v>
      </c>
      <c r="F525" s="2" t="s">
        <v>150</v>
      </c>
    </row>
    <row r="526" ht="15.75" customHeight="1">
      <c r="A526" s="4" t="s">
        <v>590</v>
      </c>
      <c r="B526" s="2" t="s">
        <v>591</v>
      </c>
      <c r="C526" s="2">
        <v>842.0</v>
      </c>
      <c r="D526" s="2">
        <v>848.0</v>
      </c>
      <c r="E526" s="2">
        <v>27560.0</v>
      </c>
      <c r="F526" s="2" t="s">
        <v>150</v>
      </c>
    </row>
    <row r="527" ht="15.75" customHeight="1">
      <c r="A527" s="4" t="s">
        <v>2061</v>
      </c>
      <c r="B527" s="2" t="s">
        <v>2062</v>
      </c>
      <c r="C527" s="2">
        <v>105.0</v>
      </c>
      <c r="D527" s="2">
        <v>121.0</v>
      </c>
      <c r="E527" s="2">
        <v>22140.0</v>
      </c>
      <c r="F527" s="2" t="s">
        <v>150</v>
      </c>
    </row>
    <row r="528" ht="15.75" customHeight="1">
      <c r="A528" s="4" t="s">
        <v>2064</v>
      </c>
      <c r="B528" s="2" t="s">
        <v>2066</v>
      </c>
      <c r="C528" s="2">
        <v>117.0</v>
      </c>
      <c r="D528" s="2">
        <v>116.0</v>
      </c>
      <c r="E528" s="2">
        <v>23800.0</v>
      </c>
      <c r="F528" s="2" t="s">
        <v>150</v>
      </c>
    </row>
    <row r="529" ht="15.75" customHeight="1">
      <c r="A529" s="4" t="s">
        <v>2068</v>
      </c>
      <c r="B529" s="2" t="s">
        <v>2069</v>
      </c>
      <c r="C529" s="2">
        <v>186.0</v>
      </c>
      <c r="D529" s="2">
        <v>170.0</v>
      </c>
      <c r="E529" s="2">
        <v>26460.0</v>
      </c>
      <c r="F529" s="2" t="s">
        <v>150</v>
      </c>
    </row>
    <row r="530" ht="15.75" customHeight="1">
      <c r="A530" s="4" t="s">
        <v>2072</v>
      </c>
      <c r="B530" s="2" t="s">
        <v>2073</v>
      </c>
      <c r="C530" s="2">
        <v>244.0</v>
      </c>
      <c r="D530" s="2">
        <v>225.0</v>
      </c>
      <c r="E530" s="2">
        <v>23710.0</v>
      </c>
      <c r="F530" s="2" t="s">
        <v>150</v>
      </c>
    </row>
    <row r="531" ht="15.75" customHeight="1">
      <c r="A531" s="4" t="s">
        <v>598</v>
      </c>
      <c r="B531" s="2" t="s">
        <v>599</v>
      </c>
      <c r="C531" s="2">
        <v>1012.0</v>
      </c>
      <c r="D531" s="2">
        <v>1106.0</v>
      </c>
      <c r="E531" s="2">
        <v>27060.0</v>
      </c>
      <c r="F531" s="2" t="s">
        <v>150</v>
      </c>
    </row>
    <row r="532" ht="15.75" customHeight="1">
      <c r="A532" s="4" t="s">
        <v>594</v>
      </c>
      <c r="B532" s="2" t="s">
        <v>595</v>
      </c>
      <c r="C532" s="2">
        <v>2167.0</v>
      </c>
      <c r="D532" s="2">
        <v>2134.0</v>
      </c>
      <c r="E532" s="2">
        <v>24120.0</v>
      </c>
      <c r="F532" s="2" t="s">
        <v>150</v>
      </c>
    </row>
    <row r="533" ht="15.75" customHeight="1">
      <c r="A533" s="4" t="s">
        <v>2082</v>
      </c>
      <c r="B533" s="2" t="s">
        <v>2083</v>
      </c>
      <c r="C533" s="2">
        <v>81.0</v>
      </c>
      <c r="D533" s="2">
        <v>68.0</v>
      </c>
      <c r="E533" s="2" t="s">
        <v>150</v>
      </c>
      <c r="F533" s="2" t="s">
        <v>150</v>
      </c>
    </row>
    <row r="534" ht="15.75" customHeight="1">
      <c r="A534" s="4" t="s">
        <v>2086</v>
      </c>
      <c r="B534" s="2" t="s">
        <v>2088</v>
      </c>
      <c r="C534" s="2">
        <v>130.0</v>
      </c>
      <c r="D534" s="2">
        <v>124.0</v>
      </c>
      <c r="E534" s="2">
        <v>21850.0</v>
      </c>
      <c r="F534" s="2" t="s">
        <v>150</v>
      </c>
    </row>
    <row r="535" ht="15.75" hidden="1" customHeight="1">
      <c r="A535" s="4" t="s">
        <v>434</v>
      </c>
      <c r="B535" s="2" t="s">
        <v>436</v>
      </c>
      <c r="C535" s="2">
        <v>2602.0</v>
      </c>
      <c r="D535" s="2">
        <v>2468.0</v>
      </c>
      <c r="E535" s="2">
        <v>21420.0</v>
      </c>
      <c r="F535" s="2">
        <v>23.0</v>
      </c>
    </row>
    <row r="536" ht="15.75" customHeight="1">
      <c r="A536" s="4" t="s">
        <v>602</v>
      </c>
      <c r="B536" s="2" t="s">
        <v>603</v>
      </c>
      <c r="C536" s="2">
        <v>474.0</v>
      </c>
      <c r="D536" s="2">
        <v>527.0</v>
      </c>
      <c r="E536" s="2">
        <v>22460.0</v>
      </c>
      <c r="F536" s="2" t="s">
        <v>150</v>
      </c>
    </row>
    <row r="537" ht="15.75" customHeight="1">
      <c r="A537" s="4" t="s">
        <v>604</v>
      </c>
      <c r="B537" s="2" t="s">
        <v>606</v>
      </c>
      <c r="C537" s="2">
        <v>249.0</v>
      </c>
      <c r="D537" s="2">
        <v>239.0</v>
      </c>
      <c r="E537" s="2">
        <v>24850.0</v>
      </c>
      <c r="F537" s="2" t="s">
        <v>150</v>
      </c>
    </row>
    <row r="538" ht="15.75" customHeight="1">
      <c r="A538" s="4" t="s">
        <v>2100</v>
      </c>
      <c r="B538" s="2" t="s">
        <v>2101</v>
      </c>
      <c r="C538" s="2">
        <v>165.0</v>
      </c>
      <c r="D538" s="2">
        <v>143.0</v>
      </c>
      <c r="E538" s="2">
        <v>30920.0</v>
      </c>
      <c r="F538" s="2" t="s">
        <v>150</v>
      </c>
    </row>
    <row r="539" ht="15.75" customHeight="1">
      <c r="A539" s="4" t="s">
        <v>2103</v>
      </c>
      <c r="B539" s="2" t="s">
        <v>2105</v>
      </c>
      <c r="C539" s="2">
        <v>225.0</v>
      </c>
      <c r="D539" s="2">
        <v>202.0</v>
      </c>
      <c r="E539" s="2">
        <v>25090.0</v>
      </c>
      <c r="F539" s="2" t="s">
        <v>150</v>
      </c>
    </row>
    <row r="540" ht="15.75" customHeight="1">
      <c r="A540" s="4" t="s">
        <v>2107</v>
      </c>
      <c r="B540" s="2" t="s">
        <v>2109</v>
      </c>
      <c r="C540" s="2">
        <v>167.0</v>
      </c>
      <c r="D540" s="2">
        <v>132.0</v>
      </c>
      <c r="E540" s="2">
        <v>22630.0</v>
      </c>
      <c r="F540" s="2" t="s">
        <v>150</v>
      </c>
    </row>
    <row r="541" ht="15.75" customHeight="1">
      <c r="A541" s="4" t="s">
        <v>86</v>
      </c>
      <c r="B541" s="2" t="s">
        <v>87</v>
      </c>
      <c r="C541" s="2">
        <v>887.0</v>
      </c>
      <c r="D541" s="2">
        <v>825.0</v>
      </c>
      <c r="E541" s="2">
        <v>27270.0</v>
      </c>
      <c r="F541" s="2" t="s">
        <v>150</v>
      </c>
    </row>
    <row r="542" ht="15.75" customHeight="1">
      <c r="A542" s="4" t="s">
        <v>2113</v>
      </c>
      <c r="B542" s="2" t="s">
        <v>2114</v>
      </c>
      <c r="C542" s="2">
        <v>290.0</v>
      </c>
      <c r="D542" s="2">
        <v>293.0</v>
      </c>
      <c r="E542" s="2">
        <v>25140.0</v>
      </c>
      <c r="F542" s="2" t="s">
        <v>150</v>
      </c>
    </row>
    <row r="543" ht="15.75" customHeight="1">
      <c r="A543" s="4" t="s">
        <v>608</v>
      </c>
      <c r="B543" s="2" t="s">
        <v>610</v>
      </c>
      <c r="C543" s="2">
        <v>1113.0</v>
      </c>
      <c r="D543" s="2">
        <v>1109.0</v>
      </c>
      <c r="E543" s="2">
        <v>25860.0</v>
      </c>
      <c r="F543" s="2" t="s">
        <v>150</v>
      </c>
    </row>
    <row r="544" ht="15.75" customHeight="1">
      <c r="A544" s="4" t="s">
        <v>2119</v>
      </c>
      <c r="B544" s="2" t="s">
        <v>2120</v>
      </c>
      <c r="C544" s="2">
        <v>303.0</v>
      </c>
      <c r="D544" s="2">
        <v>269.0</v>
      </c>
      <c r="E544" s="2">
        <v>22110.0</v>
      </c>
      <c r="F544" s="2" t="s">
        <v>150</v>
      </c>
    </row>
    <row r="545" ht="15.75" customHeight="1">
      <c r="A545" s="4" t="s">
        <v>2123</v>
      </c>
      <c r="B545" s="2" t="s">
        <v>2124</v>
      </c>
      <c r="C545" s="2">
        <v>155.0</v>
      </c>
      <c r="D545" s="2">
        <v>176.0</v>
      </c>
      <c r="E545" s="2">
        <v>28990.0</v>
      </c>
      <c r="F545" s="2" t="s">
        <v>150</v>
      </c>
    </row>
    <row r="546" ht="15.75" customHeight="1">
      <c r="A546" s="4" t="s">
        <v>613</v>
      </c>
      <c r="B546" s="2" t="s">
        <v>615</v>
      </c>
      <c r="C546" s="2">
        <v>466.0</v>
      </c>
      <c r="D546" s="2">
        <v>438.0</v>
      </c>
      <c r="E546" s="2">
        <v>22430.0</v>
      </c>
      <c r="F546" s="2" t="s">
        <v>150</v>
      </c>
    </row>
    <row r="547" ht="15.75" customHeight="1">
      <c r="A547" s="4" t="s">
        <v>2130</v>
      </c>
      <c r="B547" s="2" t="s">
        <v>2132</v>
      </c>
      <c r="C547" s="2">
        <v>184.0</v>
      </c>
      <c r="D547" s="2">
        <v>169.0</v>
      </c>
      <c r="E547" s="2">
        <v>23100.0</v>
      </c>
      <c r="F547" s="2" t="s">
        <v>150</v>
      </c>
    </row>
    <row r="548" ht="15.75" customHeight="1">
      <c r="A548" s="4" t="s">
        <v>2135</v>
      </c>
      <c r="B548" s="2" t="s">
        <v>2136</v>
      </c>
      <c r="C548" s="2">
        <v>714.0</v>
      </c>
      <c r="D548" s="2">
        <v>660.0</v>
      </c>
      <c r="E548" s="2">
        <v>27690.0</v>
      </c>
      <c r="F548" s="2" t="s">
        <v>150</v>
      </c>
    </row>
    <row r="549" ht="15.75" customHeight="1">
      <c r="A549" s="4" t="s">
        <v>2139</v>
      </c>
      <c r="B549" s="2" t="s">
        <v>2140</v>
      </c>
      <c r="C549" s="2">
        <v>507.0</v>
      </c>
      <c r="D549" s="2">
        <v>490.0</v>
      </c>
      <c r="E549" s="2">
        <v>30060.0</v>
      </c>
      <c r="F549" s="2" t="s">
        <v>150</v>
      </c>
    </row>
    <row r="550" ht="15.75" customHeight="1">
      <c r="A550" s="4" t="s">
        <v>2143</v>
      </c>
      <c r="B550" s="2" t="s">
        <v>2144</v>
      </c>
      <c r="C550" s="2">
        <v>66.0</v>
      </c>
      <c r="D550" s="2">
        <v>53.0</v>
      </c>
      <c r="E550" s="2" t="s">
        <v>150</v>
      </c>
      <c r="F550" s="2" t="s">
        <v>150</v>
      </c>
    </row>
    <row r="551" ht="15.75" customHeight="1">
      <c r="A551" s="4" t="s">
        <v>620</v>
      </c>
      <c r="B551" s="2" t="s">
        <v>621</v>
      </c>
      <c r="C551" s="2">
        <v>1453.0</v>
      </c>
      <c r="D551" s="2">
        <v>1354.0</v>
      </c>
      <c r="E551" s="2">
        <v>22560.0</v>
      </c>
      <c r="F551" s="2" t="s">
        <v>150</v>
      </c>
    </row>
    <row r="552" ht="15.75" customHeight="1">
      <c r="A552" s="4" t="s">
        <v>617</v>
      </c>
      <c r="B552" s="2" t="s">
        <v>619</v>
      </c>
      <c r="C552" s="2">
        <v>1685.0</v>
      </c>
      <c r="D552" s="2">
        <v>1587.0</v>
      </c>
      <c r="E552" s="2">
        <v>20380.0</v>
      </c>
      <c r="F552" s="2" t="s">
        <v>150</v>
      </c>
    </row>
    <row r="553" ht="15.75" customHeight="1">
      <c r="A553" s="4" t="s">
        <v>2159</v>
      </c>
      <c r="B553" s="2" t="s">
        <v>2161</v>
      </c>
      <c r="C553" s="2">
        <v>326.0</v>
      </c>
      <c r="D553" s="2">
        <v>325.0</v>
      </c>
      <c r="E553" s="2">
        <v>26930.0</v>
      </c>
      <c r="F553" s="2" t="s">
        <v>150</v>
      </c>
    </row>
    <row r="554" ht="15.75" customHeight="1">
      <c r="A554" s="4" t="s">
        <v>2163</v>
      </c>
      <c r="B554" s="2" t="s">
        <v>2165</v>
      </c>
      <c r="C554" s="2">
        <v>80.0</v>
      </c>
      <c r="D554" s="2">
        <v>92.0</v>
      </c>
      <c r="E554" s="2" t="s">
        <v>150</v>
      </c>
      <c r="F554" s="2" t="s">
        <v>150</v>
      </c>
    </row>
    <row r="555" ht="15.75" customHeight="1">
      <c r="A555" s="4" t="s">
        <v>2170</v>
      </c>
      <c r="B555" s="2" t="s">
        <v>2172</v>
      </c>
      <c r="C555" s="2">
        <v>85.0</v>
      </c>
      <c r="D555" s="2">
        <v>80.0</v>
      </c>
      <c r="E555" s="2" t="s">
        <v>150</v>
      </c>
      <c r="F555" s="2" t="s">
        <v>150</v>
      </c>
    </row>
    <row r="556" ht="15.75" customHeight="1">
      <c r="A556" s="4" t="s">
        <v>2175</v>
      </c>
      <c r="B556" s="2" t="s">
        <v>2176</v>
      </c>
      <c r="C556" s="2">
        <v>122.0</v>
      </c>
      <c r="D556" s="2">
        <v>131.0</v>
      </c>
      <c r="E556" s="2">
        <v>24020.0</v>
      </c>
      <c r="F556" s="2" t="s">
        <v>150</v>
      </c>
    </row>
    <row r="557" ht="15.75" customHeight="1">
      <c r="A557" s="4" t="s">
        <v>624</v>
      </c>
      <c r="B557" s="2" t="s">
        <v>625</v>
      </c>
      <c r="C557" s="2">
        <v>823.0</v>
      </c>
      <c r="D557" s="2">
        <v>785.0</v>
      </c>
      <c r="E557" s="2">
        <v>23910.0</v>
      </c>
      <c r="F557" s="2" t="s">
        <v>150</v>
      </c>
    </row>
    <row r="558" ht="15.75" customHeight="1">
      <c r="A558" s="4" t="s">
        <v>2185</v>
      </c>
      <c r="B558" s="2" t="s">
        <v>2186</v>
      </c>
      <c r="C558" s="2">
        <v>314.0</v>
      </c>
      <c r="D558" s="2">
        <v>309.0</v>
      </c>
      <c r="E558" s="2">
        <v>28360.0</v>
      </c>
      <c r="F558" s="2" t="s">
        <v>150</v>
      </c>
    </row>
    <row r="559" ht="15.75" customHeight="1">
      <c r="A559" s="4" t="s">
        <v>2189</v>
      </c>
      <c r="B559" s="2" t="s">
        <v>2190</v>
      </c>
      <c r="C559" s="2">
        <v>75.0</v>
      </c>
      <c r="D559" s="2">
        <v>80.0</v>
      </c>
      <c r="E559" s="2" t="s">
        <v>150</v>
      </c>
      <c r="F559" s="2" t="s">
        <v>150</v>
      </c>
    </row>
    <row r="560" ht="15.75" customHeight="1">
      <c r="A560" s="4" t="s">
        <v>2193</v>
      </c>
      <c r="B560" s="2" t="s">
        <v>2195</v>
      </c>
      <c r="C560" s="2">
        <v>56.0</v>
      </c>
      <c r="D560" s="2">
        <v>60.0</v>
      </c>
      <c r="E560" s="2" t="s">
        <v>150</v>
      </c>
      <c r="F560" s="2" t="s">
        <v>150</v>
      </c>
    </row>
    <row r="561" ht="15.75" customHeight="1">
      <c r="A561" s="4" t="s">
        <v>2198</v>
      </c>
      <c r="B561" s="2" t="s">
        <v>2200</v>
      </c>
      <c r="C561" s="2">
        <v>128.0</v>
      </c>
      <c r="D561" s="2">
        <v>114.0</v>
      </c>
      <c r="E561" s="2">
        <v>28900.0</v>
      </c>
      <c r="F561" s="2" t="s">
        <v>150</v>
      </c>
    </row>
    <row r="562" ht="15.75" customHeight="1">
      <c r="A562" s="4" t="s">
        <v>2203</v>
      </c>
      <c r="B562" s="2" t="s">
        <v>2204</v>
      </c>
      <c r="C562" s="2">
        <v>256.0</v>
      </c>
      <c r="D562" s="2">
        <v>245.0</v>
      </c>
      <c r="E562" s="2">
        <v>27290.0</v>
      </c>
      <c r="F562" s="2" t="s">
        <v>150</v>
      </c>
    </row>
    <row r="563" ht="15.75" customHeight="1">
      <c r="A563" s="4" t="s">
        <v>2207</v>
      </c>
      <c r="B563" s="2" t="s">
        <v>2208</v>
      </c>
      <c r="C563" s="2">
        <v>142.0</v>
      </c>
      <c r="D563" s="2">
        <v>143.0</v>
      </c>
      <c r="E563" s="2">
        <v>27570.0</v>
      </c>
      <c r="F563" s="2" t="s">
        <v>150</v>
      </c>
    </row>
    <row r="564" ht="15.75" customHeight="1">
      <c r="A564" s="4" t="s">
        <v>2211</v>
      </c>
      <c r="B564" s="2" t="s">
        <v>2212</v>
      </c>
      <c r="C564" s="2">
        <v>352.0</v>
      </c>
      <c r="D564" s="2">
        <v>353.0</v>
      </c>
      <c r="E564" s="2">
        <v>24780.0</v>
      </c>
      <c r="F564" s="2" t="s">
        <v>150</v>
      </c>
    </row>
    <row r="565" ht="15.75" customHeight="1">
      <c r="A565" s="4" t="s">
        <v>2215</v>
      </c>
      <c r="B565" s="2" t="s">
        <v>2216</v>
      </c>
      <c r="C565" s="2">
        <v>74.0</v>
      </c>
      <c r="D565" s="2">
        <v>66.0</v>
      </c>
      <c r="E565" s="2" t="s">
        <v>150</v>
      </c>
      <c r="F565" s="2" t="s">
        <v>150</v>
      </c>
    </row>
    <row r="566" ht="15.75" customHeight="1">
      <c r="A566" s="4" t="s">
        <v>2219</v>
      </c>
      <c r="B566" s="2" t="s">
        <v>2221</v>
      </c>
      <c r="C566" s="2">
        <v>388.0</v>
      </c>
      <c r="D566" s="2">
        <v>367.0</v>
      </c>
      <c r="E566" s="2">
        <v>26740.0</v>
      </c>
      <c r="F566" s="2" t="s">
        <v>150</v>
      </c>
    </row>
    <row r="567" ht="15.75" customHeight="1">
      <c r="A567" s="4" t="s">
        <v>2224</v>
      </c>
      <c r="B567" s="2" t="s">
        <v>2226</v>
      </c>
      <c r="C567" s="2">
        <v>170.0</v>
      </c>
      <c r="D567" s="2">
        <v>174.0</v>
      </c>
      <c r="E567" s="2">
        <v>25730.0</v>
      </c>
      <c r="F567" s="2" t="s">
        <v>150</v>
      </c>
    </row>
    <row r="568" ht="15.75" customHeight="1">
      <c r="A568" s="4" t="s">
        <v>2229</v>
      </c>
      <c r="B568" s="2" t="s">
        <v>2230</v>
      </c>
      <c r="C568" s="2">
        <v>131.0</v>
      </c>
      <c r="D568" s="2">
        <v>142.0</v>
      </c>
      <c r="E568" s="2">
        <v>22330.0</v>
      </c>
      <c r="F568" s="2" t="s">
        <v>150</v>
      </c>
    </row>
    <row r="569" ht="15.75" customHeight="1">
      <c r="A569" s="4" t="s">
        <v>2233</v>
      </c>
      <c r="B569" s="2" t="s">
        <v>2234</v>
      </c>
      <c r="C569" s="2">
        <v>189.0</v>
      </c>
      <c r="D569" s="2">
        <v>191.0</v>
      </c>
      <c r="E569" s="2">
        <v>23810.0</v>
      </c>
      <c r="F569" s="2" t="s">
        <v>150</v>
      </c>
    </row>
    <row r="570" ht="15.75" customHeight="1">
      <c r="A570" s="4" t="s">
        <v>628</v>
      </c>
      <c r="B570" s="2" t="s">
        <v>629</v>
      </c>
      <c r="C570" s="2">
        <v>1019.0</v>
      </c>
      <c r="D570" s="2">
        <v>1100.0</v>
      </c>
      <c r="E570" s="2">
        <v>26640.0</v>
      </c>
      <c r="F570" s="2" t="s">
        <v>150</v>
      </c>
    </row>
    <row r="571" ht="15.75" customHeight="1">
      <c r="A571" s="4" t="s">
        <v>2239</v>
      </c>
      <c r="B571" s="2" t="s">
        <v>2240</v>
      </c>
      <c r="C571" s="2">
        <v>148.0</v>
      </c>
      <c r="D571" s="2">
        <v>131.0</v>
      </c>
      <c r="E571" s="2">
        <v>26760.0</v>
      </c>
      <c r="F571" s="2" t="s">
        <v>150</v>
      </c>
    </row>
    <row r="572" ht="15.75" customHeight="1">
      <c r="A572" s="4" t="s">
        <v>2243</v>
      </c>
      <c r="B572" s="2" t="s">
        <v>2245</v>
      </c>
      <c r="C572" s="2">
        <v>126.0</v>
      </c>
      <c r="D572" s="2">
        <v>139.0</v>
      </c>
      <c r="E572" s="2">
        <v>27700.0</v>
      </c>
      <c r="F572" s="2" t="s">
        <v>150</v>
      </c>
    </row>
    <row r="573" ht="15.75" customHeight="1">
      <c r="A573" s="4" t="s">
        <v>630</v>
      </c>
      <c r="B573" s="2" t="s">
        <v>631</v>
      </c>
      <c r="C573" s="2">
        <v>781.0</v>
      </c>
      <c r="D573" s="2">
        <v>745.0</v>
      </c>
      <c r="E573" s="2">
        <v>24460.0</v>
      </c>
      <c r="F573" s="2" t="s">
        <v>150</v>
      </c>
    </row>
    <row r="574" ht="15.75" customHeight="1">
      <c r="A574" s="4" t="s">
        <v>634</v>
      </c>
      <c r="B574" s="2" t="s">
        <v>636</v>
      </c>
      <c r="C574" s="2">
        <v>650.0</v>
      </c>
      <c r="D574" s="2">
        <v>682.0</v>
      </c>
      <c r="E574" s="2">
        <v>28250.0</v>
      </c>
      <c r="F574" s="2" t="s">
        <v>150</v>
      </c>
    </row>
    <row r="575" ht="15.75" customHeight="1">
      <c r="A575" s="4" t="s">
        <v>2253</v>
      </c>
      <c r="B575" s="2" t="s">
        <v>2254</v>
      </c>
      <c r="C575" s="2">
        <v>279.0</v>
      </c>
      <c r="D575" s="2">
        <v>250.0</v>
      </c>
      <c r="E575" s="2">
        <v>24470.0</v>
      </c>
      <c r="F575" s="2" t="s">
        <v>150</v>
      </c>
    </row>
    <row r="576" ht="15.75" customHeight="1">
      <c r="A576" s="4" t="s">
        <v>2257</v>
      </c>
      <c r="B576" s="2" t="s">
        <v>2259</v>
      </c>
      <c r="C576" s="2">
        <v>370.0</v>
      </c>
      <c r="D576" s="2">
        <v>341.0</v>
      </c>
      <c r="E576" s="2">
        <v>24120.0</v>
      </c>
      <c r="F576" s="2" t="s">
        <v>150</v>
      </c>
    </row>
    <row r="577" ht="15.75" customHeight="1">
      <c r="A577" s="4" t="s">
        <v>2261</v>
      </c>
      <c r="B577" s="2" t="s">
        <v>2262</v>
      </c>
      <c r="C577" s="2">
        <v>197.0</v>
      </c>
      <c r="D577" s="2">
        <v>173.0</v>
      </c>
      <c r="E577" s="2">
        <v>25510.0</v>
      </c>
      <c r="F577" s="2" t="s">
        <v>150</v>
      </c>
    </row>
    <row r="578" ht="15.75" customHeight="1">
      <c r="A578" s="4" t="s">
        <v>639</v>
      </c>
      <c r="B578" s="2" t="s">
        <v>640</v>
      </c>
      <c r="C578" s="2">
        <v>1765.0</v>
      </c>
      <c r="D578" s="2">
        <v>1637.0</v>
      </c>
      <c r="E578" s="2">
        <v>22930.0</v>
      </c>
      <c r="F578" s="2" t="s">
        <v>150</v>
      </c>
    </row>
    <row r="579" ht="15.75" customHeight="1">
      <c r="A579" s="4" t="s">
        <v>2267</v>
      </c>
      <c r="B579" s="2" t="s">
        <v>2268</v>
      </c>
      <c r="C579" s="2">
        <v>83.0</v>
      </c>
      <c r="D579" s="2">
        <v>78.0</v>
      </c>
      <c r="E579" s="2" t="s">
        <v>150</v>
      </c>
      <c r="F579" s="2" t="s">
        <v>150</v>
      </c>
    </row>
    <row r="580" ht="15.75" customHeight="1">
      <c r="A580" s="4" t="s">
        <v>2271</v>
      </c>
      <c r="B580" s="2" t="s">
        <v>2272</v>
      </c>
      <c r="C580" s="2">
        <v>172.0</v>
      </c>
      <c r="D580" s="2">
        <v>186.0</v>
      </c>
      <c r="E580" s="2">
        <v>24590.0</v>
      </c>
      <c r="F580" s="2" t="s">
        <v>150</v>
      </c>
    </row>
    <row r="581" ht="15.75" customHeight="1">
      <c r="A581" s="4" t="s">
        <v>2275</v>
      </c>
      <c r="B581" s="2" t="s">
        <v>2276</v>
      </c>
      <c r="C581" s="2">
        <v>71.0</v>
      </c>
      <c r="D581" s="2">
        <v>93.0</v>
      </c>
      <c r="E581" s="2" t="s">
        <v>150</v>
      </c>
      <c r="F581" s="2" t="s">
        <v>150</v>
      </c>
    </row>
    <row r="582" ht="15.75" customHeight="1">
      <c r="A582" s="4" t="s">
        <v>2279</v>
      </c>
      <c r="B582" s="2" t="s">
        <v>2281</v>
      </c>
      <c r="C582" s="2">
        <v>77.0</v>
      </c>
      <c r="D582" s="2">
        <v>100.0</v>
      </c>
      <c r="E582" s="2">
        <v>25330.0</v>
      </c>
      <c r="F582" s="2" t="s">
        <v>150</v>
      </c>
    </row>
    <row r="583" ht="15.75" customHeight="1">
      <c r="A583" s="4" t="s">
        <v>642</v>
      </c>
      <c r="B583" s="2" t="s">
        <v>643</v>
      </c>
      <c r="C583" s="2">
        <v>462.0</v>
      </c>
      <c r="D583" s="2">
        <v>432.0</v>
      </c>
      <c r="E583" s="2">
        <v>22220.0</v>
      </c>
      <c r="F583" s="2" t="s">
        <v>150</v>
      </c>
    </row>
    <row r="584" ht="15.75" customHeight="1">
      <c r="A584" s="4" t="s">
        <v>2286</v>
      </c>
      <c r="B584" s="2" t="s">
        <v>2288</v>
      </c>
      <c r="C584" s="2">
        <v>21.0</v>
      </c>
      <c r="D584" s="2">
        <v>24.0</v>
      </c>
      <c r="E584" s="2" t="s">
        <v>150</v>
      </c>
      <c r="F584" s="2" t="s">
        <v>150</v>
      </c>
    </row>
    <row r="585" ht="15.75" customHeight="1">
      <c r="A585" s="4" t="s">
        <v>2291</v>
      </c>
      <c r="B585" s="2" t="s">
        <v>2292</v>
      </c>
      <c r="C585" s="2">
        <v>688.0</v>
      </c>
      <c r="D585" s="2">
        <v>726.0</v>
      </c>
      <c r="E585" s="2">
        <v>25310.0</v>
      </c>
      <c r="F585" s="2" t="s">
        <v>150</v>
      </c>
    </row>
    <row r="586" ht="15.75" customHeight="1">
      <c r="A586" s="4" t="s">
        <v>2296</v>
      </c>
      <c r="B586" s="2" t="s">
        <v>2298</v>
      </c>
      <c r="C586" s="2">
        <v>127.0</v>
      </c>
      <c r="D586" s="2">
        <v>115.0</v>
      </c>
      <c r="E586" s="2">
        <v>23960.0</v>
      </c>
      <c r="F586" s="2" t="s">
        <v>150</v>
      </c>
    </row>
    <row r="587" ht="15.75" customHeight="1">
      <c r="A587" s="4" t="s">
        <v>644</v>
      </c>
      <c r="B587" s="2" t="s">
        <v>645</v>
      </c>
      <c r="C587" s="2">
        <v>610.0</v>
      </c>
      <c r="D587" s="2">
        <v>605.0</v>
      </c>
      <c r="E587" s="2">
        <v>26770.0</v>
      </c>
      <c r="F587" s="2" t="s">
        <v>150</v>
      </c>
    </row>
    <row r="588" ht="15.75" customHeight="1">
      <c r="A588" s="4" t="s">
        <v>2303</v>
      </c>
      <c r="B588" s="2" t="s">
        <v>2304</v>
      </c>
      <c r="C588" s="2">
        <v>251.0</v>
      </c>
      <c r="D588" s="2">
        <v>290.0</v>
      </c>
      <c r="E588" s="2">
        <v>24820.0</v>
      </c>
      <c r="F588" s="2" t="s">
        <v>150</v>
      </c>
    </row>
    <row r="589" ht="15.75" customHeight="1">
      <c r="A589" s="4" t="s">
        <v>2307</v>
      </c>
      <c r="B589" s="2" t="s">
        <v>2308</v>
      </c>
      <c r="C589" s="2">
        <v>344.0</v>
      </c>
      <c r="D589" s="2">
        <v>353.0</v>
      </c>
      <c r="E589" s="2">
        <v>30540.0</v>
      </c>
      <c r="F589" s="2" t="s">
        <v>150</v>
      </c>
    </row>
    <row r="590" ht="15.75" customHeight="1">
      <c r="A590" s="4" t="s">
        <v>2311</v>
      </c>
      <c r="B590" s="2" t="s">
        <v>2313</v>
      </c>
      <c r="C590" s="2">
        <v>205.0</v>
      </c>
      <c r="D590" s="2">
        <v>176.0</v>
      </c>
      <c r="E590" s="2">
        <v>24730.0</v>
      </c>
      <c r="F590" s="2" t="s">
        <v>150</v>
      </c>
    </row>
    <row r="591" ht="15.75" customHeight="1">
      <c r="A591" s="4" t="s">
        <v>2315</v>
      </c>
      <c r="B591" s="2" t="s">
        <v>2317</v>
      </c>
      <c r="C591" s="2">
        <v>502.0</v>
      </c>
      <c r="D591" s="2">
        <v>490.0</v>
      </c>
      <c r="E591" s="2">
        <v>26430.0</v>
      </c>
      <c r="F591" s="2" t="s">
        <v>150</v>
      </c>
    </row>
    <row r="592" ht="15.75" customHeight="1">
      <c r="A592" s="4" t="s">
        <v>652</v>
      </c>
      <c r="B592" s="2" t="s">
        <v>654</v>
      </c>
      <c r="C592" s="2">
        <v>700.0</v>
      </c>
      <c r="D592" s="2">
        <v>683.0</v>
      </c>
      <c r="E592" s="2">
        <v>23230.0</v>
      </c>
      <c r="F592" s="2" t="s">
        <v>150</v>
      </c>
    </row>
    <row r="593" ht="15.75" customHeight="1">
      <c r="A593" s="4" t="s">
        <v>656</v>
      </c>
      <c r="B593" s="2" t="s">
        <v>657</v>
      </c>
      <c r="C593" s="2">
        <v>661.0</v>
      </c>
      <c r="D593" s="2">
        <v>594.0</v>
      </c>
      <c r="E593" s="2">
        <v>25840.0</v>
      </c>
      <c r="F593" s="2" t="s">
        <v>150</v>
      </c>
    </row>
    <row r="594" ht="15.75" customHeight="1">
      <c r="A594" s="4" t="s">
        <v>648</v>
      </c>
      <c r="B594" s="2" t="s">
        <v>649</v>
      </c>
      <c r="C594" s="2">
        <v>360.0</v>
      </c>
      <c r="D594" s="2">
        <v>320.0</v>
      </c>
      <c r="E594" s="2">
        <v>23480.0</v>
      </c>
      <c r="F594" s="2" t="s">
        <v>150</v>
      </c>
    </row>
    <row r="595" ht="15.75" customHeight="1">
      <c r="A595" s="4" t="s">
        <v>650</v>
      </c>
      <c r="B595" s="2" t="s">
        <v>651</v>
      </c>
      <c r="C595" s="2">
        <v>385.0</v>
      </c>
      <c r="D595" s="2">
        <v>401.0</v>
      </c>
      <c r="E595" s="2">
        <v>30270.0</v>
      </c>
      <c r="F595" s="2" t="s">
        <v>150</v>
      </c>
    </row>
    <row r="596" ht="15.75" customHeight="1">
      <c r="A596" s="4" t="s">
        <v>2334</v>
      </c>
      <c r="B596" s="2" t="s">
        <v>2336</v>
      </c>
      <c r="C596" s="2">
        <v>52.0</v>
      </c>
      <c r="D596" s="2">
        <v>56.0</v>
      </c>
      <c r="E596" s="2" t="s">
        <v>150</v>
      </c>
      <c r="F596" s="2" t="s">
        <v>150</v>
      </c>
    </row>
    <row r="597" ht="15.75" customHeight="1">
      <c r="A597" s="4" t="s">
        <v>2341</v>
      </c>
      <c r="B597" s="2" t="s">
        <v>2342</v>
      </c>
      <c r="C597" s="2">
        <v>103.0</v>
      </c>
      <c r="D597" s="2">
        <v>94.0</v>
      </c>
      <c r="E597" s="2" t="s">
        <v>150</v>
      </c>
      <c r="F597" s="2" t="s">
        <v>150</v>
      </c>
    </row>
    <row r="598" ht="15.75" customHeight="1">
      <c r="A598" s="4" t="s">
        <v>2345</v>
      </c>
      <c r="B598" s="2" t="s">
        <v>2346</v>
      </c>
      <c r="C598" s="2">
        <v>274.0</v>
      </c>
      <c r="D598" s="2">
        <v>276.0</v>
      </c>
      <c r="E598" s="2">
        <v>24360.0</v>
      </c>
      <c r="F598" s="2" t="s">
        <v>150</v>
      </c>
    </row>
    <row r="599" ht="15.75" customHeight="1">
      <c r="A599" s="4" t="s">
        <v>2349</v>
      </c>
      <c r="B599" s="2" t="s">
        <v>2350</v>
      </c>
      <c r="C599" s="2">
        <v>144.0</v>
      </c>
      <c r="D599" s="2">
        <v>146.0</v>
      </c>
      <c r="E599" s="2">
        <v>23330.0</v>
      </c>
      <c r="F599" s="2" t="s">
        <v>150</v>
      </c>
    </row>
    <row r="600" ht="15.75" customHeight="1">
      <c r="A600" s="4" t="s">
        <v>2353</v>
      </c>
      <c r="B600" s="2" t="s">
        <v>2355</v>
      </c>
      <c r="C600" s="2">
        <v>319.0</v>
      </c>
      <c r="D600" s="2">
        <v>346.0</v>
      </c>
      <c r="E600" s="2">
        <v>27160.0</v>
      </c>
      <c r="F600" s="2" t="s">
        <v>150</v>
      </c>
    </row>
    <row r="601" ht="15.75" customHeight="1">
      <c r="A601" s="4" t="s">
        <v>2357</v>
      </c>
      <c r="B601" s="2" t="s">
        <v>2359</v>
      </c>
      <c r="C601" s="2">
        <v>120.0</v>
      </c>
      <c r="D601" s="2">
        <v>136.0</v>
      </c>
      <c r="E601" s="2">
        <v>26070.0</v>
      </c>
      <c r="F601" s="2" t="s">
        <v>150</v>
      </c>
    </row>
    <row r="602" ht="15.75" customHeight="1">
      <c r="A602" s="4" t="s">
        <v>2361</v>
      </c>
      <c r="B602" s="2" t="s">
        <v>2364</v>
      </c>
      <c r="C602" s="2">
        <v>214.0</v>
      </c>
      <c r="D602" s="2">
        <v>219.0</v>
      </c>
      <c r="E602" s="2">
        <v>27850.0</v>
      </c>
      <c r="F602" s="2" t="s">
        <v>150</v>
      </c>
    </row>
    <row r="603" ht="15.75" customHeight="1">
      <c r="A603" s="4" t="s">
        <v>2367</v>
      </c>
      <c r="B603" s="2" t="s">
        <v>2368</v>
      </c>
      <c r="C603" s="2">
        <v>289.0</v>
      </c>
      <c r="D603" s="2">
        <v>331.0</v>
      </c>
      <c r="E603" s="2">
        <v>21480.0</v>
      </c>
      <c r="F603" s="2" t="s">
        <v>150</v>
      </c>
    </row>
    <row r="604" ht="15.75" customHeight="1">
      <c r="A604" s="4" t="s">
        <v>658</v>
      </c>
      <c r="B604" s="2" t="s">
        <v>659</v>
      </c>
      <c r="C604" s="2">
        <v>420.0</v>
      </c>
      <c r="D604" s="2">
        <v>428.0</v>
      </c>
      <c r="E604" s="2">
        <v>22610.0</v>
      </c>
      <c r="F604" s="2" t="s">
        <v>150</v>
      </c>
    </row>
    <row r="605" ht="15.75" customHeight="1">
      <c r="A605" s="4" t="s">
        <v>2373</v>
      </c>
      <c r="B605" s="2" t="s">
        <v>2374</v>
      </c>
      <c r="C605" s="2">
        <v>60.0</v>
      </c>
      <c r="D605" s="2">
        <v>53.0</v>
      </c>
      <c r="E605" s="2" t="s">
        <v>150</v>
      </c>
      <c r="F605" s="2" t="s">
        <v>150</v>
      </c>
    </row>
    <row r="606" ht="15.75" customHeight="1">
      <c r="A606" s="4" t="s">
        <v>2377</v>
      </c>
      <c r="B606" s="2" t="s">
        <v>2378</v>
      </c>
      <c r="C606" s="2">
        <v>61.0</v>
      </c>
      <c r="D606" s="2">
        <v>62.0</v>
      </c>
      <c r="E606" s="2" t="s">
        <v>150</v>
      </c>
      <c r="F606" s="2" t="s">
        <v>150</v>
      </c>
    </row>
    <row r="607" ht="15.75" customHeight="1">
      <c r="A607" s="4" t="s">
        <v>2381</v>
      </c>
      <c r="B607" s="2" t="s">
        <v>2382</v>
      </c>
      <c r="C607" s="2">
        <v>79.0</v>
      </c>
      <c r="D607" s="2">
        <v>89.0</v>
      </c>
      <c r="E607" s="2" t="s">
        <v>150</v>
      </c>
      <c r="F607" s="2" t="s">
        <v>150</v>
      </c>
    </row>
    <row r="608" ht="15.75" customHeight="1">
      <c r="A608" s="4" t="s">
        <v>2385</v>
      </c>
      <c r="B608" s="2" t="s">
        <v>2386</v>
      </c>
      <c r="C608" s="2">
        <v>150.0</v>
      </c>
      <c r="D608" s="2">
        <v>146.0</v>
      </c>
      <c r="E608" s="2">
        <v>24230.0</v>
      </c>
      <c r="F608" s="2" t="s">
        <v>150</v>
      </c>
    </row>
    <row r="609" ht="15.75" customHeight="1">
      <c r="A609" s="4" t="s">
        <v>2389</v>
      </c>
      <c r="B609" s="2" t="s">
        <v>2390</v>
      </c>
      <c r="C609" s="2">
        <v>201.0</v>
      </c>
      <c r="D609" s="2">
        <v>187.0</v>
      </c>
      <c r="E609" s="2">
        <v>29350.0</v>
      </c>
      <c r="F609" s="2" t="s">
        <v>150</v>
      </c>
    </row>
    <row r="610" ht="15.75" customHeight="1">
      <c r="A610" s="4" t="s">
        <v>660</v>
      </c>
      <c r="B610" s="2" t="s">
        <v>661</v>
      </c>
      <c r="C610" s="2">
        <v>299.0</v>
      </c>
      <c r="D610" s="2">
        <v>265.0</v>
      </c>
      <c r="E610" s="2">
        <v>28920.0</v>
      </c>
      <c r="F610" s="2" t="s">
        <v>150</v>
      </c>
    </row>
    <row r="611" ht="15.75" customHeight="1">
      <c r="A611" s="4" t="s">
        <v>662</v>
      </c>
      <c r="B611" s="2" t="s">
        <v>663</v>
      </c>
      <c r="C611" s="2">
        <v>235.0</v>
      </c>
      <c r="D611" s="2">
        <v>241.0</v>
      </c>
      <c r="E611" s="2">
        <v>24000.0</v>
      </c>
      <c r="F611" s="2" t="s">
        <v>150</v>
      </c>
    </row>
    <row r="612" ht="15.75" customHeight="1">
      <c r="A612" s="4" t="s">
        <v>2397</v>
      </c>
      <c r="B612" s="2" t="s">
        <v>2398</v>
      </c>
      <c r="C612" s="2">
        <v>351.0</v>
      </c>
      <c r="D612" s="2">
        <v>339.0</v>
      </c>
      <c r="E612" s="2">
        <v>26210.0</v>
      </c>
      <c r="F612" s="2" t="s">
        <v>150</v>
      </c>
    </row>
    <row r="613" ht="15.75" customHeight="1">
      <c r="A613" s="4" t="s">
        <v>2401</v>
      </c>
      <c r="B613" s="2" t="s">
        <v>2402</v>
      </c>
      <c r="C613" s="2">
        <v>164.0</v>
      </c>
      <c r="D613" s="2">
        <v>144.0</v>
      </c>
      <c r="E613" s="2">
        <v>22570.0</v>
      </c>
      <c r="F613" s="2" t="s">
        <v>150</v>
      </c>
    </row>
    <row r="614" ht="15.75" customHeight="1">
      <c r="A614" s="4" t="s">
        <v>2405</v>
      </c>
      <c r="B614" s="2" t="s">
        <v>2406</v>
      </c>
      <c r="C614" s="2">
        <v>113.0</v>
      </c>
      <c r="D614" s="2">
        <v>135.0</v>
      </c>
      <c r="E614" s="2">
        <v>20140.0</v>
      </c>
      <c r="F614" s="2" t="s">
        <v>150</v>
      </c>
    </row>
    <row r="615" ht="15.75" customHeight="1">
      <c r="A615" s="4" t="s">
        <v>688</v>
      </c>
      <c r="B615" s="2" t="s">
        <v>690</v>
      </c>
      <c r="C615" s="2">
        <v>186.0</v>
      </c>
      <c r="D615" s="2">
        <v>157.0</v>
      </c>
      <c r="E615" s="2">
        <v>22120.0</v>
      </c>
      <c r="F615" s="2" t="s">
        <v>150</v>
      </c>
    </row>
    <row r="616" ht="15.75" customHeight="1">
      <c r="A616" s="4" t="s">
        <v>666</v>
      </c>
      <c r="B616" s="2" t="s">
        <v>667</v>
      </c>
      <c r="C616" s="2">
        <v>772.0</v>
      </c>
      <c r="D616" s="2">
        <v>790.0</v>
      </c>
      <c r="E616" s="2">
        <v>25900.0</v>
      </c>
      <c r="F616" s="2" t="s">
        <v>150</v>
      </c>
    </row>
    <row r="617" ht="15.75" customHeight="1">
      <c r="A617" s="4" t="s">
        <v>2415</v>
      </c>
      <c r="B617" s="2" t="s">
        <v>2418</v>
      </c>
      <c r="C617" s="2">
        <v>359.0</v>
      </c>
      <c r="D617" s="2">
        <v>360.0</v>
      </c>
      <c r="E617" s="2">
        <v>27140.0</v>
      </c>
      <c r="F617" s="2" t="s">
        <v>150</v>
      </c>
    </row>
    <row r="618" ht="15.75" customHeight="1">
      <c r="A618" s="4" t="s">
        <v>2420</v>
      </c>
      <c r="B618" s="2" t="s">
        <v>2422</v>
      </c>
      <c r="C618" s="2">
        <v>201.0</v>
      </c>
      <c r="D618" s="2">
        <v>225.0</v>
      </c>
      <c r="E618" s="2">
        <v>24800.0</v>
      </c>
      <c r="F618" s="2" t="s">
        <v>150</v>
      </c>
    </row>
    <row r="619" ht="15.75" customHeight="1">
      <c r="A619" s="4" t="s">
        <v>2425</v>
      </c>
      <c r="B619" s="2" t="s">
        <v>2426</v>
      </c>
      <c r="C619" s="2">
        <v>63.0</v>
      </c>
      <c r="D619" s="2">
        <v>86.0</v>
      </c>
      <c r="E619" s="2" t="s">
        <v>150</v>
      </c>
      <c r="F619" s="2" t="s">
        <v>150</v>
      </c>
    </row>
    <row r="620" ht="15.75" customHeight="1">
      <c r="A620" s="4" t="s">
        <v>670</v>
      </c>
      <c r="B620" s="2" t="s">
        <v>671</v>
      </c>
      <c r="C620" s="2">
        <v>1982.0</v>
      </c>
      <c r="D620" s="2">
        <v>1931.0</v>
      </c>
      <c r="E620" s="2">
        <v>22440.0</v>
      </c>
      <c r="F620" s="2" t="s">
        <v>150</v>
      </c>
    </row>
    <row r="621" ht="15.75" customHeight="1">
      <c r="A621" s="4" t="s">
        <v>2429</v>
      </c>
      <c r="B621" s="2" t="s">
        <v>2430</v>
      </c>
      <c r="C621" s="2">
        <v>289.0</v>
      </c>
      <c r="D621" s="2">
        <v>299.0</v>
      </c>
      <c r="E621" s="2">
        <v>25310.0</v>
      </c>
      <c r="F621" s="2" t="s">
        <v>150</v>
      </c>
    </row>
    <row r="622" ht="15.75" customHeight="1">
      <c r="A622" s="4" t="s">
        <v>2433</v>
      </c>
      <c r="B622" s="2" t="s">
        <v>2434</v>
      </c>
      <c r="C622" s="2">
        <v>361.0</v>
      </c>
      <c r="D622" s="2">
        <v>359.0</v>
      </c>
      <c r="E622" s="2">
        <v>24650.0</v>
      </c>
      <c r="F622" s="2" t="s">
        <v>150</v>
      </c>
    </row>
    <row r="623" ht="15.75" customHeight="1">
      <c r="A623" s="4" t="s">
        <v>2437</v>
      </c>
      <c r="B623" s="2" t="s">
        <v>2438</v>
      </c>
      <c r="C623" s="2">
        <v>105.0</v>
      </c>
      <c r="D623" s="2">
        <v>88.0</v>
      </c>
      <c r="E623" s="2" t="s">
        <v>150</v>
      </c>
      <c r="F623" s="2" t="s">
        <v>150</v>
      </c>
    </row>
    <row r="624" ht="15.75" customHeight="1">
      <c r="A624" s="4" t="s">
        <v>2441</v>
      </c>
      <c r="B624" s="2" t="s">
        <v>2443</v>
      </c>
      <c r="C624" s="2">
        <v>112.0</v>
      </c>
      <c r="D624" s="2">
        <v>95.0</v>
      </c>
      <c r="E624" s="2" t="s">
        <v>150</v>
      </c>
      <c r="F624" s="2" t="s">
        <v>150</v>
      </c>
    </row>
    <row r="625" ht="15.75" customHeight="1">
      <c r="A625" s="4" t="s">
        <v>2447</v>
      </c>
      <c r="B625" s="2" t="s">
        <v>2449</v>
      </c>
      <c r="C625" s="2">
        <v>504.0</v>
      </c>
      <c r="D625" s="2">
        <v>450.0</v>
      </c>
      <c r="E625" s="2">
        <v>25880.0</v>
      </c>
      <c r="F625" s="2" t="s">
        <v>150</v>
      </c>
    </row>
    <row r="626" ht="15.75" customHeight="1">
      <c r="A626" s="4" t="s">
        <v>2451</v>
      </c>
      <c r="B626" s="2" t="s">
        <v>2454</v>
      </c>
      <c r="C626" s="2">
        <v>82.0</v>
      </c>
      <c r="D626" s="2">
        <v>83.0</v>
      </c>
      <c r="E626" s="2" t="s">
        <v>150</v>
      </c>
      <c r="F626" s="2" t="s">
        <v>150</v>
      </c>
    </row>
    <row r="627" ht="15.75" customHeight="1">
      <c r="A627" s="4" t="s">
        <v>2455</v>
      </c>
      <c r="B627" s="2" t="s">
        <v>2457</v>
      </c>
      <c r="C627" s="2">
        <v>112.0</v>
      </c>
      <c r="D627" s="2">
        <v>155.0</v>
      </c>
      <c r="E627" s="2">
        <v>26000.0</v>
      </c>
      <c r="F627" s="2" t="s">
        <v>150</v>
      </c>
    </row>
    <row r="628" ht="15.75" customHeight="1">
      <c r="A628" s="4" t="s">
        <v>674</v>
      </c>
      <c r="B628" s="2" t="s">
        <v>675</v>
      </c>
      <c r="C628" s="2">
        <v>394.0</v>
      </c>
      <c r="D628" s="2">
        <v>365.0</v>
      </c>
      <c r="E628" s="2">
        <v>30200.0</v>
      </c>
      <c r="F628" s="2" t="s">
        <v>150</v>
      </c>
    </row>
    <row r="629" ht="15.75" customHeight="1">
      <c r="A629" s="4" t="s">
        <v>2463</v>
      </c>
      <c r="B629" s="2" t="s">
        <v>2464</v>
      </c>
      <c r="C629" s="2">
        <v>243.0</v>
      </c>
      <c r="D629" s="2">
        <v>200.0</v>
      </c>
      <c r="E629" s="2">
        <v>22610.0</v>
      </c>
      <c r="F629" s="2" t="s">
        <v>150</v>
      </c>
    </row>
    <row r="630" ht="15.75" customHeight="1">
      <c r="A630" s="4" t="s">
        <v>2467</v>
      </c>
      <c r="B630" s="2" t="s">
        <v>2468</v>
      </c>
      <c r="C630" s="2">
        <v>230.0</v>
      </c>
      <c r="D630" s="2">
        <v>237.0</v>
      </c>
      <c r="E630" s="2">
        <v>27170.0</v>
      </c>
      <c r="F630" s="2" t="s">
        <v>150</v>
      </c>
    </row>
    <row r="631" ht="15.75" customHeight="1">
      <c r="A631" s="4" t="s">
        <v>678</v>
      </c>
      <c r="B631" s="2" t="s">
        <v>679</v>
      </c>
      <c r="C631" s="2">
        <v>510.0</v>
      </c>
      <c r="D631" s="2">
        <v>506.0</v>
      </c>
      <c r="E631" s="2">
        <v>29410.0</v>
      </c>
      <c r="F631" s="2" t="s">
        <v>150</v>
      </c>
    </row>
    <row r="632" ht="15.75" customHeight="1">
      <c r="A632" s="4" t="s">
        <v>2473</v>
      </c>
      <c r="B632" s="2" t="s">
        <v>2475</v>
      </c>
      <c r="C632" s="2">
        <v>39.0</v>
      </c>
      <c r="D632" s="2">
        <v>45.0</v>
      </c>
      <c r="E632" s="2" t="s">
        <v>150</v>
      </c>
      <c r="F632" s="2" t="s">
        <v>150</v>
      </c>
    </row>
    <row r="633" ht="15.75" customHeight="1">
      <c r="A633" s="4" t="s">
        <v>2477</v>
      </c>
      <c r="B633" s="2" t="s">
        <v>2478</v>
      </c>
      <c r="C633" s="2">
        <v>252.0</v>
      </c>
      <c r="D633" s="2">
        <v>226.0</v>
      </c>
      <c r="E633" s="2">
        <v>27040.0</v>
      </c>
      <c r="F633" s="2" t="s">
        <v>150</v>
      </c>
    </row>
    <row r="634" ht="15.75" customHeight="1">
      <c r="A634" s="4" t="s">
        <v>680</v>
      </c>
      <c r="B634" s="2" t="s">
        <v>681</v>
      </c>
      <c r="C634" s="2">
        <v>309.0</v>
      </c>
      <c r="D634" s="2">
        <v>335.0</v>
      </c>
      <c r="E634" s="2">
        <v>24630.0</v>
      </c>
      <c r="F634" s="2" t="s">
        <v>150</v>
      </c>
    </row>
    <row r="635" ht="15.75" customHeight="1">
      <c r="A635" s="4" t="s">
        <v>2485</v>
      </c>
      <c r="B635" s="2" t="s">
        <v>2486</v>
      </c>
      <c r="C635" s="2">
        <v>227.0</v>
      </c>
      <c r="D635" s="2">
        <v>239.0</v>
      </c>
      <c r="E635" s="2">
        <v>26320.0</v>
      </c>
      <c r="F635" s="2" t="s">
        <v>150</v>
      </c>
    </row>
    <row r="636" ht="15.75" customHeight="1">
      <c r="A636" s="4" t="s">
        <v>2489</v>
      </c>
      <c r="B636" s="2" t="s">
        <v>2490</v>
      </c>
      <c r="C636" s="2">
        <v>116.0</v>
      </c>
      <c r="D636" s="2">
        <v>122.0</v>
      </c>
      <c r="E636" s="2">
        <v>28130.0</v>
      </c>
      <c r="F636" s="2" t="s">
        <v>150</v>
      </c>
    </row>
    <row r="637" ht="15.75" customHeight="1">
      <c r="A637" s="4" t="s">
        <v>1801</v>
      </c>
      <c r="B637" s="2" t="s">
        <v>1804</v>
      </c>
      <c r="C637" s="2">
        <v>304.0</v>
      </c>
      <c r="D637" s="2">
        <v>299.0</v>
      </c>
      <c r="E637" s="2">
        <v>26110.0</v>
      </c>
      <c r="F637" s="2" t="s">
        <v>150</v>
      </c>
    </row>
    <row r="638" ht="15.75" customHeight="1">
      <c r="A638" s="4" t="s">
        <v>683</v>
      </c>
      <c r="B638" s="2" t="s">
        <v>684</v>
      </c>
      <c r="C638" s="2">
        <v>1007.0</v>
      </c>
      <c r="D638" s="2">
        <v>917.0</v>
      </c>
      <c r="E638" s="2">
        <v>19720.0</v>
      </c>
      <c r="F638" s="2" t="s">
        <v>150</v>
      </c>
    </row>
    <row r="639" ht="15.75" customHeight="1">
      <c r="A639" s="4" t="s">
        <v>2497</v>
      </c>
      <c r="B639" s="2" t="s">
        <v>2498</v>
      </c>
      <c r="C639" s="2">
        <v>228.0</v>
      </c>
      <c r="D639" s="2">
        <v>202.0</v>
      </c>
      <c r="E639" s="2">
        <v>29730.0</v>
      </c>
      <c r="F639" s="2" t="s">
        <v>150</v>
      </c>
    </row>
    <row r="640" ht="15.75" customHeight="1">
      <c r="A640" s="4" t="s">
        <v>694</v>
      </c>
      <c r="B640" s="2" t="s">
        <v>695</v>
      </c>
      <c r="C640" s="2">
        <v>1043.0</v>
      </c>
      <c r="D640" s="2">
        <v>923.0</v>
      </c>
      <c r="E640" s="2">
        <v>22150.0</v>
      </c>
      <c r="F640" s="2" t="s">
        <v>150</v>
      </c>
    </row>
    <row r="641" ht="15.75" customHeight="1">
      <c r="A641" s="4" t="s">
        <v>2503</v>
      </c>
      <c r="B641" s="2" t="s">
        <v>2504</v>
      </c>
      <c r="C641" s="2">
        <v>156.0</v>
      </c>
      <c r="D641" s="2">
        <v>148.0</v>
      </c>
      <c r="E641" s="2">
        <v>25160.0</v>
      </c>
      <c r="F641" s="2" t="s">
        <v>150</v>
      </c>
    </row>
    <row r="642" ht="15.75" customHeight="1">
      <c r="A642" s="4" t="s">
        <v>2507</v>
      </c>
      <c r="B642" s="2" t="s">
        <v>2508</v>
      </c>
      <c r="C642" s="2">
        <v>291.0</v>
      </c>
      <c r="D642" s="2">
        <v>276.0</v>
      </c>
      <c r="E642" s="2">
        <v>23090.0</v>
      </c>
      <c r="F642" s="2" t="s">
        <v>150</v>
      </c>
    </row>
    <row r="643" ht="15.75" customHeight="1">
      <c r="A643" s="4" t="s">
        <v>2511</v>
      </c>
      <c r="B643" s="2" t="s">
        <v>2512</v>
      </c>
      <c r="C643" s="2">
        <v>267.0</v>
      </c>
      <c r="D643" s="2">
        <v>234.0</v>
      </c>
      <c r="E643" s="2">
        <v>26640.0</v>
      </c>
      <c r="F643" s="2" t="s">
        <v>150</v>
      </c>
    </row>
    <row r="644" ht="15.75" customHeight="1">
      <c r="A644" s="4" t="s">
        <v>698</v>
      </c>
      <c r="B644" s="2" t="s">
        <v>699</v>
      </c>
      <c r="C644" s="2">
        <v>447.0</v>
      </c>
      <c r="D644" s="2">
        <v>441.0</v>
      </c>
      <c r="E644" s="2">
        <v>25300.0</v>
      </c>
      <c r="F644" s="2" t="s">
        <v>150</v>
      </c>
    </row>
    <row r="645" ht="15.75" customHeight="1">
      <c r="A645" s="4" t="s">
        <v>2517</v>
      </c>
      <c r="B645" s="2" t="s">
        <v>2518</v>
      </c>
      <c r="C645" s="2">
        <v>50.0</v>
      </c>
      <c r="D645" s="2">
        <v>44.0</v>
      </c>
      <c r="E645" s="2" t="s">
        <v>150</v>
      </c>
      <c r="F645" s="2" t="s">
        <v>150</v>
      </c>
    </row>
    <row r="646" ht="15.75" customHeight="1">
      <c r="A646" s="4" t="s">
        <v>2522</v>
      </c>
      <c r="B646" s="2" t="s">
        <v>2524</v>
      </c>
      <c r="C646" s="2">
        <v>130.0</v>
      </c>
      <c r="D646" s="2">
        <v>127.0</v>
      </c>
      <c r="E646" s="2">
        <v>24720.0</v>
      </c>
      <c r="F646" s="2" t="s">
        <v>150</v>
      </c>
    </row>
    <row r="647" ht="15.75" customHeight="1">
      <c r="A647" s="4" t="s">
        <v>700</v>
      </c>
      <c r="B647" s="2" t="s">
        <v>701</v>
      </c>
      <c r="C647" s="2">
        <v>1726.0</v>
      </c>
      <c r="D647" s="2">
        <v>1697.0</v>
      </c>
      <c r="E647" s="2">
        <v>23190.0</v>
      </c>
      <c r="F647" s="2" t="s">
        <v>150</v>
      </c>
    </row>
    <row r="648" ht="15.75" customHeight="1">
      <c r="A648" s="4" t="s">
        <v>2529</v>
      </c>
      <c r="B648" s="2" t="s">
        <v>2530</v>
      </c>
      <c r="C648" s="2">
        <v>244.0</v>
      </c>
      <c r="D648" s="2">
        <v>232.0</v>
      </c>
      <c r="E648" s="2">
        <v>24850.0</v>
      </c>
      <c r="F648" s="2" t="s">
        <v>150</v>
      </c>
    </row>
    <row r="649" ht="15.75" customHeight="1">
      <c r="A649" s="4" t="s">
        <v>2533</v>
      </c>
      <c r="B649" s="2" t="s">
        <v>2534</v>
      </c>
      <c r="C649" s="2">
        <v>71.0</v>
      </c>
      <c r="D649" s="2">
        <v>73.0</v>
      </c>
      <c r="E649" s="2" t="s">
        <v>150</v>
      </c>
      <c r="F649" s="2" t="s">
        <v>150</v>
      </c>
    </row>
    <row r="650" ht="15.75" customHeight="1">
      <c r="A650" s="4" t="s">
        <v>2537</v>
      </c>
      <c r="B650" s="2" t="s">
        <v>2538</v>
      </c>
      <c r="C650" s="2">
        <v>148.0</v>
      </c>
      <c r="D650" s="2">
        <v>152.0</v>
      </c>
      <c r="E650" s="2">
        <v>25330.0</v>
      </c>
      <c r="F650" s="2" t="s">
        <v>150</v>
      </c>
    </row>
    <row r="651" ht="15.75" customHeight="1">
      <c r="A651" s="4" t="s">
        <v>702</v>
      </c>
      <c r="B651" s="2" t="s">
        <v>703</v>
      </c>
      <c r="C651" s="2">
        <v>2282.0</v>
      </c>
      <c r="D651" s="2">
        <v>2288.0</v>
      </c>
      <c r="E651" s="2">
        <v>23750.0</v>
      </c>
      <c r="F651" s="2" t="s">
        <v>150</v>
      </c>
    </row>
    <row r="652" ht="15.75" customHeight="1">
      <c r="A652" s="4" t="s">
        <v>2543</v>
      </c>
      <c r="B652" s="2" t="s">
        <v>2545</v>
      </c>
      <c r="C652" s="2">
        <v>267.0</v>
      </c>
      <c r="D652" s="2">
        <v>281.0</v>
      </c>
      <c r="E652" s="2">
        <v>20500.0</v>
      </c>
      <c r="F652" s="2" t="s">
        <v>150</v>
      </c>
    </row>
    <row r="653" ht="15.75" customHeight="1">
      <c r="A653" s="4" t="s">
        <v>2547</v>
      </c>
      <c r="B653" s="2" t="s">
        <v>2549</v>
      </c>
      <c r="C653" s="2">
        <v>112.0</v>
      </c>
      <c r="D653" s="2">
        <v>116.0</v>
      </c>
      <c r="E653" s="2">
        <v>23850.0</v>
      </c>
      <c r="F653" s="2" t="s">
        <v>150</v>
      </c>
    </row>
    <row r="654" ht="15.75" customHeight="1">
      <c r="A654" s="4" t="s">
        <v>2551</v>
      </c>
      <c r="B654" s="2" t="s">
        <v>2554</v>
      </c>
      <c r="C654" s="2">
        <v>115.0</v>
      </c>
      <c r="D654" s="2">
        <v>118.0</v>
      </c>
      <c r="E654" s="2">
        <v>18860.0</v>
      </c>
      <c r="F654" s="2" t="s">
        <v>150</v>
      </c>
    </row>
    <row r="655" ht="15.75" hidden="1" customHeight="1">
      <c r="A655" s="4" t="s">
        <v>706</v>
      </c>
      <c r="B655" s="2" t="s">
        <v>707</v>
      </c>
      <c r="C655" s="2">
        <v>3417.0</v>
      </c>
      <c r="D655" s="2">
        <v>3199.0</v>
      </c>
      <c r="E655" s="2">
        <v>20370.0</v>
      </c>
      <c r="F655" s="2">
        <v>25.0</v>
      </c>
    </row>
    <row r="656" ht="15.75" customHeight="1">
      <c r="A656" s="4" t="s">
        <v>2557</v>
      </c>
      <c r="B656" s="2" t="s">
        <v>2558</v>
      </c>
      <c r="C656" s="2">
        <v>119.0</v>
      </c>
      <c r="D656" s="2">
        <v>110.0</v>
      </c>
      <c r="E656" s="2">
        <v>23310.0</v>
      </c>
      <c r="F656" s="2" t="s">
        <v>150</v>
      </c>
    </row>
    <row r="657" ht="15.75" customHeight="1">
      <c r="A657" s="4" t="s">
        <v>2561</v>
      </c>
      <c r="B657" s="2" t="s">
        <v>2562</v>
      </c>
      <c r="C657" s="2">
        <v>389.0</v>
      </c>
      <c r="D657" s="2">
        <v>370.0</v>
      </c>
      <c r="E657" s="2">
        <v>25730.0</v>
      </c>
      <c r="F657" s="2" t="s">
        <v>150</v>
      </c>
    </row>
    <row r="658" ht="15.75" customHeight="1">
      <c r="A658" s="4" t="s">
        <v>2565</v>
      </c>
      <c r="B658" s="2" t="s">
        <v>2566</v>
      </c>
      <c r="C658" s="2">
        <v>334.0</v>
      </c>
      <c r="D658" s="2">
        <v>328.0</v>
      </c>
      <c r="E658" s="2">
        <v>29740.0</v>
      </c>
      <c r="F658" s="2" t="s">
        <v>150</v>
      </c>
    </row>
    <row r="659" ht="15.75" customHeight="1">
      <c r="A659" s="4" t="s">
        <v>2569</v>
      </c>
      <c r="B659" s="2" t="s">
        <v>2571</v>
      </c>
      <c r="C659" s="2">
        <v>53.0</v>
      </c>
      <c r="D659" s="2">
        <v>39.0</v>
      </c>
      <c r="E659" s="2" t="s">
        <v>150</v>
      </c>
      <c r="F659" s="2" t="s">
        <v>150</v>
      </c>
    </row>
    <row r="660" ht="15.75" customHeight="1">
      <c r="A660" s="4" t="s">
        <v>2573</v>
      </c>
      <c r="B660" s="2" t="s">
        <v>2575</v>
      </c>
      <c r="C660" s="2">
        <v>43.0</v>
      </c>
      <c r="D660" s="2">
        <v>41.0</v>
      </c>
      <c r="E660" s="2" t="s">
        <v>150</v>
      </c>
      <c r="F660" s="2" t="s">
        <v>150</v>
      </c>
    </row>
    <row r="661" ht="15.75" customHeight="1">
      <c r="A661" s="4" t="s">
        <v>2577</v>
      </c>
      <c r="B661" s="2" t="s">
        <v>2579</v>
      </c>
      <c r="C661" s="2">
        <v>82.0</v>
      </c>
      <c r="D661" s="2">
        <v>67.0</v>
      </c>
      <c r="E661" s="2" t="s">
        <v>150</v>
      </c>
      <c r="F661" s="2" t="s">
        <v>150</v>
      </c>
    </row>
    <row r="662" ht="15.75" hidden="1" customHeight="1">
      <c r="A662" s="4" t="s">
        <v>709</v>
      </c>
      <c r="B662" s="2" t="s">
        <v>710</v>
      </c>
      <c r="C662" s="2">
        <v>53816.0</v>
      </c>
      <c r="D662" s="2">
        <v>52813.0</v>
      </c>
      <c r="E662" s="2">
        <v>20470.0</v>
      </c>
      <c r="F662" s="2">
        <v>30.1</v>
      </c>
    </row>
    <row r="663" ht="15.75" customHeight="1">
      <c r="A663" s="4" t="s">
        <v>2583</v>
      </c>
      <c r="B663" s="2" t="s">
        <v>2584</v>
      </c>
      <c r="C663" s="2">
        <v>219.0</v>
      </c>
      <c r="D663" s="2">
        <v>226.0</v>
      </c>
      <c r="E663" s="2">
        <v>26270.0</v>
      </c>
      <c r="F663" s="2" t="s">
        <v>150</v>
      </c>
    </row>
    <row r="664" ht="15.75" customHeight="1">
      <c r="A664" s="4" t="s">
        <v>711</v>
      </c>
      <c r="B664" s="2" t="s">
        <v>713</v>
      </c>
      <c r="C664" s="2">
        <v>635.0</v>
      </c>
      <c r="D664" s="2">
        <v>593.0</v>
      </c>
      <c r="E664" s="2">
        <v>25090.0</v>
      </c>
      <c r="F664" s="2" t="s">
        <v>150</v>
      </c>
    </row>
    <row r="665" ht="15.75" customHeight="1">
      <c r="A665" s="4" t="s">
        <v>2589</v>
      </c>
      <c r="B665" s="2" t="s">
        <v>2590</v>
      </c>
      <c r="C665" s="2">
        <v>80.0</v>
      </c>
      <c r="D665" s="2">
        <v>71.0</v>
      </c>
      <c r="E665" s="2" t="s">
        <v>150</v>
      </c>
      <c r="F665" s="2" t="s">
        <v>150</v>
      </c>
    </row>
    <row r="666" ht="15.75" customHeight="1">
      <c r="A666" s="4" t="s">
        <v>2593</v>
      </c>
      <c r="B666" s="2" t="s">
        <v>2594</v>
      </c>
      <c r="C666" s="2">
        <v>387.0</v>
      </c>
      <c r="D666" s="2">
        <v>384.0</v>
      </c>
      <c r="E666" s="2">
        <v>26730.0</v>
      </c>
      <c r="F666" s="2" t="s">
        <v>150</v>
      </c>
    </row>
    <row r="667" ht="15.75" customHeight="1">
      <c r="A667" s="4" t="s">
        <v>2595</v>
      </c>
      <c r="B667" s="2" t="s">
        <v>2596</v>
      </c>
      <c r="C667" s="2">
        <v>100.0</v>
      </c>
      <c r="D667" s="2">
        <v>101.0</v>
      </c>
      <c r="E667" s="2">
        <v>23250.0</v>
      </c>
      <c r="F667" s="2" t="s">
        <v>150</v>
      </c>
    </row>
    <row r="668" ht="15.75" customHeight="1">
      <c r="A668" s="4" t="s">
        <v>2599</v>
      </c>
      <c r="B668" s="2" t="s">
        <v>2602</v>
      </c>
      <c r="C668" s="2">
        <v>289.0</v>
      </c>
      <c r="D668" s="2">
        <v>266.0</v>
      </c>
      <c r="E668" s="2">
        <v>24110.0</v>
      </c>
      <c r="F668" s="2" t="s">
        <v>150</v>
      </c>
    </row>
    <row r="669" ht="15.75" customHeight="1">
      <c r="A669" s="4" t="s">
        <v>715</v>
      </c>
      <c r="B669" s="2" t="s">
        <v>717</v>
      </c>
      <c r="C669" s="2">
        <v>724.0</v>
      </c>
      <c r="D669" s="2">
        <v>687.0</v>
      </c>
      <c r="E669" s="2">
        <v>25940.0</v>
      </c>
      <c r="F669" s="2" t="s">
        <v>150</v>
      </c>
    </row>
    <row r="670" ht="15.75" customHeight="1">
      <c r="A670" s="4" t="s">
        <v>2607</v>
      </c>
      <c r="B670" s="2" t="s">
        <v>2608</v>
      </c>
      <c r="C670" s="2">
        <v>609.0</v>
      </c>
      <c r="D670" s="2">
        <v>618.0</v>
      </c>
      <c r="E670" s="2">
        <v>27110.0</v>
      </c>
      <c r="F670" s="2" t="s">
        <v>150</v>
      </c>
    </row>
    <row r="671" ht="15.75" customHeight="1">
      <c r="A671" s="4" t="s">
        <v>720</v>
      </c>
      <c r="B671" s="2" t="s">
        <v>721</v>
      </c>
      <c r="C671" s="2">
        <v>1097.0</v>
      </c>
      <c r="D671" s="2">
        <v>1087.0</v>
      </c>
      <c r="E671" s="2">
        <v>23070.0</v>
      </c>
      <c r="F671" s="2" t="s">
        <v>150</v>
      </c>
    </row>
    <row r="672" ht="15.75" customHeight="1">
      <c r="A672" s="4" t="s">
        <v>2613</v>
      </c>
      <c r="B672" s="2" t="s">
        <v>2615</v>
      </c>
      <c r="C672" s="2">
        <v>250.0</v>
      </c>
      <c r="D672" s="2">
        <v>202.0</v>
      </c>
      <c r="E672" s="2">
        <v>23680.0</v>
      </c>
      <c r="F672" s="2" t="s">
        <v>150</v>
      </c>
    </row>
    <row r="673" ht="15.75" customHeight="1">
      <c r="A673" s="4" t="s">
        <v>2146</v>
      </c>
      <c r="B673" s="2" t="s">
        <v>2148</v>
      </c>
      <c r="C673" s="2">
        <v>217.0</v>
      </c>
      <c r="D673" s="2">
        <v>201.0</v>
      </c>
      <c r="E673" s="2">
        <v>24440.0</v>
      </c>
      <c r="F673" s="2" t="s">
        <v>150</v>
      </c>
    </row>
    <row r="674" ht="15.75" customHeight="1">
      <c r="A674" s="4" t="s">
        <v>724</v>
      </c>
      <c r="B674" s="2" t="s">
        <v>725</v>
      </c>
      <c r="C674" s="2">
        <v>560.0</v>
      </c>
      <c r="D674" s="2">
        <v>576.0</v>
      </c>
      <c r="E674" s="2">
        <v>25860.0</v>
      </c>
      <c r="F674" s="2" t="s">
        <v>150</v>
      </c>
    </row>
    <row r="675" ht="15.75" customHeight="1">
      <c r="A675" s="4" t="s">
        <v>2623</v>
      </c>
      <c r="B675" s="2" t="s">
        <v>2624</v>
      </c>
      <c r="C675" s="2">
        <v>179.0</v>
      </c>
      <c r="D675" s="2">
        <v>179.0</v>
      </c>
      <c r="E675" s="2">
        <v>25480.0</v>
      </c>
      <c r="F675" s="2" t="s">
        <v>150</v>
      </c>
    </row>
    <row r="676" ht="15.75" customHeight="1">
      <c r="A676" s="4" t="s">
        <v>2627</v>
      </c>
      <c r="B676" s="2" t="s">
        <v>2628</v>
      </c>
      <c r="C676" s="2">
        <v>209.0</v>
      </c>
      <c r="D676" s="2">
        <v>219.0</v>
      </c>
      <c r="E676" s="2">
        <v>29110.0</v>
      </c>
      <c r="F676" s="2" t="s">
        <v>150</v>
      </c>
    </row>
    <row r="677" ht="15.75" customHeight="1">
      <c r="A677" s="4" t="s">
        <v>2631</v>
      </c>
      <c r="B677" s="2" t="s">
        <v>2633</v>
      </c>
      <c r="C677" s="2">
        <v>405.0</v>
      </c>
      <c r="D677" s="2">
        <v>380.0</v>
      </c>
      <c r="E677" s="2">
        <v>22270.0</v>
      </c>
      <c r="F677" s="2" t="s">
        <v>150</v>
      </c>
    </row>
    <row r="678" ht="15.75" customHeight="1">
      <c r="A678" s="4" t="s">
        <v>2635</v>
      </c>
      <c r="B678" s="2" t="s">
        <v>2638</v>
      </c>
      <c r="C678" s="2">
        <v>769.0</v>
      </c>
      <c r="D678" s="2">
        <v>706.0</v>
      </c>
      <c r="E678" s="2">
        <v>24550.0</v>
      </c>
      <c r="F678" s="2" t="s">
        <v>150</v>
      </c>
    </row>
    <row r="679" ht="15.75" customHeight="1">
      <c r="A679" s="4" t="s">
        <v>2639</v>
      </c>
      <c r="B679" s="2" t="s">
        <v>2641</v>
      </c>
      <c r="C679" s="2">
        <v>309.0</v>
      </c>
      <c r="D679" s="2">
        <v>273.0</v>
      </c>
      <c r="E679" s="2">
        <v>26880.0</v>
      </c>
      <c r="F679" s="2" t="s">
        <v>150</v>
      </c>
    </row>
    <row r="680" ht="15.75" customHeight="1">
      <c r="A680" s="4" t="s">
        <v>2643</v>
      </c>
      <c r="B680" s="2" t="s">
        <v>2645</v>
      </c>
      <c r="C680" s="2">
        <v>151.0</v>
      </c>
      <c r="D680" s="2">
        <v>139.0</v>
      </c>
      <c r="E680" s="2">
        <v>26700.0</v>
      </c>
      <c r="F680" s="2" t="s">
        <v>150</v>
      </c>
    </row>
    <row r="681" ht="15.75" customHeight="1">
      <c r="A681" s="4" t="s">
        <v>2649</v>
      </c>
      <c r="B681" s="2" t="s">
        <v>2650</v>
      </c>
      <c r="C681" s="2">
        <v>276.0</v>
      </c>
      <c r="D681" s="2">
        <v>273.0</v>
      </c>
      <c r="E681" s="2">
        <v>24060.0</v>
      </c>
      <c r="F681" s="2" t="s">
        <v>150</v>
      </c>
    </row>
    <row r="682" ht="15.75" customHeight="1">
      <c r="A682" s="4" t="s">
        <v>2653</v>
      </c>
      <c r="B682" s="2" t="s">
        <v>2656</v>
      </c>
      <c r="C682" s="2">
        <v>349.0</v>
      </c>
      <c r="D682" s="2">
        <v>340.0</v>
      </c>
      <c r="E682" s="2">
        <v>24270.0</v>
      </c>
      <c r="F682" s="2" t="s">
        <v>150</v>
      </c>
    </row>
    <row r="683" ht="15.75" customHeight="1">
      <c r="A683" s="4" t="s">
        <v>2658</v>
      </c>
      <c r="B683" s="2" t="s">
        <v>2660</v>
      </c>
      <c r="C683" s="2">
        <v>52.0</v>
      </c>
      <c r="D683" s="2">
        <v>42.0</v>
      </c>
      <c r="E683" s="2" t="s">
        <v>150</v>
      </c>
      <c r="F683" s="2" t="s">
        <v>150</v>
      </c>
    </row>
    <row r="684" ht="15.75" customHeight="1">
      <c r="A684" s="4" t="s">
        <v>2662</v>
      </c>
      <c r="B684" s="2" t="s">
        <v>2664</v>
      </c>
      <c r="C684" s="2">
        <v>287.0</v>
      </c>
      <c r="D684" s="2">
        <v>287.0</v>
      </c>
      <c r="E684" s="2">
        <v>28140.0</v>
      </c>
      <c r="F684" s="2" t="s">
        <v>150</v>
      </c>
    </row>
    <row r="685" ht="15.75" customHeight="1">
      <c r="A685" s="4" t="s">
        <v>740</v>
      </c>
      <c r="B685" s="2" t="s">
        <v>741</v>
      </c>
      <c r="C685" s="2">
        <v>576.0</v>
      </c>
      <c r="D685" s="2">
        <v>601.0</v>
      </c>
      <c r="E685" s="2">
        <v>25160.0</v>
      </c>
      <c r="F685" s="2" t="s">
        <v>150</v>
      </c>
    </row>
    <row r="686" ht="15.75" customHeight="1">
      <c r="A686" s="4" t="s">
        <v>2669</v>
      </c>
      <c r="B686" s="2" t="s">
        <v>2670</v>
      </c>
      <c r="C686" s="2">
        <v>126.0</v>
      </c>
      <c r="D686" s="2">
        <v>112.0</v>
      </c>
      <c r="E686" s="2">
        <v>27740.0</v>
      </c>
      <c r="F686" s="2" t="s">
        <v>150</v>
      </c>
    </row>
    <row r="687" ht="15.75" hidden="1" customHeight="1">
      <c r="A687" s="4" t="s">
        <v>726</v>
      </c>
      <c r="B687" s="2" t="s">
        <v>727</v>
      </c>
      <c r="C687" s="2">
        <v>2040.0</v>
      </c>
      <c r="D687" s="2">
        <v>2005.0</v>
      </c>
      <c r="E687" s="2">
        <v>24240.0</v>
      </c>
      <c r="F687" s="2">
        <v>15.0</v>
      </c>
    </row>
    <row r="688" ht="15.75" customHeight="1">
      <c r="A688" s="4" t="s">
        <v>728</v>
      </c>
      <c r="B688" s="2" t="s">
        <v>729</v>
      </c>
      <c r="C688" s="2">
        <v>2055.0</v>
      </c>
      <c r="D688" s="2">
        <v>2065.0</v>
      </c>
      <c r="E688" s="2">
        <v>20220.0</v>
      </c>
      <c r="F688" s="2" t="s">
        <v>150</v>
      </c>
    </row>
    <row r="689" ht="15.75" customHeight="1">
      <c r="A689" s="4" t="s">
        <v>732</v>
      </c>
      <c r="B689" s="2" t="s">
        <v>734</v>
      </c>
      <c r="C689" s="2">
        <v>476.0</v>
      </c>
      <c r="D689" s="2">
        <v>505.0</v>
      </c>
      <c r="E689" s="2">
        <v>27050.0</v>
      </c>
      <c r="F689" s="2" t="s">
        <v>150</v>
      </c>
    </row>
    <row r="690" ht="15.75" hidden="1" customHeight="1">
      <c r="A690" s="4" t="s">
        <v>736</v>
      </c>
      <c r="B690" s="2" t="s">
        <v>738</v>
      </c>
      <c r="C690" s="2">
        <v>28530.0</v>
      </c>
      <c r="D690" s="2">
        <v>28046.0</v>
      </c>
      <c r="E690" s="2">
        <v>19970.0</v>
      </c>
      <c r="F690" s="2">
        <v>32.5</v>
      </c>
    </row>
    <row r="691" ht="15.75" customHeight="1">
      <c r="A691" s="4" t="s">
        <v>2683</v>
      </c>
      <c r="B691" s="2" t="s">
        <v>2685</v>
      </c>
      <c r="C691" s="2">
        <v>101.0</v>
      </c>
      <c r="D691" s="2">
        <v>95.0</v>
      </c>
      <c r="E691" s="2" t="s">
        <v>150</v>
      </c>
      <c r="F691" s="2" t="s">
        <v>150</v>
      </c>
    </row>
    <row r="692" ht="15.75" customHeight="1">
      <c r="A692" s="4" t="s">
        <v>2688</v>
      </c>
      <c r="B692" s="2" t="s">
        <v>2690</v>
      </c>
      <c r="C692" s="2">
        <v>61.0</v>
      </c>
      <c r="D692" s="2">
        <v>56.0</v>
      </c>
      <c r="E692" s="2" t="s">
        <v>150</v>
      </c>
      <c r="F692" s="2" t="s">
        <v>150</v>
      </c>
    </row>
    <row r="693" ht="15.75" customHeight="1">
      <c r="A693" s="4" t="s">
        <v>2693</v>
      </c>
      <c r="B693" s="2" t="s">
        <v>2695</v>
      </c>
      <c r="C693" s="2">
        <v>142.0</v>
      </c>
      <c r="D693" s="2">
        <v>134.0</v>
      </c>
      <c r="E693" s="2">
        <v>24180.0</v>
      </c>
      <c r="F693" s="2" t="s">
        <v>150</v>
      </c>
    </row>
    <row r="694" ht="15.75" customHeight="1">
      <c r="A694" s="4" t="s">
        <v>2698</v>
      </c>
      <c r="B694" s="2" t="s">
        <v>2700</v>
      </c>
      <c r="C694" s="2">
        <v>193.0</v>
      </c>
      <c r="D694" s="2">
        <v>178.0</v>
      </c>
      <c r="E694" s="2">
        <v>27070.0</v>
      </c>
      <c r="F694" s="2" t="s">
        <v>150</v>
      </c>
    </row>
    <row r="695" ht="15.75" customHeight="1">
      <c r="A695" s="4" t="s">
        <v>2704</v>
      </c>
      <c r="B695" s="2" t="s">
        <v>2705</v>
      </c>
      <c r="C695" s="2">
        <v>240.0</v>
      </c>
      <c r="D695" s="2">
        <v>205.0</v>
      </c>
      <c r="E695" s="2">
        <v>22030.0</v>
      </c>
      <c r="F695" s="2" t="s">
        <v>150</v>
      </c>
    </row>
    <row r="696" ht="15.75" customHeight="1">
      <c r="A696" s="4" t="s">
        <v>2710</v>
      </c>
      <c r="B696" s="2" t="s">
        <v>2711</v>
      </c>
      <c r="C696" s="2">
        <v>274.0</v>
      </c>
      <c r="D696" s="2">
        <v>266.0</v>
      </c>
      <c r="E696" s="2">
        <v>24590.0</v>
      </c>
      <c r="F696" s="2" t="s">
        <v>150</v>
      </c>
    </row>
    <row r="697" ht="15.75" customHeight="1">
      <c r="A697" s="4" t="s">
        <v>2713</v>
      </c>
      <c r="B697" s="2" t="s">
        <v>2714</v>
      </c>
      <c r="C697" s="2">
        <v>97.0</v>
      </c>
      <c r="D697" s="2">
        <v>74.0</v>
      </c>
      <c r="E697" s="2" t="s">
        <v>150</v>
      </c>
      <c r="F697" s="2" t="s">
        <v>150</v>
      </c>
    </row>
    <row r="698" ht="15.75" customHeight="1">
      <c r="A698" s="4" t="s">
        <v>2716</v>
      </c>
      <c r="B698" s="2" t="s">
        <v>2719</v>
      </c>
      <c r="C698" s="2">
        <v>273.0</v>
      </c>
      <c r="D698" s="2">
        <v>272.0</v>
      </c>
      <c r="E698" s="2">
        <v>23490.0</v>
      </c>
      <c r="F698" s="2" t="s">
        <v>150</v>
      </c>
    </row>
    <row r="699" ht="15.75" customHeight="1">
      <c r="A699" s="4" t="s">
        <v>2323</v>
      </c>
      <c r="B699" s="2" t="s">
        <v>2324</v>
      </c>
      <c r="C699" s="2">
        <v>168.0</v>
      </c>
      <c r="D699" s="2">
        <v>155.0</v>
      </c>
      <c r="E699" s="2">
        <v>26610.0</v>
      </c>
      <c r="F699" s="2" t="s">
        <v>150</v>
      </c>
    </row>
    <row r="700" ht="15.75" customHeight="1">
      <c r="A700" s="4" t="s">
        <v>2724</v>
      </c>
      <c r="B700" s="2" t="s">
        <v>2725</v>
      </c>
      <c r="C700" s="2">
        <v>102.0</v>
      </c>
      <c r="D700" s="2">
        <v>92.0</v>
      </c>
      <c r="E700" s="2" t="s">
        <v>150</v>
      </c>
      <c r="F700" s="2" t="s">
        <v>150</v>
      </c>
    </row>
    <row r="701" ht="15.75" customHeight="1">
      <c r="A701" s="4" t="s">
        <v>2728</v>
      </c>
      <c r="B701" s="2" t="s">
        <v>2730</v>
      </c>
      <c r="C701" s="2">
        <v>276.0</v>
      </c>
      <c r="D701" s="2">
        <v>257.0</v>
      </c>
      <c r="E701" s="2">
        <v>26530.0</v>
      </c>
      <c r="F701" s="2" t="s">
        <v>150</v>
      </c>
    </row>
    <row r="702" ht="15.75" customHeight="1">
      <c r="A702" s="4" t="s">
        <v>2733</v>
      </c>
      <c r="B702" s="2" t="s">
        <v>2735</v>
      </c>
      <c r="C702" s="2">
        <v>16.0</v>
      </c>
      <c r="D702" s="2">
        <v>16.0</v>
      </c>
      <c r="E702" s="2" t="s">
        <v>150</v>
      </c>
      <c r="F702" s="2" t="s">
        <v>150</v>
      </c>
    </row>
    <row r="703" ht="15.75" customHeight="1">
      <c r="A703" s="4" t="s">
        <v>2737</v>
      </c>
      <c r="B703" s="2" t="s">
        <v>2739</v>
      </c>
      <c r="C703" s="2">
        <v>166.0</v>
      </c>
      <c r="D703" s="2">
        <v>162.0</v>
      </c>
      <c r="E703" s="2">
        <v>24560.0</v>
      </c>
      <c r="F703" s="2" t="s">
        <v>150</v>
      </c>
    </row>
    <row r="704" ht="15.75" customHeight="1">
      <c r="A704" s="4" t="s">
        <v>742</v>
      </c>
      <c r="B704" s="2" t="s">
        <v>743</v>
      </c>
      <c r="C704" s="2">
        <v>569.0</v>
      </c>
      <c r="D704" s="2">
        <v>543.0</v>
      </c>
      <c r="E704" s="2">
        <v>22040.0</v>
      </c>
      <c r="F704" s="2" t="s">
        <v>150</v>
      </c>
    </row>
    <row r="705" ht="15.75" hidden="1" customHeight="1">
      <c r="A705" s="4" t="s">
        <v>745</v>
      </c>
      <c r="B705" s="2" t="s">
        <v>746</v>
      </c>
      <c r="C705" s="2">
        <v>13456.0</v>
      </c>
      <c r="D705" s="2">
        <v>13045.0</v>
      </c>
      <c r="E705" s="2">
        <v>20680.0</v>
      </c>
      <c r="F705" s="2">
        <v>27.0</v>
      </c>
    </row>
    <row r="706" ht="15.75" customHeight="1">
      <c r="A706" s="4" t="s">
        <v>2746</v>
      </c>
      <c r="B706" s="2" t="s">
        <v>2747</v>
      </c>
      <c r="C706" s="2">
        <v>330.0</v>
      </c>
      <c r="D706" s="2">
        <v>317.0</v>
      </c>
      <c r="E706" s="2">
        <v>27900.0</v>
      </c>
      <c r="F706" s="2" t="s">
        <v>150</v>
      </c>
    </row>
    <row r="707" ht="15.75" customHeight="1">
      <c r="A707" s="4" t="s">
        <v>2750</v>
      </c>
      <c r="B707" s="2" t="s">
        <v>2751</v>
      </c>
      <c r="C707" s="2">
        <v>220.0</v>
      </c>
      <c r="D707" s="2">
        <v>220.0</v>
      </c>
      <c r="E707" s="2">
        <v>24110.0</v>
      </c>
      <c r="F707" s="2" t="s">
        <v>150</v>
      </c>
    </row>
    <row r="708" ht="15.75" customHeight="1">
      <c r="A708" s="4" t="s">
        <v>750</v>
      </c>
      <c r="B708" s="2" t="s">
        <v>751</v>
      </c>
      <c r="C708" s="2">
        <v>550.0</v>
      </c>
      <c r="D708" s="2">
        <v>541.0</v>
      </c>
      <c r="E708" s="2">
        <v>20410.0</v>
      </c>
      <c r="F708" s="2" t="s">
        <v>150</v>
      </c>
    </row>
    <row r="709" ht="15.75" customHeight="1">
      <c r="A709" s="4" t="s">
        <v>2756</v>
      </c>
      <c r="B709" s="2" t="s">
        <v>2758</v>
      </c>
      <c r="C709" s="2">
        <v>102.0</v>
      </c>
      <c r="D709" s="2">
        <v>122.0</v>
      </c>
      <c r="E709" s="2">
        <v>17360.0</v>
      </c>
      <c r="F709" s="2" t="s">
        <v>150</v>
      </c>
    </row>
    <row r="710" ht="15.75" customHeight="1">
      <c r="A710" s="4" t="s">
        <v>2329</v>
      </c>
      <c r="B710" s="2" t="s">
        <v>2331</v>
      </c>
      <c r="C710" s="2">
        <v>168.0</v>
      </c>
      <c r="D710" s="2">
        <v>158.0</v>
      </c>
      <c r="E710" s="2">
        <v>23210.0</v>
      </c>
      <c r="F710" s="2" t="s">
        <v>150</v>
      </c>
    </row>
    <row r="711" ht="15.75" customHeight="1">
      <c r="A711" s="4" t="s">
        <v>2763</v>
      </c>
      <c r="B711" s="2" t="s">
        <v>2765</v>
      </c>
      <c r="C711" s="2">
        <v>73.0</v>
      </c>
      <c r="D711" s="2">
        <v>81.0</v>
      </c>
      <c r="E711" s="2" t="s">
        <v>150</v>
      </c>
      <c r="F711" s="2" t="s">
        <v>150</v>
      </c>
    </row>
    <row r="712" ht="15.75" customHeight="1">
      <c r="A712" s="4" t="s">
        <v>2768</v>
      </c>
      <c r="B712" s="2" t="s">
        <v>2769</v>
      </c>
      <c r="C712" s="2">
        <v>128.0</v>
      </c>
      <c r="D712" s="2">
        <v>110.0</v>
      </c>
      <c r="E712" s="2">
        <v>22240.0</v>
      </c>
      <c r="F712" s="2" t="s">
        <v>150</v>
      </c>
    </row>
    <row r="713" ht="15.75" customHeight="1">
      <c r="A713" s="4" t="s">
        <v>754</v>
      </c>
      <c r="B713" s="2" t="s">
        <v>755</v>
      </c>
      <c r="C713" s="2">
        <v>670.0</v>
      </c>
      <c r="D713" s="2">
        <v>685.0</v>
      </c>
      <c r="E713" s="2">
        <v>24970.0</v>
      </c>
      <c r="F713" s="2" t="s">
        <v>150</v>
      </c>
    </row>
    <row r="714" ht="15.75" customHeight="1">
      <c r="A714" s="4" t="s">
        <v>2774</v>
      </c>
      <c r="B714" s="2" t="s">
        <v>2776</v>
      </c>
      <c r="C714" s="2">
        <v>85.0</v>
      </c>
      <c r="D714" s="2">
        <v>80.0</v>
      </c>
      <c r="E714" s="2" t="s">
        <v>150</v>
      </c>
      <c r="F714" s="2" t="s">
        <v>150</v>
      </c>
    </row>
    <row r="715" ht="15.75" customHeight="1">
      <c r="A715" s="4" t="s">
        <v>760</v>
      </c>
      <c r="B715" s="2" t="s">
        <v>761</v>
      </c>
      <c r="C715" s="2">
        <v>948.0</v>
      </c>
      <c r="D715" s="2">
        <v>952.0</v>
      </c>
      <c r="E715" s="2">
        <v>27000.0</v>
      </c>
      <c r="F715" s="2" t="s">
        <v>150</v>
      </c>
    </row>
    <row r="716" ht="15.75" customHeight="1">
      <c r="A716" s="4" t="s">
        <v>2781</v>
      </c>
      <c r="B716" s="2" t="s">
        <v>2783</v>
      </c>
      <c r="C716" s="2">
        <v>224.0</v>
      </c>
      <c r="D716" s="2">
        <v>207.0</v>
      </c>
      <c r="E716" s="2">
        <v>27230.0</v>
      </c>
      <c r="F716" s="2" t="s">
        <v>150</v>
      </c>
    </row>
    <row r="717" ht="15.75" customHeight="1">
      <c r="A717" s="4" t="s">
        <v>756</v>
      </c>
      <c r="B717" s="2" t="s">
        <v>757</v>
      </c>
      <c r="C717" s="2">
        <v>613.0</v>
      </c>
      <c r="D717" s="2">
        <v>541.0</v>
      </c>
      <c r="E717" s="2">
        <v>22880.0</v>
      </c>
      <c r="F717" s="2" t="s">
        <v>150</v>
      </c>
    </row>
    <row r="718" ht="15.75" customHeight="1">
      <c r="A718" s="4" t="s">
        <v>2788</v>
      </c>
      <c r="B718" s="2" t="s">
        <v>2789</v>
      </c>
      <c r="C718" s="2">
        <v>145.0</v>
      </c>
      <c r="D718" s="2">
        <v>139.0</v>
      </c>
      <c r="E718" s="2">
        <v>26340.0</v>
      </c>
      <c r="F718" s="2" t="s">
        <v>150</v>
      </c>
    </row>
    <row r="719" ht="15.75" customHeight="1">
      <c r="A719" s="4" t="s">
        <v>762</v>
      </c>
      <c r="B719" s="2" t="s">
        <v>763</v>
      </c>
      <c r="C719" s="2">
        <v>275.0</v>
      </c>
      <c r="D719" s="2">
        <v>282.0</v>
      </c>
      <c r="E719" s="2">
        <v>22060.0</v>
      </c>
      <c r="F719" s="2" t="s">
        <v>150</v>
      </c>
    </row>
    <row r="720" ht="15.75" customHeight="1">
      <c r="A720" s="4" t="s">
        <v>2796</v>
      </c>
      <c r="B720" s="2" t="s">
        <v>2797</v>
      </c>
      <c r="C720" s="2">
        <v>335.0</v>
      </c>
      <c r="D720" s="2">
        <v>341.0</v>
      </c>
      <c r="E720" s="2">
        <v>21600.0</v>
      </c>
      <c r="F720" s="2" t="s">
        <v>150</v>
      </c>
    </row>
    <row r="721" ht="15.75" customHeight="1">
      <c r="A721" s="4" t="s">
        <v>2800</v>
      </c>
      <c r="B721" s="2" t="s">
        <v>2801</v>
      </c>
      <c r="C721" s="2">
        <v>182.0</v>
      </c>
      <c r="D721" s="2">
        <v>187.0</v>
      </c>
      <c r="E721" s="2">
        <v>25270.0</v>
      </c>
      <c r="F721" s="2" t="s">
        <v>150</v>
      </c>
    </row>
    <row r="722" ht="15.75" customHeight="1">
      <c r="A722" s="4" t="s">
        <v>2804</v>
      </c>
      <c r="B722" s="2" t="s">
        <v>2805</v>
      </c>
      <c r="C722" s="2">
        <v>585.0</v>
      </c>
      <c r="D722" s="2">
        <v>534.0</v>
      </c>
      <c r="E722" s="2">
        <v>24930.0</v>
      </c>
      <c r="F722" s="2" t="s">
        <v>150</v>
      </c>
    </row>
    <row r="723" ht="15.75" customHeight="1">
      <c r="A723" s="4" t="s">
        <v>2807</v>
      </c>
      <c r="B723" s="2" t="s">
        <v>2809</v>
      </c>
      <c r="C723" s="2">
        <v>659.0</v>
      </c>
      <c r="D723" s="2">
        <v>687.0</v>
      </c>
      <c r="E723" s="2">
        <v>26520.0</v>
      </c>
      <c r="F723" s="2" t="s">
        <v>150</v>
      </c>
    </row>
    <row r="724" ht="15.75" customHeight="1">
      <c r="A724" s="4" t="s">
        <v>764</v>
      </c>
      <c r="B724" s="2" t="s">
        <v>765</v>
      </c>
      <c r="C724" s="2">
        <v>540.0</v>
      </c>
      <c r="D724" s="2">
        <v>505.0</v>
      </c>
      <c r="E724" s="2">
        <v>21320.0</v>
      </c>
      <c r="F724" s="2" t="s">
        <v>150</v>
      </c>
    </row>
    <row r="725" ht="15.75" hidden="1" customHeight="1">
      <c r="A725" s="4" t="s">
        <v>766</v>
      </c>
      <c r="B725" s="2" t="s">
        <v>767</v>
      </c>
      <c r="C725" s="2">
        <v>2003.0</v>
      </c>
      <c r="D725" s="2">
        <v>2050.0</v>
      </c>
      <c r="E725" s="2">
        <v>23580.0</v>
      </c>
      <c r="F725" s="2">
        <v>18.0</v>
      </c>
    </row>
    <row r="726" ht="15.75" customHeight="1">
      <c r="A726" s="4" t="s">
        <v>2160</v>
      </c>
      <c r="B726" s="2" t="s">
        <v>2162</v>
      </c>
      <c r="C726" s="2">
        <v>365.0</v>
      </c>
      <c r="D726" s="2">
        <v>355.0</v>
      </c>
      <c r="E726" s="2">
        <v>22020.0</v>
      </c>
      <c r="F726" s="2" t="s">
        <v>150</v>
      </c>
    </row>
    <row r="727" ht="15.75" customHeight="1">
      <c r="A727" s="4" t="s">
        <v>2153</v>
      </c>
      <c r="B727" s="2" t="s">
        <v>2154</v>
      </c>
      <c r="C727" s="2">
        <v>148.0</v>
      </c>
      <c r="D727" s="2">
        <v>152.0</v>
      </c>
      <c r="E727" s="2">
        <v>21580.0</v>
      </c>
      <c r="F727" s="2" t="s">
        <v>150</v>
      </c>
    </row>
    <row r="728" ht="15.75" customHeight="1">
      <c r="A728" s="4" t="s">
        <v>2823</v>
      </c>
      <c r="B728" s="2" t="s">
        <v>2825</v>
      </c>
      <c r="C728" s="2">
        <v>197.0</v>
      </c>
      <c r="D728" s="2">
        <v>217.0</v>
      </c>
      <c r="E728" s="2">
        <v>28310.0</v>
      </c>
      <c r="F728" s="2" t="s">
        <v>150</v>
      </c>
    </row>
    <row r="729" ht="15.75" customHeight="1">
      <c r="A729" s="4" t="s">
        <v>2827</v>
      </c>
      <c r="B729" s="2" t="s">
        <v>2829</v>
      </c>
      <c r="C729" s="2">
        <v>151.0</v>
      </c>
      <c r="D729" s="2">
        <v>172.0</v>
      </c>
      <c r="E729" s="2">
        <v>23400.0</v>
      </c>
      <c r="F729" s="2" t="s">
        <v>150</v>
      </c>
    </row>
    <row r="730" ht="15.75" customHeight="1">
      <c r="A730" s="4" t="s">
        <v>2832</v>
      </c>
      <c r="B730" s="2" t="s">
        <v>2833</v>
      </c>
      <c r="C730" s="2">
        <v>215.0</v>
      </c>
      <c r="D730" s="2">
        <v>197.0</v>
      </c>
      <c r="E730" s="2">
        <v>26390.0</v>
      </c>
      <c r="F730" s="2" t="s">
        <v>150</v>
      </c>
    </row>
    <row r="731" ht="15.75" customHeight="1">
      <c r="A731" s="4" t="s">
        <v>2836</v>
      </c>
      <c r="B731" s="2" t="s">
        <v>2837</v>
      </c>
      <c r="C731" s="2">
        <v>87.0</v>
      </c>
      <c r="D731" s="2">
        <v>92.0</v>
      </c>
      <c r="E731" s="2" t="s">
        <v>150</v>
      </c>
      <c r="F731" s="2" t="s">
        <v>150</v>
      </c>
    </row>
    <row r="732" ht="15.75" customHeight="1">
      <c r="A732" s="4" t="s">
        <v>2840</v>
      </c>
      <c r="B732" s="2" t="s">
        <v>2842</v>
      </c>
      <c r="C732" s="2">
        <v>265.0</v>
      </c>
      <c r="D732" s="2">
        <v>230.0</v>
      </c>
      <c r="E732" s="2">
        <v>28130.0</v>
      </c>
      <c r="F732" s="2" t="s">
        <v>150</v>
      </c>
    </row>
    <row r="733" ht="15.75" customHeight="1">
      <c r="A733" s="4" t="s">
        <v>2844</v>
      </c>
      <c r="B733" s="2" t="s">
        <v>2846</v>
      </c>
      <c r="C733" s="2">
        <v>238.0</v>
      </c>
      <c r="D733" s="2">
        <v>237.0</v>
      </c>
      <c r="E733" s="2">
        <v>24950.0</v>
      </c>
      <c r="F733" s="2" t="s">
        <v>150</v>
      </c>
    </row>
    <row r="734" ht="15.75" customHeight="1">
      <c r="A734" s="4" t="s">
        <v>2848</v>
      </c>
      <c r="B734" s="2" t="s">
        <v>2849</v>
      </c>
      <c r="C734" s="2">
        <v>324.0</v>
      </c>
      <c r="D734" s="2">
        <v>323.0</v>
      </c>
      <c r="E734" s="2">
        <v>27760.0</v>
      </c>
      <c r="F734" s="2" t="s">
        <v>150</v>
      </c>
    </row>
    <row r="735" ht="15.75" customHeight="1">
      <c r="A735" s="4" t="s">
        <v>802</v>
      </c>
      <c r="B735" s="2" t="s">
        <v>803</v>
      </c>
      <c r="C735" s="2">
        <v>540.0</v>
      </c>
      <c r="D735" s="2">
        <v>498.0</v>
      </c>
      <c r="E735" s="2">
        <v>25500.0</v>
      </c>
      <c r="F735" s="2" t="s">
        <v>150</v>
      </c>
    </row>
    <row r="736" ht="15.75" customHeight="1">
      <c r="A736" s="4" t="s">
        <v>784</v>
      </c>
      <c r="B736" s="2" t="s">
        <v>791</v>
      </c>
      <c r="C736" s="2">
        <v>923.0</v>
      </c>
      <c r="D736" s="2">
        <v>924.0</v>
      </c>
      <c r="E736" s="2">
        <v>21620.0</v>
      </c>
      <c r="F736" s="2" t="s">
        <v>150</v>
      </c>
    </row>
    <row r="737" ht="15.75" customHeight="1">
      <c r="A737" s="4" t="s">
        <v>2855</v>
      </c>
      <c r="B737" s="2" t="s">
        <v>2857</v>
      </c>
      <c r="C737" s="2">
        <v>786.0</v>
      </c>
      <c r="D737" s="2">
        <v>763.0</v>
      </c>
      <c r="E737" s="2">
        <v>28530.0</v>
      </c>
      <c r="F737" s="2" t="s">
        <v>150</v>
      </c>
    </row>
    <row r="738" ht="15.75" customHeight="1">
      <c r="A738" s="4" t="s">
        <v>2858</v>
      </c>
      <c r="B738" s="2" t="s">
        <v>2859</v>
      </c>
      <c r="C738" s="2">
        <v>153.0</v>
      </c>
      <c r="D738" s="2">
        <v>142.0</v>
      </c>
      <c r="E738" s="2">
        <v>26450.0</v>
      </c>
      <c r="F738" s="2" t="s">
        <v>150</v>
      </c>
    </row>
    <row r="739" ht="15.75" customHeight="1">
      <c r="A739" s="4" t="s">
        <v>2862</v>
      </c>
      <c r="B739" s="2" t="s">
        <v>2863</v>
      </c>
      <c r="C739" s="2">
        <v>39.0</v>
      </c>
      <c r="D739" s="2">
        <v>43.0</v>
      </c>
      <c r="E739" s="2" t="s">
        <v>150</v>
      </c>
      <c r="F739" s="2" t="s">
        <v>150</v>
      </c>
    </row>
    <row r="740" ht="15.75" customHeight="1">
      <c r="A740" s="4" t="s">
        <v>2866</v>
      </c>
      <c r="B740" s="2" t="s">
        <v>2867</v>
      </c>
      <c r="C740" s="2">
        <v>117.0</v>
      </c>
      <c r="D740" s="2">
        <v>123.0</v>
      </c>
      <c r="E740" s="2">
        <v>25190.0</v>
      </c>
      <c r="F740" s="2" t="s">
        <v>150</v>
      </c>
    </row>
    <row r="741" ht="15.75" customHeight="1">
      <c r="A741" s="4" t="s">
        <v>810</v>
      </c>
      <c r="B741" s="2" t="s">
        <v>812</v>
      </c>
      <c r="C741" s="2">
        <v>951.0</v>
      </c>
      <c r="D741" s="2">
        <v>923.0</v>
      </c>
      <c r="E741" s="2">
        <v>25310.0</v>
      </c>
      <c r="F741" s="2" t="s">
        <v>150</v>
      </c>
    </row>
    <row r="742" ht="15.75" customHeight="1">
      <c r="A742" s="4" t="s">
        <v>2872</v>
      </c>
      <c r="B742" s="2" t="s">
        <v>2873</v>
      </c>
      <c r="C742" s="2">
        <v>556.0</v>
      </c>
      <c r="D742" s="2">
        <v>585.0</v>
      </c>
      <c r="E742" s="2">
        <v>22980.0</v>
      </c>
      <c r="F742" s="2" t="s">
        <v>150</v>
      </c>
    </row>
    <row r="743" ht="15.75" customHeight="1">
      <c r="A743" s="4" t="s">
        <v>2876</v>
      </c>
      <c r="B743" s="2" t="s">
        <v>2877</v>
      </c>
      <c r="C743" s="2">
        <v>160.0</v>
      </c>
      <c r="D743" s="2">
        <v>133.0</v>
      </c>
      <c r="E743" s="2">
        <v>25910.0</v>
      </c>
      <c r="F743" s="2" t="s">
        <v>150</v>
      </c>
    </row>
    <row r="744" ht="15.75" customHeight="1">
      <c r="A744" s="4" t="s">
        <v>2880</v>
      </c>
      <c r="B744" s="2" t="s">
        <v>2882</v>
      </c>
      <c r="C744" s="2">
        <v>102.0</v>
      </c>
      <c r="D744" s="2">
        <v>101.0</v>
      </c>
      <c r="E744" s="2" t="s">
        <v>150</v>
      </c>
      <c r="F744" s="2" t="s">
        <v>150</v>
      </c>
    </row>
    <row r="745" ht="15.75" customHeight="1">
      <c r="A745" s="4" t="s">
        <v>2885</v>
      </c>
      <c r="B745" s="2" t="s">
        <v>2887</v>
      </c>
      <c r="C745" s="2">
        <v>223.0</v>
      </c>
      <c r="D745" s="2">
        <v>229.0</v>
      </c>
      <c r="E745" s="2">
        <v>20540.0</v>
      </c>
      <c r="F745" s="2" t="s">
        <v>150</v>
      </c>
    </row>
    <row r="746" ht="15.75" customHeight="1">
      <c r="A746" s="4" t="s">
        <v>815</v>
      </c>
      <c r="B746" s="2" t="s">
        <v>816</v>
      </c>
      <c r="C746" s="2">
        <v>1378.0</v>
      </c>
      <c r="D746" s="2">
        <v>1324.0</v>
      </c>
      <c r="E746" s="2">
        <v>22590.0</v>
      </c>
      <c r="F746" s="2" t="s">
        <v>150</v>
      </c>
    </row>
    <row r="747" ht="15.75" customHeight="1">
      <c r="A747" s="4" t="s">
        <v>819</v>
      </c>
      <c r="B747" s="2" t="s">
        <v>821</v>
      </c>
      <c r="C747" s="2">
        <v>461.0</v>
      </c>
      <c r="D747" s="2">
        <v>443.0</v>
      </c>
      <c r="E747" s="2">
        <v>25710.0</v>
      </c>
      <c r="F747" s="2" t="s">
        <v>150</v>
      </c>
    </row>
    <row r="748" ht="15.75" customHeight="1">
      <c r="A748" s="4" t="s">
        <v>2337</v>
      </c>
      <c r="B748" s="2" t="s">
        <v>2339</v>
      </c>
      <c r="C748" s="2">
        <v>219.0</v>
      </c>
      <c r="D748" s="2">
        <v>212.0</v>
      </c>
      <c r="E748" s="2">
        <v>23320.0</v>
      </c>
      <c r="F748" s="2" t="s">
        <v>150</v>
      </c>
    </row>
    <row r="749" ht="15.75" customHeight="1">
      <c r="A749" s="4" t="s">
        <v>1811</v>
      </c>
      <c r="B749" s="2" t="s">
        <v>1813</v>
      </c>
      <c r="C749" s="2">
        <v>138.0</v>
      </c>
      <c r="D749" s="2">
        <v>124.0</v>
      </c>
      <c r="E749" s="2">
        <v>20880.0</v>
      </c>
      <c r="F749" s="2" t="s">
        <v>150</v>
      </c>
    </row>
    <row r="750" ht="15.75" customHeight="1">
      <c r="A750" s="4" t="s">
        <v>2900</v>
      </c>
      <c r="B750" s="2" t="s">
        <v>2902</v>
      </c>
      <c r="C750" s="2">
        <v>149.0</v>
      </c>
      <c r="D750" s="2">
        <v>155.0</v>
      </c>
      <c r="E750" s="2">
        <v>22890.0</v>
      </c>
      <c r="F750" s="2" t="s">
        <v>150</v>
      </c>
    </row>
    <row r="751" ht="15.75" customHeight="1">
      <c r="A751" s="4" t="s">
        <v>828</v>
      </c>
      <c r="B751" s="2" t="s">
        <v>830</v>
      </c>
      <c r="C751" s="2">
        <v>1092.0</v>
      </c>
      <c r="D751" s="2">
        <v>1104.0</v>
      </c>
      <c r="E751" s="2">
        <v>24550.0</v>
      </c>
      <c r="F751" s="2" t="s">
        <v>150</v>
      </c>
    </row>
    <row r="752" ht="15.75" customHeight="1">
      <c r="A752" s="4" t="s">
        <v>2908</v>
      </c>
      <c r="B752" s="2" t="s">
        <v>2909</v>
      </c>
      <c r="C752" s="2">
        <v>129.0</v>
      </c>
      <c r="D752" s="2">
        <v>139.0</v>
      </c>
      <c r="E752" s="2">
        <v>24500.0</v>
      </c>
      <c r="F752" s="2" t="s">
        <v>150</v>
      </c>
    </row>
    <row r="753" ht="15.75" customHeight="1">
      <c r="A753" s="4" t="s">
        <v>831</v>
      </c>
      <c r="B753" s="2" t="s">
        <v>832</v>
      </c>
      <c r="C753" s="2">
        <v>254.0</v>
      </c>
      <c r="D753" s="2">
        <v>249.0</v>
      </c>
      <c r="E753" s="2">
        <v>26430.0</v>
      </c>
      <c r="F753" s="2" t="s">
        <v>150</v>
      </c>
    </row>
    <row r="754" ht="15.75" customHeight="1">
      <c r="A754" s="4" t="s">
        <v>836</v>
      </c>
      <c r="B754" s="2" t="s">
        <v>838</v>
      </c>
      <c r="C754" s="2">
        <v>468.0</v>
      </c>
      <c r="D754" s="2">
        <v>470.0</v>
      </c>
      <c r="E754" s="2">
        <v>24310.0</v>
      </c>
      <c r="F754" s="2" t="s">
        <v>150</v>
      </c>
    </row>
    <row r="755" ht="15.75" hidden="1" customHeight="1">
      <c r="A755" s="4" t="s">
        <v>839</v>
      </c>
      <c r="B755" s="2" t="s">
        <v>841</v>
      </c>
      <c r="C755" s="2">
        <v>2552.0</v>
      </c>
      <c r="D755" s="2">
        <v>2549.0</v>
      </c>
      <c r="E755" s="2">
        <v>20340.0</v>
      </c>
      <c r="F755" s="2">
        <v>27.0</v>
      </c>
    </row>
    <row r="756" ht="15.75" customHeight="1">
      <c r="A756" s="4" t="s">
        <v>2917</v>
      </c>
      <c r="B756" s="2" t="s">
        <v>2918</v>
      </c>
      <c r="C756" s="2">
        <v>231.0</v>
      </c>
      <c r="D756" s="2">
        <v>235.0</v>
      </c>
      <c r="E756" s="2">
        <v>25580.0</v>
      </c>
      <c r="F756" s="2" t="s">
        <v>150</v>
      </c>
    </row>
    <row r="757" ht="15.75" customHeight="1">
      <c r="A757" s="4" t="s">
        <v>2920</v>
      </c>
      <c r="B757" s="2" t="s">
        <v>2921</v>
      </c>
      <c r="C757" s="2">
        <v>242.0</v>
      </c>
      <c r="D757" s="2">
        <v>270.0</v>
      </c>
      <c r="E757" s="2">
        <v>25820.0</v>
      </c>
      <c r="F757" s="2" t="s">
        <v>150</v>
      </c>
    </row>
    <row r="758" ht="15.75" customHeight="1">
      <c r="A758" s="4" t="s">
        <v>2922</v>
      </c>
      <c r="B758" s="2" t="s">
        <v>2923</v>
      </c>
      <c r="C758" s="2">
        <v>155.0</v>
      </c>
      <c r="D758" s="2">
        <v>155.0</v>
      </c>
      <c r="E758" s="2">
        <v>24690.0</v>
      </c>
      <c r="F758" s="2" t="s">
        <v>150</v>
      </c>
    </row>
    <row r="759" ht="15.75" customHeight="1">
      <c r="A759" s="4" t="s">
        <v>2924</v>
      </c>
      <c r="B759" s="2" t="s">
        <v>2925</v>
      </c>
      <c r="C759" s="2">
        <v>125.0</v>
      </c>
      <c r="D759" s="2">
        <v>113.0</v>
      </c>
      <c r="E759" s="2">
        <v>27340.0</v>
      </c>
      <c r="F759" s="2" t="s">
        <v>150</v>
      </c>
    </row>
    <row r="760" ht="15.75" customHeight="1">
      <c r="A760" s="4" t="s">
        <v>2926</v>
      </c>
      <c r="B760" s="2" t="s">
        <v>2927</v>
      </c>
      <c r="C760" s="2">
        <v>185.0</v>
      </c>
      <c r="D760" s="2">
        <v>181.0</v>
      </c>
      <c r="E760" s="2">
        <v>27300.0</v>
      </c>
      <c r="F760" s="2" t="s">
        <v>150</v>
      </c>
    </row>
    <row r="761" ht="15.75" customHeight="1">
      <c r="A761" s="4" t="s">
        <v>844</v>
      </c>
      <c r="B761" s="2" t="s">
        <v>846</v>
      </c>
      <c r="C761" s="2">
        <v>1645.0</v>
      </c>
      <c r="D761" s="2">
        <v>1608.0</v>
      </c>
      <c r="E761" s="2">
        <v>24090.0</v>
      </c>
      <c r="F761" s="2" t="s">
        <v>150</v>
      </c>
    </row>
    <row r="762" ht="15.75" customHeight="1">
      <c r="A762" s="4" t="s">
        <v>2928</v>
      </c>
      <c r="B762" s="2" t="s">
        <v>2929</v>
      </c>
      <c r="C762" s="2">
        <v>87.0</v>
      </c>
      <c r="D762" s="2">
        <v>93.0</v>
      </c>
      <c r="E762" s="2" t="s">
        <v>150</v>
      </c>
      <c r="F762" s="2" t="s">
        <v>150</v>
      </c>
    </row>
    <row r="763" ht="15.75" customHeight="1">
      <c r="A763" s="4" t="s">
        <v>2930</v>
      </c>
      <c r="B763" s="2" t="s">
        <v>2931</v>
      </c>
      <c r="C763" s="2">
        <v>179.0</v>
      </c>
      <c r="D763" s="2">
        <v>166.0</v>
      </c>
      <c r="E763" s="2">
        <v>25060.0</v>
      </c>
      <c r="F763" s="2" t="s">
        <v>150</v>
      </c>
    </row>
    <row r="764" ht="15.75" customHeight="1">
      <c r="A764" s="4" t="s">
        <v>855</v>
      </c>
      <c r="B764" s="2" t="s">
        <v>857</v>
      </c>
      <c r="C764" s="2">
        <v>1234.0</v>
      </c>
      <c r="D764" s="2">
        <v>1192.0</v>
      </c>
      <c r="E764" s="2">
        <v>24770.0</v>
      </c>
      <c r="F764" s="2" t="s">
        <v>150</v>
      </c>
    </row>
    <row r="765" ht="15.75" customHeight="1">
      <c r="A765" s="4" t="s">
        <v>863</v>
      </c>
      <c r="B765" s="2" t="s">
        <v>864</v>
      </c>
      <c r="C765" s="2">
        <v>435.0</v>
      </c>
      <c r="D765" s="2">
        <v>384.0</v>
      </c>
      <c r="E765" s="2">
        <v>24280.0</v>
      </c>
      <c r="F765" s="2" t="s">
        <v>150</v>
      </c>
    </row>
    <row r="766" ht="15.75" customHeight="1">
      <c r="A766" s="4" t="s">
        <v>2933</v>
      </c>
      <c r="B766" s="2" t="s">
        <v>2937</v>
      </c>
      <c r="C766" s="2">
        <v>320.0</v>
      </c>
      <c r="D766" s="2">
        <v>310.0</v>
      </c>
      <c r="E766" s="2">
        <v>27330.0</v>
      </c>
      <c r="F766" s="2" t="s">
        <v>150</v>
      </c>
    </row>
    <row r="767" ht="15.75" customHeight="1">
      <c r="A767" s="4" t="s">
        <v>2940</v>
      </c>
      <c r="B767" s="2" t="s">
        <v>2941</v>
      </c>
      <c r="C767" s="2">
        <v>268.0</v>
      </c>
      <c r="D767" s="2">
        <v>262.0</v>
      </c>
      <c r="E767" s="2">
        <v>23700.0</v>
      </c>
      <c r="F767" s="2" t="s">
        <v>150</v>
      </c>
    </row>
    <row r="768" ht="15.75" customHeight="1">
      <c r="A768" s="4" t="s">
        <v>2167</v>
      </c>
      <c r="B768" s="2" t="s">
        <v>2169</v>
      </c>
      <c r="C768" s="2">
        <v>207.0</v>
      </c>
      <c r="D768" s="2">
        <v>204.0</v>
      </c>
      <c r="E768" s="2">
        <v>23590.0</v>
      </c>
      <c r="F768" s="2" t="s">
        <v>150</v>
      </c>
    </row>
    <row r="769" ht="15.75" customHeight="1">
      <c r="A769" s="4" t="s">
        <v>2178</v>
      </c>
      <c r="B769" s="2" t="s">
        <v>2180</v>
      </c>
      <c r="C769" s="2">
        <v>143.0</v>
      </c>
      <c r="D769" s="2">
        <v>150.0</v>
      </c>
      <c r="E769" s="2">
        <v>28010.0</v>
      </c>
      <c r="F769" s="2" t="s">
        <v>150</v>
      </c>
    </row>
    <row r="770" ht="15.75" customHeight="1">
      <c r="A770" s="4" t="s">
        <v>2948</v>
      </c>
      <c r="B770" s="2" t="s">
        <v>2951</v>
      </c>
      <c r="C770" s="2">
        <v>186.0</v>
      </c>
      <c r="D770" s="2">
        <v>219.0</v>
      </c>
      <c r="E770" s="2">
        <v>24710.0</v>
      </c>
      <c r="F770" s="2" t="s">
        <v>150</v>
      </c>
    </row>
    <row r="771" ht="15.75" hidden="1" customHeight="1">
      <c r="A771" s="4" t="s">
        <v>867</v>
      </c>
      <c r="B771" s="2" t="s">
        <v>868</v>
      </c>
      <c r="C771" s="2">
        <v>2490.0</v>
      </c>
      <c r="D771" s="2">
        <v>2616.0</v>
      </c>
      <c r="E771" s="2">
        <v>22730.0</v>
      </c>
      <c r="F771" s="2">
        <v>22.0</v>
      </c>
    </row>
    <row r="772" ht="15.75" customHeight="1">
      <c r="A772" s="4" t="s">
        <v>2956</v>
      </c>
      <c r="B772" s="2" t="s">
        <v>2957</v>
      </c>
      <c r="C772" s="2">
        <v>285.0</v>
      </c>
      <c r="D772" s="2">
        <v>277.0</v>
      </c>
      <c r="E772" s="2">
        <v>24150.0</v>
      </c>
      <c r="F772" s="2" t="s">
        <v>150</v>
      </c>
    </row>
    <row r="773" ht="15.75" customHeight="1">
      <c r="A773" s="4" t="s">
        <v>890</v>
      </c>
      <c r="B773" s="2" t="s">
        <v>891</v>
      </c>
      <c r="C773" s="2">
        <v>646.0</v>
      </c>
      <c r="D773" s="2">
        <v>684.0</v>
      </c>
      <c r="E773" s="2">
        <v>27550.0</v>
      </c>
      <c r="F773" s="2" t="s">
        <v>150</v>
      </c>
    </row>
    <row r="774" ht="15.75" customHeight="1">
      <c r="A774" s="4" t="s">
        <v>2962</v>
      </c>
      <c r="B774" s="2" t="s">
        <v>2964</v>
      </c>
      <c r="C774" s="2">
        <v>300.0</v>
      </c>
      <c r="D774" s="2">
        <v>263.0</v>
      </c>
      <c r="E774" s="2">
        <v>22270.0</v>
      </c>
      <c r="F774" s="2" t="s">
        <v>150</v>
      </c>
    </row>
    <row r="775" ht="15.75" customHeight="1">
      <c r="A775" s="4" t="s">
        <v>2968</v>
      </c>
      <c r="B775" s="2" t="s">
        <v>2969</v>
      </c>
      <c r="C775" s="2">
        <v>74.0</v>
      </c>
      <c r="D775" s="2">
        <v>75.0</v>
      </c>
      <c r="E775" s="2" t="s">
        <v>150</v>
      </c>
      <c r="F775" s="2" t="s">
        <v>150</v>
      </c>
    </row>
    <row r="776" ht="15.75" hidden="1" customHeight="1">
      <c r="A776" s="4" t="s">
        <v>894</v>
      </c>
      <c r="B776" s="2" t="s">
        <v>896</v>
      </c>
      <c r="C776" s="2">
        <v>10872.0</v>
      </c>
      <c r="D776" s="2">
        <v>10489.0</v>
      </c>
      <c r="E776" s="2">
        <v>22720.0</v>
      </c>
      <c r="F776" s="2">
        <v>20.0</v>
      </c>
    </row>
    <row r="777" ht="15.75" customHeight="1">
      <c r="A777" s="4" t="s">
        <v>2974</v>
      </c>
      <c r="B777" s="2" t="s">
        <v>2975</v>
      </c>
      <c r="C777" s="2">
        <v>217.0</v>
      </c>
      <c r="D777" s="2">
        <v>193.0</v>
      </c>
      <c r="E777" s="2">
        <v>27860.0</v>
      </c>
      <c r="F777" s="2" t="s">
        <v>150</v>
      </c>
    </row>
    <row r="778" ht="15.75" customHeight="1">
      <c r="A778" s="4" t="s">
        <v>2978</v>
      </c>
      <c r="B778" s="2" t="s">
        <v>2979</v>
      </c>
      <c r="C778" s="2">
        <v>267.0</v>
      </c>
      <c r="D778" s="2">
        <v>262.0</v>
      </c>
      <c r="E778" s="2">
        <v>23750.0</v>
      </c>
      <c r="F778" s="2" t="s">
        <v>150</v>
      </c>
    </row>
    <row r="779" ht="15.75" customHeight="1">
      <c r="A779" s="4" t="s">
        <v>2982</v>
      </c>
      <c r="B779" s="2" t="s">
        <v>2983</v>
      </c>
      <c r="C779" s="2">
        <v>169.0</v>
      </c>
      <c r="D779" s="2">
        <v>166.0</v>
      </c>
      <c r="E779" s="2">
        <v>27160.0</v>
      </c>
      <c r="F779" s="2" t="s">
        <v>150</v>
      </c>
    </row>
    <row r="780" ht="15.75" customHeight="1">
      <c r="A780" s="4" t="s">
        <v>897</v>
      </c>
      <c r="B780" s="2" t="s">
        <v>898</v>
      </c>
      <c r="C780" s="2">
        <v>435.0</v>
      </c>
      <c r="D780" s="2">
        <v>418.0</v>
      </c>
      <c r="E780" s="2">
        <v>26060.0</v>
      </c>
      <c r="F780" s="2" t="s">
        <v>150</v>
      </c>
    </row>
    <row r="781" ht="15.75" customHeight="1">
      <c r="A781" s="4" t="s">
        <v>903</v>
      </c>
      <c r="B781" s="2" t="s">
        <v>905</v>
      </c>
      <c r="C781" s="2">
        <v>527.0</v>
      </c>
      <c r="D781" s="2">
        <v>508.0</v>
      </c>
      <c r="E781" s="2">
        <v>24750.0</v>
      </c>
      <c r="F781" s="2" t="s">
        <v>150</v>
      </c>
    </row>
    <row r="782" ht="15.75" customHeight="1">
      <c r="A782" s="4" t="s">
        <v>2986</v>
      </c>
      <c r="B782" s="2" t="s">
        <v>2987</v>
      </c>
      <c r="C782" s="2">
        <v>82.0</v>
      </c>
      <c r="D782" s="2">
        <v>84.0</v>
      </c>
      <c r="E782" s="2" t="s">
        <v>150</v>
      </c>
      <c r="F782" s="2" t="s">
        <v>150</v>
      </c>
    </row>
    <row r="783" ht="15.75" customHeight="1">
      <c r="A783" s="4" t="s">
        <v>908</v>
      </c>
      <c r="B783" s="2" t="s">
        <v>910</v>
      </c>
      <c r="C783" s="2">
        <v>1127.0</v>
      </c>
      <c r="D783" s="2">
        <v>997.0</v>
      </c>
      <c r="E783" s="2">
        <v>26790.0</v>
      </c>
      <c r="F783" s="2" t="s">
        <v>150</v>
      </c>
    </row>
    <row r="784" ht="15.75" customHeight="1">
      <c r="A784" s="4" t="s">
        <v>2992</v>
      </c>
      <c r="B784" s="2" t="s">
        <v>2994</v>
      </c>
      <c r="C784" s="2">
        <v>117.0</v>
      </c>
      <c r="D784" s="2">
        <v>101.0</v>
      </c>
      <c r="E784" s="2" t="s">
        <v>150</v>
      </c>
      <c r="F784" s="2" t="s">
        <v>150</v>
      </c>
    </row>
    <row r="785" ht="15.75" customHeight="1">
      <c r="A785" s="4" t="s">
        <v>913</v>
      </c>
      <c r="B785" s="2" t="s">
        <v>915</v>
      </c>
      <c r="C785" s="2">
        <v>1695.0</v>
      </c>
      <c r="D785" s="2">
        <v>1651.0</v>
      </c>
      <c r="E785" s="2">
        <v>26210.0</v>
      </c>
      <c r="F785" s="2" t="s">
        <v>150</v>
      </c>
    </row>
    <row r="786" ht="15.75" customHeight="1">
      <c r="A786" s="4" t="s">
        <v>919</v>
      </c>
      <c r="B786" s="2" t="s">
        <v>920</v>
      </c>
      <c r="C786" s="2">
        <v>698.0</v>
      </c>
      <c r="D786" s="2">
        <v>654.0</v>
      </c>
      <c r="E786" s="2">
        <v>25200.0</v>
      </c>
      <c r="F786" s="2" t="s">
        <v>150</v>
      </c>
    </row>
    <row r="787" ht="15.75" customHeight="1">
      <c r="A787" s="4" t="s">
        <v>3000</v>
      </c>
      <c r="B787" s="2" t="s">
        <v>3001</v>
      </c>
      <c r="C787" s="2">
        <v>394.0</v>
      </c>
      <c r="D787" s="2">
        <v>403.0</v>
      </c>
      <c r="E787" s="2">
        <v>28240.0</v>
      </c>
      <c r="F787" s="2" t="s">
        <v>150</v>
      </c>
    </row>
    <row r="788" ht="15.75" customHeight="1">
      <c r="A788" s="4" t="s">
        <v>3004</v>
      </c>
      <c r="B788" s="2" t="s">
        <v>3006</v>
      </c>
      <c r="C788" s="2">
        <v>73.0</v>
      </c>
      <c r="D788" s="2">
        <v>70.0</v>
      </c>
      <c r="E788" s="2" t="s">
        <v>150</v>
      </c>
      <c r="F788" s="2" t="s">
        <v>150</v>
      </c>
    </row>
    <row r="789" ht="15.75" customHeight="1">
      <c r="A789" s="4" t="s">
        <v>3008</v>
      </c>
      <c r="B789" s="2" t="s">
        <v>3010</v>
      </c>
      <c r="C789" s="2">
        <v>370.0</v>
      </c>
      <c r="D789" s="2">
        <v>383.0</v>
      </c>
      <c r="E789" s="2">
        <v>28650.0</v>
      </c>
      <c r="F789" s="2" t="s">
        <v>150</v>
      </c>
    </row>
    <row r="790" ht="15.75" customHeight="1">
      <c r="A790" s="4" t="s">
        <v>3012</v>
      </c>
      <c r="B790" s="2" t="s">
        <v>3015</v>
      </c>
      <c r="C790" s="2">
        <v>372.0</v>
      </c>
      <c r="D790" s="2">
        <v>348.0</v>
      </c>
      <c r="E790" s="2">
        <v>23850.0</v>
      </c>
      <c r="F790" s="2" t="s">
        <v>150</v>
      </c>
    </row>
    <row r="791" ht="15.75" customHeight="1">
      <c r="A791" s="4" t="s">
        <v>925</v>
      </c>
      <c r="B791" s="2" t="s">
        <v>926</v>
      </c>
      <c r="C791" s="2">
        <v>324.0</v>
      </c>
      <c r="D791" s="2">
        <v>312.0</v>
      </c>
      <c r="E791" s="2">
        <v>24010.0</v>
      </c>
      <c r="F791" s="2" t="s">
        <v>150</v>
      </c>
    </row>
    <row r="792" ht="15.75" customHeight="1">
      <c r="A792" s="4" t="s">
        <v>3019</v>
      </c>
      <c r="B792" s="2" t="s">
        <v>3020</v>
      </c>
      <c r="C792" s="2">
        <v>93.0</v>
      </c>
      <c r="D792" s="2">
        <v>89.0</v>
      </c>
      <c r="E792" s="2" t="s">
        <v>150</v>
      </c>
      <c r="F792" s="2" t="s">
        <v>150</v>
      </c>
    </row>
    <row r="793" ht="15.75" customHeight="1">
      <c r="A793" s="4" t="s">
        <v>3023</v>
      </c>
      <c r="B793" s="2" t="s">
        <v>3024</v>
      </c>
      <c r="C793" s="2">
        <v>43.0</v>
      </c>
      <c r="D793" s="2">
        <v>43.0</v>
      </c>
      <c r="E793" s="2" t="s">
        <v>150</v>
      </c>
      <c r="F793" s="2" t="s">
        <v>150</v>
      </c>
    </row>
    <row r="794" ht="15.75" customHeight="1">
      <c r="A794" s="4" t="s">
        <v>929</v>
      </c>
      <c r="B794" s="2" t="s">
        <v>930</v>
      </c>
      <c r="C794" s="2">
        <v>959.0</v>
      </c>
      <c r="D794" s="2">
        <v>927.0</v>
      </c>
      <c r="E794" s="2">
        <v>21480.0</v>
      </c>
      <c r="F794" s="2" t="s">
        <v>150</v>
      </c>
    </row>
    <row r="795" ht="15.75" customHeight="1">
      <c r="A795" s="4" t="s">
        <v>3028</v>
      </c>
      <c r="B795" s="2" t="s">
        <v>3030</v>
      </c>
      <c r="C795" s="2">
        <v>379.0</v>
      </c>
      <c r="D795" s="2">
        <v>350.0</v>
      </c>
      <c r="E795" s="2">
        <v>22810.0</v>
      </c>
      <c r="F795" s="2" t="s">
        <v>150</v>
      </c>
    </row>
    <row r="796" ht="15.75" customHeight="1">
      <c r="A796" s="4" t="s">
        <v>3032</v>
      </c>
      <c r="B796" s="2" t="s">
        <v>3033</v>
      </c>
      <c r="C796" s="2">
        <v>200.0</v>
      </c>
      <c r="D796" s="2">
        <v>179.0</v>
      </c>
      <c r="E796" s="2">
        <v>23290.0</v>
      </c>
      <c r="F796" s="2" t="s">
        <v>150</v>
      </c>
    </row>
    <row r="797" ht="15.75" customHeight="1">
      <c r="A797" s="4" t="s">
        <v>3036</v>
      </c>
      <c r="B797" s="2" t="s">
        <v>3037</v>
      </c>
      <c r="C797" s="2">
        <v>487.0</v>
      </c>
      <c r="D797" s="2">
        <v>460.0</v>
      </c>
      <c r="E797" s="2">
        <v>23730.0</v>
      </c>
      <c r="F797" s="2" t="s">
        <v>150</v>
      </c>
    </row>
    <row r="798" ht="15.75" customHeight="1">
      <c r="A798" s="4" t="s">
        <v>3040</v>
      </c>
      <c r="B798" s="2" t="s">
        <v>3041</v>
      </c>
      <c r="C798" s="2">
        <v>167.0</v>
      </c>
      <c r="D798" s="2">
        <v>145.0</v>
      </c>
      <c r="E798" s="2">
        <v>27030.0</v>
      </c>
      <c r="F798" s="2" t="s">
        <v>150</v>
      </c>
    </row>
    <row r="799" ht="15.75" customHeight="1">
      <c r="A799" s="4" t="s">
        <v>3044</v>
      </c>
      <c r="B799" s="2" t="s">
        <v>2702</v>
      </c>
      <c r="C799" s="2">
        <v>463.0</v>
      </c>
      <c r="D799" s="2">
        <v>441.0</v>
      </c>
      <c r="E799" s="2">
        <v>29250.0</v>
      </c>
      <c r="F799" s="2" t="s">
        <v>150</v>
      </c>
    </row>
    <row r="800" ht="15.75" hidden="1" customHeight="1">
      <c r="A800" s="4" t="s">
        <v>975</v>
      </c>
      <c r="B800" s="2" t="s">
        <v>976</v>
      </c>
      <c r="C800" s="2">
        <v>4447.0</v>
      </c>
      <c r="D800" s="2">
        <v>4108.0</v>
      </c>
      <c r="E800" s="2">
        <v>21730.0</v>
      </c>
      <c r="F800" s="2">
        <v>21.0</v>
      </c>
    </row>
    <row r="801" ht="15.75" customHeight="1">
      <c r="A801" s="4" t="s">
        <v>3049</v>
      </c>
      <c r="B801" s="2" t="s">
        <v>3050</v>
      </c>
      <c r="C801" s="2">
        <v>370.0</v>
      </c>
      <c r="D801" s="2">
        <v>350.0</v>
      </c>
      <c r="E801" s="2">
        <v>25830.0</v>
      </c>
      <c r="F801" s="2" t="s">
        <v>150</v>
      </c>
    </row>
    <row r="802" ht="15.75" customHeight="1">
      <c r="A802" s="4" t="s">
        <v>982</v>
      </c>
      <c r="B802" s="2" t="s">
        <v>983</v>
      </c>
      <c r="C802" s="2">
        <v>1220.0</v>
      </c>
      <c r="D802" s="2">
        <v>1338.0</v>
      </c>
      <c r="E802" s="2">
        <v>32510.0</v>
      </c>
      <c r="F802" s="2" t="s">
        <v>150</v>
      </c>
    </row>
    <row r="803" ht="15.75" hidden="1" customHeight="1">
      <c r="A803" s="4" t="s">
        <v>987</v>
      </c>
      <c r="B803" s="2" t="s">
        <v>989</v>
      </c>
      <c r="C803" s="2">
        <v>3460.0</v>
      </c>
      <c r="D803" s="2">
        <v>3545.0</v>
      </c>
      <c r="E803" s="2">
        <v>29230.0</v>
      </c>
      <c r="F803" s="2">
        <v>6.0</v>
      </c>
    </row>
    <row r="804" ht="15.75" customHeight="1">
      <c r="A804" s="4" t="s">
        <v>3055</v>
      </c>
      <c r="B804" s="2" t="s">
        <v>3056</v>
      </c>
      <c r="C804" s="2">
        <v>596.0</v>
      </c>
      <c r="D804" s="2">
        <v>619.0</v>
      </c>
      <c r="E804" s="2">
        <v>29170.0</v>
      </c>
      <c r="F804" s="2" t="s">
        <v>150</v>
      </c>
    </row>
    <row r="805" ht="15.75" customHeight="1">
      <c r="A805" s="4" t="s">
        <v>992</v>
      </c>
      <c r="B805" s="2" t="s">
        <v>996</v>
      </c>
      <c r="C805" s="2">
        <v>898.0</v>
      </c>
      <c r="D805" s="2">
        <v>888.0</v>
      </c>
      <c r="E805" s="2">
        <v>24170.0</v>
      </c>
      <c r="F805" s="2" t="s">
        <v>150</v>
      </c>
    </row>
    <row r="806" ht="15.75" hidden="1" customHeight="1">
      <c r="A806" s="4" t="s">
        <v>998</v>
      </c>
      <c r="B806" s="2" t="s">
        <v>1000</v>
      </c>
      <c r="C806" s="2">
        <v>10244.0</v>
      </c>
      <c r="D806" s="2">
        <v>9963.0</v>
      </c>
      <c r="E806" s="2">
        <v>20060.0</v>
      </c>
      <c r="F806" s="2">
        <v>28.0</v>
      </c>
    </row>
    <row r="807" ht="15.75" hidden="1" customHeight="1">
      <c r="A807" s="4" t="s">
        <v>2567</v>
      </c>
      <c r="B807" s="2" t="s">
        <v>2568</v>
      </c>
      <c r="C807" s="2">
        <v>63408.0</v>
      </c>
      <c r="D807" s="2">
        <v>62868.0</v>
      </c>
      <c r="E807" s="2">
        <v>23900.0</v>
      </c>
      <c r="F807" s="2">
        <v>24.0</v>
      </c>
    </row>
    <row r="808" ht="15.75" customHeight="1">
      <c r="A808" s="4" t="s">
        <v>1003</v>
      </c>
      <c r="B808" s="2" t="s">
        <v>1005</v>
      </c>
      <c r="C808" s="2">
        <v>272.0</v>
      </c>
      <c r="D808" s="2">
        <v>258.0</v>
      </c>
      <c r="E808" s="2">
        <v>26690.0</v>
      </c>
      <c r="F808" s="2" t="s">
        <v>150</v>
      </c>
    </row>
    <row r="809" ht="15.75" hidden="1" customHeight="1">
      <c r="A809" s="4" t="s">
        <v>1007</v>
      </c>
      <c r="B809" s="2" t="s">
        <v>1008</v>
      </c>
      <c r="C809" s="2">
        <v>10428.0</v>
      </c>
      <c r="D809" s="2">
        <v>10847.0</v>
      </c>
      <c r="E809" s="2">
        <v>26210.0</v>
      </c>
      <c r="F809" s="2">
        <v>12.0</v>
      </c>
    </row>
    <row r="810" ht="15.75" hidden="1" customHeight="1">
      <c r="A810" s="4" t="s">
        <v>1011</v>
      </c>
      <c r="B810" s="2" t="s">
        <v>1012</v>
      </c>
      <c r="C810" s="2">
        <v>3220.0</v>
      </c>
      <c r="D810" s="2">
        <v>3099.0</v>
      </c>
      <c r="E810" s="2">
        <v>20800.0</v>
      </c>
      <c r="F810" s="2">
        <v>28.0</v>
      </c>
    </row>
    <row r="811" ht="15.75" customHeight="1">
      <c r="A811" s="4" t="s">
        <v>1014</v>
      </c>
      <c r="B811" s="2" t="s">
        <v>1015</v>
      </c>
      <c r="C811" s="2">
        <v>1469.0</v>
      </c>
      <c r="D811" s="2">
        <v>1631.0</v>
      </c>
      <c r="E811" s="2">
        <v>31400.0</v>
      </c>
      <c r="F811" s="2" t="s">
        <v>150</v>
      </c>
    </row>
    <row r="812" ht="15.75" hidden="1" customHeight="1">
      <c r="A812" s="4" t="s">
        <v>1018</v>
      </c>
      <c r="B812" s="2" t="s">
        <v>1020</v>
      </c>
      <c r="C812" s="2">
        <v>13305.0</v>
      </c>
      <c r="D812" s="2">
        <v>13183.0</v>
      </c>
      <c r="E812" s="2">
        <v>18450.0</v>
      </c>
      <c r="F812" s="2">
        <v>34.0</v>
      </c>
    </row>
    <row r="813" ht="15.75" hidden="1" customHeight="1">
      <c r="A813" s="4" t="s">
        <v>1024</v>
      </c>
      <c r="B813" s="2" t="s">
        <v>1026</v>
      </c>
      <c r="C813" s="2">
        <v>3219.0</v>
      </c>
      <c r="D813" s="2">
        <v>3125.0</v>
      </c>
      <c r="E813" s="2">
        <v>24890.0</v>
      </c>
      <c r="F813" s="2">
        <v>13.0</v>
      </c>
    </row>
    <row r="814" ht="15.75" hidden="1" customHeight="1">
      <c r="A814" s="4" t="s">
        <v>1030</v>
      </c>
      <c r="B814" s="2" t="s">
        <v>1031</v>
      </c>
      <c r="C814" s="2">
        <v>2281.0</v>
      </c>
      <c r="D814" s="2">
        <v>2077.0</v>
      </c>
      <c r="E814" s="2">
        <v>28160.0</v>
      </c>
      <c r="F814" s="2">
        <v>5.0</v>
      </c>
    </row>
    <row r="815" ht="15.75" hidden="1" customHeight="1">
      <c r="A815" s="4" t="s">
        <v>1034</v>
      </c>
      <c r="B815" s="2" t="s">
        <v>1036</v>
      </c>
      <c r="C815" s="2">
        <v>24882.0</v>
      </c>
      <c r="D815" s="2">
        <v>26998.0</v>
      </c>
      <c r="E815" s="2">
        <v>21040.0</v>
      </c>
      <c r="F815" s="2">
        <v>27.3</v>
      </c>
    </row>
    <row r="816" ht="15.75" customHeight="1">
      <c r="A816" s="4" t="s">
        <v>1041</v>
      </c>
      <c r="B816" s="2" t="s">
        <v>1044</v>
      </c>
      <c r="C816" s="2">
        <v>1617.0</v>
      </c>
      <c r="D816" s="2">
        <v>1594.0</v>
      </c>
      <c r="E816" s="2">
        <v>24780.0</v>
      </c>
      <c r="F816" s="2" t="s">
        <v>150</v>
      </c>
    </row>
    <row r="817" ht="15.75" customHeight="1">
      <c r="A817" s="4" t="s">
        <v>1047</v>
      </c>
      <c r="B817" s="2" t="s">
        <v>1049</v>
      </c>
      <c r="C817" s="2">
        <v>1057.0</v>
      </c>
      <c r="D817" s="2">
        <v>1082.0</v>
      </c>
      <c r="E817" s="2">
        <v>27680.0</v>
      </c>
      <c r="F817" s="2" t="s">
        <v>150</v>
      </c>
    </row>
    <row r="818" ht="15.75" customHeight="1">
      <c r="A818" s="4" t="s">
        <v>1054</v>
      </c>
      <c r="B818" s="2" t="s">
        <v>1055</v>
      </c>
      <c r="C818" s="2">
        <v>1825.0</v>
      </c>
      <c r="D818" s="2">
        <v>1769.0</v>
      </c>
      <c r="E818" s="2">
        <v>23400.0</v>
      </c>
      <c r="F818" s="2" t="s">
        <v>150</v>
      </c>
    </row>
    <row r="819" ht="15.75" hidden="1" customHeight="1">
      <c r="A819" s="4" t="s">
        <v>1058</v>
      </c>
      <c r="B819" s="2" t="s">
        <v>1059</v>
      </c>
      <c r="C819" s="2">
        <v>2275.0</v>
      </c>
      <c r="D819" s="2">
        <v>2245.0</v>
      </c>
      <c r="E819" s="2">
        <v>30470.0</v>
      </c>
      <c r="F819" s="2">
        <v>8.0</v>
      </c>
    </row>
    <row r="820" ht="15.75" customHeight="1">
      <c r="A820" s="4" t="s">
        <v>1061</v>
      </c>
      <c r="B820" s="2" t="s">
        <v>1063</v>
      </c>
      <c r="C820" s="2">
        <v>535.0</v>
      </c>
      <c r="D820" s="2">
        <v>549.0</v>
      </c>
      <c r="E820" s="2">
        <v>27020.0</v>
      </c>
      <c r="F820" s="2" t="s">
        <v>150</v>
      </c>
    </row>
    <row r="821" ht="15.75" hidden="1" customHeight="1">
      <c r="A821" s="4" t="s">
        <v>1067</v>
      </c>
      <c r="B821" s="2" t="s">
        <v>1068</v>
      </c>
      <c r="C821" s="2">
        <v>4448.0</v>
      </c>
      <c r="D821" s="2">
        <v>4626.0</v>
      </c>
      <c r="E821" s="2">
        <v>22230.0</v>
      </c>
      <c r="F821" s="2">
        <v>20.0</v>
      </c>
    </row>
    <row r="822" ht="15.75" customHeight="1">
      <c r="A822" s="4" t="s">
        <v>1072</v>
      </c>
      <c r="B822" s="2" t="s">
        <v>1074</v>
      </c>
      <c r="C822" s="2">
        <v>1651.0</v>
      </c>
      <c r="D822" s="2">
        <v>1749.0</v>
      </c>
      <c r="E822" s="2">
        <v>31990.0</v>
      </c>
      <c r="F822" s="2" t="s">
        <v>150</v>
      </c>
    </row>
    <row r="823" ht="15.75" customHeight="1">
      <c r="A823" s="4" t="s">
        <v>1077</v>
      </c>
      <c r="B823" s="2" t="s">
        <v>1079</v>
      </c>
      <c r="C823" s="2">
        <v>1178.0</v>
      </c>
      <c r="D823" s="2">
        <v>1143.0</v>
      </c>
      <c r="E823" s="2">
        <v>25420.0</v>
      </c>
      <c r="F823" s="2" t="s">
        <v>150</v>
      </c>
    </row>
    <row r="824" ht="15.75" customHeight="1">
      <c r="A824" s="4" t="s">
        <v>1089</v>
      </c>
      <c r="B824" s="2" t="s">
        <v>1091</v>
      </c>
      <c r="C824" s="2">
        <v>1679.0</v>
      </c>
      <c r="D824" s="2">
        <v>1705.0</v>
      </c>
      <c r="E824" s="2">
        <v>28230.0</v>
      </c>
      <c r="F824" s="2" t="s">
        <v>150</v>
      </c>
    </row>
    <row r="825" ht="15.75" hidden="1" customHeight="1">
      <c r="A825" s="4" t="s">
        <v>1097</v>
      </c>
      <c r="B825" s="2" t="s">
        <v>1098</v>
      </c>
      <c r="C825" s="2">
        <v>7274.0</v>
      </c>
      <c r="D825" s="2">
        <v>7083.0</v>
      </c>
      <c r="E825" s="2">
        <v>20870.0</v>
      </c>
      <c r="F825" s="2">
        <v>26.0</v>
      </c>
    </row>
    <row r="826" ht="15.75" customHeight="1">
      <c r="A826" s="4" t="s">
        <v>1099</v>
      </c>
      <c r="B826" s="2" t="s">
        <v>1100</v>
      </c>
      <c r="C826" s="2">
        <v>1521.0</v>
      </c>
      <c r="D826" s="2">
        <v>1599.0</v>
      </c>
      <c r="E826" s="2">
        <v>31230.0</v>
      </c>
      <c r="F826" s="2" t="s">
        <v>150</v>
      </c>
    </row>
    <row r="827" ht="15.75" customHeight="1">
      <c r="A827" s="4" t="s">
        <v>1101</v>
      </c>
      <c r="B827" s="2" t="s">
        <v>1102</v>
      </c>
      <c r="C827" s="2">
        <v>366.0</v>
      </c>
      <c r="D827" s="2">
        <v>359.0</v>
      </c>
      <c r="E827" s="2">
        <v>30720.0</v>
      </c>
      <c r="F827" s="2" t="s">
        <v>150</v>
      </c>
    </row>
    <row r="828" ht="15.75" hidden="1" customHeight="1">
      <c r="A828" s="4" t="s">
        <v>1103</v>
      </c>
      <c r="B828" s="2" t="s">
        <v>1104</v>
      </c>
      <c r="C828" s="2">
        <v>7341.0</v>
      </c>
      <c r="D828" s="2">
        <v>7080.0</v>
      </c>
      <c r="E828" s="2">
        <v>21550.0</v>
      </c>
      <c r="F828" s="2">
        <v>25.0</v>
      </c>
    </row>
    <row r="829" ht="15.75" hidden="1" customHeight="1">
      <c r="A829" s="4" t="s">
        <v>1105</v>
      </c>
      <c r="B829" s="2" t="s">
        <v>1106</v>
      </c>
      <c r="C829" s="2">
        <v>8811.0</v>
      </c>
      <c r="D829" s="2">
        <v>8612.0</v>
      </c>
      <c r="E829" s="2">
        <v>20520.0</v>
      </c>
      <c r="F829" s="2">
        <v>26.0</v>
      </c>
    </row>
    <row r="830" ht="15.75" hidden="1" customHeight="1">
      <c r="A830" s="4" t="s">
        <v>1107</v>
      </c>
      <c r="B830" s="2" t="s">
        <v>1108</v>
      </c>
      <c r="C830" s="2">
        <v>2690.0</v>
      </c>
      <c r="D830" s="2">
        <v>2561.0</v>
      </c>
      <c r="E830" s="2">
        <v>33510.0</v>
      </c>
      <c r="F830" s="2">
        <v>3.0</v>
      </c>
    </row>
    <row r="831" ht="15.75" hidden="1" customHeight="1">
      <c r="A831" s="4" t="s">
        <v>1110</v>
      </c>
      <c r="B831" s="2" t="s">
        <v>1112</v>
      </c>
      <c r="C831" s="2">
        <v>2495.0</v>
      </c>
      <c r="D831" s="2">
        <v>2232.0</v>
      </c>
      <c r="E831" s="2">
        <v>22690.0</v>
      </c>
      <c r="F831" s="2">
        <v>19.0</v>
      </c>
    </row>
    <row r="832" ht="15.75" hidden="1" customHeight="1">
      <c r="A832" s="4" t="s">
        <v>1121</v>
      </c>
      <c r="B832" s="2" t="s">
        <v>1122</v>
      </c>
      <c r="C832" s="2">
        <v>4495.0</v>
      </c>
      <c r="D832" s="2">
        <v>4012.0</v>
      </c>
      <c r="E832" s="2">
        <v>17650.0</v>
      </c>
      <c r="F832" s="2">
        <v>40.0</v>
      </c>
    </row>
    <row r="833" ht="15.75" hidden="1" customHeight="1">
      <c r="A833" s="4" t="s">
        <v>1117</v>
      </c>
      <c r="B833" s="2" t="s">
        <v>1118</v>
      </c>
      <c r="C833" s="2">
        <v>3640.0</v>
      </c>
      <c r="D833" s="2">
        <v>3562.0</v>
      </c>
      <c r="E833" s="2">
        <v>21900.0</v>
      </c>
      <c r="F833" s="2">
        <v>20.0</v>
      </c>
    </row>
    <row r="834" ht="15.75" customHeight="1">
      <c r="A834" s="4" t="s">
        <v>1114</v>
      </c>
      <c r="B834" s="2" t="s">
        <v>1116</v>
      </c>
      <c r="C834" s="2">
        <v>1458.0</v>
      </c>
      <c r="D834" s="2">
        <v>1458.0</v>
      </c>
      <c r="E834" s="2">
        <v>25280.0</v>
      </c>
      <c r="F834" s="2" t="s">
        <v>150</v>
      </c>
    </row>
    <row r="835" ht="15.75" customHeight="1">
      <c r="A835" s="4" t="s">
        <v>1125</v>
      </c>
      <c r="B835" s="2" t="s">
        <v>1126</v>
      </c>
      <c r="C835" s="2">
        <v>817.0</v>
      </c>
      <c r="D835" s="2">
        <v>757.0</v>
      </c>
      <c r="E835" s="2">
        <v>29190.0</v>
      </c>
      <c r="F835" s="2" t="s">
        <v>150</v>
      </c>
    </row>
    <row r="836" ht="15.75" hidden="1" customHeight="1">
      <c r="A836" s="4" t="s">
        <v>1129</v>
      </c>
      <c r="B836" s="2" t="s">
        <v>1130</v>
      </c>
      <c r="C836" s="2">
        <v>2324.0</v>
      </c>
      <c r="D836" s="2">
        <v>2230.0</v>
      </c>
      <c r="E836" s="2">
        <v>21190.0</v>
      </c>
      <c r="F836" s="2">
        <v>24.0</v>
      </c>
    </row>
    <row r="837" ht="15.75" customHeight="1">
      <c r="A837" s="4" t="s">
        <v>1131</v>
      </c>
      <c r="B837" s="2" t="s">
        <v>1133</v>
      </c>
      <c r="C837" s="2">
        <v>1702.0</v>
      </c>
      <c r="D837" s="2">
        <v>1898.0</v>
      </c>
      <c r="E837" s="2">
        <v>30630.0</v>
      </c>
      <c r="F837" s="2" t="s">
        <v>150</v>
      </c>
    </row>
    <row r="838" ht="15.75" hidden="1" customHeight="1">
      <c r="A838" s="4" t="s">
        <v>1136</v>
      </c>
      <c r="B838" s="2" t="s">
        <v>1137</v>
      </c>
      <c r="C838" s="2">
        <v>14769.0</v>
      </c>
      <c r="D838" s="2">
        <v>14732.0</v>
      </c>
      <c r="E838" s="2">
        <v>26050.0</v>
      </c>
      <c r="F838" s="2">
        <v>12.0</v>
      </c>
    </row>
    <row r="839" ht="15.75" hidden="1" customHeight="1">
      <c r="A839" s="4" t="s">
        <v>1140</v>
      </c>
      <c r="B839" s="2" t="s">
        <v>1142</v>
      </c>
      <c r="C839" s="2">
        <v>4765.0</v>
      </c>
      <c r="D839" s="2">
        <v>5545.0</v>
      </c>
      <c r="E839" s="2">
        <v>29280.0</v>
      </c>
      <c r="F839" s="2">
        <v>7.0</v>
      </c>
    </row>
    <row r="840" ht="15.75" customHeight="1">
      <c r="A840" s="4" t="s">
        <v>3128</v>
      </c>
      <c r="B840" s="2" t="s">
        <v>3130</v>
      </c>
      <c r="C840" s="2">
        <v>167.0</v>
      </c>
      <c r="D840" s="2">
        <v>158.0</v>
      </c>
      <c r="E840" s="2">
        <v>24940.0</v>
      </c>
      <c r="F840" s="2" t="s">
        <v>150</v>
      </c>
    </row>
    <row r="841" ht="15.75" customHeight="1">
      <c r="A841" s="4" t="s">
        <v>1145</v>
      </c>
      <c r="B841" s="2" t="s">
        <v>1146</v>
      </c>
      <c r="C841" s="2">
        <v>770.0</v>
      </c>
      <c r="D841" s="2">
        <v>845.0</v>
      </c>
      <c r="E841" s="2">
        <v>24760.0</v>
      </c>
      <c r="F841" s="2" t="s">
        <v>150</v>
      </c>
    </row>
    <row r="842" ht="15.75" customHeight="1">
      <c r="A842" s="4" t="s">
        <v>3136</v>
      </c>
      <c r="B842" s="2" t="s">
        <v>3137</v>
      </c>
      <c r="C842" s="2">
        <v>344.0</v>
      </c>
      <c r="D842" s="2">
        <v>339.0</v>
      </c>
      <c r="E842" s="2">
        <v>24790.0</v>
      </c>
      <c r="F842" s="2" t="s">
        <v>150</v>
      </c>
    </row>
    <row r="843" ht="15.75" customHeight="1">
      <c r="A843" s="4" t="s">
        <v>1149</v>
      </c>
      <c r="B843" s="2" t="s">
        <v>1150</v>
      </c>
      <c r="C843" s="2">
        <v>510.0</v>
      </c>
      <c r="D843" s="2">
        <v>494.0</v>
      </c>
      <c r="E843" s="2">
        <v>27920.0</v>
      </c>
      <c r="F843" s="2" t="s">
        <v>150</v>
      </c>
    </row>
    <row r="844" ht="15.75" customHeight="1">
      <c r="A844" s="4" t="s">
        <v>3142</v>
      </c>
      <c r="B844" s="2" t="s">
        <v>3143</v>
      </c>
      <c r="C844" s="2">
        <v>426.0</v>
      </c>
      <c r="D844" s="2">
        <v>441.0</v>
      </c>
      <c r="E844" s="2">
        <v>23840.0</v>
      </c>
      <c r="F844" s="2" t="s">
        <v>150</v>
      </c>
    </row>
    <row r="845" ht="15.75" customHeight="1">
      <c r="A845" s="4" t="s">
        <v>3146</v>
      </c>
      <c r="B845" s="2" t="s">
        <v>3147</v>
      </c>
      <c r="C845" s="2">
        <v>349.0</v>
      </c>
      <c r="D845" s="2">
        <v>348.0</v>
      </c>
      <c r="E845" s="2">
        <v>26670.0</v>
      </c>
      <c r="F845" s="2" t="s">
        <v>150</v>
      </c>
    </row>
    <row r="846" ht="15.75" hidden="1" customHeight="1">
      <c r="A846" s="4" t="s">
        <v>1795</v>
      </c>
      <c r="B846" s="2" t="s">
        <v>1796</v>
      </c>
      <c r="C846" s="2">
        <v>6402.0</v>
      </c>
      <c r="D846" s="2">
        <v>6650.0</v>
      </c>
      <c r="E846" s="2">
        <v>23350.0</v>
      </c>
      <c r="F846" s="2">
        <v>18.0</v>
      </c>
    </row>
    <row r="847" ht="15.75" hidden="1" customHeight="1">
      <c r="A847" s="4" t="s">
        <v>1153</v>
      </c>
      <c r="B847" s="2" t="s">
        <v>1154</v>
      </c>
      <c r="C847" s="2">
        <v>5180.0</v>
      </c>
      <c r="D847" s="2">
        <v>5249.0</v>
      </c>
      <c r="E847" s="2">
        <v>24930.0</v>
      </c>
      <c r="F847" s="2">
        <v>12.0</v>
      </c>
    </row>
    <row r="848" ht="15.75" hidden="1" customHeight="1">
      <c r="A848" s="4" t="s">
        <v>1157</v>
      </c>
      <c r="B848" s="2" t="s">
        <v>1158</v>
      </c>
      <c r="C848" s="2">
        <v>3326.0</v>
      </c>
      <c r="D848" s="2">
        <v>3249.0</v>
      </c>
      <c r="E848" s="2">
        <v>23060.0</v>
      </c>
      <c r="F848" s="2">
        <v>20.0</v>
      </c>
    </row>
    <row r="849" ht="15.75" customHeight="1">
      <c r="A849" s="4" t="s">
        <v>1161</v>
      </c>
      <c r="B849" s="2" t="s">
        <v>1162</v>
      </c>
      <c r="C849" s="2">
        <v>972.0</v>
      </c>
      <c r="D849" s="2">
        <v>1045.0</v>
      </c>
      <c r="E849" s="2">
        <v>24390.0</v>
      </c>
      <c r="F849" s="2" t="s">
        <v>150</v>
      </c>
    </row>
    <row r="850" ht="15.75" customHeight="1">
      <c r="A850" s="4" t="s">
        <v>1165</v>
      </c>
      <c r="B850" s="2" t="s">
        <v>1167</v>
      </c>
      <c r="C850" s="2">
        <v>525.0</v>
      </c>
      <c r="D850" s="2">
        <v>551.0</v>
      </c>
      <c r="E850" s="2">
        <v>22610.0</v>
      </c>
      <c r="F850" s="2" t="s">
        <v>150</v>
      </c>
    </row>
    <row r="851" ht="15.75" customHeight="1">
      <c r="A851" s="4" t="s">
        <v>1169</v>
      </c>
      <c r="B851" s="2" t="s">
        <v>1170</v>
      </c>
      <c r="C851" s="2">
        <v>856.0</v>
      </c>
      <c r="D851" s="2">
        <v>845.0</v>
      </c>
      <c r="E851" s="2">
        <v>34950.0</v>
      </c>
      <c r="F851" s="2" t="s">
        <v>150</v>
      </c>
    </row>
    <row r="852" ht="15.75" customHeight="1">
      <c r="A852" s="4" t="s">
        <v>3163</v>
      </c>
      <c r="B852" s="2" t="s">
        <v>3164</v>
      </c>
      <c r="C852" s="2">
        <v>564.0</v>
      </c>
      <c r="D852" s="2">
        <v>574.0</v>
      </c>
      <c r="E852" s="2">
        <v>27150.0</v>
      </c>
      <c r="F852" s="2" t="s">
        <v>150</v>
      </c>
    </row>
    <row r="853" ht="15.75" customHeight="1">
      <c r="A853" s="4" t="s">
        <v>1173</v>
      </c>
      <c r="B853" s="2" t="s">
        <v>1174</v>
      </c>
      <c r="C853" s="2">
        <v>1000.0</v>
      </c>
      <c r="D853" s="2">
        <v>995.0</v>
      </c>
      <c r="E853" s="2">
        <v>26230.0</v>
      </c>
      <c r="F853" s="2" t="s">
        <v>150</v>
      </c>
    </row>
    <row r="854" ht="15.75" customHeight="1">
      <c r="A854" s="4" t="s">
        <v>3168</v>
      </c>
      <c r="B854" s="2" t="s">
        <v>3169</v>
      </c>
      <c r="C854" s="2">
        <v>446.0</v>
      </c>
      <c r="D854" s="2">
        <v>458.0</v>
      </c>
      <c r="E854" s="2">
        <v>22210.0</v>
      </c>
      <c r="F854" s="2" t="s">
        <v>150</v>
      </c>
    </row>
    <row r="855" ht="15.75" customHeight="1">
      <c r="A855" s="4" t="s">
        <v>3172</v>
      </c>
      <c r="B855" s="2" t="s">
        <v>3173</v>
      </c>
      <c r="C855" s="2">
        <v>231.0</v>
      </c>
      <c r="D855" s="2">
        <v>234.0</v>
      </c>
      <c r="E855" s="2">
        <v>24400.0</v>
      </c>
      <c r="F855" s="2" t="s">
        <v>150</v>
      </c>
    </row>
    <row r="856" ht="15.75" customHeight="1">
      <c r="A856" s="4" t="s">
        <v>3176</v>
      </c>
      <c r="B856" s="2" t="s">
        <v>3177</v>
      </c>
      <c r="C856" s="2">
        <v>260.0</v>
      </c>
      <c r="D856" s="2">
        <v>272.0</v>
      </c>
      <c r="E856" s="2">
        <v>22830.0</v>
      </c>
      <c r="F856" s="2" t="s">
        <v>150</v>
      </c>
    </row>
    <row r="857" ht="15.75" customHeight="1">
      <c r="A857" s="4" t="s">
        <v>3180</v>
      </c>
      <c r="B857" s="2" t="s">
        <v>335</v>
      </c>
      <c r="C857" s="2">
        <v>165.0</v>
      </c>
      <c r="D857" s="2">
        <v>169.0</v>
      </c>
      <c r="E857" s="2">
        <v>26100.0</v>
      </c>
      <c r="F857" s="2" t="s">
        <v>150</v>
      </c>
    </row>
    <row r="858" ht="15.75" customHeight="1">
      <c r="A858" s="4" t="s">
        <v>1177</v>
      </c>
      <c r="B858" s="2" t="s">
        <v>1179</v>
      </c>
      <c r="C858" s="2">
        <v>2072.0</v>
      </c>
      <c r="D858" s="2">
        <v>1933.0</v>
      </c>
      <c r="E858" s="2">
        <v>21900.0</v>
      </c>
      <c r="F858" s="2" t="s">
        <v>150</v>
      </c>
    </row>
    <row r="859" ht="15.75" customHeight="1">
      <c r="A859" s="4" t="s">
        <v>1181</v>
      </c>
      <c r="B859" s="2" t="s">
        <v>1182</v>
      </c>
      <c r="C859" s="2">
        <v>1239.0</v>
      </c>
      <c r="D859" s="2">
        <v>1301.0</v>
      </c>
      <c r="E859" s="2">
        <v>24310.0</v>
      </c>
      <c r="F859" s="2" t="s">
        <v>150</v>
      </c>
    </row>
    <row r="860" ht="15.75" customHeight="1">
      <c r="A860" s="4" t="s">
        <v>1185</v>
      </c>
      <c r="B860" s="2" t="s">
        <v>1186</v>
      </c>
      <c r="C860" s="2">
        <v>827.0</v>
      </c>
      <c r="D860" s="2">
        <v>810.0</v>
      </c>
      <c r="E860" s="2">
        <v>26250.0</v>
      </c>
      <c r="F860" s="2" t="s">
        <v>150</v>
      </c>
    </row>
    <row r="861" ht="15.75" customHeight="1">
      <c r="A861" s="4" t="s">
        <v>3189</v>
      </c>
      <c r="B861" s="2" t="s">
        <v>3190</v>
      </c>
      <c r="C861" s="2">
        <v>146.0</v>
      </c>
      <c r="D861" s="2">
        <v>163.0</v>
      </c>
      <c r="E861" s="2">
        <v>27540.0</v>
      </c>
      <c r="F861" s="2" t="s">
        <v>150</v>
      </c>
    </row>
    <row r="862" ht="15.75" hidden="1" customHeight="1">
      <c r="A862" s="4" t="s">
        <v>1189</v>
      </c>
      <c r="B862" s="2" t="s">
        <v>1190</v>
      </c>
      <c r="C862" s="2">
        <v>3653.0</v>
      </c>
      <c r="D862" s="2">
        <v>3525.0</v>
      </c>
      <c r="E862" s="2">
        <v>24240.0</v>
      </c>
      <c r="F862" s="2">
        <v>16.0</v>
      </c>
    </row>
    <row r="863" ht="15.75" hidden="1" customHeight="1">
      <c r="A863" s="4" t="s">
        <v>1191</v>
      </c>
      <c r="B863" s="2" t="s">
        <v>1192</v>
      </c>
      <c r="C863" s="2">
        <v>3130.0</v>
      </c>
      <c r="D863" s="2">
        <v>3159.0</v>
      </c>
      <c r="E863" s="2">
        <v>22650.0</v>
      </c>
      <c r="F863" s="2">
        <v>18.0</v>
      </c>
    </row>
    <row r="864" ht="15.75" customHeight="1">
      <c r="A864" s="4" t="s">
        <v>1193</v>
      </c>
      <c r="B864" s="2" t="s">
        <v>1194</v>
      </c>
      <c r="C864" s="2">
        <v>723.0</v>
      </c>
      <c r="D864" s="2">
        <v>778.0</v>
      </c>
      <c r="E864" s="2">
        <v>26300.0</v>
      </c>
      <c r="F864" s="2" t="s">
        <v>150</v>
      </c>
    </row>
    <row r="865" ht="15.75" hidden="1" customHeight="1">
      <c r="A865" s="4" t="s">
        <v>1195</v>
      </c>
      <c r="B865" s="2" t="s">
        <v>1196</v>
      </c>
      <c r="C865" s="2">
        <v>2230.0</v>
      </c>
      <c r="D865" s="2">
        <v>2318.0</v>
      </c>
      <c r="E865" s="2">
        <v>31270.0</v>
      </c>
      <c r="F865" s="2">
        <v>6.0</v>
      </c>
    </row>
    <row r="866" ht="15.75" customHeight="1">
      <c r="A866" s="4" t="s">
        <v>3199</v>
      </c>
      <c r="B866" s="2" t="s">
        <v>3200</v>
      </c>
      <c r="C866" s="2">
        <v>252.0</v>
      </c>
      <c r="D866" s="2">
        <v>237.0</v>
      </c>
      <c r="E866" s="2">
        <v>27820.0</v>
      </c>
      <c r="F866" s="2" t="s">
        <v>150</v>
      </c>
    </row>
    <row r="867" ht="15.75" customHeight="1">
      <c r="A867" s="4" t="s">
        <v>3203</v>
      </c>
      <c r="B867" s="2" t="s">
        <v>3204</v>
      </c>
      <c r="C867" s="2">
        <v>551.0</v>
      </c>
      <c r="D867" s="2">
        <v>627.0</v>
      </c>
      <c r="E867" s="2">
        <v>27720.0</v>
      </c>
      <c r="F867" s="2" t="s">
        <v>150</v>
      </c>
    </row>
    <row r="868" ht="15.75" hidden="1" customHeight="1">
      <c r="A868" s="4" t="s">
        <v>1199</v>
      </c>
      <c r="B868" s="2" t="s">
        <v>1200</v>
      </c>
      <c r="C868" s="2">
        <v>2177.0</v>
      </c>
      <c r="D868" s="2">
        <v>2140.0</v>
      </c>
      <c r="E868" s="2">
        <v>22710.0</v>
      </c>
      <c r="F868" s="2">
        <v>19.0</v>
      </c>
    </row>
    <row r="869" ht="15.75" customHeight="1">
      <c r="A869" s="4" t="s">
        <v>1291</v>
      </c>
      <c r="B869" s="2" t="s">
        <v>1292</v>
      </c>
      <c r="C869" s="2">
        <v>749.0</v>
      </c>
      <c r="D869" s="2">
        <v>689.0</v>
      </c>
      <c r="E869" s="2">
        <v>24400.0</v>
      </c>
      <c r="F869" s="2" t="s">
        <v>150</v>
      </c>
    </row>
    <row r="870" ht="15.75" customHeight="1">
      <c r="A870" s="4" t="s">
        <v>3209</v>
      </c>
      <c r="B870" s="2" t="s">
        <v>3211</v>
      </c>
      <c r="C870" s="2">
        <v>310.0</v>
      </c>
      <c r="D870" s="2">
        <v>343.0</v>
      </c>
      <c r="E870" s="2">
        <v>21770.0</v>
      </c>
      <c r="F870" s="2" t="s">
        <v>150</v>
      </c>
    </row>
    <row r="871" ht="15.75" customHeight="1">
      <c r="A871" s="4" t="s">
        <v>3213</v>
      </c>
      <c r="B871" s="2" t="s">
        <v>3215</v>
      </c>
      <c r="C871" s="2">
        <v>252.0</v>
      </c>
      <c r="D871" s="2">
        <v>253.0</v>
      </c>
      <c r="E871" s="2">
        <v>24140.0</v>
      </c>
      <c r="F871" s="2" t="s">
        <v>150</v>
      </c>
    </row>
    <row r="872" ht="15.75" customHeight="1">
      <c r="A872" s="4" t="s">
        <v>1201</v>
      </c>
      <c r="B872" s="2" t="s">
        <v>1202</v>
      </c>
      <c r="C872" s="2">
        <v>635.0</v>
      </c>
      <c r="D872" s="2">
        <v>599.0</v>
      </c>
      <c r="E872" s="2">
        <v>24620.0</v>
      </c>
      <c r="F872" s="2" t="s">
        <v>150</v>
      </c>
    </row>
    <row r="873" ht="15.75" hidden="1" customHeight="1">
      <c r="A873" s="4" t="s">
        <v>1205</v>
      </c>
      <c r="B873" s="2" t="s">
        <v>1206</v>
      </c>
      <c r="C873" s="2">
        <v>6740.0</v>
      </c>
      <c r="D873" s="2">
        <v>6796.0</v>
      </c>
      <c r="E873" s="2">
        <v>19030.0</v>
      </c>
      <c r="F873" s="2">
        <v>33.0</v>
      </c>
    </row>
    <row r="874" ht="15.75" hidden="1" customHeight="1">
      <c r="A874" s="4" t="s">
        <v>1207</v>
      </c>
      <c r="B874" s="2" t="s">
        <v>1209</v>
      </c>
      <c r="C874" s="2">
        <v>2758.0</v>
      </c>
      <c r="D874" s="2">
        <v>2861.0</v>
      </c>
      <c r="E874" s="2">
        <v>28750.0</v>
      </c>
      <c r="F874" s="2">
        <v>7.0</v>
      </c>
    </row>
    <row r="875" ht="15.75" customHeight="1">
      <c r="A875" s="4" t="s">
        <v>1293</v>
      </c>
      <c r="B875" s="2" t="s">
        <v>1294</v>
      </c>
      <c r="C875" s="2">
        <v>562.0</v>
      </c>
      <c r="D875" s="2">
        <v>529.0</v>
      </c>
      <c r="E875" s="2">
        <v>23310.0</v>
      </c>
      <c r="F875" s="2" t="s">
        <v>150</v>
      </c>
    </row>
    <row r="876" ht="15.75" customHeight="1">
      <c r="A876" s="4" t="s">
        <v>1213</v>
      </c>
      <c r="B876" s="2" t="s">
        <v>1214</v>
      </c>
      <c r="C876" s="2">
        <v>1831.0</v>
      </c>
      <c r="D876" s="2">
        <v>1716.0</v>
      </c>
      <c r="E876" s="2">
        <v>28650.0</v>
      </c>
      <c r="F876" s="2" t="s">
        <v>150</v>
      </c>
    </row>
    <row r="877" ht="15.75" customHeight="1">
      <c r="A877" s="4" t="s">
        <v>3226</v>
      </c>
      <c r="B877" s="2" t="s">
        <v>3227</v>
      </c>
      <c r="C877" s="2">
        <v>247.0</v>
      </c>
      <c r="D877" s="2">
        <v>239.0</v>
      </c>
      <c r="E877" s="2">
        <v>28200.0</v>
      </c>
      <c r="F877" s="2" t="s">
        <v>150</v>
      </c>
    </row>
    <row r="878" ht="15.75" hidden="1" customHeight="1">
      <c r="A878" s="4" t="s">
        <v>1215</v>
      </c>
      <c r="B878" s="2" t="s">
        <v>1216</v>
      </c>
      <c r="C878" s="2">
        <v>2069.0</v>
      </c>
      <c r="D878" s="2">
        <v>2008.0</v>
      </c>
      <c r="E878" s="2">
        <v>25340.0</v>
      </c>
      <c r="F878" s="2">
        <v>10.0</v>
      </c>
    </row>
    <row r="879" ht="15.75" customHeight="1">
      <c r="A879" s="4" t="s">
        <v>3231</v>
      </c>
      <c r="B879" s="2" t="s">
        <v>3233</v>
      </c>
      <c r="C879" s="2">
        <v>306.0</v>
      </c>
      <c r="D879" s="2">
        <v>313.0</v>
      </c>
      <c r="E879" s="2">
        <v>27720.0</v>
      </c>
      <c r="F879" s="2" t="s">
        <v>150</v>
      </c>
    </row>
    <row r="880" ht="15.75" hidden="1" customHeight="1">
      <c r="A880" s="4" t="s">
        <v>1217</v>
      </c>
      <c r="B880" s="2" t="s">
        <v>1218</v>
      </c>
      <c r="C880" s="2">
        <v>2183.0</v>
      </c>
      <c r="D880" s="2">
        <v>2244.0</v>
      </c>
      <c r="E880" s="2">
        <v>26920.0</v>
      </c>
      <c r="F880" s="2">
        <v>9.0</v>
      </c>
    </row>
    <row r="881" ht="15.75" customHeight="1">
      <c r="A881" s="4" t="s">
        <v>3237</v>
      </c>
      <c r="B881" s="2" t="s">
        <v>3238</v>
      </c>
      <c r="C881" s="2">
        <v>748.0</v>
      </c>
      <c r="D881" s="2">
        <v>766.0</v>
      </c>
      <c r="E881" s="2">
        <v>24970.0</v>
      </c>
      <c r="F881" s="2" t="s">
        <v>150</v>
      </c>
    </row>
    <row r="882" ht="15.75" customHeight="1">
      <c r="A882" s="4" t="s">
        <v>1221</v>
      </c>
      <c r="B882" s="2" t="s">
        <v>1222</v>
      </c>
      <c r="C882" s="2">
        <v>1612.0</v>
      </c>
      <c r="D882" s="2">
        <v>1775.0</v>
      </c>
      <c r="E882" s="2">
        <v>32340.0</v>
      </c>
      <c r="F882" s="2" t="s">
        <v>150</v>
      </c>
    </row>
    <row r="883" ht="15.75" customHeight="1">
      <c r="A883" s="4" t="s">
        <v>1223</v>
      </c>
      <c r="B883" s="2" t="s">
        <v>1224</v>
      </c>
      <c r="C883" s="2">
        <v>1435.0</v>
      </c>
      <c r="D883" s="2">
        <v>1445.0</v>
      </c>
      <c r="E883" s="2">
        <v>24590.0</v>
      </c>
      <c r="F883" s="2" t="s">
        <v>150</v>
      </c>
    </row>
    <row r="884" ht="15.75" hidden="1" customHeight="1">
      <c r="A884" s="4" t="s">
        <v>1225</v>
      </c>
      <c r="B884" s="2" t="s">
        <v>1226</v>
      </c>
      <c r="C884" s="2">
        <v>10103.0</v>
      </c>
      <c r="D884" s="2">
        <v>9747.0</v>
      </c>
      <c r="E884" s="2">
        <v>38630.0</v>
      </c>
      <c r="F884" s="2">
        <v>7.0</v>
      </c>
    </row>
    <row r="885" ht="15.75" customHeight="1">
      <c r="A885" s="4" t="s">
        <v>1229</v>
      </c>
      <c r="B885" s="2" t="s">
        <v>1230</v>
      </c>
      <c r="C885" s="2">
        <v>591.0</v>
      </c>
      <c r="D885" s="2">
        <v>553.0</v>
      </c>
      <c r="E885" s="2">
        <v>28200.0</v>
      </c>
      <c r="F885" s="2" t="s">
        <v>150</v>
      </c>
    </row>
    <row r="886" ht="15.75" hidden="1" customHeight="1">
      <c r="A886" s="4" t="s">
        <v>1231</v>
      </c>
      <c r="B886" s="2" t="s">
        <v>1232</v>
      </c>
      <c r="C886" s="2">
        <v>3952.0</v>
      </c>
      <c r="D886" s="2">
        <v>4113.0</v>
      </c>
      <c r="E886" s="2">
        <v>23250.0</v>
      </c>
      <c r="F886" s="2">
        <v>17.0</v>
      </c>
    </row>
    <row r="887" ht="15.75" customHeight="1">
      <c r="A887" s="4" t="s">
        <v>3247</v>
      </c>
      <c r="B887" s="2" t="s">
        <v>3249</v>
      </c>
      <c r="C887" s="2">
        <v>339.0</v>
      </c>
      <c r="D887" s="2">
        <v>291.0</v>
      </c>
      <c r="E887" s="2">
        <v>24260.0</v>
      </c>
      <c r="F887" s="2" t="s">
        <v>150</v>
      </c>
    </row>
    <row r="888" ht="15.75" hidden="1" customHeight="1">
      <c r="A888" s="4" t="s">
        <v>1233</v>
      </c>
      <c r="B888" s="2" t="s">
        <v>1234</v>
      </c>
      <c r="C888" s="2">
        <v>7097.0</v>
      </c>
      <c r="D888" s="2">
        <v>6931.0</v>
      </c>
      <c r="E888" s="2">
        <v>22350.0</v>
      </c>
      <c r="F888" s="2">
        <v>20.0</v>
      </c>
    </row>
    <row r="889" ht="15.75" customHeight="1">
      <c r="A889" s="4" t="s">
        <v>1235</v>
      </c>
      <c r="B889" s="2" t="s">
        <v>1236</v>
      </c>
      <c r="C889" s="2">
        <v>1664.0</v>
      </c>
      <c r="D889" s="2">
        <v>1682.0</v>
      </c>
      <c r="E889" s="2">
        <v>33970.0</v>
      </c>
      <c r="F889" s="2" t="s">
        <v>150</v>
      </c>
    </row>
    <row r="890" ht="15.75" customHeight="1">
      <c r="A890" s="4" t="s">
        <v>3256</v>
      </c>
      <c r="B890" s="2" t="s">
        <v>3258</v>
      </c>
      <c r="C890" s="2">
        <v>394.0</v>
      </c>
      <c r="D890" s="2">
        <v>360.0</v>
      </c>
      <c r="E890" s="2">
        <v>25360.0</v>
      </c>
      <c r="F890" s="2" t="s">
        <v>150</v>
      </c>
    </row>
    <row r="891" ht="15.75" hidden="1" customHeight="1">
      <c r="A891" s="4" t="s">
        <v>1237</v>
      </c>
      <c r="B891" s="2" t="s">
        <v>1238</v>
      </c>
      <c r="C891" s="2">
        <v>4831.0</v>
      </c>
      <c r="D891" s="2">
        <v>4978.0</v>
      </c>
      <c r="E891" s="2">
        <v>27810.0</v>
      </c>
      <c r="F891" s="2">
        <v>9.0</v>
      </c>
    </row>
    <row r="892" ht="15.75" customHeight="1">
      <c r="A892" s="4" t="s">
        <v>1239</v>
      </c>
      <c r="B892" s="2" t="s">
        <v>1240</v>
      </c>
      <c r="C892" s="2">
        <v>1738.0</v>
      </c>
      <c r="D892" s="2">
        <v>1769.0</v>
      </c>
      <c r="E892" s="2">
        <v>22670.0</v>
      </c>
      <c r="F892" s="2" t="s">
        <v>150</v>
      </c>
    </row>
    <row r="893" ht="15.75" customHeight="1">
      <c r="A893" s="4" t="s">
        <v>1241</v>
      </c>
      <c r="B893" s="2" t="s">
        <v>1242</v>
      </c>
      <c r="C893" s="2">
        <v>333.0</v>
      </c>
      <c r="D893" s="2">
        <v>339.0</v>
      </c>
      <c r="E893" s="2">
        <v>32220.0</v>
      </c>
      <c r="F893" s="2" t="s">
        <v>150</v>
      </c>
    </row>
    <row r="894" ht="15.75" customHeight="1">
      <c r="A894" s="4" t="s">
        <v>1245</v>
      </c>
      <c r="B894" s="2" t="s">
        <v>1246</v>
      </c>
      <c r="C894" s="2">
        <v>402.0</v>
      </c>
      <c r="D894" s="2">
        <v>369.0</v>
      </c>
      <c r="E894" s="2">
        <v>27290.0</v>
      </c>
      <c r="F894" s="2" t="s">
        <v>150</v>
      </c>
    </row>
    <row r="895" ht="15.75" customHeight="1">
      <c r="A895" s="4" t="s">
        <v>3269</v>
      </c>
      <c r="B895" s="2" t="s">
        <v>3270</v>
      </c>
      <c r="C895" s="2">
        <v>422.0</v>
      </c>
      <c r="D895" s="2">
        <v>436.0</v>
      </c>
      <c r="E895" s="2">
        <v>24520.0</v>
      </c>
      <c r="F895" s="2" t="s">
        <v>150</v>
      </c>
    </row>
    <row r="896" ht="15.75" customHeight="1">
      <c r="A896" s="4" t="s">
        <v>1247</v>
      </c>
      <c r="B896" s="2" t="s">
        <v>1248</v>
      </c>
      <c r="C896" s="2">
        <v>524.0</v>
      </c>
      <c r="D896" s="2">
        <v>522.0</v>
      </c>
      <c r="E896" s="2">
        <v>27130.0</v>
      </c>
      <c r="F896" s="2" t="s">
        <v>150</v>
      </c>
    </row>
    <row r="897" ht="15.75" hidden="1" customHeight="1">
      <c r="A897" s="4" t="s">
        <v>1249</v>
      </c>
      <c r="B897" s="2" t="s">
        <v>1250</v>
      </c>
      <c r="C897" s="2">
        <v>3231.0</v>
      </c>
      <c r="D897" s="2">
        <v>3123.0</v>
      </c>
      <c r="E897" s="2">
        <v>21690.0</v>
      </c>
      <c r="F897" s="2">
        <v>23.0</v>
      </c>
    </row>
    <row r="898" ht="15.75" customHeight="1">
      <c r="A898" s="4" t="s">
        <v>1251</v>
      </c>
      <c r="B898" s="2" t="s">
        <v>1252</v>
      </c>
      <c r="C898" s="2">
        <v>1535.0</v>
      </c>
      <c r="D898" s="2">
        <v>1580.0</v>
      </c>
      <c r="E898" s="2">
        <v>30200.0</v>
      </c>
      <c r="F898" s="2" t="s">
        <v>150</v>
      </c>
    </row>
    <row r="899" ht="15.75" customHeight="1">
      <c r="A899" s="4" t="s">
        <v>3279</v>
      </c>
      <c r="B899" s="2" t="s">
        <v>3280</v>
      </c>
      <c r="C899" s="2">
        <v>775.0</v>
      </c>
      <c r="D899" s="2">
        <v>766.0</v>
      </c>
      <c r="E899" s="2">
        <v>33390.0</v>
      </c>
      <c r="F899" s="2" t="s">
        <v>150</v>
      </c>
    </row>
    <row r="900" ht="15.75" hidden="1" customHeight="1">
      <c r="A900" s="4" t="s">
        <v>1255</v>
      </c>
      <c r="B900" s="2" t="s">
        <v>1256</v>
      </c>
      <c r="C900" s="2">
        <v>4483.0</v>
      </c>
      <c r="D900" s="2">
        <v>4189.0</v>
      </c>
      <c r="E900" s="2">
        <v>25360.0</v>
      </c>
      <c r="F900" s="2">
        <v>16.0</v>
      </c>
    </row>
    <row r="901" ht="15.75" customHeight="1">
      <c r="A901" s="4" t="s">
        <v>1257</v>
      </c>
      <c r="B901" s="2" t="s">
        <v>1259</v>
      </c>
      <c r="C901" s="2">
        <v>748.0</v>
      </c>
      <c r="D901" s="2">
        <v>689.0</v>
      </c>
      <c r="E901" s="2">
        <v>22740.0</v>
      </c>
      <c r="F901" s="2" t="s">
        <v>150</v>
      </c>
    </row>
    <row r="902" ht="15.75" customHeight="1">
      <c r="A902" s="4" t="s">
        <v>1263</v>
      </c>
      <c r="B902" s="2" t="s">
        <v>1264</v>
      </c>
      <c r="C902" s="2">
        <v>738.0</v>
      </c>
      <c r="D902" s="2">
        <v>771.0</v>
      </c>
      <c r="E902" s="2">
        <v>31430.0</v>
      </c>
      <c r="F902" s="2" t="s">
        <v>150</v>
      </c>
    </row>
    <row r="903" ht="15.75" customHeight="1">
      <c r="A903" s="4" t="s">
        <v>1265</v>
      </c>
      <c r="B903" s="2" t="s">
        <v>1266</v>
      </c>
      <c r="C903" s="2">
        <v>1375.0</v>
      </c>
      <c r="D903" s="2">
        <v>1452.0</v>
      </c>
      <c r="E903" s="2">
        <v>29830.0</v>
      </c>
      <c r="F903" s="2" t="s">
        <v>150</v>
      </c>
    </row>
    <row r="904" ht="15.75" customHeight="1">
      <c r="A904" s="4" t="s">
        <v>3290</v>
      </c>
      <c r="B904" s="2" t="s">
        <v>3292</v>
      </c>
      <c r="C904" s="2">
        <v>403.0</v>
      </c>
      <c r="D904" s="2">
        <v>425.0</v>
      </c>
      <c r="E904" s="2">
        <v>24390.0</v>
      </c>
      <c r="F904" s="2" t="s">
        <v>150</v>
      </c>
    </row>
    <row r="905" ht="15.75" hidden="1" customHeight="1">
      <c r="A905" s="4" t="s">
        <v>1267</v>
      </c>
      <c r="B905" s="2" t="s">
        <v>1268</v>
      </c>
      <c r="C905" s="2">
        <v>11449.0</v>
      </c>
      <c r="D905" s="2">
        <v>11644.0</v>
      </c>
      <c r="E905" s="2">
        <v>19440.0</v>
      </c>
      <c r="F905" s="2">
        <v>30.0</v>
      </c>
    </row>
    <row r="906" ht="15.75" customHeight="1">
      <c r="A906" s="4" t="s">
        <v>1273</v>
      </c>
      <c r="B906" s="2" t="s">
        <v>1274</v>
      </c>
      <c r="C906" s="2">
        <v>1345.0</v>
      </c>
      <c r="D906" s="2">
        <v>1340.0</v>
      </c>
      <c r="E906" s="2">
        <v>23250.0</v>
      </c>
      <c r="F906" s="2" t="s">
        <v>150</v>
      </c>
    </row>
    <row r="907" ht="15.75" customHeight="1">
      <c r="A907" s="4" t="s">
        <v>1271</v>
      </c>
      <c r="B907" s="2" t="s">
        <v>1272</v>
      </c>
      <c r="C907" s="2">
        <v>1671.0</v>
      </c>
      <c r="D907" s="2">
        <v>1698.0</v>
      </c>
      <c r="E907" s="2">
        <v>26650.0</v>
      </c>
      <c r="F907" s="2" t="s">
        <v>150</v>
      </c>
    </row>
    <row r="908" ht="15.75" customHeight="1">
      <c r="A908" s="4" t="s">
        <v>1276</v>
      </c>
      <c r="B908" s="2" t="s">
        <v>1278</v>
      </c>
      <c r="C908" s="2">
        <v>711.0</v>
      </c>
      <c r="D908" s="2">
        <v>704.0</v>
      </c>
      <c r="E908" s="2">
        <v>25770.0</v>
      </c>
      <c r="F908" s="2" t="s">
        <v>150</v>
      </c>
    </row>
    <row r="909" ht="15.75" customHeight="1">
      <c r="A909" s="4" t="s">
        <v>1280</v>
      </c>
      <c r="B909" s="2" t="s">
        <v>1281</v>
      </c>
      <c r="C909" s="2">
        <v>417.0</v>
      </c>
      <c r="D909" s="2">
        <v>390.0</v>
      </c>
      <c r="E909" s="2">
        <v>31630.0</v>
      </c>
      <c r="F909" s="2" t="s">
        <v>150</v>
      </c>
    </row>
    <row r="910" ht="15.75" customHeight="1">
      <c r="A910" s="4" t="s">
        <v>1285</v>
      </c>
      <c r="B910" s="2" t="s">
        <v>1286</v>
      </c>
      <c r="C910" s="2">
        <v>1030.0</v>
      </c>
      <c r="D910" s="2">
        <v>1095.0</v>
      </c>
      <c r="E910" s="2">
        <v>25030.0</v>
      </c>
      <c r="F910" s="2" t="s">
        <v>150</v>
      </c>
    </row>
    <row r="911" ht="15.75" hidden="1" customHeight="1">
      <c r="A911" s="4" t="s">
        <v>1287</v>
      </c>
      <c r="B911" s="2" t="s">
        <v>1288</v>
      </c>
      <c r="C911" s="2">
        <v>2482.0</v>
      </c>
      <c r="D911" s="2">
        <v>2435.0</v>
      </c>
      <c r="E911" s="2">
        <v>21410.0</v>
      </c>
      <c r="F911" s="2">
        <v>25.0</v>
      </c>
    </row>
    <row r="912" ht="15.75" customHeight="1">
      <c r="A912" s="4" t="s">
        <v>3309</v>
      </c>
      <c r="B912" s="2" t="s">
        <v>3310</v>
      </c>
      <c r="C912" s="2">
        <v>583.0</v>
      </c>
      <c r="D912" s="2">
        <v>582.0</v>
      </c>
      <c r="E912" s="2">
        <v>25560.0</v>
      </c>
      <c r="F912" s="2" t="s">
        <v>150</v>
      </c>
    </row>
    <row r="913" ht="15.75" customHeight="1">
      <c r="A913" s="4" t="s">
        <v>1357</v>
      </c>
      <c r="B913" s="2" t="s">
        <v>1358</v>
      </c>
      <c r="C913" s="2">
        <v>1980.0</v>
      </c>
      <c r="D913" s="2">
        <v>1951.0</v>
      </c>
      <c r="E913" s="2">
        <v>28030.0</v>
      </c>
      <c r="F913" s="2" t="s">
        <v>150</v>
      </c>
    </row>
    <row r="914" ht="15.75" customHeight="1">
      <c r="A914" s="4" t="s">
        <v>1297</v>
      </c>
      <c r="B914" s="2" t="s">
        <v>1298</v>
      </c>
      <c r="C914" s="2">
        <v>611.0</v>
      </c>
      <c r="D914" s="2">
        <v>663.0</v>
      </c>
      <c r="E914" s="2">
        <v>27240.0</v>
      </c>
      <c r="F914" s="2" t="s">
        <v>150</v>
      </c>
    </row>
    <row r="915" ht="15.75" hidden="1" customHeight="1">
      <c r="A915" s="4" t="s">
        <v>1301</v>
      </c>
      <c r="B915" s="2" t="s">
        <v>1302</v>
      </c>
      <c r="C915" s="2">
        <v>32558.0</v>
      </c>
      <c r="D915" s="2">
        <v>31134.0</v>
      </c>
      <c r="E915" s="2">
        <v>21930.0</v>
      </c>
      <c r="F915" s="2">
        <v>24.2</v>
      </c>
    </row>
    <row r="916" ht="15.75" customHeight="1">
      <c r="A916" s="4" t="s">
        <v>1303</v>
      </c>
      <c r="B916" s="2" t="s">
        <v>1304</v>
      </c>
      <c r="C916" s="2">
        <v>1660.0</v>
      </c>
      <c r="D916" s="2">
        <v>1737.0</v>
      </c>
      <c r="E916" s="2">
        <v>29530.0</v>
      </c>
      <c r="F916" s="2" t="s">
        <v>150</v>
      </c>
    </row>
    <row r="917" ht="15.75" hidden="1" customHeight="1">
      <c r="A917" s="4" t="s">
        <v>1307</v>
      </c>
      <c r="B917" s="2" t="s">
        <v>1308</v>
      </c>
      <c r="C917" s="2">
        <v>2452.0</v>
      </c>
      <c r="D917" s="2">
        <v>2518.0</v>
      </c>
      <c r="E917" s="2">
        <v>33150.0</v>
      </c>
      <c r="F917" s="2">
        <v>6.0</v>
      </c>
    </row>
    <row r="918" ht="15.75" customHeight="1">
      <c r="A918" s="4" t="s">
        <v>3321</v>
      </c>
      <c r="B918" s="2" t="s">
        <v>3322</v>
      </c>
      <c r="C918" s="2">
        <v>399.0</v>
      </c>
      <c r="D918" s="2">
        <v>410.0</v>
      </c>
      <c r="E918" s="2">
        <v>26820.0</v>
      </c>
      <c r="F918" s="2" t="s">
        <v>150</v>
      </c>
    </row>
    <row r="919" ht="15.75" customHeight="1">
      <c r="A919" s="4" t="s">
        <v>1309</v>
      </c>
      <c r="B919" s="2" t="s">
        <v>1311</v>
      </c>
      <c r="C919" s="2">
        <v>1577.0</v>
      </c>
      <c r="D919" s="2">
        <v>1741.0</v>
      </c>
      <c r="E919" s="2">
        <v>24370.0</v>
      </c>
      <c r="F919" s="2" t="s">
        <v>150</v>
      </c>
    </row>
    <row r="920" ht="15.75" customHeight="1">
      <c r="A920" s="4" t="s">
        <v>3327</v>
      </c>
      <c r="B920" s="2" t="s">
        <v>3328</v>
      </c>
      <c r="C920" s="2">
        <v>153.0</v>
      </c>
      <c r="D920" s="2">
        <v>135.0</v>
      </c>
      <c r="E920" s="2">
        <v>27470.0</v>
      </c>
      <c r="F920" s="2" t="s">
        <v>150</v>
      </c>
    </row>
    <row r="921" ht="15.75" hidden="1" customHeight="1">
      <c r="A921" s="4" t="s">
        <v>1313</v>
      </c>
      <c r="B921" s="2" t="s">
        <v>1314</v>
      </c>
      <c r="C921" s="2">
        <v>2495.0</v>
      </c>
      <c r="D921" s="2">
        <v>2728.0</v>
      </c>
      <c r="E921" s="2">
        <v>28640.0</v>
      </c>
      <c r="F921" s="2">
        <v>12.0</v>
      </c>
    </row>
    <row r="922" ht="15.75" hidden="1" customHeight="1">
      <c r="A922" s="4" t="s">
        <v>1321</v>
      </c>
      <c r="B922" s="2" t="s">
        <v>1322</v>
      </c>
      <c r="C922" s="2">
        <v>2232.0</v>
      </c>
      <c r="D922" s="2">
        <v>2257.0</v>
      </c>
      <c r="E922" s="2">
        <v>30780.0</v>
      </c>
      <c r="F922" s="2">
        <v>5.0</v>
      </c>
    </row>
    <row r="923" ht="15.75" customHeight="1">
      <c r="A923" s="4" t="s">
        <v>1316</v>
      </c>
      <c r="B923" s="2" t="s">
        <v>1320</v>
      </c>
      <c r="C923" s="2">
        <v>1166.0</v>
      </c>
      <c r="D923" s="2">
        <v>1169.0</v>
      </c>
      <c r="E923" s="2">
        <v>25240.0</v>
      </c>
      <c r="F923" s="2" t="s">
        <v>150</v>
      </c>
    </row>
    <row r="924" ht="15.75" hidden="1" customHeight="1">
      <c r="A924" s="4" t="s">
        <v>1323</v>
      </c>
      <c r="B924" s="2" t="s">
        <v>1324</v>
      </c>
      <c r="C924" s="2">
        <v>7899.0</v>
      </c>
      <c r="D924" s="2">
        <v>7839.0</v>
      </c>
      <c r="E924" s="2">
        <v>23460.0</v>
      </c>
      <c r="F924" s="2">
        <v>18.0</v>
      </c>
    </row>
    <row r="925" ht="15.75" customHeight="1">
      <c r="A925" s="4" t="s">
        <v>1330</v>
      </c>
      <c r="B925" s="2" t="s">
        <v>1332</v>
      </c>
      <c r="C925" s="2">
        <v>1073.0</v>
      </c>
      <c r="D925" s="2">
        <v>983.0</v>
      </c>
      <c r="E925" s="2">
        <v>25280.0</v>
      </c>
      <c r="F925" s="2" t="s">
        <v>150</v>
      </c>
    </row>
    <row r="926" ht="15.75" customHeight="1">
      <c r="A926" s="4" t="s">
        <v>1327</v>
      </c>
      <c r="B926" s="2" t="s">
        <v>1328</v>
      </c>
      <c r="C926" s="2">
        <v>1008.0</v>
      </c>
      <c r="D926" s="2">
        <v>1105.0</v>
      </c>
      <c r="E926" s="2">
        <v>32020.0</v>
      </c>
      <c r="F926" s="2" t="s">
        <v>150</v>
      </c>
    </row>
    <row r="927" ht="15.75" customHeight="1">
      <c r="A927" s="4" t="s">
        <v>1333</v>
      </c>
      <c r="B927" s="2" t="s">
        <v>1335</v>
      </c>
      <c r="C927" s="2">
        <v>1253.0</v>
      </c>
      <c r="D927" s="2">
        <v>1209.0</v>
      </c>
      <c r="E927" s="2">
        <v>23940.0</v>
      </c>
      <c r="F927" s="2" t="s">
        <v>150</v>
      </c>
    </row>
    <row r="928" ht="15.75" hidden="1" customHeight="1">
      <c r="A928" s="4" t="s">
        <v>1337</v>
      </c>
      <c r="B928" s="2" t="s">
        <v>1339</v>
      </c>
      <c r="C928" s="2">
        <v>2289.0</v>
      </c>
      <c r="D928" s="2">
        <v>2198.0</v>
      </c>
      <c r="E928" s="2">
        <v>26430.0</v>
      </c>
      <c r="F928" s="2">
        <v>14.0</v>
      </c>
    </row>
    <row r="929" ht="15.75" hidden="1" customHeight="1">
      <c r="A929" s="4" t="s">
        <v>1844</v>
      </c>
      <c r="B929" s="2" t="s">
        <v>1845</v>
      </c>
      <c r="C929" s="2">
        <v>6933.0</v>
      </c>
      <c r="D929" s="2">
        <v>6764.0</v>
      </c>
      <c r="E929" s="2">
        <v>18770.0</v>
      </c>
      <c r="F929" s="2">
        <v>34.0</v>
      </c>
    </row>
    <row r="930" ht="15.75" customHeight="1">
      <c r="A930" s="4" t="s">
        <v>1341</v>
      </c>
      <c r="B930" s="2" t="s">
        <v>1342</v>
      </c>
      <c r="C930" s="2">
        <v>840.0</v>
      </c>
      <c r="D930" s="2">
        <v>781.0</v>
      </c>
      <c r="E930" s="2">
        <v>21480.0</v>
      </c>
      <c r="F930" s="2" t="s">
        <v>150</v>
      </c>
    </row>
    <row r="931" ht="15.75" customHeight="1">
      <c r="A931" s="4" t="s">
        <v>1345</v>
      </c>
      <c r="B931" s="2" t="s">
        <v>1346</v>
      </c>
      <c r="C931" s="2">
        <v>670.0</v>
      </c>
      <c r="D931" s="2">
        <v>689.0</v>
      </c>
      <c r="E931" s="2">
        <v>25170.0</v>
      </c>
      <c r="F931" s="2" t="s">
        <v>150</v>
      </c>
    </row>
    <row r="932" ht="15.75" hidden="1" customHeight="1">
      <c r="A932" s="4" t="s">
        <v>1349</v>
      </c>
      <c r="B932" s="2" t="s">
        <v>1350</v>
      </c>
      <c r="C932" s="2">
        <v>14591.0</v>
      </c>
      <c r="D932" s="2">
        <v>13833.0</v>
      </c>
      <c r="E932" s="2">
        <v>20040.0</v>
      </c>
      <c r="F932" s="2">
        <v>29.0</v>
      </c>
    </row>
    <row r="933" ht="15.75" customHeight="1">
      <c r="A933" s="4" t="s">
        <v>3350</v>
      </c>
      <c r="B933" s="2" t="s">
        <v>3352</v>
      </c>
      <c r="C933" s="2">
        <v>454.0</v>
      </c>
      <c r="D933" s="2">
        <v>467.0</v>
      </c>
      <c r="E933" s="2">
        <v>22760.0</v>
      </c>
      <c r="F933" s="2" t="s">
        <v>150</v>
      </c>
    </row>
    <row r="934" ht="15.75" customHeight="1">
      <c r="A934" s="4" t="s">
        <v>1353</v>
      </c>
      <c r="B934" s="2" t="s">
        <v>1354</v>
      </c>
      <c r="C934" s="2">
        <v>570.0</v>
      </c>
      <c r="D934" s="2">
        <v>579.0</v>
      </c>
      <c r="E934" s="2">
        <v>27060.0</v>
      </c>
      <c r="F934" s="2" t="s">
        <v>150</v>
      </c>
    </row>
    <row r="935" ht="15.75" customHeight="1">
      <c r="A935" s="4" t="s">
        <v>1359</v>
      </c>
      <c r="B935" s="2" t="s">
        <v>1361</v>
      </c>
      <c r="C935" s="2">
        <v>688.0</v>
      </c>
      <c r="D935" s="2">
        <v>646.0</v>
      </c>
      <c r="E935" s="2">
        <v>27560.0</v>
      </c>
      <c r="F935" s="2" t="s">
        <v>150</v>
      </c>
    </row>
    <row r="936" ht="15.75" hidden="1" customHeight="1">
      <c r="A936" s="4" t="s">
        <v>1797</v>
      </c>
      <c r="B936" s="2" t="s">
        <v>1798</v>
      </c>
      <c r="C936" s="2">
        <v>8590.0</v>
      </c>
      <c r="D936" s="2">
        <v>8754.0</v>
      </c>
      <c r="E936" s="2">
        <v>26610.0</v>
      </c>
      <c r="F936" s="2">
        <v>13.0</v>
      </c>
    </row>
    <row r="937" ht="15.75" customHeight="1">
      <c r="A937" s="4" t="s">
        <v>1363</v>
      </c>
      <c r="B937" s="2" t="s">
        <v>1365</v>
      </c>
      <c r="C937" s="2">
        <v>874.0</v>
      </c>
      <c r="D937" s="2">
        <v>917.0</v>
      </c>
      <c r="E937" s="2">
        <v>29670.0</v>
      </c>
      <c r="F937" s="2" t="s">
        <v>150</v>
      </c>
    </row>
    <row r="938" ht="15.75" customHeight="1">
      <c r="A938" s="4" t="s">
        <v>3361</v>
      </c>
      <c r="B938" s="2" t="s">
        <v>3363</v>
      </c>
      <c r="C938" s="2">
        <v>768.0</v>
      </c>
      <c r="D938" s="2">
        <v>766.0</v>
      </c>
      <c r="E938" s="2">
        <v>32430.0</v>
      </c>
      <c r="F938" s="2" t="s">
        <v>150</v>
      </c>
    </row>
    <row r="939" ht="15.75" hidden="1" customHeight="1">
      <c r="A939" s="4" t="s">
        <v>1368</v>
      </c>
      <c r="B939" s="2" t="s">
        <v>1370</v>
      </c>
      <c r="C939" s="2">
        <v>2990.0</v>
      </c>
      <c r="D939" s="2">
        <v>3078.0</v>
      </c>
      <c r="E939" s="2">
        <v>33960.0</v>
      </c>
      <c r="F939" s="2">
        <v>5.0</v>
      </c>
    </row>
    <row r="940" ht="15.75" customHeight="1">
      <c r="A940" s="4" t="s">
        <v>3367</v>
      </c>
      <c r="B940" s="2" t="s">
        <v>3369</v>
      </c>
      <c r="C940" s="2">
        <v>52.0</v>
      </c>
      <c r="D940" s="2">
        <v>43.0</v>
      </c>
      <c r="E940" s="2" t="s">
        <v>150</v>
      </c>
      <c r="F940" s="2" t="s">
        <v>150</v>
      </c>
    </row>
    <row r="941" ht="15.75" customHeight="1">
      <c r="A941" s="4" t="s">
        <v>3370</v>
      </c>
      <c r="B941" s="2" t="s">
        <v>3372</v>
      </c>
      <c r="C941" s="2">
        <v>371.0</v>
      </c>
      <c r="D941" s="2">
        <v>357.0</v>
      </c>
      <c r="E941" s="2">
        <v>23400.0</v>
      </c>
      <c r="F941" s="2" t="s">
        <v>150</v>
      </c>
    </row>
    <row r="942" ht="15.75" customHeight="1">
      <c r="A942" s="4" t="s">
        <v>1373</v>
      </c>
      <c r="B942" s="2" t="s">
        <v>1374</v>
      </c>
      <c r="C942" s="2">
        <v>1092.0</v>
      </c>
      <c r="D942" s="2">
        <v>1088.0</v>
      </c>
      <c r="E942" s="2">
        <v>25090.0</v>
      </c>
      <c r="F942" s="2" t="s">
        <v>150</v>
      </c>
    </row>
    <row r="943" ht="15.75" customHeight="1">
      <c r="A943" s="4" t="s">
        <v>1377</v>
      </c>
      <c r="B943" s="2" t="s">
        <v>1378</v>
      </c>
      <c r="C943" s="2">
        <v>521.0</v>
      </c>
      <c r="D943" s="2">
        <v>563.0</v>
      </c>
      <c r="E943" s="2">
        <v>33690.0</v>
      </c>
      <c r="F943" s="2" t="s">
        <v>150</v>
      </c>
    </row>
    <row r="944" ht="15.75" customHeight="1">
      <c r="A944" s="4" t="s">
        <v>1381</v>
      </c>
      <c r="B944" s="2" t="s">
        <v>1382</v>
      </c>
      <c r="C944" s="2">
        <v>1615.0</v>
      </c>
      <c r="D944" s="2">
        <v>1541.0</v>
      </c>
      <c r="E944" s="2">
        <v>25150.0</v>
      </c>
      <c r="F944" s="2" t="s">
        <v>150</v>
      </c>
    </row>
    <row r="945" ht="15.75" hidden="1" customHeight="1">
      <c r="A945" s="4" t="s">
        <v>1383</v>
      </c>
      <c r="B945" s="2" t="s">
        <v>1384</v>
      </c>
      <c r="C945" s="2">
        <v>12358.0</v>
      </c>
      <c r="D945" s="2">
        <v>12731.0</v>
      </c>
      <c r="E945" s="2">
        <v>25070.0</v>
      </c>
      <c r="F945" s="2">
        <v>16.0</v>
      </c>
    </row>
    <row r="946" ht="15.75" hidden="1" customHeight="1">
      <c r="A946" s="4" t="s">
        <v>1385</v>
      </c>
      <c r="B946" s="2" t="s">
        <v>1386</v>
      </c>
      <c r="C946" s="2">
        <v>9698.0</v>
      </c>
      <c r="D946" s="2">
        <v>9253.0</v>
      </c>
      <c r="E946" s="2">
        <v>18400.0</v>
      </c>
      <c r="F946" s="2">
        <v>36.0</v>
      </c>
    </row>
    <row r="947" ht="15.75" hidden="1" customHeight="1">
      <c r="A947" s="4" t="s">
        <v>1387</v>
      </c>
      <c r="B947" s="2" t="s">
        <v>1389</v>
      </c>
      <c r="C947" s="2">
        <v>21134.0</v>
      </c>
      <c r="D947" s="2">
        <v>20787.0</v>
      </c>
      <c r="E947" s="2">
        <v>23300.0</v>
      </c>
      <c r="F947" s="2">
        <v>17.0</v>
      </c>
    </row>
    <row r="948" ht="15.75" hidden="1" customHeight="1">
      <c r="A948" s="4" t="s">
        <v>1392</v>
      </c>
      <c r="B948" s="2" t="s">
        <v>1394</v>
      </c>
      <c r="C948" s="2">
        <v>2809.0</v>
      </c>
      <c r="D948" s="2">
        <v>2855.0</v>
      </c>
      <c r="E948" s="2">
        <v>24560.0</v>
      </c>
      <c r="F948" s="2">
        <v>14.0</v>
      </c>
    </row>
    <row r="949" ht="15.75" customHeight="1">
      <c r="A949" s="4" t="s">
        <v>1396</v>
      </c>
      <c r="B949" s="2" t="s">
        <v>1397</v>
      </c>
      <c r="C949" s="2">
        <v>2270.0</v>
      </c>
      <c r="D949" s="2">
        <v>2153.0</v>
      </c>
      <c r="E949" s="2">
        <v>22280.0</v>
      </c>
      <c r="F949" s="2" t="s">
        <v>150</v>
      </c>
    </row>
    <row r="950" ht="15.75" hidden="1" customHeight="1">
      <c r="A950" s="4" t="s">
        <v>1399</v>
      </c>
      <c r="B950" s="2" t="s">
        <v>1400</v>
      </c>
      <c r="C950" s="2">
        <v>3014.0</v>
      </c>
      <c r="D950" s="2">
        <v>3436.0</v>
      </c>
      <c r="E950" s="2">
        <v>30450.0</v>
      </c>
      <c r="F950" s="2">
        <v>6.0</v>
      </c>
    </row>
    <row r="951" ht="15.75" customHeight="1">
      <c r="A951" s="4" t="s">
        <v>1402</v>
      </c>
      <c r="B951" s="2" t="s">
        <v>1404</v>
      </c>
      <c r="C951" s="2">
        <v>694.0</v>
      </c>
      <c r="D951" s="2">
        <v>791.0</v>
      </c>
      <c r="E951" s="2">
        <v>25970.0</v>
      </c>
      <c r="F951" s="2" t="s">
        <v>150</v>
      </c>
    </row>
    <row r="952" ht="15.75" hidden="1" customHeight="1">
      <c r="A952" s="4" t="s">
        <v>1407</v>
      </c>
      <c r="B952" s="2" t="s">
        <v>1408</v>
      </c>
      <c r="C952" s="2">
        <v>4532.0</v>
      </c>
      <c r="D952" s="2">
        <v>4532.0</v>
      </c>
      <c r="E952" s="2">
        <v>20050.0</v>
      </c>
      <c r="F952" s="2">
        <v>29.0</v>
      </c>
    </row>
    <row r="953" ht="15.75" customHeight="1">
      <c r="A953" s="4" t="s">
        <v>1415</v>
      </c>
      <c r="B953" s="2" t="s">
        <v>1416</v>
      </c>
      <c r="C953" s="2">
        <v>744.0</v>
      </c>
      <c r="D953" s="2">
        <v>716.0</v>
      </c>
      <c r="E953" s="2">
        <v>26440.0</v>
      </c>
      <c r="F953" s="2" t="s">
        <v>150</v>
      </c>
    </row>
    <row r="954" ht="15.75" customHeight="1">
      <c r="A954" s="4" t="s">
        <v>3397</v>
      </c>
      <c r="B954" s="2" t="s">
        <v>3399</v>
      </c>
      <c r="C954" s="2">
        <v>667.0</v>
      </c>
      <c r="D954" s="2">
        <v>659.0</v>
      </c>
      <c r="E954" s="2">
        <v>29510.0</v>
      </c>
      <c r="F954" s="2" t="s">
        <v>150</v>
      </c>
    </row>
    <row r="955" ht="15.75" hidden="1" customHeight="1">
      <c r="A955" s="4" t="s">
        <v>1411</v>
      </c>
      <c r="B955" s="2" t="s">
        <v>1412</v>
      </c>
      <c r="C955" s="2">
        <v>21041.0</v>
      </c>
      <c r="D955" s="2">
        <v>20566.0</v>
      </c>
      <c r="E955" s="2">
        <v>25770.0</v>
      </c>
      <c r="F955" s="2">
        <v>17.8</v>
      </c>
    </row>
    <row r="956" ht="15.75" customHeight="1">
      <c r="A956" s="4" t="s">
        <v>3408</v>
      </c>
      <c r="B956" s="2" t="s">
        <v>3409</v>
      </c>
      <c r="C956" s="2">
        <v>257.0</v>
      </c>
      <c r="D956" s="2">
        <v>238.0</v>
      </c>
      <c r="E956" s="2">
        <v>26290.0</v>
      </c>
      <c r="F956" s="2" t="s">
        <v>150</v>
      </c>
    </row>
    <row r="957" ht="15.75" hidden="1" customHeight="1">
      <c r="A957" s="4" t="s">
        <v>1417</v>
      </c>
      <c r="B957" s="2" t="s">
        <v>1418</v>
      </c>
      <c r="C957" s="2">
        <v>6435.0</v>
      </c>
      <c r="D957" s="2">
        <v>6467.0</v>
      </c>
      <c r="E957" s="2">
        <v>25490.0</v>
      </c>
      <c r="F957" s="2">
        <v>16.0</v>
      </c>
    </row>
    <row r="958" ht="15.75" customHeight="1">
      <c r="A958" s="4" t="s">
        <v>1421</v>
      </c>
      <c r="B958" s="2" t="s">
        <v>1422</v>
      </c>
      <c r="C958" s="2">
        <v>1218.0</v>
      </c>
      <c r="D958" s="2">
        <v>1333.0</v>
      </c>
      <c r="E958" s="2">
        <v>29930.0</v>
      </c>
      <c r="F958" s="2" t="s">
        <v>150</v>
      </c>
    </row>
    <row r="959" ht="15.75" customHeight="1">
      <c r="A959" s="4" t="s">
        <v>3415</v>
      </c>
      <c r="B959" s="2" t="s">
        <v>3416</v>
      </c>
      <c r="C959" s="2">
        <v>201.0</v>
      </c>
      <c r="D959" s="2">
        <v>177.0</v>
      </c>
      <c r="E959" s="2">
        <v>26680.0</v>
      </c>
      <c r="F959" s="2" t="s">
        <v>150</v>
      </c>
    </row>
    <row r="960" ht="15.75" hidden="1" customHeight="1">
      <c r="A960" s="4" t="s">
        <v>1423</v>
      </c>
      <c r="B960" s="2" t="s">
        <v>1424</v>
      </c>
      <c r="C960" s="2">
        <v>4968.0</v>
      </c>
      <c r="D960" s="2">
        <v>4839.0</v>
      </c>
      <c r="E960" s="2">
        <v>30060.0</v>
      </c>
      <c r="F960" s="2">
        <v>7.0</v>
      </c>
    </row>
    <row r="961" ht="15.75" customHeight="1">
      <c r="A961" s="4" t="s">
        <v>3420</v>
      </c>
      <c r="B961" s="2" t="s">
        <v>3421</v>
      </c>
      <c r="C961" s="2">
        <v>193.0</v>
      </c>
      <c r="D961" s="2">
        <v>205.0</v>
      </c>
      <c r="E961" s="2">
        <v>21900.0</v>
      </c>
      <c r="F961" s="2" t="s">
        <v>150</v>
      </c>
    </row>
    <row r="962" ht="15.75" hidden="1" customHeight="1">
      <c r="A962" s="4" t="s">
        <v>1426</v>
      </c>
      <c r="B962" s="2" t="s">
        <v>1428</v>
      </c>
      <c r="C962" s="2">
        <v>5324.0</v>
      </c>
      <c r="D962" s="2">
        <v>5338.0</v>
      </c>
      <c r="E962" s="2">
        <v>19680.0</v>
      </c>
      <c r="F962" s="2">
        <v>30.0</v>
      </c>
    </row>
    <row r="963" ht="15.75" customHeight="1">
      <c r="A963" s="4" t="s">
        <v>3425</v>
      </c>
      <c r="B963" s="2" t="s">
        <v>3426</v>
      </c>
      <c r="C963" s="2">
        <v>39.0</v>
      </c>
      <c r="D963" s="2">
        <v>43.0</v>
      </c>
      <c r="E963" s="2" t="s">
        <v>150</v>
      </c>
      <c r="F963" s="2" t="s">
        <v>150</v>
      </c>
    </row>
    <row r="964" ht="15.75" hidden="1" customHeight="1">
      <c r="A964" s="4" t="s">
        <v>1430</v>
      </c>
      <c r="B964" s="2" t="s">
        <v>1432</v>
      </c>
      <c r="C964" s="2">
        <v>19825.0</v>
      </c>
      <c r="D964" s="2">
        <v>20665.0</v>
      </c>
      <c r="E964" s="2">
        <v>16330.0</v>
      </c>
      <c r="F964" s="2">
        <v>45.0</v>
      </c>
    </row>
    <row r="965" ht="15.75" customHeight="1">
      <c r="A965" s="4" t="s">
        <v>1435</v>
      </c>
      <c r="B965" s="2" t="s">
        <v>1436</v>
      </c>
      <c r="C965" s="2">
        <v>1769.0</v>
      </c>
      <c r="D965" s="2">
        <v>1778.0</v>
      </c>
      <c r="E965" s="2">
        <v>29290.0</v>
      </c>
      <c r="F965" s="2" t="s">
        <v>150</v>
      </c>
    </row>
    <row r="966" ht="15.75" customHeight="1">
      <c r="A966" s="4" t="s">
        <v>3432</v>
      </c>
      <c r="B966" s="2" t="s">
        <v>3433</v>
      </c>
      <c r="C966" s="2">
        <v>339.0</v>
      </c>
      <c r="D966" s="2">
        <v>327.0</v>
      </c>
      <c r="E966" s="2">
        <v>27230.0</v>
      </c>
      <c r="F966" s="2" t="s">
        <v>150</v>
      </c>
    </row>
    <row r="967" ht="15.75" customHeight="1">
      <c r="A967" s="4" t="s">
        <v>3436</v>
      </c>
      <c r="B967" s="2" t="s">
        <v>3437</v>
      </c>
      <c r="C967" s="2">
        <v>314.0</v>
      </c>
      <c r="D967" s="2">
        <v>289.0</v>
      </c>
      <c r="E967" s="2">
        <v>26210.0</v>
      </c>
      <c r="F967" s="2" t="s">
        <v>150</v>
      </c>
    </row>
    <row r="968" ht="15.75" customHeight="1">
      <c r="A968" s="4" t="s">
        <v>1439</v>
      </c>
      <c r="B968" s="2" t="s">
        <v>1440</v>
      </c>
      <c r="C968" s="2">
        <v>333.0</v>
      </c>
      <c r="D968" s="2">
        <v>325.0</v>
      </c>
      <c r="E968" s="2">
        <v>26270.0</v>
      </c>
      <c r="F968" s="2" t="s">
        <v>150</v>
      </c>
    </row>
    <row r="969" ht="15.75" customHeight="1">
      <c r="A969" s="4" t="s">
        <v>1443</v>
      </c>
      <c r="B969" s="2" t="s">
        <v>1444</v>
      </c>
      <c r="C969" s="2">
        <v>860.0</v>
      </c>
      <c r="D969" s="2">
        <v>815.0</v>
      </c>
      <c r="E969" s="2">
        <v>24070.0</v>
      </c>
      <c r="F969" s="2" t="s">
        <v>150</v>
      </c>
    </row>
    <row r="970" ht="15.75" hidden="1" customHeight="1">
      <c r="A970" s="4" t="s">
        <v>1449</v>
      </c>
      <c r="B970" s="2" t="s">
        <v>1450</v>
      </c>
      <c r="C970" s="2">
        <v>39700.0</v>
      </c>
      <c r="D970" s="2">
        <v>40250.0</v>
      </c>
      <c r="E970" s="2">
        <v>20230.0</v>
      </c>
      <c r="F970" s="2">
        <v>31.4</v>
      </c>
    </row>
    <row r="971" ht="15.75" hidden="1" customHeight="1">
      <c r="A971" s="4" t="s">
        <v>1451</v>
      </c>
      <c r="B971" s="2" t="s">
        <v>1452</v>
      </c>
      <c r="C971" s="2">
        <v>10558.0</v>
      </c>
      <c r="D971" s="2">
        <v>10109.0</v>
      </c>
      <c r="E971" s="2">
        <v>19780.0</v>
      </c>
      <c r="F971" s="2">
        <v>29.0</v>
      </c>
    </row>
    <row r="972" ht="15.75" customHeight="1">
      <c r="A972" s="4" t="s">
        <v>1846</v>
      </c>
      <c r="B972" s="2" t="s">
        <v>1847</v>
      </c>
      <c r="C972" s="2">
        <v>1478.0</v>
      </c>
      <c r="D972" s="2">
        <v>1436.0</v>
      </c>
      <c r="E972" s="2">
        <v>28760.0</v>
      </c>
      <c r="F972" s="2" t="s">
        <v>150</v>
      </c>
    </row>
    <row r="973" ht="15.75" customHeight="1">
      <c r="A973" s="4" t="s">
        <v>1453</v>
      </c>
      <c r="B973" s="2" t="s">
        <v>1454</v>
      </c>
      <c r="C973" s="2">
        <v>569.0</v>
      </c>
      <c r="D973" s="2">
        <v>536.0</v>
      </c>
      <c r="E973" s="2">
        <v>25630.0</v>
      </c>
      <c r="F973" s="2" t="s">
        <v>150</v>
      </c>
    </row>
    <row r="974" ht="15.75" customHeight="1">
      <c r="A974" s="4" t="s">
        <v>3450</v>
      </c>
      <c r="B974" s="2" t="s">
        <v>3451</v>
      </c>
      <c r="C974" s="2">
        <v>250.0</v>
      </c>
      <c r="D974" s="2">
        <v>281.0</v>
      </c>
      <c r="E974" s="2">
        <v>24670.0</v>
      </c>
      <c r="F974" s="2" t="s">
        <v>150</v>
      </c>
    </row>
    <row r="975" ht="15.75" hidden="1" customHeight="1">
      <c r="A975" s="4" t="s">
        <v>1456</v>
      </c>
      <c r="B975" s="2" t="s">
        <v>1458</v>
      </c>
      <c r="C975" s="2">
        <v>87353.0</v>
      </c>
      <c r="D975" s="2">
        <v>86263.0</v>
      </c>
      <c r="E975" s="2">
        <v>22790.0</v>
      </c>
      <c r="F975" s="2">
        <v>22.7</v>
      </c>
    </row>
    <row r="976" ht="15.75" customHeight="1">
      <c r="A976" s="4" t="s">
        <v>1460</v>
      </c>
      <c r="B976" s="2" t="s">
        <v>1462</v>
      </c>
      <c r="C976" s="2">
        <v>673.0</v>
      </c>
      <c r="D976" s="2">
        <v>660.0</v>
      </c>
      <c r="E976" s="2">
        <v>25890.0</v>
      </c>
      <c r="F976" s="2" t="s">
        <v>150</v>
      </c>
    </row>
    <row r="977" ht="15.75" customHeight="1">
      <c r="A977" s="4" t="s">
        <v>2684</v>
      </c>
      <c r="B977" s="2" t="s">
        <v>2686</v>
      </c>
      <c r="C977" s="2">
        <v>1937.0</v>
      </c>
      <c r="D977" s="2">
        <v>1869.0</v>
      </c>
      <c r="E977" s="2">
        <v>21560.0</v>
      </c>
      <c r="F977" s="2" t="s">
        <v>150</v>
      </c>
    </row>
    <row r="978" ht="15.75" customHeight="1">
      <c r="A978" s="4" t="s">
        <v>3460</v>
      </c>
      <c r="B978" s="2" t="s">
        <v>3461</v>
      </c>
      <c r="C978" s="2">
        <v>84.0</v>
      </c>
      <c r="D978" s="2">
        <v>94.0</v>
      </c>
      <c r="E978" s="2" t="s">
        <v>150</v>
      </c>
      <c r="F978" s="2" t="s">
        <v>150</v>
      </c>
    </row>
    <row r="979" ht="15.75" customHeight="1">
      <c r="A979" s="4" t="s">
        <v>3464</v>
      </c>
      <c r="B979" s="2" t="s">
        <v>3465</v>
      </c>
      <c r="C979" s="2">
        <v>292.0</v>
      </c>
      <c r="D979" s="2">
        <v>269.0</v>
      </c>
      <c r="E979" s="2">
        <v>27580.0</v>
      </c>
      <c r="F979" s="2" t="s">
        <v>150</v>
      </c>
    </row>
    <row r="980" ht="15.75" customHeight="1">
      <c r="A980" s="4" t="s">
        <v>3468</v>
      </c>
      <c r="B980" s="2" t="s">
        <v>3469</v>
      </c>
      <c r="C980" s="2">
        <v>140.0</v>
      </c>
      <c r="D980" s="2">
        <v>145.0</v>
      </c>
      <c r="E980" s="2">
        <v>27230.0</v>
      </c>
      <c r="F980" s="2" t="s">
        <v>150</v>
      </c>
    </row>
    <row r="981" ht="15.75" customHeight="1">
      <c r="A981" s="4" t="s">
        <v>1464</v>
      </c>
      <c r="B981" s="2" t="s">
        <v>1466</v>
      </c>
      <c r="C981" s="2">
        <v>1219.0</v>
      </c>
      <c r="D981" s="2">
        <v>1213.0</v>
      </c>
      <c r="E981" s="2">
        <v>28900.0</v>
      </c>
      <c r="F981" s="2" t="s">
        <v>150</v>
      </c>
    </row>
    <row r="982" ht="15.75" customHeight="1">
      <c r="A982" s="4" t="s">
        <v>2687</v>
      </c>
      <c r="B982" s="2" t="s">
        <v>2689</v>
      </c>
      <c r="C982" s="2">
        <v>980.0</v>
      </c>
      <c r="D982" s="2">
        <v>1013.0</v>
      </c>
      <c r="E982" s="2">
        <v>29650.0</v>
      </c>
      <c r="F982" s="2" t="s">
        <v>150</v>
      </c>
    </row>
    <row r="983" ht="15.75" customHeight="1">
      <c r="A983" s="4" t="s">
        <v>2691</v>
      </c>
      <c r="B983" s="2" t="s">
        <v>2692</v>
      </c>
      <c r="C983" s="2">
        <v>625.0</v>
      </c>
      <c r="D983" s="2">
        <v>606.0</v>
      </c>
      <c r="E983" s="2">
        <v>21450.0</v>
      </c>
      <c r="F983" s="2" t="s">
        <v>150</v>
      </c>
    </row>
    <row r="984" ht="15.75" customHeight="1">
      <c r="A984" s="4" t="s">
        <v>2694</v>
      </c>
      <c r="B984" s="2" t="s">
        <v>2696</v>
      </c>
      <c r="C984" s="2">
        <v>886.0</v>
      </c>
      <c r="D984" s="2">
        <v>804.0</v>
      </c>
      <c r="E984" s="2">
        <v>23680.0</v>
      </c>
      <c r="F984" s="2" t="s">
        <v>150</v>
      </c>
    </row>
    <row r="985" ht="15.75" hidden="1" customHeight="1">
      <c r="A985" s="4" t="s">
        <v>1469</v>
      </c>
      <c r="B985" s="2" t="s">
        <v>1470</v>
      </c>
      <c r="C985" s="2">
        <v>3172.0</v>
      </c>
      <c r="D985" s="2">
        <v>3026.0</v>
      </c>
      <c r="E985" s="2">
        <v>29410.0</v>
      </c>
      <c r="F985" s="2">
        <v>6.0</v>
      </c>
    </row>
    <row r="986" ht="15.75" customHeight="1">
      <c r="A986" s="4" t="s">
        <v>1471</v>
      </c>
      <c r="B986" s="2" t="s">
        <v>1472</v>
      </c>
      <c r="C986" s="2">
        <v>1304.0</v>
      </c>
      <c r="D986" s="2">
        <v>1291.0</v>
      </c>
      <c r="E986" s="2">
        <v>23180.0</v>
      </c>
      <c r="F986" s="2" t="s">
        <v>150</v>
      </c>
    </row>
    <row r="987" ht="15.75" customHeight="1">
      <c r="A987" s="4" t="s">
        <v>1473</v>
      </c>
      <c r="B987" s="2" t="s">
        <v>1474</v>
      </c>
      <c r="C987" s="2">
        <v>609.0</v>
      </c>
      <c r="D987" s="2">
        <v>618.0</v>
      </c>
      <c r="E987" s="2">
        <v>32560.0</v>
      </c>
      <c r="F987" s="2" t="s">
        <v>150</v>
      </c>
    </row>
    <row r="988" ht="15.75" customHeight="1">
      <c r="A988" s="4" t="s">
        <v>1477</v>
      </c>
      <c r="B988" s="2" t="s">
        <v>1478</v>
      </c>
      <c r="C988" s="2">
        <v>1311.0</v>
      </c>
      <c r="D988" s="2">
        <v>1280.0</v>
      </c>
      <c r="E988" s="2">
        <v>34210.0</v>
      </c>
      <c r="F988" s="2" t="s">
        <v>150</v>
      </c>
    </row>
    <row r="989" ht="15.75" hidden="1" customHeight="1">
      <c r="A989" s="4" t="s">
        <v>1481</v>
      </c>
      <c r="B989" s="2" t="s">
        <v>1483</v>
      </c>
      <c r="C989" s="2">
        <v>2185.0</v>
      </c>
      <c r="D989" s="2">
        <v>2416.0</v>
      </c>
      <c r="E989" s="2">
        <v>32780.0</v>
      </c>
      <c r="F989" s="2">
        <v>4.0</v>
      </c>
    </row>
    <row r="990" ht="15.75" customHeight="1">
      <c r="A990" s="4" t="s">
        <v>3487</v>
      </c>
      <c r="B990" s="2" t="s">
        <v>3489</v>
      </c>
      <c r="C990" s="2">
        <v>267.0</v>
      </c>
      <c r="D990" s="2">
        <v>237.0</v>
      </c>
      <c r="E990" s="2">
        <v>27070.0</v>
      </c>
      <c r="F990" s="2" t="s">
        <v>150</v>
      </c>
    </row>
    <row r="991" ht="15.75" customHeight="1">
      <c r="A991" s="4" t="s">
        <v>3490</v>
      </c>
      <c r="B991" s="2" t="s">
        <v>3492</v>
      </c>
      <c r="C991" s="2">
        <v>692.0</v>
      </c>
      <c r="D991" s="2">
        <v>670.0</v>
      </c>
      <c r="E991" s="2">
        <v>28950.0</v>
      </c>
      <c r="F991" s="2" t="s">
        <v>150</v>
      </c>
    </row>
    <row r="992" ht="15.75" customHeight="1">
      <c r="A992" s="4" t="s">
        <v>3494</v>
      </c>
      <c r="B992" s="2" t="s">
        <v>3496</v>
      </c>
      <c r="C992" s="2">
        <v>479.0</v>
      </c>
      <c r="D992" s="2">
        <v>462.0</v>
      </c>
      <c r="E992" s="2">
        <v>25710.0</v>
      </c>
      <c r="F992" s="2" t="s">
        <v>150</v>
      </c>
    </row>
    <row r="993" ht="15.75" customHeight="1">
      <c r="A993" s="4" t="s">
        <v>3498</v>
      </c>
      <c r="B993" s="2" t="s">
        <v>3499</v>
      </c>
      <c r="C993" s="2">
        <v>600.0</v>
      </c>
      <c r="D993" s="2">
        <v>620.0</v>
      </c>
      <c r="E993" s="2">
        <v>31840.0</v>
      </c>
      <c r="F993" s="2" t="s">
        <v>150</v>
      </c>
    </row>
    <row r="994" ht="15.75" hidden="1" customHeight="1">
      <c r="A994" s="4" t="s">
        <v>1487</v>
      </c>
      <c r="B994" s="2" t="s">
        <v>1488</v>
      </c>
      <c r="C994" s="2">
        <v>5158.0</v>
      </c>
      <c r="D994" s="2">
        <v>5341.0</v>
      </c>
      <c r="E994" s="2">
        <v>25920.0</v>
      </c>
      <c r="F994" s="2">
        <v>9.0</v>
      </c>
    </row>
    <row r="995" ht="15.75" customHeight="1">
      <c r="A995" s="4" t="s">
        <v>1491</v>
      </c>
      <c r="B995" s="2" t="s">
        <v>1493</v>
      </c>
      <c r="C995" s="2">
        <v>1592.0</v>
      </c>
      <c r="D995" s="2">
        <v>1586.0</v>
      </c>
      <c r="E995" s="2">
        <v>25600.0</v>
      </c>
      <c r="F995" s="2" t="s">
        <v>150</v>
      </c>
    </row>
    <row r="996" ht="15.75" customHeight="1">
      <c r="A996" s="4" t="s">
        <v>3506</v>
      </c>
      <c r="B996" s="2" t="s">
        <v>3507</v>
      </c>
      <c r="C996" s="2">
        <v>470.0</v>
      </c>
      <c r="D996" s="2">
        <v>479.0</v>
      </c>
      <c r="E996" s="2">
        <v>27200.0</v>
      </c>
      <c r="F996" s="2" t="s">
        <v>150</v>
      </c>
    </row>
    <row r="997" ht="15.75" hidden="1" customHeight="1">
      <c r="A997" s="4" t="s">
        <v>1495</v>
      </c>
      <c r="B997" s="2" t="s">
        <v>1496</v>
      </c>
      <c r="C997" s="2">
        <v>9619.0</v>
      </c>
      <c r="D997" s="2">
        <v>9039.0</v>
      </c>
      <c r="E997" s="2">
        <v>19690.0</v>
      </c>
      <c r="F997" s="2">
        <v>30.0</v>
      </c>
    </row>
    <row r="998" ht="15.75" hidden="1" customHeight="1">
      <c r="A998" s="4" t="s">
        <v>1497</v>
      </c>
      <c r="B998" s="2" t="s">
        <v>1500</v>
      </c>
      <c r="C998" s="2">
        <v>3257.0</v>
      </c>
      <c r="D998" s="2">
        <v>3171.0</v>
      </c>
      <c r="E998" s="2">
        <v>22420.0</v>
      </c>
      <c r="F998" s="2">
        <v>20.0</v>
      </c>
    </row>
    <row r="999" ht="15.75" hidden="1" customHeight="1">
      <c r="A999" s="4" t="s">
        <v>1501</v>
      </c>
      <c r="B999" s="2" t="s">
        <v>1502</v>
      </c>
      <c r="C999" s="2">
        <v>4192.0</v>
      </c>
      <c r="D999" s="2">
        <v>4202.0</v>
      </c>
      <c r="E999" s="2">
        <v>17960.0</v>
      </c>
      <c r="F999" s="2">
        <v>36.0</v>
      </c>
    </row>
    <row r="1000" ht="15.75" customHeight="1">
      <c r="A1000" s="4" t="s">
        <v>3515</v>
      </c>
      <c r="B1000" s="2" t="s">
        <v>3516</v>
      </c>
      <c r="C1000" s="2">
        <v>299.0</v>
      </c>
      <c r="D1000" s="2">
        <v>302.0</v>
      </c>
      <c r="E1000" s="2">
        <v>40440.0</v>
      </c>
      <c r="F1000" s="2" t="s">
        <v>150</v>
      </c>
    </row>
    <row r="1001" ht="15.75" customHeight="1">
      <c r="A1001" s="4" t="s">
        <v>1503</v>
      </c>
      <c r="B1001" s="2" t="s">
        <v>1504</v>
      </c>
      <c r="C1001" s="2">
        <v>679.0</v>
      </c>
      <c r="D1001" s="2">
        <v>656.0</v>
      </c>
      <c r="E1001" s="2">
        <v>24040.0</v>
      </c>
      <c r="F1001" s="2" t="s">
        <v>150</v>
      </c>
    </row>
    <row r="1002" ht="15.75" hidden="1" customHeight="1">
      <c r="A1002" s="4" t="s">
        <v>1507</v>
      </c>
      <c r="B1002" s="2" t="s">
        <v>1508</v>
      </c>
      <c r="C1002" s="2">
        <v>2115.0</v>
      </c>
      <c r="D1002" s="2">
        <v>2137.0</v>
      </c>
      <c r="E1002" s="2">
        <v>26920.0</v>
      </c>
      <c r="F1002" s="2">
        <v>11.0</v>
      </c>
    </row>
    <row r="1003" ht="15.75" customHeight="1">
      <c r="A1003" s="4" t="s">
        <v>1511</v>
      </c>
      <c r="B1003" s="2" t="s">
        <v>1513</v>
      </c>
      <c r="C1003" s="2">
        <v>891.0</v>
      </c>
      <c r="D1003" s="2">
        <v>893.0</v>
      </c>
      <c r="E1003" s="2">
        <v>26740.0</v>
      </c>
      <c r="F1003" s="2" t="s">
        <v>150</v>
      </c>
    </row>
    <row r="1004" ht="15.75" hidden="1" customHeight="1">
      <c r="A1004" s="4" t="s">
        <v>1515</v>
      </c>
      <c r="B1004" s="2" t="s">
        <v>1516</v>
      </c>
      <c r="C1004" s="2">
        <v>6379.0</v>
      </c>
      <c r="D1004" s="2">
        <v>6525.0</v>
      </c>
      <c r="E1004" s="2">
        <v>24530.0</v>
      </c>
      <c r="F1004" s="2">
        <v>13.0</v>
      </c>
    </row>
    <row r="1005" ht="15.75" customHeight="1">
      <c r="A1005" s="4" t="s">
        <v>1517</v>
      </c>
      <c r="B1005" s="2" t="s">
        <v>1518</v>
      </c>
      <c r="C1005" s="2">
        <v>461.0</v>
      </c>
      <c r="D1005" s="2">
        <v>475.0</v>
      </c>
      <c r="E1005" s="2">
        <v>27120.0</v>
      </c>
      <c r="F1005" s="2" t="s">
        <v>150</v>
      </c>
    </row>
    <row r="1006" ht="15.75" customHeight="1">
      <c r="A1006" s="4" t="s">
        <v>1525</v>
      </c>
      <c r="B1006" s="2" t="s">
        <v>1204</v>
      </c>
      <c r="C1006" s="2">
        <v>1112.0</v>
      </c>
      <c r="D1006" s="2">
        <v>1134.0</v>
      </c>
      <c r="E1006" s="2">
        <v>28340.0</v>
      </c>
      <c r="F1006" s="2" t="s">
        <v>150</v>
      </c>
    </row>
    <row r="1007" ht="15.75" customHeight="1">
      <c r="A1007" s="4" t="s">
        <v>1521</v>
      </c>
      <c r="B1007" s="2" t="s">
        <v>1522</v>
      </c>
      <c r="C1007" s="2">
        <v>956.0</v>
      </c>
      <c r="D1007" s="2">
        <v>937.0</v>
      </c>
      <c r="E1007" s="2">
        <v>31680.0</v>
      </c>
      <c r="F1007" s="2" t="s">
        <v>150</v>
      </c>
    </row>
    <row r="1008" ht="15.75" customHeight="1">
      <c r="A1008" s="4" t="s">
        <v>3521</v>
      </c>
      <c r="B1008" s="2" t="s">
        <v>3523</v>
      </c>
      <c r="C1008" s="2">
        <v>352.0</v>
      </c>
      <c r="D1008" s="2">
        <v>363.0</v>
      </c>
      <c r="E1008" s="2">
        <v>28550.0</v>
      </c>
      <c r="F1008" s="2" t="s">
        <v>150</v>
      </c>
    </row>
    <row r="1009" ht="15.75" customHeight="1">
      <c r="A1009" s="4" t="s">
        <v>3525</v>
      </c>
      <c r="B1009" s="2" t="s">
        <v>3526</v>
      </c>
      <c r="C1009" s="2">
        <v>340.0</v>
      </c>
      <c r="D1009" s="2">
        <v>328.0</v>
      </c>
      <c r="E1009" s="2">
        <v>36880.0</v>
      </c>
      <c r="F1009" s="2" t="s">
        <v>150</v>
      </c>
    </row>
    <row r="1010" ht="15.75" customHeight="1">
      <c r="A1010" s="4" t="s">
        <v>2697</v>
      </c>
      <c r="B1010" s="2" t="s">
        <v>2699</v>
      </c>
      <c r="C1010" s="2">
        <v>1319.0</v>
      </c>
      <c r="D1010" s="2">
        <v>1233.0</v>
      </c>
      <c r="E1010" s="2">
        <v>23040.0</v>
      </c>
      <c r="F1010" s="2" t="s">
        <v>150</v>
      </c>
    </row>
    <row r="1011" ht="15.75" customHeight="1">
      <c r="A1011" s="4" t="s">
        <v>3531</v>
      </c>
      <c r="B1011" s="2" t="s">
        <v>3532</v>
      </c>
      <c r="C1011" s="2">
        <v>709.0</v>
      </c>
      <c r="D1011" s="2">
        <v>725.0</v>
      </c>
      <c r="E1011" s="2">
        <v>28590.0</v>
      </c>
      <c r="F1011" s="2" t="s">
        <v>150</v>
      </c>
    </row>
    <row r="1012" ht="15.75" hidden="1" customHeight="1">
      <c r="A1012" s="4" t="s">
        <v>1529</v>
      </c>
      <c r="B1012" s="2" t="s">
        <v>1531</v>
      </c>
      <c r="C1012" s="2">
        <v>17835.0</v>
      </c>
      <c r="D1012" s="2">
        <v>18619.0</v>
      </c>
      <c r="E1012" s="2">
        <v>24290.0</v>
      </c>
      <c r="F1012" s="2">
        <v>20.0</v>
      </c>
    </row>
    <row r="1013" ht="15.75" hidden="1" customHeight="1">
      <c r="A1013" s="4" t="s">
        <v>1532</v>
      </c>
      <c r="B1013" s="2" t="s">
        <v>1533</v>
      </c>
      <c r="C1013" s="2">
        <v>2517.0</v>
      </c>
      <c r="D1013" s="2">
        <v>2474.0</v>
      </c>
      <c r="E1013" s="2">
        <v>27390.0</v>
      </c>
      <c r="F1013" s="2">
        <v>16.0</v>
      </c>
    </row>
    <row r="1014" ht="15.75" hidden="1" customHeight="1">
      <c r="A1014" s="4" t="s">
        <v>1536</v>
      </c>
      <c r="B1014" s="2" t="s">
        <v>1537</v>
      </c>
      <c r="C1014" s="2">
        <v>2172.0</v>
      </c>
      <c r="D1014" s="2">
        <v>2278.0</v>
      </c>
      <c r="E1014" s="2">
        <v>30940.0</v>
      </c>
      <c r="F1014" s="2">
        <v>5.0</v>
      </c>
    </row>
    <row r="1015" ht="15.75" customHeight="1">
      <c r="A1015" s="4" t="s">
        <v>3539</v>
      </c>
      <c r="B1015" s="2" t="s">
        <v>3541</v>
      </c>
      <c r="C1015" s="2">
        <v>511.0</v>
      </c>
      <c r="D1015" s="2">
        <v>506.0</v>
      </c>
      <c r="E1015" s="2">
        <v>23090.0</v>
      </c>
      <c r="F1015" s="2" t="s">
        <v>150</v>
      </c>
    </row>
    <row r="1016" ht="15.75" customHeight="1">
      <c r="A1016" s="4" t="s">
        <v>1618</v>
      </c>
      <c r="B1016" s="2" t="s">
        <v>1620</v>
      </c>
      <c r="C1016" s="2">
        <v>1745.0</v>
      </c>
      <c r="D1016" s="2">
        <v>1635.0</v>
      </c>
      <c r="E1016" s="2">
        <v>24690.0</v>
      </c>
      <c r="F1016" s="2" t="s">
        <v>150</v>
      </c>
    </row>
    <row r="1017" ht="15.75" hidden="1" customHeight="1">
      <c r="A1017" s="4" t="s">
        <v>1538</v>
      </c>
      <c r="B1017" s="2" t="s">
        <v>1539</v>
      </c>
      <c r="C1017" s="2">
        <v>6881.0</v>
      </c>
      <c r="D1017" s="2">
        <v>6703.0</v>
      </c>
      <c r="E1017" s="2">
        <v>21780.0</v>
      </c>
      <c r="F1017" s="2">
        <v>25.0</v>
      </c>
    </row>
    <row r="1018" ht="15.75" customHeight="1">
      <c r="A1018" s="4" t="s">
        <v>1540</v>
      </c>
      <c r="B1018" s="2" t="s">
        <v>1541</v>
      </c>
      <c r="C1018" s="2">
        <v>1420.0</v>
      </c>
      <c r="D1018" s="2">
        <v>1433.0</v>
      </c>
      <c r="E1018" s="2">
        <v>24460.0</v>
      </c>
      <c r="F1018" s="2" t="s">
        <v>150</v>
      </c>
    </row>
    <row r="1019" ht="15.75" hidden="1" customHeight="1">
      <c r="A1019" s="4" t="s">
        <v>1542</v>
      </c>
      <c r="B1019" s="2" t="s">
        <v>1544</v>
      </c>
      <c r="C1019" s="2">
        <v>5385.0</v>
      </c>
      <c r="D1019" s="2">
        <v>5441.0</v>
      </c>
      <c r="E1019" s="2">
        <v>22250.0</v>
      </c>
      <c r="F1019" s="2">
        <v>19.0</v>
      </c>
    </row>
    <row r="1020" ht="15.75" customHeight="1">
      <c r="A1020" s="4" t="s">
        <v>1621</v>
      </c>
      <c r="B1020" s="2" t="s">
        <v>1622</v>
      </c>
      <c r="C1020" s="2">
        <v>1455.0</v>
      </c>
      <c r="D1020" s="2">
        <v>1432.0</v>
      </c>
      <c r="E1020" s="2">
        <v>27930.0</v>
      </c>
      <c r="F1020" s="2" t="s">
        <v>150</v>
      </c>
    </row>
    <row r="1021" ht="15.75" customHeight="1">
      <c r="A1021" s="4" t="s">
        <v>3551</v>
      </c>
      <c r="B1021" s="2" t="s">
        <v>3552</v>
      </c>
      <c r="C1021" s="2">
        <v>567.0</v>
      </c>
      <c r="D1021" s="2">
        <v>514.0</v>
      </c>
      <c r="E1021" s="2">
        <v>23920.0</v>
      </c>
      <c r="F1021" s="2" t="s">
        <v>150</v>
      </c>
    </row>
    <row r="1022" ht="15.75" hidden="1" customHeight="1">
      <c r="A1022" s="4" t="s">
        <v>1546</v>
      </c>
      <c r="B1022" s="2" t="s">
        <v>1547</v>
      </c>
      <c r="C1022" s="2">
        <v>5301.0</v>
      </c>
      <c r="D1022" s="2">
        <v>5131.0</v>
      </c>
      <c r="E1022" s="2">
        <v>21330.0</v>
      </c>
      <c r="F1022" s="2">
        <v>25.0</v>
      </c>
    </row>
    <row r="1023" ht="15.75" customHeight="1">
      <c r="A1023" s="4" t="s">
        <v>1550</v>
      </c>
      <c r="B1023" s="2" t="s">
        <v>1551</v>
      </c>
      <c r="C1023" s="2">
        <v>1066.0</v>
      </c>
      <c r="D1023" s="2">
        <v>1024.0</v>
      </c>
      <c r="E1023" s="2">
        <v>23320.0</v>
      </c>
      <c r="F1023" s="2" t="s">
        <v>150</v>
      </c>
    </row>
    <row r="1024" ht="15.75" customHeight="1">
      <c r="A1024" s="4" t="s">
        <v>1799</v>
      </c>
      <c r="B1024" s="2" t="s">
        <v>421</v>
      </c>
      <c r="C1024" s="2">
        <v>420.0</v>
      </c>
      <c r="D1024" s="2">
        <v>431.0</v>
      </c>
      <c r="E1024" s="2">
        <v>28240.0</v>
      </c>
      <c r="F1024" s="2" t="s">
        <v>150</v>
      </c>
    </row>
    <row r="1025" ht="15.75" customHeight="1">
      <c r="A1025" s="4" t="s">
        <v>1554</v>
      </c>
      <c r="B1025" s="2" t="s">
        <v>1555</v>
      </c>
      <c r="C1025" s="2">
        <v>382.0</v>
      </c>
      <c r="D1025" s="2">
        <v>342.0</v>
      </c>
      <c r="E1025" s="2">
        <v>23850.0</v>
      </c>
      <c r="F1025" s="2" t="s">
        <v>150</v>
      </c>
    </row>
    <row r="1026" ht="15.75" hidden="1" customHeight="1">
      <c r="A1026" s="4" t="s">
        <v>1558</v>
      </c>
      <c r="B1026" s="2" t="s">
        <v>1559</v>
      </c>
      <c r="C1026" s="2">
        <v>5856.0</v>
      </c>
      <c r="D1026" s="2">
        <v>5424.0</v>
      </c>
      <c r="E1026" s="2">
        <v>21660.0</v>
      </c>
      <c r="F1026" s="2">
        <v>23.0</v>
      </c>
    </row>
    <row r="1027" ht="15.75" customHeight="1">
      <c r="A1027" s="4" t="s">
        <v>3563</v>
      </c>
      <c r="B1027" s="2" t="s">
        <v>3564</v>
      </c>
      <c r="C1027" s="2">
        <v>261.0</v>
      </c>
      <c r="D1027" s="2">
        <v>276.0</v>
      </c>
      <c r="E1027" s="2">
        <v>25830.0</v>
      </c>
      <c r="F1027" s="2" t="s">
        <v>150</v>
      </c>
    </row>
    <row r="1028" ht="15.75" customHeight="1">
      <c r="A1028" s="4" t="s">
        <v>1572</v>
      </c>
      <c r="B1028" s="2" t="s">
        <v>1573</v>
      </c>
      <c r="C1028" s="2">
        <v>972.0</v>
      </c>
      <c r="D1028" s="2">
        <v>923.0</v>
      </c>
      <c r="E1028" s="2">
        <v>28370.0</v>
      </c>
      <c r="F1028" s="2" t="s">
        <v>150</v>
      </c>
    </row>
    <row r="1029" ht="15.75" customHeight="1">
      <c r="A1029" s="4" t="s">
        <v>1566</v>
      </c>
      <c r="B1029" s="2" t="s">
        <v>1567</v>
      </c>
      <c r="C1029" s="2">
        <v>1646.0</v>
      </c>
      <c r="D1029" s="2">
        <v>1685.0</v>
      </c>
      <c r="E1029" s="2">
        <v>27200.0</v>
      </c>
      <c r="F1029" s="2" t="s">
        <v>150</v>
      </c>
    </row>
    <row r="1030" ht="15.75" hidden="1" customHeight="1">
      <c r="A1030" s="4" t="s">
        <v>1562</v>
      </c>
      <c r="B1030" s="2" t="s">
        <v>1563</v>
      </c>
      <c r="C1030" s="2">
        <v>5570.0</v>
      </c>
      <c r="D1030" s="2">
        <v>5745.0</v>
      </c>
      <c r="E1030" s="2">
        <v>26580.0</v>
      </c>
      <c r="F1030" s="2">
        <v>11.0</v>
      </c>
    </row>
    <row r="1031" ht="15.75" customHeight="1">
      <c r="A1031" s="4" t="s">
        <v>3573</v>
      </c>
      <c r="B1031" s="2" t="s">
        <v>3575</v>
      </c>
      <c r="C1031" s="2">
        <v>128.0</v>
      </c>
      <c r="D1031" s="2">
        <v>131.0</v>
      </c>
      <c r="E1031" s="2">
        <v>30310.0</v>
      </c>
      <c r="F1031" s="2" t="s">
        <v>150</v>
      </c>
    </row>
    <row r="1032" ht="15.75" customHeight="1">
      <c r="A1032" s="4" t="s">
        <v>1568</v>
      </c>
      <c r="B1032" s="2" t="s">
        <v>1570</v>
      </c>
      <c r="C1032" s="2">
        <v>532.0</v>
      </c>
      <c r="D1032" s="2">
        <v>505.0</v>
      </c>
      <c r="E1032" s="2">
        <v>22990.0</v>
      </c>
      <c r="F1032" s="2" t="s">
        <v>150</v>
      </c>
    </row>
    <row r="1033" ht="15.75" customHeight="1">
      <c r="A1033" s="4" t="s">
        <v>1583</v>
      </c>
      <c r="B1033" s="2" t="s">
        <v>1584</v>
      </c>
      <c r="C1033" s="2">
        <v>682.0</v>
      </c>
      <c r="D1033" s="2">
        <v>687.0</v>
      </c>
      <c r="E1033" s="2">
        <v>25780.0</v>
      </c>
      <c r="F1033" s="2" t="s">
        <v>150</v>
      </c>
    </row>
    <row r="1034" ht="15.75" customHeight="1">
      <c r="A1034" s="4" t="s">
        <v>1587</v>
      </c>
      <c r="B1034" s="2" t="s">
        <v>1588</v>
      </c>
      <c r="C1034" s="2">
        <v>1215.0</v>
      </c>
      <c r="D1034" s="2">
        <v>1214.0</v>
      </c>
      <c r="E1034" s="2">
        <v>23820.0</v>
      </c>
      <c r="F1034" s="2" t="s">
        <v>150</v>
      </c>
    </row>
    <row r="1035" ht="15.75" customHeight="1">
      <c r="A1035" s="4" t="s">
        <v>1580</v>
      </c>
      <c r="B1035" s="2" t="s">
        <v>1277</v>
      </c>
      <c r="C1035" s="2">
        <v>1780.0</v>
      </c>
      <c r="D1035" s="2">
        <v>1754.0</v>
      </c>
      <c r="E1035" s="2">
        <v>26030.0</v>
      </c>
      <c r="F1035" s="2" t="s">
        <v>150</v>
      </c>
    </row>
    <row r="1036" ht="15.75" customHeight="1">
      <c r="A1036" s="4" t="s">
        <v>1589</v>
      </c>
      <c r="B1036" s="2" t="s">
        <v>1590</v>
      </c>
      <c r="C1036" s="2">
        <v>565.0</v>
      </c>
      <c r="D1036" s="2">
        <v>549.0</v>
      </c>
      <c r="E1036" s="2">
        <v>25060.0</v>
      </c>
      <c r="F1036" s="2" t="s">
        <v>150</v>
      </c>
    </row>
    <row r="1037" ht="15.75" customHeight="1">
      <c r="A1037" s="4" t="s">
        <v>1591</v>
      </c>
      <c r="B1037" s="2" t="s">
        <v>1592</v>
      </c>
      <c r="C1037" s="2">
        <v>1457.0</v>
      </c>
      <c r="D1037" s="2">
        <v>1662.0</v>
      </c>
      <c r="E1037" s="2">
        <v>31300.0</v>
      </c>
      <c r="F1037" s="2" t="s">
        <v>150</v>
      </c>
    </row>
    <row r="1038" ht="15.75" hidden="1" customHeight="1">
      <c r="A1038" s="4" t="s">
        <v>1595</v>
      </c>
      <c r="B1038" s="2" t="s">
        <v>1596</v>
      </c>
      <c r="C1038" s="2">
        <v>11727.0</v>
      </c>
      <c r="D1038" s="2">
        <v>11449.0</v>
      </c>
      <c r="E1038" s="2">
        <v>18550.0</v>
      </c>
      <c r="F1038" s="2">
        <v>35.0</v>
      </c>
    </row>
    <row r="1039" ht="15.75" hidden="1" customHeight="1">
      <c r="A1039" s="4" t="s">
        <v>1598</v>
      </c>
      <c r="B1039" s="2" t="s">
        <v>1600</v>
      </c>
      <c r="C1039" s="2">
        <v>2220.0</v>
      </c>
      <c r="D1039" s="2">
        <v>2179.0</v>
      </c>
      <c r="E1039" s="2">
        <v>33410.0</v>
      </c>
      <c r="F1039" s="2">
        <v>4.0</v>
      </c>
    </row>
    <row r="1040" ht="15.75" customHeight="1">
      <c r="A1040" s="4" t="s">
        <v>3591</v>
      </c>
      <c r="B1040" s="2" t="s">
        <v>3592</v>
      </c>
      <c r="C1040" s="2">
        <v>378.0</v>
      </c>
      <c r="D1040" s="2">
        <v>389.0</v>
      </c>
      <c r="E1040" s="2">
        <v>28410.0</v>
      </c>
      <c r="F1040" s="2" t="s">
        <v>150</v>
      </c>
    </row>
    <row r="1041" ht="15.75" hidden="1" customHeight="1">
      <c r="A1041" s="4" t="s">
        <v>1601</v>
      </c>
      <c r="B1041" s="2" t="s">
        <v>1602</v>
      </c>
      <c r="C1041" s="2">
        <v>2415.0</v>
      </c>
      <c r="D1041" s="2">
        <v>2609.0</v>
      </c>
      <c r="E1041" s="2">
        <v>28360.0</v>
      </c>
      <c r="F1041" s="2">
        <v>8.0</v>
      </c>
    </row>
    <row r="1042" ht="15.75" hidden="1" customHeight="1">
      <c r="A1042" s="4" t="s">
        <v>1603</v>
      </c>
      <c r="B1042" s="2" t="s">
        <v>1604</v>
      </c>
      <c r="C1042" s="2">
        <v>7565.0</v>
      </c>
      <c r="D1042" s="2">
        <v>7354.0</v>
      </c>
      <c r="E1042" s="2">
        <v>20160.0</v>
      </c>
      <c r="F1042" s="2">
        <v>28.0</v>
      </c>
    </row>
    <row r="1043" ht="15.75" customHeight="1">
      <c r="A1043" s="4" t="s">
        <v>1607</v>
      </c>
      <c r="B1043" s="2" t="s">
        <v>1608</v>
      </c>
      <c r="C1043" s="2">
        <v>877.0</v>
      </c>
      <c r="D1043" s="2">
        <v>919.0</v>
      </c>
      <c r="E1043" s="2">
        <v>27010.0</v>
      </c>
      <c r="F1043" s="2" t="s">
        <v>150</v>
      </c>
    </row>
    <row r="1044" ht="15.75" customHeight="1">
      <c r="A1044" s="4" t="s">
        <v>3601</v>
      </c>
      <c r="B1044" s="2" t="s">
        <v>3602</v>
      </c>
      <c r="C1044" s="2">
        <v>572.0</v>
      </c>
      <c r="D1044" s="2">
        <v>571.0</v>
      </c>
      <c r="E1044" s="2">
        <v>25910.0</v>
      </c>
      <c r="F1044" s="2" t="s">
        <v>150</v>
      </c>
    </row>
    <row r="1045" ht="15.75" hidden="1" customHeight="1">
      <c r="A1045" s="4" t="s">
        <v>1611</v>
      </c>
      <c r="B1045" s="2" t="s">
        <v>1612</v>
      </c>
      <c r="C1045" s="2">
        <v>3380.0</v>
      </c>
      <c r="D1045" s="2">
        <v>3214.0</v>
      </c>
      <c r="E1045" s="2">
        <v>29130.0</v>
      </c>
      <c r="F1045" s="2">
        <v>8.0</v>
      </c>
    </row>
    <row r="1046" ht="15.75" customHeight="1">
      <c r="A1046" s="4" t="s">
        <v>1615</v>
      </c>
      <c r="B1046" s="2" t="s">
        <v>1616</v>
      </c>
      <c r="C1046" s="2">
        <v>958.0</v>
      </c>
      <c r="D1046" s="2">
        <v>1161.0</v>
      </c>
      <c r="E1046" s="2">
        <v>31990.0</v>
      </c>
      <c r="F1046" s="2" t="s">
        <v>150</v>
      </c>
    </row>
    <row r="1047" ht="15.75" hidden="1" customHeight="1">
      <c r="A1047" s="4" t="s">
        <v>1624</v>
      </c>
      <c r="B1047" s="2" t="s">
        <v>1626</v>
      </c>
      <c r="C1047" s="2">
        <v>2702.0</v>
      </c>
      <c r="D1047" s="2">
        <v>2803.0</v>
      </c>
      <c r="E1047" s="2">
        <v>31380.0</v>
      </c>
      <c r="F1047" s="2">
        <v>5.0</v>
      </c>
    </row>
    <row r="1048" ht="15.75" customHeight="1">
      <c r="A1048" s="4" t="s">
        <v>3610</v>
      </c>
      <c r="B1048" s="2" t="s">
        <v>3612</v>
      </c>
      <c r="C1048" s="2">
        <v>520.0</v>
      </c>
      <c r="D1048" s="2">
        <v>505.0</v>
      </c>
      <c r="E1048" s="2">
        <v>30310.0</v>
      </c>
      <c r="F1048" s="2" t="s">
        <v>150</v>
      </c>
    </row>
    <row r="1049" ht="15.75" hidden="1" customHeight="1">
      <c r="A1049" s="4" t="s">
        <v>1629</v>
      </c>
      <c r="B1049" s="2" t="s">
        <v>1631</v>
      </c>
      <c r="C1049" s="2">
        <v>4193.0</v>
      </c>
      <c r="D1049" s="2">
        <v>4133.0</v>
      </c>
      <c r="E1049" s="2">
        <v>26930.0</v>
      </c>
      <c r="F1049" s="2">
        <v>9.0</v>
      </c>
    </row>
    <row r="1050" ht="15.75" customHeight="1">
      <c r="A1050" s="4" t="s">
        <v>1634</v>
      </c>
      <c r="B1050" s="2" t="s">
        <v>1636</v>
      </c>
      <c r="C1050" s="2">
        <v>1807.0</v>
      </c>
      <c r="D1050" s="2">
        <v>1699.0</v>
      </c>
      <c r="E1050" s="2">
        <v>21310.0</v>
      </c>
      <c r="F1050" s="2" t="s">
        <v>150</v>
      </c>
    </row>
    <row r="1051" ht="15.75" customHeight="1">
      <c r="A1051" s="4" t="s">
        <v>1639</v>
      </c>
      <c r="B1051" s="2" t="s">
        <v>1640</v>
      </c>
      <c r="C1051" s="2">
        <v>2051.0</v>
      </c>
      <c r="D1051" s="2">
        <v>2024.0</v>
      </c>
      <c r="E1051" s="2">
        <v>26880.0</v>
      </c>
      <c r="F1051" s="2" t="s">
        <v>150</v>
      </c>
    </row>
    <row r="1052" ht="15.75" customHeight="1">
      <c r="A1052" s="4" t="s">
        <v>1675</v>
      </c>
      <c r="B1052" s="2" t="s">
        <v>1676</v>
      </c>
      <c r="C1052" s="2">
        <v>1026.0</v>
      </c>
      <c r="D1052" s="2">
        <v>1070.0</v>
      </c>
      <c r="E1052" s="2">
        <v>29160.0</v>
      </c>
      <c r="F1052" s="2" t="s">
        <v>150</v>
      </c>
    </row>
    <row r="1053" ht="15.75" customHeight="1">
      <c r="A1053" s="4" t="s">
        <v>1643</v>
      </c>
      <c r="B1053" s="2" t="s">
        <v>1644</v>
      </c>
      <c r="C1053" s="2">
        <v>752.0</v>
      </c>
      <c r="D1053" s="2">
        <v>723.0</v>
      </c>
      <c r="E1053" s="2">
        <v>26430.0</v>
      </c>
      <c r="F1053" s="2" t="s">
        <v>150</v>
      </c>
    </row>
    <row r="1054" ht="15.75" hidden="1" customHeight="1">
      <c r="A1054" s="4" t="s">
        <v>1646</v>
      </c>
      <c r="B1054" s="2" t="s">
        <v>1648</v>
      </c>
      <c r="C1054" s="2">
        <v>2301.0</v>
      </c>
      <c r="D1054" s="2">
        <v>2264.0</v>
      </c>
      <c r="E1054" s="2">
        <v>28200.0</v>
      </c>
      <c r="F1054" s="2">
        <v>10.0</v>
      </c>
    </row>
    <row r="1055" ht="15.75" hidden="1" customHeight="1">
      <c r="A1055" s="4" t="s">
        <v>1650</v>
      </c>
      <c r="B1055" s="2" t="s">
        <v>1652</v>
      </c>
      <c r="C1055" s="2">
        <v>4055.0</v>
      </c>
      <c r="D1055" s="2">
        <v>4148.0</v>
      </c>
      <c r="E1055" s="2">
        <v>28710.0</v>
      </c>
      <c r="F1055" s="2">
        <v>7.0</v>
      </c>
    </row>
    <row r="1056" ht="15.75" customHeight="1">
      <c r="A1056" s="4" t="s">
        <v>3627</v>
      </c>
      <c r="B1056" s="2" t="s">
        <v>3628</v>
      </c>
      <c r="C1056" s="2">
        <v>309.0</v>
      </c>
      <c r="D1056" s="2">
        <v>279.0</v>
      </c>
      <c r="E1056" s="2">
        <v>24830.0</v>
      </c>
      <c r="F1056" s="2" t="s">
        <v>150</v>
      </c>
    </row>
    <row r="1057" ht="15.75" hidden="1" customHeight="1">
      <c r="A1057" s="4" t="s">
        <v>1803</v>
      </c>
      <c r="B1057" s="2" t="s">
        <v>1805</v>
      </c>
      <c r="C1057" s="2">
        <v>5635.0</v>
      </c>
      <c r="D1057" s="2">
        <v>5616.0</v>
      </c>
      <c r="E1057" s="2">
        <v>24600.0</v>
      </c>
      <c r="F1057" s="2">
        <v>12.0</v>
      </c>
    </row>
    <row r="1058" ht="15.75" customHeight="1">
      <c r="A1058" s="4" t="s">
        <v>1654</v>
      </c>
      <c r="B1058" s="2" t="s">
        <v>1655</v>
      </c>
      <c r="C1058" s="2">
        <v>1511.0</v>
      </c>
      <c r="D1058" s="2">
        <v>1413.0</v>
      </c>
      <c r="E1058" s="2">
        <v>23730.0</v>
      </c>
      <c r="F1058" s="2" t="s">
        <v>150</v>
      </c>
    </row>
    <row r="1059" ht="15.75" customHeight="1">
      <c r="A1059" s="4" t="s">
        <v>1658</v>
      </c>
      <c r="B1059" s="2" t="s">
        <v>1660</v>
      </c>
      <c r="C1059" s="2">
        <v>505.0</v>
      </c>
      <c r="D1059" s="2">
        <v>473.0</v>
      </c>
      <c r="E1059" s="2">
        <v>23440.0</v>
      </c>
      <c r="F1059" s="2" t="s">
        <v>150</v>
      </c>
    </row>
    <row r="1060" ht="15.75" hidden="1" customHeight="1">
      <c r="A1060" s="4" t="s">
        <v>1666</v>
      </c>
      <c r="B1060" s="2" t="s">
        <v>1668</v>
      </c>
      <c r="C1060" s="2">
        <v>22966.0</v>
      </c>
      <c r="D1060" s="2">
        <v>20239.0</v>
      </c>
      <c r="E1060" s="2">
        <v>18630.0</v>
      </c>
      <c r="F1060" s="2">
        <v>35.0</v>
      </c>
    </row>
    <row r="1061" ht="15.75" hidden="1" customHeight="1">
      <c r="A1061" s="4" t="s">
        <v>1662</v>
      </c>
      <c r="B1061" s="2" t="s">
        <v>1664</v>
      </c>
      <c r="C1061" s="2">
        <v>5048.0</v>
      </c>
      <c r="D1061" s="2">
        <v>4887.0</v>
      </c>
      <c r="E1061" s="2">
        <v>22490.0</v>
      </c>
      <c r="F1061" s="2">
        <v>19.0</v>
      </c>
    </row>
    <row r="1062" ht="15.75" hidden="1" customHeight="1">
      <c r="A1062" s="4" t="s">
        <v>1669</v>
      </c>
      <c r="B1062" s="2" t="s">
        <v>1671</v>
      </c>
      <c r="C1062" s="2">
        <v>11166.0</v>
      </c>
      <c r="D1062" s="2">
        <v>11430.0</v>
      </c>
      <c r="E1062" s="2">
        <v>24460.0</v>
      </c>
      <c r="F1062" s="2">
        <v>16.0</v>
      </c>
    </row>
    <row r="1063" ht="15.75" customHeight="1">
      <c r="A1063" s="4" t="s">
        <v>3641</v>
      </c>
      <c r="B1063" s="2" t="s">
        <v>3643</v>
      </c>
      <c r="C1063" s="2">
        <v>481.0</v>
      </c>
      <c r="D1063" s="2">
        <v>464.0</v>
      </c>
      <c r="E1063" s="2">
        <v>25500.0</v>
      </c>
      <c r="F1063" s="2" t="s">
        <v>150</v>
      </c>
    </row>
    <row r="1064" ht="15.75" customHeight="1">
      <c r="A1064" s="4" t="s">
        <v>3645</v>
      </c>
      <c r="B1064" s="2" t="s">
        <v>3646</v>
      </c>
      <c r="C1064" s="2">
        <v>1309.0</v>
      </c>
      <c r="D1064" s="2">
        <v>1207.0</v>
      </c>
      <c r="E1064" s="2">
        <v>38610.0</v>
      </c>
      <c r="F1064" s="2" t="s">
        <v>150</v>
      </c>
    </row>
    <row r="1065" ht="15.75" hidden="1" customHeight="1">
      <c r="A1065" s="4" t="s">
        <v>1673</v>
      </c>
      <c r="B1065" s="2" t="s">
        <v>1674</v>
      </c>
      <c r="C1065" s="2">
        <v>4677.0</v>
      </c>
      <c r="D1065" s="2">
        <v>4635.0</v>
      </c>
      <c r="E1065" s="2">
        <v>20990.0</v>
      </c>
      <c r="F1065" s="2">
        <v>25.0</v>
      </c>
    </row>
    <row r="1066" ht="15.75" customHeight="1">
      <c r="A1066" s="4" t="s">
        <v>3651</v>
      </c>
      <c r="B1066" s="2" t="s">
        <v>3652</v>
      </c>
      <c r="C1066" s="2">
        <v>334.0</v>
      </c>
      <c r="D1066" s="2">
        <v>353.0</v>
      </c>
      <c r="E1066" s="2">
        <v>29380.0</v>
      </c>
      <c r="F1066" s="2" t="s">
        <v>150</v>
      </c>
    </row>
    <row r="1067" ht="15.75" hidden="1" customHeight="1">
      <c r="A1067" s="4" t="s">
        <v>1679</v>
      </c>
      <c r="B1067" s="2" t="s">
        <v>1680</v>
      </c>
      <c r="C1067" s="2">
        <v>4436.0</v>
      </c>
      <c r="D1067" s="2">
        <v>4683.0</v>
      </c>
      <c r="E1067" s="2">
        <v>27180.0</v>
      </c>
      <c r="F1067" s="2">
        <v>8.0</v>
      </c>
    </row>
    <row r="1068" ht="15.75" hidden="1" customHeight="1">
      <c r="A1068" s="4" t="s">
        <v>1683</v>
      </c>
      <c r="B1068" s="2" t="s">
        <v>1684</v>
      </c>
      <c r="C1068" s="2">
        <v>20800.0</v>
      </c>
      <c r="D1068" s="2">
        <v>20715.0</v>
      </c>
      <c r="E1068" s="2">
        <v>23950.0</v>
      </c>
      <c r="F1068" s="2">
        <v>19.0</v>
      </c>
    </row>
    <row r="1069" ht="15.75" customHeight="1">
      <c r="A1069" s="4" t="s">
        <v>1687</v>
      </c>
      <c r="B1069" s="2" t="s">
        <v>1688</v>
      </c>
      <c r="C1069" s="2">
        <v>786.0</v>
      </c>
      <c r="D1069" s="2">
        <v>797.0</v>
      </c>
      <c r="E1069" s="2">
        <v>26210.0</v>
      </c>
      <c r="F1069" s="2" t="s">
        <v>150</v>
      </c>
    </row>
    <row r="1070" ht="15.75" customHeight="1">
      <c r="A1070" s="4" t="s">
        <v>1691</v>
      </c>
      <c r="B1070" s="2" t="s">
        <v>1692</v>
      </c>
      <c r="C1070" s="2">
        <v>1304.0</v>
      </c>
      <c r="D1070" s="2">
        <v>1244.0</v>
      </c>
      <c r="E1070" s="2">
        <v>27460.0</v>
      </c>
      <c r="F1070" s="2" t="s">
        <v>150</v>
      </c>
    </row>
    <row r="1071" ht="15.75" customHeight="1">
      <c r="A1071" s="4" t="s">
        <v>1693</v>
      </c>
      <c r="B1071" s="2" t="s">
        <v>1694</v>
      </c>
      <c r="C1071" s="2">
        <v>381.0</v>
      </c>
      <c r="D1071" s="2">
        <v>385.0</v>
      </c>
      <c r="E1071" s="2">
        <v>27210.0</v>
      </c>
      <c r="F1071" s="2" t="s">
        <v>150</v>
      </c>
    </row>
    <row r="1072" ht="15.75" customHeight="1">
      <c r="A1072" s="4" t="s">
        <v>3665</v>
      </c>
      <c r="B1072" s="2" t="s">
        <v>3666</v>
      </c>
      <c r="C1072" s="2">
        <v>607.0</v>
      </c>
      <c r="D1072" s="2">
        <v>599.0</v>
      </c>
      <c r="E1072" s="2">
        <v>28710.0</v>
      </c>
      <c r="F1072" s="2" t="s">
        <v>150</v>
      </c>
    </row>
    <row r="1073" ht="15.75" hidden="1" customHeight="1">
      <c r="A1073" s="4" t="s">
        <v>1696</v>
      </c>
      <c r="B1073" s="2" t="s">
        <v>1697</v>
      </c>
      <c r="C1073" s="2">
        <v>3862.0</v>
      </c>
      <c r="D1073" s="2">
        <v>3849.0</v>
      </c>
      <c r="E1073" s="2">
        <v>26080.0</v>
      </c>
      <c r="F1073" s="2">
        <v>11.0</v>
      </c>
    </row>
    <row r="1074" ht="15.75" hidden="1" customHeight="1">
      <c r="A1074" s="4" t="s">
        <v>1699</v>
      </c>
      <c r="B1074" s="2" t="s">
        <v>1701</v>
      </c>
      <c r="C1074" s="2">
        <v>2739.0</v>
      </c>
      <c r="D1074" s="2">
        <v>2626.0</v>
      </c>
      <c r="E1074" s="2">
        <v>24280.0</v>
      </c>
      <c r="F1074" s="2">
        <v>16.0</v>
      </c>
    </row>
    <row r="1075" ht="15.75" hidden="1" customHeight="1">
      <c r="A1075" s="4" t="s">
        <v>1704</v>
      </c>
      <c r="B1075" s="2" t="s">
        <v>1705</v>
      </c>
      <c r="C1075" s="2">
        <v>14936.0</v>
      </c>
      <c r="D1075" s="2">
        <v>15074.0</v>
      </c>
      <c r="E1075" s="2">
        <v>23630.0</v>
      </c>
      <c r="F1075" s="2">
        <v>18.0</v>
      </c>
    </row>
    <row r="1076" ht="15.75" customHeight="1">
      <c r="A1076" s="4" t="s">
        <v>3674</v>
      </c>
      <c r="B1076" s="2" t="s">
        <v>3675</v>
      </c>
      <c r="C1076" s="2">
        <v>198.0</v>
      </c>
      <c r="D1076" s="2">
        <v>193.0</v>
      </c>
      <c r="E1076" s="2">
        <v>25460.0</v>
      </c>
      <c r="F1076" s="2" t="s">
        <v>150</v>
      </c>
    </row>
    <row r="1077" ht="15.75" hidden="1" customHeight="1">
      <c r="A1077" s="4" t="s">
        <v>1707</v>
      </c>
      <c r="B1077" s="2" t="s">
        <v>1708</v>
      </c>
      <c r="C1077" s="2">
        <v>2306.0</v>
      </c>
      <c r="D1077" s="2">
        <v>2281.0</v>
      </c>
      <c r="E1077" s="2">
        <v>23810.0</v>
      </c>
      <c r="F1077" s="2">
        <v>18.0</v>
      </c>
    </row>
    <row r="1078" ht="15.75" customHeight="1">
      <c r="A1078" s="4" t="s">
        <v>1709</v>
      </c>
      <c r="B1078" s="2" t="s">
        <v>1710</v>
      </c>
      <c r="C1078" s="2">
        <v>1531.0</v>
      </c>
      <c r="D1078" s="2">
        <v>1451.0</v>
      </c>
      <c r="E1078" s="2">
        <v>24040.0</v>
      </c>
      <c r="F1078" s="2" t="s">
        <v>150</v>
      </c>
    </row>
    <row r="1079" ht="15.75" customHeight="1">
      <c r="A1079" s="4" t="s">
        <v>1712</v>
      </c>
      <c r="B1079" s="2" t="s">
        <v>1714</v>
      </c>
      <c r="C1079" s="2">
        <v>391.0</v>
      </c>
      <c r="D1079" s="2">
        <v>361.0</v>
      </c>
      <c r="E1079" s="2">
        <v>25670.0</v>
      </c>
      <c r="F1079" s="2" t="s">
        <v>150</v>
      </c>
    </row>
    <row r="1080" ht="15.75" hidden="1" customHeight="1">
      <c r="A1080" s="4" t="s">
        <v>1715</v>
      </c>
      <c r="B1080" s="2" t="s">
        <v>1716</v>
      </c>
      <c r="C1080" s="2">
        <v>14574.0</v>
      </c>
      <c r="D1080" s="2">
        <v>14152.0</v>
      </c>
      <c r="E1080" s="2">
        <v>18300.0</v>
      </c>
      <c r="F1080" s="2">
        <v>35.0</v>
      </c>
    </row>
    <row r="1081" ht="15.75" hidden="1" customHeight="1">
      <c r="A1081" s="4" t="s">
        <v>1717</v>
      </c>
      <c r="B1081" s="2" t="s">
        <v>1718</v>
      </c>
      <c r="C1081" s="2">
        <v>3174.0</v>
      </c>
      <c r="D1081" s="2">
        <v>3222.0</v>
      </c>
      <c r="E1081" s="2">
        <v>20070.0</v>
      </c>
      <c r="F1081" s="2">
        <v>28.0</v>
      </c>
    </row>
    <row r="1082" ht="15.75" customHeight="1">
      <c r="A1082" s="4" t="s">
        <v>1719</v>
      </c>
      <c r="B1082" s="2" t="s">
        <v>1721</v>
      </c>
      <c r="C1082" s="2">
        <v>1425.0</v>
      </c>
      <c r="D1082" s="2">
        <v>1376.0</v>
      </c>
      <c r="E1082" s="2">
        <v>26460.0</v>
      </c>
      <c r="F1082" s="2" t="s">
        <v>150</v>
      </c>
    </row>
    <row r="1083" ht="15.75" customHeight="1">
      <c r="A1083" s="4" t="s">
        <v>3690</v>
      </c>
      <c r="B1083" s="2" t="s">
        <v>3691</v>
      </c>
      <c r="C1083" s="2">
        <v>321.0</v>
      </c>
      <c r="D1083" s="2">
        <v>307.0</v>
      </c>
      <c r="E1083" s="2">
        <v>27340.0</v>
      </c>
      <c r="F1083" s="2" t="s">
        <v>150</v>
      </c>
    </row>
    <row r="1084" ht="15.75" hidden="1" customHeight="1">
      <c r="A1084" s="4" t="s">
        <v>1722</v>
      </c>
      <c r="B1084" s="2" t="s">
        <v>1724</v>
      </c>
      <c r="C1084" s="2">
        <v>21441.0</v>
      </c>
      <c r="D1084" s="2">
        <v>21912.0</v>
      </c>
      <c r="E1084" s="2">
        <v>23680.0</v>
      </c>
      <c r="F1084" s="2">
        <v>15.9</v>
      </c>
    </row>
    <row r="1085" ht="15.75" customHeight="1">
      <c r="A1085" s="4" t="s">
        <v>1725</v>
      </c>
      <c r="B1085" s="2" t="s">
        <v>1728</v>
      </c>
      <c r="C1085" s="2">
        <v>360.0</v>
      </c>
      <c r="D1085" s="2">
        <v>353.0</v>
      </c>
      <c r="E1085" s="2">
        <v>25450.0</v>
      </c>
      <c r="F1085" s="2" t="s">
        <v>150</v>
      </c>
    </row>
    <row r="1086" ht="15.75" customHeight="1">
      <c r="A1086" s="4" t="s">
        <v>1774</v>
      </c>
      <c r="B1086" s="2" t="s">
        <v>1776</v>
      </c>
      <c r="C1086" s="2">
        <v>1975.0</v>
      </c>
      <c r="D1086" s="2">
        <v>1907.0</v>
      </c>
      <c r="E1086" s="2">
        <v>25510.0</v>
      </c>
      <c r="F1086" s="2" t="s">
        <v>150</v>
      </c>
    </row>
    <row r="1087" ht="15.75" hidden="1" customHeight="1">
      <c r="A1087" s="4" t="s">
        <v>1729</v>
      </c>
      <c r="B1087" s="2" t="s">
        <v>1730</v>
      </c>
      <c r="C1087" s="2">
        <v>18617.0</v>
      </c>
      <c r="D1087" s="2">
        <v>18582.0</v>
      </c>
      <c r="E1087" s="2">
        <v>25750.0</v>
      </c>
      <c r="F1087" s="2">
        <v>18.0</v>
      </c>
    </row>
    <row r="1088" ht="15.75" customHeight="1">
      <c r="A1088" s="4" t="s">
        <v>1731</v>
      </c>
      <c r="B1088" s="2" t="s">
        <v>1732</v>
      </c>
      <c r="C1088" s="2">
        <v>565.0</v>
      </c>
      <c r="D1088" s="2">
        <v>565.0</v>
      </c>
      <c r="E1088" s="2">
        <v>23660.0</v>
      </c>
      <c r="F1088" s="2" t="s">
        <v>150</v>
      </c>
    </row>
    <row r="1089" ht="15.75" hidden="1" customHeight="1">
      <c r="A1089" s="4" t="s">
        <v>1735</v>
      </c>
      <c r="B1089" s="2" t="s">
        <v>1736</v>
      </c>
      <c r="C1089" s="2">
        <v>4437.0</v>
      </c>
      <c r="D1089" s="2">
        <v>4479.0</v>
      </c>
      <c r="E1089" s="2">
        <v>25380.0</v>
      </c>
      <c r="F1089" s="2">
        <v>16.0</v>
      </c>
    </row>
    <row r="1090" ht="15.75" hidden="1" customHeight="1">
      <c r="A1090" s="4" t="s">
        <v>1777</v>
      </c>
      <c r="B1090" s="2" t="s">
        <v>1778</v>
      </c>
      <c r="C1090" s="2">
        <v>4135.0</v>
      </c>
      <c r="D1090" s="2">
        <v>4169.0</v>
      </c>
      <c r="E1090" s="2">
        <v>22380.0</v>
      </c>
      <c r="F1090" s="2">
        <v>21.0</v>
      </c>
    </row>
    <row r="1091" ht="15.75" hidden="1" customHeight="1">
      <c r="A1091" s="4" t="s">
        <v>1738</v>
      </c>
      <c r="B1091" s="2" t="s">
        <v>1739</v>
      </c>
      <c r="C1091" s="2">
        <v>2399.0</v>
      </c>
      <c r="D1091" s="2">
        <v>2267.0</v>
      </c>
      <c r="E1091" s="2">
        <v>30310.0</v>
      </c>
      <c r="F1091" s="2">
        <v>8.0</v>
      </c>
    </row>
    <row r="1092" ht="15.75" customHeight="1">
      <c r="A1092" s="4" t="s">
        <v>3710</v>
      </c>
      <c r="B1092" s="2" t="s">
        <v>3711</v>
      </c>
      <c r="C1092" s="2">
        <v>421.0</v>
      </c>
      <c r="D1092" s="2">
        <v>425.0</v>
      </c>
      <c r="E1092" s="2">
        <v>31620.0</v>
      </c>
      <c r="F1092" s="2" t="s">
        <v>150</v>
      </c>
    </row>
    <row r="1093" ht="15.75" customHeight="1">
      <c r="A1093" s="4" t="s">
        <v>1741</v>
      </c>
      <c r="B1093" s="2" t="s">
        <v>1742</v>
      </c>
      <c r="C1093" s="2">
        <v>1640.0</v>
      </c>
      <c r="D1093" s="2">
        <v>1638.0</v>
      </c>
      <c r="E1093" s="2">
        <v>26990.0</v>
      </c>
      <c r="F1093" s="2" t="s">
        <v>150</v>
      </c>
    </row>
    <row r="1094" ht="15.75" customHeight="1">
      <c r="A1094" s="4" t="s">
        <v>3715</v>
      </c>
      <c r="B1094" s="2" t="s">
        <v>3717</v>
      </c>
      <c r="C1094" s="2">
        <v>294.0</v>
      </c>
      <c r="D1094" s="2">
        <v>288.0</v>
      </c>
      <c r="E1094" s="2">
        <v>24760.0</v>
      </c>
      <c r="F1094" s="2" t="s">
        <v>150</v>
      </c>
    </row>
    <row r="1095" ht="15.75" customHeight="1">
      <c r="A1095" s="4" t="s">
        <v>1745</v>
      </c>
      <c r="B1095" s="2" t="s">
        <v>1746</v>
      </c>
      <c r="C1095" s="2">
        <v>896.0</v>
      </c>
      <c r="D1095" s="2">
        <v>837.0</v>
      </c>
      <c r="E1095" s="2">
        <v>24200.0</v>
      </c>
      <c r="F1095" s="2" t="s">
        <v>150</v>
      </c>
    </row>
    <row r="1096" ht="15.75" customHeight="1">
      <c r="A1096" s="4" t="s">
        <v>1751</v>
      </c>
      <c r="B1096" s="2" t="s">
        <v>1752</v>
      </c>
      <c r="C1096" s="2">
        <v>951.0</v>
      </c>
      <c r="D1096" s="2">
        <v>916.0</v>
      </c>
      <c r="E1096" s="2">
        <v>28680.0</v>
      </c>
      <c r="F1096" s="2" t="s">
        <v>150</v>
      </c>
    </row>
    <row r="1097" ht="15.75" hidden="1" customHeight="1">
      <c r="A1097" s="4" t="s">
        <v>1753</v>
      </c>
      <c r="B1097" s="2" t="s">
        <v>1754</v>
      </c>
      <c r="C1097" s="2">
        <v>4083.0</v>
      </c>
      <c r="D1097" s="2">
        <v>3957.0</v>
      </c>
      <c r="E1097" s="2">
        <v>23730.0</v>
      </c>
      <c r="F1097" s="2">
        <v>17.0</v>
      </c>
    </row>
    <row r="1098" ht="15.75" customHeight="1">
      <c r="A1098" s="4" t="s">
        <v>1747</v>
      </c>
      <c r="B1098" s="2" t="s">
        <v>1748</v>
      </c>
      <c r="C1098" s="2">
        <v>858.0</v>
      </c>
      <c r="D1098" s="2">
        <v>867.0</v>
      </c>
      <c r="E1098" s="2">
        <v>29400.0</v>
      </c>
      <c r="F1098" s="2" t="s">
        <v>150</v>
      </c>
    </row>
    <row r="1099" ht="15.75" customHeight="1">
      <c r="A1099" s="4" t="s">
        <v>1755</v>
      </c>
      <c r="B1099" s="2" t="s">
        <v>1756</v>
      </c>
      <c r="C1099" s="2">
        <v>549.0</v>
      </c>
      <c r="D1099" s="2">
        <v>541.0</v>
      </c>
      <c r="E1099" s="2">
        <v>20650.0</v>
      </c>
      <c r="F1099" s="2" t="s">
        <v>150</v>
      </c>
    </row>
    <row r="1100" ht="15.75" customHeight="1">
      <c r="A1100" s="4" t="s">
        <v>1757</v>
      </c>
      <c r="B1100" s="2" t="s">
        <v>1758</v>
      </c>
      <c r="C1100" s="2">
        <v>794.0</v>
      </c>
      <c r="D1100" s="2">
        <v>710.0</v>
      </c>
      <c r="E1100" s="2">
        <v>23310.0</v>
      </c>
      <c r="F1100" s="2" t="s">
        <v>150</v>
      </c>
    </row>
    <row r="1101" ht="15.75" customHeight="1">
      <c r="A1101" s="4" t="s">
        <v>1759</v>
      </c>
      <c r="B1101" s="2" t="s">
        <v>1760</v>
      </c>
      <c r="C1101" s="2">
        <v>1396.0</v>
      </c>
      <c r="D1101" s="2">
        <v>1446.0</v>
      </c>
      <c r="E1101" s="2">
        <v>24960.0</v>
      </c>
      <c r="F1101" s="2" t="s">
        <v>150</v>
      </c>
    </row>
    <row r="1102" ht="15.75" hidden="1" customHeight="1">
      <c r="A1102" s="4" t="s">
        <v>1761</v>
      </c>
      <c r="B1102" s="2" t="s">
        <v>1762</v>
      </c>
      <c r="C1102" s="2">
        <v>3553.0</v>
      </c>
      <c r="D1102" s="2">
        <v>3496.0</v>
      </c>
      <c r="E1102" s="2">
        <v>22960.0</v>
      </c>
      <c r="F1102" s="2">
        <v>19.0</v>
      </c>
    </row>
    <row r="1103" ht="15.75" customHeight="1">
      <c r="A1103" s="4" t="s">
        <v>1763</v>
      </c>
      <c r="B1103" s="2" t="s">
        <v>1764</v>
      </c>
      <c r="C1103" s="2">
        <v>875.0</v>
      </c>
      <c r="D1103" s="2">
        <v>902.0</v>
      </c>
      <c r="E1103" s="2">
        <v>26650.0</v>
      </c>
      <c r="F1103" s="2" t="s">
        <v>150</v>
      </c>
    </row>
    <row r="1104" ht="15.75" hidden="1" customHeight="1">
      <c r="A1104" s="4" t="s">
        <v>1765</v>
      </c>
      <c r="B1104" s="2" t="s">
        <v>1766</v>
      </c>
      <c r="C1104" s="2">
        <v>3409.0</v>
      </c>
      <c r="D1104" s="2">
        <v>3326.0</v>
      </c>
      <c r="E1104" s="2">
        <v>28770.0</v>
      </c>
      <c r="F1104" s="2">
        <v>7.0</v>
      </c>
    </row>
    <row r="1105" ht="15.75" hidden="1" customHeight="1">
      <c r="A1105" s="4" t="s">
        <v>1767</v>
      </c>
      <c r="B1105" s="2" t="s">
        <v>1768</v>
      </c>
      <c r="C1105" s="2">
        <v>7805.0</v>
      </c>
      <c r="D1105" s="2">
        <v>7921.0</v>
      </c>
      <c r="E1105" s="2">
        <v>24980.0</v>
      </c>
      <c r="F1105" s="2">
        <v>14.0</v>
      </c>
    </row>
    <row r="1106" ht="15.75" customHeight="1">
      <c r="A1106" s="4" t="s">
        <v>1769</v>
      </c>
      <c r="B1106" s="2" t="s">
        <v>1770</v>
      </c>
      <c r="C1106" s="2">
        <v>994.0</v>
      </c>
      <c r="D1106" s="2">
        <v>978.0</v>
      </c>
      <c r="E1106" s="2">
        <v>26630.0</v>
      </c>
      <c r="F1106" s="2" t="s">
        <v>150</v>
      </c>
    </row>
    <row r="1107" ht="15.75" hidden="1" customHeight="1">
      <c r="A1107" s="4" t="s">
        <v>1771</v>
      </c>
      <c r="B1107" s="2" t="s">
        <v>1772</v>
      </c>
      <c r="C1107" s="2">
        <v>3214.0</v>
      </c>
      <c r="D1107" s="2">
        <v>3259.0</v>
      </c>
      <c r="E1107" s="2">
        <v>27780.0</v>
      </c>
      <c r="F1107" s="2">
        <v>6.0</v>
      </c>
    </row>
    <row r="1108" ht="15.75" customHeight="1">
      <c r="A1108" s="4" t="s">
        <v>1781</v>
      </c>
      <c r="B1108" s="2" t="s">
        <v>1782</v>
      </c>
      <c r="C1108" s="2">
        <v>1624.0</v>
      </c>
      <c r="D1108" s="2">
        <v>1712.0</v>
      </c>
      <c r="E1108" s="2">
        <v>27420.0</v>
      </c>
      <c r="F1108" s="2" t="s">
        <v>150</v>
      </c>
    </row>
    <row r="1109" ht="15.75" customHeight="1">
      <c r="A1109" s="4" t="s">
        <v>3745</v>
      </c>
      <c r="B1109" s="2" t="s">
        <v>3746</v>
      </c>
      <c r="C1109" s="2">
        <v>741.0</v>
      </c>
      <c r="D1109" s="2">
        <v>619.0</v>
      </c>
      <c r="E1109" s="2">
        <v>22700.0</v>
      </c>
      <c r="F1109" s="2" t="s">
        <v>150</v>
      </c>
    </row>
    <row r="1110" ht="15.75" hidden="1" customHeight="1">
      <c r="A1110" s="4" t="s">
        <v>1785</v>
      </c>
      <c r="B1110" s="2" t="s">
        <v>1786</v>
      </c>
      <c r="C1110" s="2">
        <v>3348.0</v>
      </c>
      <c r="D1110" s="2">
        <v>3403.0</v>
      </c>
      <c r="E1110" s="2">
        <v>22640.0</v>
      </c>
      <c r="F1110" s="2">
        <v>17.0</v>
      </c>
    </row>
    <row r="1111" ht="15.75" customHeight="1">
      <c r="A1111" s="4" t="s">
        <v>1789</v>
      </c>
      <c r="B1111" s="2" t="s">
        <v>1790</v>
      </c>
      <c r="C1111" s="2">
        <v>1137.0</v>
      </c>
      <c r="D1111" s="2">
        <v>1115.0</v>
      </c>
      <c r="E1111" s="2">
        <v>30260.0</v>
      </c>
      <c r="F1111" s="2" t="s">
        <v>150</v>
      </c>
    </row>
    <row r="1112" ht="15.75" hidden="1" customHeight="1">
      <c r="A1112" s="4" t="s">
        <v>1791</v>
      </c>
      <c r="B1112" s="2" t="s">
        <v>1792</v>
      </c>
      <c r="C1112" s="2">
        <v>10159.0</v>
      </c>
      <c r="D1112" s="2">
        <v>10160.0</v>
      </c>
      <c r="E1112" s="2">
        <v>19020.0</v>
      </c>
      <c r="F1112" s="2">
        <v>36.0</v>
      </c>
    </row>
    <row r="1113" ht="15.75" customHeight="1">
      <c r="A1113" s="4" t="s">
        <v>3755</v>
      </c>
      <c r="B1113" s="2" t="s">
        <v>3756</v>
      </c>
      <c r="C1113" s="2">
        <v>867.0</v>
      </c>
      <c r="D1113" s="2">
        <v>856.0</v>
      </c>
      <c r="E1113" s="2">
        <v>28720.0</v>
      </c>
      <c r="F1113" s="2" t="s">
        <v>150</v>
      </c>
    </row>
    <row r="1114" ht="15.75" customHeight="1">
      <c r="A1114" s="4" t="s">
        <v>1793</v>
      </c>
      <c r="B1114" s="2" t="s">
        <v>1794</v>
      </c>
      <c r="C1114" s="2">
        <v>1116.0</v>
      </c>
      <c r="D1114" s="2">
        <v>1164.0</v>
      </c>
      <c r="E1114" s="2">
        <v>24000.0</v>
      </c>
      <c r="F1114" s="2" t="s">
        <v>150</v>
      </c>
    </row>
    <row r="1115" ht="15.75" hidden="1" customHeight="1">
      <c r="A1115" s="4" t="s">
        <v>1820</v>
      </c>
      <c r="B1115" s="2" t="s">
        <v>1821</v>
      </c>
      <c r="C1115" s="2">
        <v>6231.0</v>
      </c>
      <c r="D1115" s="2">
        <v>6287.0</v>
      </c>
      <c r="E1115" s="2">
        <v>20880.0</v>
      </c>
      <c r="F1115" s="2">
        <v>24.0</v>
      </c>
    </row>
    <row r="1116" ht="15.75" hidden="1" customHeight="1">
      <c r="A1116" s="4" t="s">
        <v>1823</v>
      </c>
      <c r="B1116" s="2" t="s">
        <v>1825</v>
      </c>
      <c r="C1116" s="2">
        <v>27649.0</v>
      </c>
      <c r="D1116" s="2">
        <v>27090.0</v>
      </c>
      <c r="E1116" s="2">
        <v>31550.0</v>
      </c>
      <c r="F1116" s="2">
        <v>11.1</v>
      </c>
    </row>
    <row r="1117" ht="15.75" hidden="1" customHeight="1">
      <c r="A1117" s="4" t="s">
        <v>1828</v>
      </c>
      <c r="B1117" s="2" t="s">
        <v>1829</v>
      </c>
      <c r="C1117" s="2">
        <v>5125.0</v>
      </c>
      <c r="D1117" s="2">
        <v>4883.0</v>
      </c>
      <c r="E1117" s="2">
        <v>25240.0</v>
      </c>
      <c r="F1117" s="2">
        <v>14.0</v>
      </c>
    </row>
    <row r="1118" ht="15.75" hidden="1" customHeight="1">
      <c r="A1118" s="4" t="s">
        <v>1831</v>
      </c>
      <c r="B1118" s="2" t="s">
        <v>1832</v>
      </c>
      <c r="C1118" s="2">
        <v>2399.0</v>
      </c>
      <c r="D1118" s="2">
        <v>2518.0</v>
      </c>
      <c r="E1118" s="2">
        <v>30150.0</v>
      </c>
      <c r="F1118" s="2">
        <v>5.0</v>
      </c>
    </row>
    <row r="1119" ht="15.75" hidden="1" customHeight="1">
      <c r="A1119" s="4" t="s">
        <v>1834</v>
      </c>
      <c r="B1119" s="2" t="s">
        <v>1835</v>
      </c>
      <c r="C1119" s="2">
        <v>3483.0</v>
      </c>
      <c r="D1119" s="2">
        <v>3407.0</v>
      </c>
      <c r="E1119" s="2">
        <v>20210.0</v>
      </c>
      <c r="F1119" s="2">
        <v>28.0</v>
      </c>
    </row>
    <row r="1120" ht="15.75" customHeight="1">
      <c r="A1120" s="4" t="s">
        <v>1836</v>
      </c>
      <c r="B1120" s="2" t="s">
        <v>1837</v>
      </c>
      <c r="C1120" s="2">
        <v>1773.0</v>
      </c>
      <c r="D1120" s="2">
        <v>1812.0</v>
      </c>
      <c r="E1120" s="2">
        <v>22040.0</v>
      </c>
      <c r="F1120" s="2" t="s">
        <v>150</v>
      </c>
    </row>
    <row r="1121" ht="15.75" customHeight="1">
      <c r="A1121" s="4" t="s">
        <v>1840</v>
      </c>
      <c r="B1121" s="2" t="s">
        <v>1841</v>
      </c>
      <c r="C1121" s="2">
        <v>252.0</v>
      </c>
      <c r="D1121" s="2">
        <v>231.0</v>
      </c>
      <c r="E1121" s="2">
        <v>25040.0</v>
      </c>
      <c r="F1121" s="2" t="s">
        <v>150</v>
      </c>
    </row>
    <row r="1122" ht="15.75" customHeight="1">
      <c r="A1122" s="4" t="s">
        <v>1842</v>
      </c>
      <c r="B1122" s="2" t="s">
        <v>1843</v>
      </c>
      <c r="C1122" s="2">
        <v>1679.0</v>
      </c>
      <c r="D1122" s="2">
        <v>1608.0</v>
      </c>
      <c r="E1122" s="2">
        <v>26200.0</v>
      </c>
      <c r="F1122" s="2" t="s">
        <v>150</v>
      </c>
    </row>
    <row r="1123" ht="15.75" hidden="1" customHeight="1">
      <c r="A1123" s="4" t="s">
        <v>1854</v>
      </c>
      <c r="B1123" s="2" t="s">
        <v>1855</v>
      </c>
      <c r="C1123" s="2">
        <v>2810.0</v>
      </c>
      <c r="D1123" s="2">
        <v>3046.0</v>
      </c>
      <c r="E1123" s="2">
        <v>29730.0</v>
      </c>
      <c r="F1123" s="2">
        <v>6.0</v>
      </c>
    </row>
    <row r="1124" ht="15.75" customHeight="1">
      <c r="A1124" s="4" t="s">
        <v>1934</v>
      </c>
      <c r="B1124" s="2" t="s">
        <v>1935</v>
      </c>
      <c r="C1124" s="2">
        <v>1372.0</v>
      </c>
      <c r="D1124" s="2">
        <v>1346.0</v>
      </c>
      <c r="E1124" s="2">
        <v>23450.0</v>
      </c>
      <c r="F1124" s="2" t="s">
        <v>150</v>
      </c>
    </row>
    <row r="1125" ht="15.75" customHeight="1">
      <c r="A1125" s="4" t="s">
        <v>1856</v>
      </c>
      <c r="B1125" s="2" t="s">
        <v>1857</v>
      </c>
      <c r="C1125" s="2">
        <v>676.0</v>
      </c>
      <c r="D1125" s="2">
        <v>703.0</v>
      </c>
      <c r="E1125" s="2">
        <v>26120.0</v>
      </c>
      <c r="F1125" s="2" t="s">
        <v>150</v>
      </c>
    </row>
    <row r="1126" ht="15.75" customHeight="1">
      <c r="A1126" s="4" t="s">
        <v>1860</v>
      </c>
      <c r="B1126" s="2" t="s">
        <v>1861</v>
      </c>
      <c r="C1126" s="2">
        <v>661.0</v>
      </c>
      <c r="D1126" s="2">
        <v>611.0</v>
      </c>
      <c r="E1126" s="2">
        <v>28140.0</v>
      </c>
      <c r="F1126" s="2" t="s">
        <v>150</v>
      </c>
    </row>
    <row r="1127" ht="15.75" hidden="1" customHeight="1">
      <c r="A1127" s="4" t="s">
        <v>1862</v>
      </c>
      <c r="B1127" s="2" t="s">
        <v>1863</v>
      </c>
      <c r="C1127" s="2">
        <v>9473.0</v>
      </c>
      <c r="D1127" s="2">
        <v>9521.0</v>
      </c>
      <c r="E1127" s="2">
        <v>27220.0</v>
      </c>
      <c r="F1127" s="2">
        <v>9.0</v>
      </c>
    </row>
    <row r="1128" ht="15.75" hidden="1" customHeight="1">
      <c r="A1128" s="4" t="s">
        <v>1866</v>
      </c>
      <c r="B1128" s="2" t="s">
        <v>1867</v>
      </c>
      <c r="C1128" s="2">
        <v>4262.0</v>
      </c>
      <c r="D1128" s="2">
        <v>4078.0</v>
      </c>
      <c r="E1128" s="2">
        <v>26850.0</v>
      </c>
      <c r="F1128" s="2">
        <v>11.0</v>
      </c>
    </row>
    <row r="1129" ht="15.75" customHeight="1">
      <c r="A1129" s="4" t="s">
        <v>3786</v>
      </c>
      <c r="B1129" s="2" t="s">
        <v>3788</v>
      </c>
      <c r="C1129" s="2">
        <v>417.0</v>
      </c>
      <c r="D1129" s="2">
        <v>432.0</v>
      </c>
      <c r="E1129" s="2">
        <v>27040.0</v>
      </c>
      <c r="F1129" s="2" t="s">
        <v>150</v>
      </c>
    </row>
    <row r="1130" ht="15.75" customHeight="1">
      <c r="A1130" s="4" t="s">
        <v>3790</v>
      </c>
      <c r="B1130" s="2" t="s">
        <v>3792</v>
      </c>
      <c r="C1130" s="2">
        <v>229.0</v>
      </c>
      <c r="D1130" s="2">
        <v>236.0</v>
      </c>
      <c r="E1130" s="2">
        <v>25540.0</v>
      </c>
      <c r="F1130" s="2" t="s">
        <v>150</v>
      </c>
    </row>
    <row r="1131" ht="15.75" hidden="1" customHeight="1">
      <c r="A1131" s="4" t="s">
        <v>1870</v>
      </c>
      <c r="B1131" s="2" t="s">
        <v>1871</v>
      </c>
      <c r="C1131" s="2">
        <v>8259.0</v>
      </c>
      <c r="D1131" s="2">
        <v>9600.0</v>
      </c>
      <c r="E1131" s="2">
        <v>28480.0</v>
      </c>
      <c r="F1131" s="2">
        <v>10.0</v>
      </c>
    </row>
    <row r="1132" ht="15.75" hidden="1" customHeight="1">
      <c r="A1132" s="4" t="s">
        <v>1872</v>
      </c>
      <c r="B1132" s="2" t="s">
        <v>1873</v>
      </c>
      <c r="C1132" s="2">
        <v>2455.0</v>
      </c>
      <c r="D1132" s="2">
        <v>2474.0</v>
      </c>
      <c r="E1132" s="2">
        <v>21610.0</v>
      </c>
      <c r="F1132" s="2">
        <v>19.0</v>
      </c>
    </row>
    <row r="1133" ht="15.75" hidden="1" customHeight="1">
      <c r="A1133" s="4" t="s">
        <v>1876</v>
      </c>
      <c r="B1133" s="2" t="s">
        <v>1877</v>
      </c>
      <c r="C1133" s="2">
        <v>2425.0</v>
      </c>
      <c r="D1133" s="2">
        <v>2353.0</v>
      </c>
      <c r="E1133" s="2">
        <v>23480.0</v>
      </c>
      <c r="F1133" s="2">
        <v>21.0</v>
      </c>
    </row>
    <row r="1134" ht="15.75" hidden="1" customHeight="1">
      <c r="A1134" s="4" t="s">
        <v>1879</v>
      </c>
      <c r="B1134" s="2" t="s">
        <v>1881</v>
      </c>
      <c r="C1134" s="2">
        <v>3104.0</v>
      </c>
      <c r="D1134" s="2">
        <v>2978.0</v>
      </c>
      <c r="E1134" s="2">
        <v>28990.0</v>
      </c>
      <c r="F1134" s="2">
        <v>7.0</v>
      </c>
    </row>
    <row r="1135" ht="15.75" customHeight="1">
      <c r="A1135" s="4" t="s">
        <v>1882</v>
      </c>
      <c r="B1135" s="2" t="s">
        <v>1883</v>
      </c>
      <c r="C1135" s="2">
        <v>533.0</v>
      </c>
      <c r="D1135" s="2">
        <v>527.0</v>
      </c>
      <c r="E1135" s="2">
        <v>25940.0</v>
      </c>
      <c r="F1135" s="2" t="s">
        <v>150</v>
      </c>
    </row>
    <row r="1136" ht="15.75" customHeight="1">
      <c r="A1136" s="4" t="s">
        <v>1884</v>
      </c>
      <c r="B1136" s="2" t="s">
        <v>1885</v>
      </c>
      <c r="C1136" s="2">
        <v>1349.0</v>
      </c>
      <c r="D1136" s="2">
        <v>1462.0</v>
      </c>
      <c r="E1136" s="2">
        <v>25280.0</v>
      </c>
      <c r="F1136" s="2" t="s">
        <v>150</v>
      </c>
    </row>
    <row r="1137" ht="15.75" customHeight="1">
      <c r="A1137" s="4" t="s">
        <v>1886</v>
      </c>
      <c r="B1137" s="2" t="s">
        <v>1887</v>
      </c>
      <c r="C1137" s="2">
        <v>1894.0</v>
      </c>
      <c r="D1137" s="2">
        <v>1847.0</v>
      </c>
      <c r="E1137" s="2">
        <v>23280.0</v>
      </c>
      <c r="F1137" s="2" t="s">
        <v>150</v>
      </c>
    </row>
    <row r="1138" ht="15.75" hidden="1" customHeight="1">
      <c r="A1138" s="4" t="s">
        <v>1890</v>
      </c>
      <c r="B1138" s="2" t="s">
        <v>1891</v>
      </c>
      <c r="C1138" s="2">
        <v>232787.0</v>
      </c>
      <c r="D1138" s="2">
        <v>238246.0</v>
      </c>
      <c r="E1138" s="2">
        <v>22470.0</v>
      </c>
      <c r="F1138" s="2">
        <v>28.6</v>
      </c>
    </row>
    <row r="1139" ht="15.75" customHeight="1">
      <c r="A1139" s="4" t="s">
        <v>1892</v>
      </c>
      <c r="B1139" s="2" t="s">
        <v>1893</v>
      </c>
      <c r="C1139" s="2">
        <v>563.0</v>
      </c>
      <c r="D1139" s="2">
        <v>525.0</v>
      </c>
      <c r="E1139" s="2">
        <v>26460.0</v>
      </c>
      <c r="F1139" s="2" t="s">
        <v>150</v>
      </c>
    </row>
    <row r="1140" ht="15.75" hidden="1" customHeight="1">
      <c r="A1140" s="4" t="s">
        <v>1896</v>
      </c>
      <c r="B1140" s="2" t="s">
        <v>1897</v>
      </c>
      <c r="C1140" s="2">
        <v>8371.0</v>
      </c>
      <c r="D1140" s="2">
        <v>8161.0</v>
      </c>
      <c r="E1140" s="2">
        <v>28230.0</v>
      </c>
      <c r="F1140" s="2">
        <v>9.0</v>
      </c>
    </row>
    <row r="1141" ht="15.75" customHeight="1">
      <c r="A1141" s="4" t="s">
        <v>3811</v>
      </c>
      <c r="B1141" s="2" t="s">
        <v>3812</v>
      </c>
      <c r="C1141" s="2">
        <v>374.0</v>
      </c>
      <c r="D1141" s="2">
        <v>301.0</v>
      </c>
      <c r="E1141" s="2">
        <v>24180.0</v>
      </c>
      <c r="F1141" s="2" t="s">
        <v>150</v>
      </c>
    </row>
    <row r="1142" ht="15.75" customHeight="1">
      <c r="A1142" s="4" t="s">
        <v>1900</v>
      </c>
      <c r="B1142" s="2" t="s">
        <v>1901</v>
      </c>
      <c r="C1142" s="2">
        <v>729.0</v>
      </c>
      <c r="D1142" s="2">
        <v>712.0</v>
      </c>
      <c r="E1142" s="2">
        <v>29100.0</v>
      </c>
      <c r="F1142" s="2" t="s">
        <v>150</v>
      </c>
    </row>
    <row r="1143" ht="15.75" hidden="1" customHeight="1">
      <c r="A1143" s="4" t="s">
        <v>1904</v>
      </c>
      <c r="B1143" s="2" t="s">
        <v>1905</v>
      </c>
      <c r="C1143" s="2">
        <v>2299.0</v>
      </c>
      <c r="D1143" s="2">
        <v>2155.0</v>
      </c>
      <c r="E1143" s="2">
        <v>38140.0</v>
      </c>
      <c r="F1143" s="2">
        <v>5.0</v>
      </c>
    </row>
    <row r="1144" ht="15.75" customHeight="1">
      <c r="A1144" s="4" t="s">
        <v>1807</v>
      </c>
      <c r="B1144" s="2" t="s">
        <v>1809</v>
      </c>
      <c r="C1144" s="2">
        <v>2097.0</v>
      </c>
      <c r="D1144" s="2">
        <v>2057.0</v>
      </c>
      <c r="E1144" s="2">
        <v>26110.0</v>
      </c>
      <c r="F1144" s="2" t="s">
        <v>150</v>
      </c>
    </row>
    <row r="1145" ht="15.75" customHeight="1">
      <c r="A1145" s="4" t="s">
        <v>1907</v>
      </c>
      <c r="B1145" s="2" t="s">
        <v>1909</v>
      </c>
      <c r="C1145" s="2">
        <v>1178.0</v>
      </c>
      <c r="D1145" s="2">
        <v>1228.0</v>
      </c>
      <c r="E1145" s="2">
        <v>25610.0</v>
      </c>
      <c r="F1145" s="2" t="s">
        <v>150</v>
      </c>
    </row>
    <row r="1146" ht="15.75" hidden="1" customHeight="1">
      <c r="A1146" s="4" t="s">
        <v>1910</v>
      </c>
      <c r="B1146" s="2" t="s">
        <v>1911</v>
      </c>
      <c r="C1146" s="2">
        <v>6193.0</v>
      </c>
      <c r="D1146" s="2">
        <v>5952.0</v>
      </c>
      <c r="E1146" s="2">
        <v>24560.0</v>
      </c>
      <c r="F1146" s="2">
        <v>12.0</v>
      </c>
    </row>
    <row r="1147" ht="15.75" hidden="1" customHeight="1">
      <c r="A1147" s="4" t="s">
        <v>1914</v>
      </c>
      <c r="B1147" s="2" t="s">
        <v>1915</v>
      </c>
      <c r="C1147" s="2">
        <v>22233.0</v>
      </c>
      <c r="D1147" s="2">
        <v>22567.0</v>
      </c>
      <c r="E1147" s="2">
        <v>21930.0</v>
      </c>
      <c r="F1147" s="2">
        <v>25.0</v>
      </c>
    </row>
    <row r="1148" ht="15.75" hidden="1" customHeight="1">
      <c r="A1148" s="4" t="s">
        <v>1918</v>
      </c>
      <c r="B1148" s="2" t="s">
        <v>1919</v>
      </c>
      <c r="C1148" s="2">
        <v>3949.0</v>
      </c>
      <c r="D1148" s="2">
        <v>3734.0</v>
      </c>
      <c r="E1148" s="2">
        <v>17280.0</v>
      </c>
      <c r="F1148" s="2">
        <v>39.0</v>
      </c>
    </row>
    <row r="1149" ht="15.75" customHeight="1">
      <c r="A1149" s="4" t="s">
        <v>1920</v>
      </c>
      <c r="B1149" s="2" t="s">
        <v>1921</v>
      </c>
      <c r="C1149" s="2">
        <v>933.0</v>
      </c>
      <c r="D1149" s="2">
        <v>899.0</v>
      </c>
      <c r="E1149" s="2">
        <v>26590.0</v>
      </c>
      <c r="F1149" s="2" t="s">
        <v>150</v>
      </c>
    </row>
    <row r="1150" ht="15.75" customHeight="1">
      <c r="A1150" s="4" t="s">
        <v>3830</v>
      </c>
      <c r="B1150" s="2" t="s">
        <v>3832</v>
      </c>
      <c r="C1150" s="2">
        <v>826.0</v>
      </c>
      <c r="D1150" s="2">
        <v>922.0</v>
      </c>
      <c r="E1150" s="2">
        <v>35980.0</v>
      </c>
      <c r="F1150" s="2" t="s">
        <v>150</v>
      </c>
    </row>
    <row r="1151" ht="15.75" hidden="1" customHeight="1">
      <c r="A1151" s="4" t="s">
        <v>1924</v>
      </c>
      <c r="B1151" s="2" t="s">
        <v>1925</v>
      </c>
      <c r="C1151" s="2">
        <v>6481.0</v>
      </c>
      <c r="D1151" s="2">
        <v>6294.0</v>
      </c>
      <c r="E1151" s="2">
        <v>16460.0</v>
      </c>
      <c r="F1151" s="2">
        <v>45.0</v>
      </c>
    </row>
    <row r="1152" ht="15.75" customHeight="1">
      <c r="A1152" s="4" t="s">
        <v>1928</v>
      </c>
      <c r="B1152" s="2" t="s">
        <v>1929</v>
      </c>
      <c r="C1152" s="2">
        <v>758.0</v>
      </c>
      <c r="D1152" s="2">
        <v>783.0</v>
      </c>
      <c r="E1152" s="2">
        <v>26750.0</v>
      </c>
      <c r="F1152" s="2" t="s">
        <v>150</v>
      </c>
    </row>
    <row r="1153" ht="15.75" hidden="1" customHeight="1">
      <c r="A1153" s="4" t="s">
        <v>1932</v>
      </c>
      <c r="B1153" s="2" t="s">
        <v>1933</v>
      </c>
      <c r="C1153" s="2">
        <v>13422.0</v>
      </c>
      <c r="D1153" s="2">
        <v>14050.0</v>
      </c>
      <c r="E1153" s="2">
        <v>24770.0</v>
      </c>
      <c r="F1153" s="2">
        <v>17.0</v>
      </c>
    </row>
    <row r="1154" ht="15.75" hidden="1" customHeight="1">
      <c r="A1154" s="4" t="s">
        <v>1810</v>
      </c>
      <c r="B1154" s="2" t="s">
        <v>1812</v>
      </c>
      <c r="C1154" s="2">
        <v>21173.0</v>
      </c>
      <c r="D1154" s="2">
        <v>21790.0</v>
      </c>
      <c r="E1154" s="2">
        <v>28500.0</v>
      </c>
      <c r="F1154" s="2">
        <v>14.3</v>
      </c>
    </row>
    <row r="1155" ht="15.75" hidden="1" customHeight="1">
      <c r="A1155" s="4" t="s">
        <v>1936</v>
      </c>
      <c r="B1155" s="2" t="s">
        <v>1937</v>
      </c>
      <c r="C1155" s="2">
        <v>4112.0</v>
      </c>
      <c r="D1155" s="2">
        <v>3954.0</v>
      </c>
      <c r="E1155" s="2">
        <v>25710.0</v>
      </c>
      <c r="F1155" s="2">
        <v>15.0</v>
      </c>
    </row>
    <row r="1156" ht="15.75" customHeight="1">
      <c r="A1156" s="4" t="s">
        <v>1940</v>
      </c>
      <c r="B1156" s="2" t="s">
        <v>1941</v>
      </c>
      <c r="C1156" s="2">
        <v>735.0</v>
      </c>
      <c r="D1156" s="2">
        <v>699.0</v>
      </c>
      <c r="E1156" s="2">
        <v>30660.0</v>
      </c>
      <c r="F1156" s="2" t="s">
        <v>150</v>
      </c>
    </row>
    <row r="1157" ht="15.75" customHeight="1">
      <c r="A1157" s="4" t="s">
        <v>1850</v>
      </c>
      <c r="B1157" s="2" t="s">
        <v>1851</v>
      </c>
      <c r="C1157" s="2">
        <v>642.0</v>
      </c>
      <c r="D1157" s="2">
        <v>628.0</v>
      </c>
      <c r="E1157" s="2">
        <v>35780.0</v>
      </c>
      <c r="F1157" s="2" t="s">
        <v>150</v>
      </c>
    </row>
    <row r="1158" ht="15.75" customHeight="1">
      <c r="A1158" s="4" t="s">
        <v>3845</v>
      </c>
      <c r="B1158" s="2" t="s">
        <v>3846</v>
      </c>
      <c r="C1158" s="2">
        <v>504.0</v>
      </c>
      <c r="D1158" s="2">
        <v>498.0</v>
      </c>
      <c r="E1158" s="2">
        <v>23650.0</v>
      </c>
      <c r="F1158" s="2" t="s">
        <v>150</v>
      </c>
    </row>
    <row r="1159" ht="15.75" customHeight="1">
      <c r="A1159" s="4" t="s">
        <v>3849</v>
      </c>
      <c r="B1159" s="2" t="s">
        <v>3850</v>
      </c>
      <c r="C1159" s="2">
        <v>482.0</v>
      </c>
      <c r="D1159" s="2">
        <v>461.0</v>
      </c>
      <c r="E1159" s="2">
        <v>26280.0</v>
      </c>
      <c r="F1159" s="2" t="s">
        <v>150</v>
      </c>
    </row>
    <row r="1160" ht="15.75" hidden="1" customHeight="1">
      <c r="A1160" s="4" t="s">
        <v>1944</v>
      </c>
      <c r="B1160" s="2" t="s">
        <v>1945</v>
      </c>
      <c r="C1160" s="2">
        <v>4590.0</v>
      </c>
      <c r="D1160" s="2">
        <v>4507.0</v>
      </c>
      <c r="E1160" s="2">
        <v>26510.0</v>
      </c>
      <c r="F1160" s="2">
        <v>11.0</v>
      </c>
    </row>
    <row r="1161" ht="15.75" customHeight="1">
      <c r="A1161" s="4" t="s">
        <v>1946</v>
      </c>
      <c r="B1161" s="2" t="s">
        <v>1947</v>
      </c>
      <c r="C1161" s="2">
        <v>1888.0</v>
      </c>
      <c r="D1161" s="2">
        <v>1841.0</v>
      </c>
      <c r="E1161" s="2">
        <v>23940.0</v>
      </c>
      <c r="F1161" s="2" t="s">
        <v>150</v>
      </c>
    </row>
    <row r="1162" ht="15.75" hidden="1" customHeight="1">
      <c r="A1162" s="4" t="s">
        <v>1948</v>
      </c>
      <c r="B1162" s="2" t="s">
        <v>1949</v>
      </c>
      <c r="C1162" s="2">
        <v>38617.0</v>
      </c>
      <c r="D1162" s="2">
        <v>40184.0</v>
      </c>
      <c r="E1162" s="2">
        <v>33330.0</v>
      </c>
      <c r="F1162" s="2">
        <v>10.7</v>
      </c>
    </row>
    <row r="1163" ht="15.75" customHeight="1">
      <c r="A1163" s="4" t="s">
        <v>1952</v>
      </c>
      <c r="B1163" s="2" t="s">
        <v>1953</v>
      </c>
      <c r="C1163" s="2">
        <v>736.0</v>
      </c>
      <c r="D1163" s="2">
        <v>741.0</v>
      </c>
      <c r="E1163" s="2">
        <v>25670.0</v>
      </c>
      <c r="F1163" s="2" t="s">
        <v>150</v>
      </c>
    </row>
    <row r="1164" ht="15.75" customHeight="1">
      <c r="A1164" s="4" t="s">
        <v>1956</v>
      </c>
      <c r="B1164" s="2" t="s">
        <v>1957</v>
      </c>
      <c r="C1164" s="2">
        <v>820.0</v>
      </c>
      <c r="D1164" s="2">
        <v>808.0</v>
      </c>
      <c r="E1164" s="2">
        <v>27320.0</v>
      </c>
      <c r="F1164" s="2" t="s">
        <v>150</v>
      </c>
    </row>
    <row r="1165" ht="15.75" customHeight="1">
      <c r="A1165" s="4" t="s">
        <v>1958</v>
      </c>
      <c r="B1165" s="2" t="s">
        <v>1959</v>
      </c>
      <c r="C1165" s="2">
        <v>1457.0</v>
      </c>
      <c r="D1165" s="2">
        <v>1402.0</v>
      </c>
      <c r="E1165" s="2">
        <v>21890.0</v>
      </c>
      <c r="F1165" s="2" t="s">
        <v>150</v>
      </c>
    </row>
    <row r="1166" ht="15.75" hidden="1" customHeight="1">
      <c r="A1166" s="4" t="s">
        <v>1962</v>
      </c>
      <c r="B1166" s="2" t="s">
        <v>1963</v>
      </c>
      <c r="C1166" s="2">
        <v>11855.0</v>
      </c>
      <c r="D1166" s="2">
        <v>11995.0</v>
      </c>
      <c r="E1166" s="2">
        <v>22190.0</v>
      </c>
      <c r="F1166" s="2">
        <v>22.0</v>
      </c>
    </row>
    <row r="1167" ht="15.75" customHeight="1">
      <c r="A1167" s="4" t="s">
        <v>1965</v>
      </c>
      <c r="B1167" s="2" t="s">
        <v>1967</v>
      </c>
      <c r="C1167" s="2">
        <v>1403.0</v>
      </c>
      <c r="D1167" s="2">
        <v>1454.0</v>
      </c>
      <c r="E1167" s="2">
        <v>24660.0</v>
      </c>
      <c r="F1167" s="2" t="s">
        <v>150</v>
      </c>
    </row>
    <row r="1168" ht="15.75" hidden="1" customHeight="1">
      <c r="A1168" s="4" t="s">
        <v>1968</v>
      </c>
      <c r="B1168" s="2" t="s">
        <v>1969</v>
      </c>
      <c r="C1168" s="2">
        <v>2748.0</v>
      </c>
      <c r="D1168" s="2">
        <v>2653.0</v>
      </c>
      <c r="E1168" s="2">
        <v>21760.0</v>
      </c>
      <c r="F1168" s="2">
        <v>26.0</v>
      </c>
    </row>
    <row r="1169" ht="15.75" hidden="1" customHeight="1">
      <c r="A1169" s="4" t="s">
        <v>1972</v>
      </c>
      <c r="B1169" s="2" t="s">
        <v>1973</v>
      </c>
      <c r="C1169" s="2">
        <v>10376.0</v>
      </c>
      <c r="D1169" s="2">
        <v>12622.0</v>
      </c>
      <c r="E1169" s="2">
        <v>26690.0</v>
      </c>
      <c r="F1169" s="2">
        <v>12.0</v>
      </c>
    </row>
    <row r="1170" ht="15.75" customHeight="1">
      <c r="A1170" s="4" t="s">
        <v>1970</v>
      </c>
      <c r="B1170" s="2" t="s">
        <v>1971</v>
      </c>
      <c r="C1170" s="2">
        <v>1873.0</v>
      </c>
      <c r="D1170" s="2">
        <v>1943.0</v>
      </c>
      <c r="E1170" s="2">
        <v>23150.0</v>
      </c>
      <c r="F1170" s="2" t="s">
        <v>150</v>
      </c>
    </row>
    <row r="1171" ht="15.75" customHeight="1">
      <c r="A1171" s="4" t="s">
        <v>1976</v>
      </c>
      <c r="B1171" s="2" t="s">
        <v>1977</v>
      </c>
      <c r="C1171" s="2">
        <v>1997.0</v>
      </c>
      <c r="D1171" s="2">
        <v>1961.0</v>
      </c>
      <c r="E1171" s="2">
        <v>29240.0</v>
      </c>
      <c r="F1171" s="2" t="s">
        <v>150</v>
      </c>
    </row>
    <row r="1172" ht="15.75" hidden="1" customHeight="1">
      <c r="A1172" s="4" t="s">
        <v>1980</v>
      </c>
      <c r="B1172" s="2" t="s">
        <v>1981</v>
      </c>
      <c r="C1172" s="2">
        <v>2717.0</v>
      </c>
      <c r="D1172" s="2">
        <v>2689.0</v>
      </c>
      <c r="E1172" s="2">
        <v>22680.0</v>
      </c>
      <c r="F1172" s="2">
        <v>17.0</v>
      </c>
    </row>
    <row r="1173" ht="15.75" hidden="1" customHeight="1">
      <c r="A1173" s="4" t="s">
        <v>1982</v>
      </c>
      <c r="B1173" s="2" t="s">
        <v>1985</v>
      </c>
      <c r="C1173" s="2">
        <v>4143.0</v>
      </c>
      <c r="D1173" s="2">
        <v>3999.0</v>
      </c>
      <c r="E1173" s="2">
        <v>20290.0</v>
      </c>
      <c r="F1173" s="2">
        <v>28.0</v>
      </c>
    </row>
    <row r="1174" ht="15.75" customHeight="1">
      <c r="A1174" s="4" t="s">
        <v>1987</v>
      </c>
      <c r="B1174" s="2" t="s">
        <v>1989</v>
      </c>
      <c r="C1174" s="2">
        <v>865.0</v>
      </c>
      <c r="D1174" s="2">
        <v>911.0</v>
      </c>
      <c r="E1174" s="2">
        <v>26140.0</v>
      </c>
      <c r="F1174" s="2" t="s">
        <v>150</v>
      </c>
    </row>
    <row r="1175" ht="15.75" hidden="1" customHeight="1">
      <c r="A1175" s="4" t="s">
        <v>1990</v>
      </c>
      <c r="B1175" s="2" t="s">
        <v>1993</v>
      </c>
      <c r="C1175" s="2">
        <v>29944.0</v>
      </c>
      <c r="D1175" s="2">
        <v>28767.0</v>
      </c>
      <c r="E1175" s="2">
        <v>17930.0</v>
      </c>
      <c r="F1175" s="2">
        <v>37.7</v>
      </c>
    </row>
    <row r="1176" ht="15.75" customHeight="1">
      <c r="A1176" s="4" t="s">
        <v>1994</v>
      </c>
      <c r="B1176" s="2" t="s">
        <v>1995</v>
      </c>
      <c r="C1176" s="2">
        <v>1026.0</v>
      </c>
      <c r="D1176" s="2">
        <v>949.0</v>
      </c>
      <c r="E1176" s="2">
        <v>26850.0</v>
      </c>
      <c r="F1176" s="2" t="s">
        <v>150</v>
      </c>
    </row>
    <row r="1177" ht="15.75" customHeight="1">
      <c r="A1177" s="4" t="s">
        <v>1997</v>
      </c>
      <c r="B1177" s="2" t="s">
        <v>1998</v>
      </c>
      <c r="C1177" s="2">
        <v>395.0</v>
      </c>
      <c r="D1177" s="2">
        <v>405.0</v>
      </c>
      <c r="E1177" s="2">
        <v>22220.0</v>
      </c>
      <c r="F1177" s="2" t="s">
        <v>150</v>
      </c>
    </row>
    <row r="1178" ht="15.75" customHeight="1">
      <c r="A1178" s="4" t="s">
        <v>2001</v>
      </c>
      <c r="B1178" s="2" t="s">
        <v>2003</v>
      </c>
      <c r="C1178" s="2">
        <v>304.0</v>
      </c>
      <c r="D1178" s="2">
        <v>279.0</v>
      </c>
      <c r="E1178" s="2">
        <v>23980.0</v>
      </c>
      <c r="F1178" s="2" t="s">
        <v>150</v>
      </c>
    </row>
    <row r="1179" ht="15.75" customHeight="1">
      <c r="A1179" s="4" t="s">
        <v>2005</v>
      </c>
      <c r="B1179" s="2" t="s">
        <v>2007</v>
      </c>
      <c r="C1179" s="2">
        <v>702.0</v>
      </c>
      <c r="D1179" s="2">
        <v>695.0</v>
      </c>
      <c r="E1179" s="2">
        <v>27320.0</v>
      </c>
      <c r="F1179" s="2" t="s">
        <v>150</v>
      </c>
    </row>
    <row r="1180" ht="15.75" customHeight="1">
      <c r="A1180" s="4" t="s">
        <v>2008</v>
      </c>
      <c r="B1180" s="2" t="s">
        <v>2009</v>
      </c>
      <c r="C1180" s="2">
        <v>593.0</v>
      </c>
      <c r="D1180" s="2">
        <v>615.0</v>
      </c>
      <c r="E1180" s="2">
        <v>27300.0</v>
      </c>
      <c r="F1180" s="2" t="s">
        <v>150</v>
      </c>
    </row>
    <row r="1181" ht="15.75" hidden="1" customHeight="1">
      <c r="A1181" s="4" t="s">
        <v>2058</v>
      </c>
      <c r="B1181" s="2" t="s">
        <v>2059</v>
      </c>
      <c r="C1181" s="2">
        <v>3065.0</v>
      </c>
      <c r="D1181" s="2">
        <v>3527.0</v>
      </c>
      <c r="E1181" s="2">
        <v>39030.0</v>
      </c>
      <c r="F1181" s="2">
        <v>4.0</v>
      </c>
    </row>
    <row r="1182" ht="15.75" customHeight="1">
      <c r="A1182" s="4" t="s">
        <v>2011</v>
      </c>
      <c r="B1182" s="2" t="s">
        <v>2013</v>
      </c>
      <c r="C1182" s="2">
        <v>1018.0</v>
      </c>
      <c r="D1182" s="2">
        <v>1106.0</v>
      </c>
      <c r="E1182" s="2">
        <v>28570.0</v>
      </c>
      <c r="F1182" s="2" t="s">
        <v>150</v>
      </c>
    </row>
    <row r="1183" ht="15.75" hidden="1" customHeight="1">
      <c r="A1183" s="4" t="s">
        <v>2014</v>
      </c>
      <c r="B1183" s="2" t="s">
        <v>2016</v>
      </c>
      <c r="C1183" s="2">
        <v>9720.0</v>
      </c>
      <c r="D1183" s="2">
        <v>9808.0</v>
      </c>
      <c r="E1183" s="2">
        <v>23420.0</v>
      </c>
      <c r="F1183" s="2">
        <v>17.0</v>
      </c>
    </row>
    <row r="1184" ht="15.75" hidden="1" customHeight="1">
      <c r="A1184" s="4" t="s">
        <v>2060</v>
      </c>
      <c r="B1184" s="2" t="s">
        <v>2063</v>
      </c>
      <c r="C1184" s="2">
        <v>2314.0</v>
      </c>
      <c r="D1184" s="2">
        <v>2231.0</v>
      </c>
      <c r="E1184" s="2">
        <v>29100.0</v>
      </c>
      <c r="F1184" s="2">
        <v>8.0</v>
      </c>
    </row>
    <row r="1185" ht="15.75" customHeight="1">
      <c r="A1185" s="4" t="s">
        <v>2018</v>
      </c>
      <c r="B1185" s="2" t="s">
        <v>2019</v>
      </c>
      <c r="C1185" s="2">
        <v>813.0</v>
      </c>
      <c r="D1185" s="2">
        <v>838.0</v>
      </c>
      <c r="E1185" s="2">
        <v>26370.0</v>
      </c>
      <c r="F1185" s="2" t="s">
        <v>150</v>
      </c>
    </row>
    <row r="1186" ht="15.75" customHeight="1">
      <c r="A1186" s="4" t="s">
        <v>2022</v>
      </c>
      <c r="B1186" s="2" t="s">
        <v>2023</v>
      </c>
      <c r="C1186" s="2">
        <v>715.0</v>
      </c>
      <c r="D1186" s="2">
        <v>705.0</v>
      </c>
      <c r="E1186" s="2">
        <v>28250.0</v>
      </c>
      <c r="F1186" s="2" t="s">
        <v>150</v>
      </c>
    </row>
    <row r="1187" ht="15.75" customHeight="1">
      <c r="A1187" s="4" t="s">
        <v>3911</v>
      </c>
      <c r="B1187" s="2" t="s">
        <v>3912</v>
      </c>
      <c r="C1187" s="2">
        <v>465.0</v>
      </c>
      <c r="D1187" s="2">
        <v>490.0</v>
      </c>
      <c r="E1187" s="2">
        <v>25450.0</v>
      </c>
      <c r="F1187" s="2" t="s">
        <v>150</v>
      </c>
    </row>
    <row r="1188" ht="15.75" customHeight="1">
      <c r="A1188" s="4" t="s">
        <v>2024</v>
      </c>
      <c r="B1188" s="2" t="s">
        <v>2025</v>
      </c>
      <c r="C1188" s="2">
        <v>495.0</v>
      </c>
      <c r="D1188" s="2">
        <v>419.0</v>
      </c>
      <c r="E1188" s="2">
        <v>24820.0</v>
      </c>
      <c r="F1188" s="2" t="s">
        <v>150</v>
      </c>
    </row>
    <row r="1189" ht="15.75" customHeight="1">
      <c r="A1189" s="4" t="s">
        <v>2026</v>
      </c>
      <c r="B1189" s="2" t="s">
        <v>2027</v>
      </c>
      <c r="C1189" s="2">
        <v>541.0</v>
      </c>
      <c r="D1189" s="2">
        <v>616.0</v>
      </c>
      <c r="E1189" s="2">
        <v>31120.0</v>
      </c>
      <c r="F1189" s="2" t="s">
        <v>150</v>
      </c>
    </row>
    <row r="1190" ht="15.75" customHeight="1">
      <c r="A1190" s="4" t="s">
        <v>2028</v>
      </c>
      <c r="B1190" s="2" t="s">
        <v>2029</v>
      </c>
      <c r="C1190" s="2">
        <v>1536.0</v>
      </c>
      <c r="D1190" s="2">
        <v>1663.0</v>
      </c>
      <c r="E1190" s="2">
        <v>30840.0</v>
      </c>
      <c r="F1190" s="2" t="s">
        <v>150</v>
      </c>
    </row>
    <row r="1191" ht="15.75" hidden="1" customHeight="1">
      <c r="A1191" s="4" t="s">
        <v>2030</v>
      </c>
      <c r="B1191" s="2" t="s">
        <v>2031</v>
      </c>
      <c r="C1191" s="2">
        <v>2502.0</v>
      </c>
      <c r="D1191" s="2">
        <v>2516.0</v>
      </c>
      <c r="E1191" s="2">
        <v>22830.0</v>
      </c>
      <c r="F1191" s="2">
        <v>17.0</v>
      </c>
    </row>
    <row r="1192" ht="15.75" hidden="1" customHeight="1">
      <c r="A1192" s="4" t="s">
        <v>2032</v>
      </c>
      <c r="B1192" s="2" t="s">
        <v>2033</v>
      </c>
      <c r="C1192" s="2">
        <v>20782.0</v>
      </c>
      <c r="D1192" s="2">
        <v>21105.0</v>
      </c>
      <c r="E1192" s="2">
        <v>21770.0</v>
      </c>
      <c r="F1192" s="2">
        <v>28.0</v>
      </c>
    </row>
    <row r="1193" ht="15.75" hidden="1" customHeight="1">
      <c r="A1193" s="4" t="s">
        <v>2036</v>
      </c>
      <c r="B1193" s="2" t="s">
        <v>2037</v>
      </c>
      <c r="C1193" s="2">
        <v>2134.0</v>
      </c>
      <c r="D1193" s="2">
        <v>2075.0</v>
      </c>
      <c r="E1193" s="2">
        <v>32180.0</v>
      </c>
      <c r="F1193" s="2">
        <v>5.0</v>
      </c>
    </row>
    <row r="1194" ht="15.75" customHeight="1">
      <c r="A1194" s="4" t="s">
        <v>3926</v>
      </c>
      <c r="B1194" s="2" t="s">
        <v>3928</v>
      </c>
      <c r="C1194" s="2">
        <v>290.0</v>
      </c>
      <c r="D1194" s="2">
        <v>276.0</v>
      </c>
      <c r="E1194" s="2">
        <v>20920.0</v>
      </c>
      <c r="F1194" s="2" t="s">
        <v>150</v>
      </c>
    </row>
    <row r="1195" ht="15.75" customHeight="1">
      <c r="A1195" s="4" t="s">
        <v>2038</v>
      </c>
      <c r="B1195" s="2" t="s">
        <v>2039</v>
      </c>
      <c r="C1195" s="2">
        <v>562.0</v>
      </c>
      <c r="D1195" s="2">
        <v>552.0</v>
      </c>
      <c r="E1195" s="2">
        <v>25080.0</v>
      </c>
      <c r="F1195" s="2" t="s">
        <v>150</v>
      </c>
    </row>
    <row r="1196" ht="15.75" hidden="1" customHeight="1">
      <c r="A1196" s="4" t="s">
        <v>2040</v>
      </c>
      <c r="B1196" s="2" t="s">
        <v>2041</v>
      </c>
      <c r="C1196" s="2">
        <v>4801.0</v>
      </c>
      <c r="D1196" s="2">
        <v>4495.0</v>
      </c>
      <c r="E1196" s="2">
        <v>22050.0</v>
      </c>
      <c r="F1196" s="2">
        <v>22.0</v>
      </c>
    </row>
    <row r="1197" ht="15.75" customHeight="1">
      <c r="A1197" s="4" t="s">
        <v>3935</v>
      </c>
      <c r="B1197" s="2" t="s">
        <v>3936</v>
      </c>
      <c r="C1197" s="2">
        <v>224.0</v>
      </c>
      <c r="D1197" s="2">
        <v>228.0</v>
      </c>
      <c r="E1197" s="2">
        <v>25530.0</v>
      </c>
      <c r="F1197" s="2" t="s">
        <v>150</v>
      </c>
    </row>
    <row r="1198" ht="15.75" hidden="1" customHeight="1">
      <c r="A1198" s="4" t="s">
        <v>2042</v>
      </c>
      <c r="B1198" s="2" t="s">
        <v>2043</v>
      </c>
      <c r="C1198" s="2">
        <v>2538.0</v>
      </c>
      <c r="D1198" s="2">
        <v>2573.0</v>
      </c>
      <c r="E1198" s="2">
        <v>27040.0</v>
      </c>
      <c r="F1198" s="2">
        <v>8.0</v>
      </c>
    </row>
    <row r="1199" ht="15.75" customHeight="1">
      <c r="A1199" s="4" t="s">
        <v>2046</v>
      </c>
      <c r="B1199" s="2" t="s">
        <v>2048</v>
      </c>
      <c r="C1199" s="2">
        <v>1626.0</v>
      </c>
      <c r="D1199" s="2">
        <v>1599.0</v>
      </c>
      <c r="E1199" s="2">
        <v>21410.0</v>
      </c>
      <c r="F1199" s="2" t="s">
        <v>150</v>
      </c>
    </row>
    <row r="1200" ht="15.75" customHeight="1">
      <c r="A1200" s="4" t="s">
        <v>2050</v>
      </c>
      <c r="B1200" s="2" t="s">
        <v>2052</v>
      </c>
      <c r="C1200" s="2">
        <v>1392.0</v>
      </c>
      <c r="D1200" s="2">
        <v>1491.0</v>
      </c>
      <c r="E1200" s="2">
        <v>31120.0</v>
      </c>
      <c r="F1200" s="2" t="s">
        <v>150</v>
      </c>
    </row>
    <row r="1201" ht="15.75" customHeight="1">
      <c r="A1201" s="4" t="s">
        <v>3945</v>
      </c>
      <c r="B1201" s="2" t="s">
        <v>3946</v>
      </c>
      <c r="C1201" s="2">
        <v>59.0</v>
      </c>
      <c r="D1201" s="2">
        <v>61.0</v>
      </c>
      <c r="E1201" s="2" t="s">
        <v>150</v>
      </c>
      <c r="F1201" s="2" t="s">
        <v>150</v>
      </c>
    </row>
    <row r="1202" ht="15.75" hidden="1" customHeight="1">
      <c r="A1202" s="4" t="s">
        <v>2054</v>
      </c>
      <c r="B1202" s="2" t="s">
        <v>2055</v>
      </c>
      <c r="C1202" s="2">
        <v>13151.0</v>
      </c>
      <c r="D1202" s="2">
        <v>13369.0</v>
      </c>
      <c r="E1202" s="2">
        <v>32540.0</v>
      </c>
      <c r="F1202" s="2">
        <v>9.0</v>
      </c>
    </row>
    <row r="1203" ht="15.75" customHeight="1">
      <c r="A1203" s="4" t="s">
        <v>2065</v>
      </c>
      <c r="B1203" s="2" t="s">
        <v>2067</v>
      </c>
      <c r="C1203" s="2">
        <v>636.0</v>
      </c>
      <c r="D1203" s="2">
        <v>620.0</v>
      </c>
      <c r="E1203" s="2">
        <v>26610.0</v>
      </c>
      <c r="F1203" s="2" t="s">
        <v>150</v>
      </c>
    </row>
    <row r="1204" ht="15.75" customHeight="1">
      <c r="A1204" s="4" t="s">
        <v>2070</v>
      </c>
      <c r="B1204" s="2" t="s">
        <v>2071</v>
      </c>
      <c r="C1204" s="2">
        <v>1234.0</v>
      </c>
      <c r="D1204" s="2">
        <v>1417.0</v>
      </c>
      <c r="E1204" s="2">
        <v>25540.0</v>
      </c>
      <c r="F1204" s="2" t="s">
        <v>150</v>
      </c>
    </row>
    <row r="1205" ht="15.75" customHeight="1">
      <c r="A1205" s="4" t="s">
        <v>2074</v>
      </c>
      <c r="B1205" s="2" t="s">
        <v>2075</v>
      </c>
      <c r="C1205" s="2">
        <v>1330.0</v>
      </c>
      <c r="D1205" s="2">
        <v>1286.0</v>
      </c>
      <c r="E1205" s="2">
        <v>20530.0</v>
      </c>
      <c r="F1205" s="2" t="s">
        <v>150</v>
      </c>
    </row>
    <row r="1206" ht="15.75" customHeight="1">
      <c r="A1206" s="4" t="s">
        <v>3957</v>
      </c>
      <c r="B1206" s="2" t="s">
        <v>3958</v>
      </c>
      <c r="C1206" s="2">
        <v>304.0</v>
      </c>
      <c r="D1206" s="2">
        <v>298.0</v>
      </c>
      <c r="E1206" s="2">
        <v>27180.0</v>
      </c>
      <c r="F1206" s="2" t="s">
        <v>150</v>
      </c>
    </row>
    <row r="1207" ht="15.75" hidden="1" customHeight="1">
      <c r="A1207" s="4" t="s">
        <v>2078</v>
      </c>
      <c r="B1207" s="2" t="s">
        <v>2079</v>
      </c>
      <c r="C1207" s="2">
        <v>10284.0</v>
      </c>
      <c r="D1207" s="2">
        <v>10002.0</v>
      </c>
      <c r="E1207" s="2">
        <v>27570.0</v>
      </c>
      <c r="F1207" s="2">
        <v>7.0</v>
      </c>
    </row>
    <row r="1208" ht="15.75" customHeight="1">
      <c r="A1208" s="4" t="s">
        <v>1814</v>
      </c>
      <c r="B1208" s="2" t="s">
        <v>1815</v>
      </c>
      <c r="C1208" s="2">
        <v>646.0</v>
      </c>
      <c r="D1208" s="2">
        <v>593.0</v>
      </c>
      <c r="E1208" s="2">
        <v>30970.0</v>
      </c>
      <c r="F1208" s="2" t="s">
        <v>150</v>
      </c>
    </row>
    <row r="1209" ht="15.75" hidden="1" customHeight="1">
      <c r="A1209" s="4" t="s">
        <v>2076</v>
      </c>
      <c r="B1209" s="2" t="s">
        <v>2077</v>
      </c>
      <c r="C1209" s="2">
        <v>3803.0</v>
      </c>
      <c r="D1209" s="2">
        <v>4012.0</v>
      </c>
      <c r="E1209" s="2">
        <v>21590.0</v>
      </c>
      <c r="F1209" s="2">
        <v>22.0</v>
      </c>
    </row>
    <row r="1210" ht="15.75" hidden="1" customHeight="1">
      <c r="A1210" s="4" t="s">
        <v>2080</v>
      </c>
      <c r="B1210" s="2" t="s">
        <v>2081</v>
      </c>
      <c r="C1210" s="2">
        <v>2702.0</v>
      </c>
      <c r="D1210" s="2">
        <v>2901.0</v>
      </c>
      <c r="E1210" s="2">
        <v>21950.0</v>
      </c>
      <c r="F1210" s="2">
        <v>16.0</v>
      </c>
    </row>
    <row r="1211" ht="15.75" customHeight="1">
      <c r="A1211" s="4" t="s">
        <v>2084</v>
      </c>
      <c r="B1211" s="2" t="s">
        <v>2085</v>
      </c>
      <c r="C1211" s="2">
        <v>1113.0</v>
      </c>
      <c r="D1211" s="2">
        <v>1103.0</v>
      </c>
      <c r="E1211" s="2">
        <v>23260.0</v>
      </c>
      <c r="F1211" s="2" t="s">
        <v>150</v>
      </c>
    </row>
    <row r="1212" ht="15.75" hidden="1" customHeight="1">
      <c r="A1212" s="4" t="s">
        <v>2087</v>
      </c>
      <c r="B1212" s="2" t="s">
        <v>2089</v>
      </c>
      <c r="C1212" s="2">
        <v>7476.0</v>
      </c>
      <c r="D1212" s="2">
        <v>7764.0</v>
      </c>
      <c r="E1212" s="2">
        <v>26140.0</v>
      </c>
      <c r="F1212" s="2">
        <v>12.0</v>
      </c>
    </row>
    <row r="1213" ht="15.75" customHeight="1">
      <c r="A1213" s="4" t="s">
        <v>2090</v>
      </c>
      <c r="B1213" s="2" t="s">
        <v>2091</v>
      </c>
      <c r="C1213" s="2">
        <v>509.0</v>
      </c>
      <c r="D1213" s="2">
        <v>509.0</v>
      </c>
      <c r="E1213" s="2">
        <v>28550.0</v>
      </c>
      <c r="F1213" s="2" t="s">
        <v>150</v>
      </c>
    </row>
    <row r="1214" ht="15.75" customHeight="1">
      <c r="A1214" s="4" t="s">
        <v>3973</v>
      </c>
      <c r="B1214" s="2" t="s">
        <v>3974</v>
      </c>
      <c r="C1214" s="2">
        <v>937.0</v>
      </c>
      <c r="D1214" s="2">
        <v>908.0</v>
      </c>
      <c r="E1214" s="2">
        <v>23090.0</v>
      </c>
      <c r="F1214" s="2" t="s">
        <v>150</v>
      </c>
    </row>
    <row r="1215" ht="15.75" customHeight="1">
      <c r="A1215" s="4" t="s">
        <v>2092</v>
      </c>
      <c r="B1215" s="2" t="s">
        <v>2093</v>
      </c>
      <c r="C1215" s="2">
        <v>1318.0</v>
      </c>
      <c r="D1215" s="2">
        <v>1406.0</v>
      </c>
      <c r="E1215" s="2">
        <v>29630.0</v>
      </c>
      <c r="F1215" s="2" t="s">
        <v>150</v>
      </c>
    </row>
    <row r="1216" ht="15.75" hidden="1" customHeight="1">
      <c r="A1216" s="4" t="s">
        <v>2094</v>
      </c>
      <c r="B1216" s="2" t="s">
        <v>2095</v>
      </c>
      <c r="C1216" s="2">
        <v>2521.0</v>
      </c>
      <c r="D1216" s="2">
        <v>2651.0</v>
      </c>
      <c r="E1216" s="2">
        <v>30860.0</v>
      </c>
      <c r="F1216" s="2">
        <v>8.0</v>
      </c>
    </row>
    <row r="1217" ht="15.75" customHeight="1">
      <c r="A1217" s="4" t="s">
        <v>2096</v>
      </c>
      <c r="B1217" s="2" t="s">
        <v>2097</v>
      </c>
      <c r="C1217" s="2">
        <v>788.0</v>
      </c>
      <c r="D1217" s="2">
        <v>825.0</v>
      </c>
      <c r="E1217" s="2">
        <v>24400.0</v>
      </c>
      <c r="F1217" s="2" t="s">
        <v>150</v>
      </c>
    </row>
    <row r="1218" ht="15.75" customHeight="1">
      <c r="A1218" s="4" t="s">
        <v>3983</v>
      </c>
      <c r="B1218" s="2" t="s">
        <v>3984</v>
      </c>
      <c r="C1218" s="2">
        <v>873.0</v>
      </c>
      <c r="D1218" s="2">
        <v>838.0</v>
      </c>
      <c r="E1218" s="2">
        <v>31150.0</v>
      </c>
      <c r="F1218" s="2" t="s">
        <v>150</v>
      </c>
    </row>
    <row r="1219" ht="15.75" customHeight="1">
      <c r="A1219" s="4" t="s">
        <v>3987</v>
      </c>
      <c r="B1219" s="2" t="s">
        <v>3988</v>
      </c>
      <c r="C1219" s="2">
        <v>803.0</v>
      </c>
      <c r="D1219" s="2">
        <v>816.0</v>
      </c>
      <c r="E1219" s="2">
        <v>25600.0</v>
      </c>
      <c r="F1219" s="2" t="s">
        <v>150</v>
      </c>
    </row>
    <row r="1220" ht="15.75" customHeight="1">
      <c r="A1220" s="4" t="s">
        <v>3991</v>
      </c>
      <c r="B1220" s="2" t="s">
        <v>3993</v>
      </c>
      <c r="C1220" s="2">
        <v>278.0</v>
      </c>
      <c r="D1220" s="2">
        <v>283.0</v>
      </c>
      <c r="E1220" s="2">
        <v>25470.0</v>
      </c>
      <c r="F1220" s="2" t="s">
        <v>150</v>
      </c>
    </row>
    <row r="1221" ht="15.75" customHeight="1">
      <c r="A1221" s="4" t="s">
        <v>2098</v>
      </c>
      <c r="B1221" s="2" t="s">
        <v>2099</v>
      </c>
      <c r="C1221" s="2">
        <v>705.0</v>
      </c>
      <c r="D1221" s="2">
        <v>657.0</v>
      </c>
      <c r="E1221" s="2">
        <v>24260.0</v>
      </c>
      <c r="F1221" s="2" t="s">
        <v>150</v>
      </c>
    </row>
    <row r="1222" ht="15.75" customHeight="1">
      <c r="A1222" s="4" t="s">
        <v>3997</v>
      </c>
      <c r="B1222" s="2" t="s">
        <v>3998</v>
      </c>
      <c r="C1222" s="2">
        <v>686.0</v>
      </c>
      <c r="D1222" s="2">
        <v>660.0</v>
      </c>
      <c r="E1222" s="2">
        <v>28850.0</v>
      </c>
      <c r="F1222" s="2" t="s">
        <v>150</v>
      </c>
    </row>
    <row r="1223" ht="15.75" customHeight="1">
      <c r="A1223" s="4" t="s">
        <v>4001</v>
      </c>
      <c r="B1223" s="2" t="s">
        <v>4002</v>
      </c>
      <c r="C1223" s="2">
        <v>268.0</v>
      </c>
      <c r="D1223" s="2">
        <v>283.0</v>
      </c>
      <c r="E1223" s="2">
        <v>29240.0</v>
      </c>
      <c r="F1223" s="2" t="s">
        <v>150</v>
      </c>
    </row>
    <row r="1224" ht="15.75" customHeight="1">
      <c r="A1224" s="4" t="s">
        <v>4004</v>
      </c>
      <c r="B1224" s="2" t="s">
        <v>4006</v>
      </c>
      <c r="C1224" s="2">
        <v>383.0</v>
      </c>
      <c r="D1224" s="2">
        <v>351.0</v>
      </c>
      <c r="E1224" s="2">
        <v>27080.0</v>
      </c>
      <c r="F1224" s="2" t="s">
        <v>150</v>
      </c>
    </row>
    <row r="1225" ht="15.75" customHeight="1">
      <c r="A1225" s="4" t="s">
        <v>2102</v>
      </c>
      <c r="B1225" s="2" t="s">
        <v>2104</v>
      </c>
      <c r="C1225" s="2">
        <v>936.0</v>
      </c>
      <c r="D1225" s="2">
        <v>945.0</v>
      </c>
      <c r="E1225" s="2">
        <v>23410.0</v>
      </c>
      <c r="F1225" s="2" t="s">
        <v>150</v>
      </c>
    </row>
    <row r="1226" ht="15.75" customHeight="1">
      <c r="A1226" s="4" t="s">
        <v>2106</v>
      </c>
      <c r="B1226" s="2" t="s">
        <v>2108</v>
      </c>
      <c r="C1226" s="2">
        <v>1199.0</v>
      </c>
      <c r="D1226" s="2">
        <v>1171.0</v>
      </c>
      <c r="E1226" s="2">
        <v>23220.0</v>
      </c>
      <c r="F1226" s="2" t="s">
        <v>150</v>
      </c>
    </row>
    <row r="1227" ht="15.75" customHeight="1">
      <c r="A1227" s="4" t="s">
        <v>2110</v>
      </c>
      <c r="B1227" s="2" t="s">
        <v>615</v>
      </c>
      <c r="C1227" s="2">
        <v>614.0</v>
      </c>
      <c r="D1227" s="2">
        <v>699.0</v>
      </c>
      <c r="E1227" s="2">
        <v>30090.0</v>
      </c>
      <c r="F1227" s="2" t="s">
        <v>150</v>
      </c>
    </row>
    <row r="1228" ht="15.75" hidden="1" customHeight="1">
      <c r="A1228" s="4" t="s">
        <v>2111</v>
      </c>
      <c r="B1228" s="2" t="s">
        <v>2112</v>
      </c>
      <c r="C1228" s="2">
        <v>8797.0</v>
      </c>
      <c r="D1228" s="2">
        <v>8479.0</v>
      </c>
      <c r="E1228" s="2">
        <v>21220.0</v>
      </c>
      <c r="F1228" s="2">
        <v>25.0</v>
      </c>
    </row>
    <row r="1229" ht="15.75" customHeight="1">
      <c r="A1229" s="4" t="s">
        <v>2115</v>
      </c>
      <c r="B1229" s="2" t="s">
        <v>2116</v>
      </c>
      <c r="C1229" s="2">
        <v>465.0</v>
      </c>
      <c r="D1229" s="2">
        <v>463.0</v>
      </c>
      <c r="E1229" s="2">
        <v>24750.0</v>
      </c>
      <c r="F1229" s="2" t="s">
        <v>150</v>
      </c>
    </row>
    <row r="1230" ht="15.75" hidden="1" customHeight="1">
      <c r="A1230" s="4" t="s">
        <v>2117</v>
      </c>
      <c r="B1230" s="2" t="s">
        <v>2118</v>
      </c>
      <c r="C1230" s="2">
        <v>8828.0</v>
      </c>
      <c r="D1230" s="2">
        <v>8396.0</v>
      </c>
      <c r="E1230" s="2">
        <v>24880.0</v>
      </c>
      <c r="F1230" s="2">
        <v>14.0</v>
      </c>
    </row>
    <row r="1231" ht="15.75" customHeight="1">
      <c r="A1231" s="4" t="s">
        <v>4019</v>
      </c>
      <c r="B1231" s="2" t="s">
        <v>4021</v>
      </c>
      <c r="C1231" s="2">
        <v>643.0</v>
      </c>
      <c r="D1231" s="2">
        <v>644.0</v>
      </c>
      <c r="E1231" s="2">
        <v>24150.0</v>
      </c>
      <c r="F1231" s="2" t="s">
        <v>150</v>
      </c>
    </row>
    <row r="1232" ht="15.75" customHeight="1">
      <c r="A1232" s="4" t="s">
        <v>2121</v>
      </c>
      <c r="B1232" s="2" t="s">
        <v>2122</v>
      </c>
      <c r="C1232" s="2">
        <v>548.0</v>
      </c>
      <c r="D1232" s="2">
        <v>564.0</v>
      </c>
      <c r="E1232" s="2">
        <v>30310.0</v>
      </c>
      <c r="F1232" s="2" t="s">
        <v>150</v>
      </c>
    </row>
    <row r="1233" ht="15.75" hidden="1" customHeight="1">
      <c r="A1233" s="4" t="s">
        <v>2125</v>
      </c>
      <c r="B1233" s="2" t="s">
        <v>2126</v>
      </c>
      <c r="C1233" s="2">
        <v>5372.0</v>
      </c>
      <c r="D1233" s="2">
        <v>6097.0</v>
      </c>
      <c r="E1233" s="2">
        <v>21160.0</v>
      </c>
      <c r="F1233" s="2">
        <v>25.0</v>
      </c>
    </row>
    <row r="1234" ht="15.75" customHeight="1">
      <c r="A1234" s="4" t="s">
        <v>2127</v>
      </c>
      <c r="B1234" s="2" t="s">
        <v>2128</v>
      </c>
      <c r="C1234" s="2">
        <v>686.0</v>
      </c>
      <c r="D1234" s="2">
        <v>690.0</v>
      </c>
      <c r="E1234" s="2">
        <v>26400.0</v>
      </c>
      <c r="F1234" s="2" t="s">
        <v>150</v>
      </c>
    </row>
    <row r="1235" ht="15.75" customHeight="1">
      <c r="A1235" s="4" t="s">
        <v>2129</v>
      </c>
      <c r="B1235" s="2" t="s">
        <v>2131</v>
      </c>
      <c r="C1235" s="2">
        <v>519.0</v>
      </c>
      <c r="D1235" s="2">
        <v>540.0</v>
      </c>
      <c r="E1235" s="2">
        <v>25020.0</v>
      </c>
      <c r="F1235" s="2" t="s">
        <v>150</v>
      </c>
    </row>
    <row r="1236" ht="15.75" customHeight="1">
      <c r="A1236" s="4" t="s">
        <v>2133</v>
      </c>
      <c r="B1236" s="2" t="s">
        <v>2134</v>
      </c>
      <c r="C1236" s="2">
        <v>991.0</v>
      </c>
      <c r="D1236" s="2">
        <v>1030.0</v>
      </c>
      <c r="E1236" s="2">
        <v>26060.0</v>
      </c>
      <c r="F1236" s="2" t="s">
        <v>150</v>
      </c>
    </row>
    <row r="1237" ht="15.75" hidden="1" customHeight="1">
      <c r="A1237" s="4" t="s">
        <v>2137</v>
      </c>
      <c r="B1237" s="2" t="s">
        <v>2138</v>
      </c>
      <c r="C1237" s="2">
        <v>6011.0</v>
      </c>
      <c r="D1237" s="2">
        <v>6092.0</v>
      </c>
      <c r="E1237" s="2">
        <v>19880.0</v>
      </c>
      <c r="F1237" s="2">
        <v>28.0</v>
      </c>
    </row>
    <row r="1238" ht="15.75" hidden="1" customHeight="1">
      <c r="A1238" s="4" t="s">
        <v>2194</v>
      </c>
      <c r="B1238" s="2" t="s">
        <v>2196</v>
      </c>
      <c r="C1238" s="2">
        <v>8424.0</v>
      </c>
      <c r="D1238" s="2">
        <v>8455.0</v>
      </c>
      <c r="E1238" s="2">
        <v>26590.0</v>
      </c>
      <c r="F1238" s="2">
        <v>12.0</v>
      </c>
    </row>
    <row r="1239" ht="15.75" customHeight="1">
      <c r="A1239" s="4" t="s">
        <v>2197</v>
      </c>
      <c r="B1239" s="2" t="s">
        <v>2199</v>
      </c>
      <c r="C1239" s="2">
        <v>908.0</v>
      </c>
      <c r="D1239" s="2">
        <v>1025.0</v>
      </c>
      <c r="E1239" s="2">
        <v>32820.0</v>
      </c>
      <c r="F1239" s="2" t="s">
        <v>150</v>
      </c>
    </row>
    <row r="1240" ht="15.75" hidden="1" customHeight="1">
      <c r="A1240" s="4" t="s">
        <v>2141</v>
      </c>
      <c r="B1240" s="2" t="s">
        <v>2142</v>
      </c>
      <c r="C1240" s="2">
        <v>4877.0</v>
      </c>
      <c r="D1240" s="2">
        <v>5054.0</v>
      </c>
      <c r="E1240" s="2">
        <v>23640.0</v>
      </c>
      <c r="F1240" s="2">
        <v>18.0</v>
      </c>
    </row>
    <row r="1241" ht="15.75" customHeight="1">
      <c r="A1241" s="4" t="s">
        <v>4041</v>
      </c>
      <c r="B1241" s="2" t="s">
        <v>4042</v>
      </c>
      <c r="C1241" s="2">
        <v>309.0</v>
      </c>
      <c r="D1241" s="2">
        <v>286.0</v>
      </c>
      <c r="E1241" s="2">
        <v>25580.0</v>
      </c>
      <c r="F1241" s="2" t="s">
        <v>150</v>
      </c>
    </row>
    <row r="1242" ht="15.75" hidden="1" customHeight="1">
      <c r="A1242" s="4" t="s">
        <v>2145</v>
      </c>
      <c r="B1242" s="2" t="s">
        <v>2147</v>
      </c>
      <c r="C1242" s="2">
        <v>4729.0</v>
      </c>
      <c r="D1242" s="2">
        <v>4847.0</v>
      </c>
      <c r="E1242" s="2">
        <v>30080.0</v>
      </c>
      <c r="F1242" s="2">
        <v>6.0</v>
      </c>
    </row>
    <row r="1243" ht="15.75" customHeight="1">
      <c r="A1243" s="4" t="s">
        <v>2149</v>
      </c>
      <c r="B1243" s="2" t="s">
        <v>2150</v>
      </c>
      <c r="C1243" s="2">
        <v>966.0</v>
      </c>
      <c r="D1243" s="2">
        <v>1007.0</v>
      </c>
      <c r="E1243" s="2">
        <v>26510.0</v>
      </c>
      <c r="F1243" s="2" t="s">
        <v>150</v>
      </c>
    </row>
    <row r="1244" ht="15.75" hidden="1" customHeight="1">
      <c r="A1244" s="4" t="s">
        <v>2151</v>
      </c>
      <c r="B1244" s="2" t="s">
        <v>2152</v>
      </c>
      <c r="C1244" s="2">
        <v>2203.0</v>
      </c>
      <c r="D1244" s="2">
        <v>2126.0</v>
      </c>
      <c r="E1244" s="2">
        <v>21300.0</v>
      </c>
      <c r="F1244" s="2">
        <v>26.0</v>
      </c>
    </row>
    <row r="1245" ht="15.75" customHeight="1">
      <c r="A1245" s="4" t="s">
        <v>2155</v>
      </c>
      <c r="B1245" s="2" t="s">
        <v>2156</v>
      </c>
      <c r="C1245" s="2">
        <v>770.0</v>
      </c>
      <c r="D1245" s="2">
        <v>765.0</v>
      </c>
      <c r="E1245" s="2">
        <v>23140.0</v>
      </c>
      <c r="F1245" s="2" t="s">
        <v>150</v>
      </c>
    </row>
    <row r="1246" ht="15.75" hidden="1" customHeight="1">
      <c r="A1246" s="4" t="s">
        <v>2164</v>
      </c>
      <c r="B1246" s="2" t="s">
        <v>2166</v>
      </c>
      <c r="C1246" s="2">
        <v>2884.0</v>
      </c>
      <c r="D1246" s="2">
        <v>3016.0</v>
      </c>
      <c r="E1246" s="2">
        <v>28660.0</v>
      </c>
      <c r="F1246" s="2">
        <v>7.0</v>
      </c>
    </row>
    <row r="1247" ht="15.75" hidden="1" customHeight="1">
      <c r="A1247" s="4" t="s">
        <v>2157</v>
      </c>
      <c r="B1247" s="2" t="s">
        <v>2158</v>
      </c>
      <c r="C1247" s="2">
        <v>2541.0</v>
      </c>
      <c r="D1247" s="2">
        <v>2371.0</v>
      </c>
      <c r="E1247" s="2">
        <v>23610.0</v>
      </c>
      <c r="F1247" s="2">
        <v>19.0</v>
      </c>
    </row>
    <row r="1248" ht="15.75" customHeight="1">
      <c r="A1248" s="4" t="s">
        <v>4055</v>
      </c>
      <c r="B1248" s="2" t="s">
        <v>4056</v>
      </c>
      <c r="C1248" s="2">
        <v>395.0</v>
      </c>
      <c r="D1248" s="2">
        <v>439.0</v>
      </c>
      <c r="E1248" s="2">
        <v>29150.0</v>
      </c>
      <c r="F1248" s="2" t="s">
        <v>150</v>
      </c>
    </row>
    <row r="1249" ht="15.75" customHeight="1">
      <c r="A1249" s="4" t="s">
        <v>4059</v>
      </c>
      <c r="B1249" s="2" t="s">
        <v>4060</v>
      </c>
      <c r="C1249" s="2">
        <v>390.0</v>
      </c>
      <c r="D1249" s="2">
        <v>399.0</v>
      </c>
      <c r="E1249" s="2">
        <v>28770.0</v>
      </c>
      <c r="F1249" s="2" t="s">
        <v>150</v>
      </c>
    </row>
    <row r="1250" ht="15.75" hidden="1" customHeight="1">
      <c r="A1250" s="4" t="s">
        <v>2187</v>
      </c>
      <c r="B1250" s="2" t="s">
        <v>2188</v>
      </c>
      <c r="C1250" s="2">
        <v>2130.0</v>
      </c>
      <c r="D1250" s="2">
        <v>2031.0</v>
      </c>
      <c r="E1250" s="2">
        <v>31120.0</v>
      </c>
      <c r="F1250" s="2">
        <v>5.0</v>
      </c>
    </row>
    <row r="1251" ht="15.75" hidden="1" customHeight="1">
      <c r="A1251" s="4" t="s">
        <v>2191</v>
      </c>
      <c r="B1251" s="2" t="s">
        <v>2192</v>
      </c>
      <c r="C1251" s="2">
        <v>1932.0</v>
      </c>
      <c r="D1251" s="2">
        <v>2100.0</v>
      </c>
      <c r="E1251" s="2">
        <v>28640.0</v>
      </c>
      <c r="F1251" s="2">
        <v>8.0</v>
      </c>
    </row>
    <row r="1252" ht="15.75" customHeight="1">
      <c r="A1252" s="4" t="s">
        <v>2168</v>
      </c>
      <c r="B1252" s="2" t="s">
        <v>2171</v>
      </c>
      <c r="C1252" s="2">
        <v>844.0</v>
      </c>
      <c r="D1252" s="2">
        <v>832.0</v>
      </c>
      <c r="E1252" s="2">
        <v>23780.0</v>
      </c>
      <c r="F1252" s="2" t="s">
        <v>150</v>
      </c>
    </row>
    <row r="1253" ht="15.75" customHeight="1">
      <c r="A1253" s="4" t="s">
        <v>4067</v>
      </c>
      <c r="B1253" s="2" t="s">
        <v>4068</v>
      </c>
      <c r="C1253" s="2">
        <v>314.0</v>
      </c>
      <c r="D1253" s="2">
        <v>300.0</v>
      </c>
      <c r="E1253" s="2">
        <v>30790.0</v>
      </c>
      <c r="F1253" s="2" t="s">
        <v>150</v>
      </c>
    </row>
    <row r="1254" ht="15.75" customHeight="1">
      <c r="A1254" s="4" t="s">
        <v>2173</v>
      </c>
      <c r="B1254" s="2" t="s">
        <v>2174</v>
      </c>
      <c r="C1254" s="2">
        <v>1081.0</v>
      </c>
      <c r="D1254" s="2">
        <v>1000.0</v>
      </c>
      <c r="E1254" s="2">
        <v>22980.0</v>
      </c>
      <c r="F1254" s="2" t="s">
        <v>150</v>
      </c>
    </row>
    <row r="1255" ht="15.75" hidden="1" customHeight="1">
      <c r="A1255" s="4" t="s">
        <v>2177</v>
      </c>
      <c r="B1255" s="2" t="s">
        <v>2179</v>
      </c>
      <c r="C1255" s="2">
        <v>2282.0</v>
      </c>
      <c r="D1255" s="2">
        <v>2178.0</v>
      </c>
      <c r="E1255" s="2">
        <v>23660.0</v>
      </c>
      <c r="F1255" s="2">
        <v>16.0</v>
      </c>
    </row>
    <row r="1256" ht="15.75" hidden="1" customHeight="1">
      <c r="A1256" s="4" t="s">
        <v>2181</v>
      </c>
      <c r="B1256" s="2" t="s">
        <v>2182</v>
      </c>
      <c r="C1256" s="2">
        <v>3163.0</v>
      </c>
      <c r="D1256" s="2">
        <v>3206.0</v>
      </c>
      <c r="E1256" s="2">
        <v>26610.0</v>
      </c>
      <c r="F1256" s="2">
        <v>11.0</v>
      </c>
    </row>
    <row r="1257" ht="15.75" hidden="1" customHeight="1">
      <c r="A1257" s="4" t="s">
        <v>2183</v>
      </c>
      <c r="B1257" s="2" t="s">
        <v>2184</v>
      </c>
      <c r="C1257" s="2">
        <v>4234.0</v>
      </c>
      <c r="D1257" s="2">
        <v>4428.0</v>
      </c>
      <c r="E1257" s="2">
        <v>24880.0</v>
      </c>
      <c r="F1257" s="2">
        <v>13.0</v>
      </c>
    </row>
    <row r="1258" ht="15.75" customHeight="1">
      <c r="A1258" s="4" t="s">
        <v>2205</v>
      </c>
      <c r="B1258" s="2" t="s">
        <v>2206</v>
      </c>
      <c r="C1258" s="2">
        <v>1095.0</v>
      </c>
      <c r="D1258" s="2">
        <v>1108.0</v>
      </c>
      <c r="E1258" s="2">
        <v>27470.0</v>
      </c>
      <c r="F1258" s="2" t="s">
        <v>150</v>
      </c>
    </row>
    <row r="1259" ht="15.75" hidden="1" customHeight="1">
      <c r="A1259" s="4" t="s">
        <v>2201</v>
      </c>
      <c r="B1259" s="2" t="s">
        <v>2202</v>
      </c>
      <c r="C1259" s="2">
        <v>2992.0</v>
      </c>
      <c r="D1259" s="2">
        <v>3145.0</v>
      </c>
      <c r="E1259" s="2">
        <v>24640.0</v>
      </c>
      <c r="F1259" s="2">
        <v>14.0</v>
      </c>
    </row>
    <row r="1260" ht="15.75" customHeight="1">
      <c r="A1260" s="4" t="s">
        <v>2220</v>
      </c>
      <c r="B1260" s="2" t="s">
        <v>2222</v>
      </c>
      <c r="C1260" s="2">
        <v>886.0</v>
      </c>
      <c r="D1260" s="2">
        <v>865.0</v>
      </c>
      <c r="E1260" s="2">
        <v>30340.0</v>
      </c>
      <c r="F1260" s="2" t="s">
        <v>150</v>
      </c>
    </row>
    <row r="1261" ht="15.75" hidden="1" customHeight="1">
      <c r="A1261" s="4" t="s">
        <v>1852</v>
      </c>
      <c r="B1261" s="2" t="s">
        <v>1853</v>
      </c>
      <c r="C1261" s="2">
        <v>4934.0</v>
      </c>
      <c r="D1261" s="2">
        <v>4878.0</v>
      </c>
      <c r="E1261" s="2">
        <v>22010.0</v>
      </c>
      <c r="F1261" s="2">
        <v>22.0</v>
      </c>
    </row>
    <row r="1262" ht="15.75" hidden="1" customHeight="1">
      <c r="A1262" s="4" t="s">
        <v>2209</v>
      </c>
      <c r="B1262" s="2" t="s">
        <v>2210</v>
      </c>
      <c r="C1262" s="2">
        <v>6758.0</v>
      </c>
      <c r="D1262" s="2">
        <v>6805.0</v>
      </c>
      <c r="E1262" s="2">
        <v>28410.0</v>
      </c>
      <c r="F1262" s="2">
        <v>10.0</v>
      </c>
    </row>
    <row r="1263" ht="15.75" customHeight="1">
      <c r="A1263" s="4" t="s">
        <v>4087</v>
      </c>
      <c r="B1263" s="2" t="s">
        <v>4088</v>
      </c>
      <c r="C1263" s="2">
        <v>131.0</v>
      </c>
      <c r="D1263" s="2">
        <v>135.0</v>
      </c>
      <c r="E1263" s="2">
        <v>28220.0</v>
      </c>
      <c r="F1263" s="2" t="s">
        <v>150</v>
      </c>
    </row>
    <row r="1264" ht="15.75" hidden="1" customHeight="1">
      <c r="A1264" s="4" t="s">
        <v>2213</v>
      </c>
      <c r="B1264" s="2" t="s">
        <v>2214</v>
      </c>
      <c r="C1264" s="2">
        <v>6366.0</v>
      </c>
      <c r="D1264" s="2">
        <v>5949.0</v>
      </c>
      <c r="E1264" s="2">
        <v>18600.0</v>
      </c>
      <c r="F1264" s="2">
        <v>33.0</v>
      </c>
    </row>
    <row r="1265" ht="15.75" customHeight="1">
      <c r="A1265" s="4" t="s">
        <v>2217</v>
      </c>
      <c r="B1265" s="2" t="s">
        <v>2218</v>
      </c>
      <c r="C1265" s="2">
        <v>1783.0</v>
      </c>
      <c r="D1265" s="2">
        <v>1803.0</v>
      </c>
      <c r="E1265" s="2">
        <v>22850.0</v>
      </c>
      <c r="F1265" s="2" t="s">
        <v>150</v>
      </c>
    </row>
    <row r="1266" ht="15.75" hidden="1" customHeight="1">
      <c r="A1266" s="4" t="s">
        <v>2301</v>
      </c>
      <c r="B1266" s="2" t="s">
        <v>2302</v>
      </c>
      <c r="C1266" s="2">
        <v>2740.0</v>
      </c>
      <c r="D1266" s="2">
        <v>2672.0</v>
      </c>
      <c r="E1266" s="2">
        <v>24680.0</v>
      </c>
      <c r="F1266" s="2">
        <v>12.0</v>
      </c>
    </row>
    <row r="1267" ht="15.75" customHeight="1">
      <c r="A1267" s="4" t="s">
        <v>2223</v>
      </c>
      <c r="B1267" s="2" t="s">
        <v>2225</v>
      </c>
      <c r="C1267" s="2">
        <v>1406.0</v>
      </c>
      <c r="D1267" s="2">
        <v>1410.0</v>
      </c>
      <c r="E1267" s="2">
        <v>35850.0</v>
      </c>
      <c r="F1267" s="2" t="s">
        <v>150</v>
      </c>
    </row>
    <row r="1268" ht="15.75" hidden="1" customHeight="1">
      <c r="A1268" s="4" t="s">
        <v>2227</v>
      </c>
      <c r="B1268" s="2" t="s">
        <v>2228</v>
      </c>
      <c r="C1268" s="2">
        <v>2238.0</v>
      </c>
      <c r="D1268" s="2">
        <v>2127.0</v>
      </c>
      <c r="E1268" s="2">
        <v>25480.0</v>
      </c>
      <c r="F1268" s="2">
        <v>13.0</v>
      </c>
    </row>
    <row r="1269" ht="15.75" hidden="1" customHeight="1">
      <c r="A1269" s="4" t="s">
        <v>2231</v>
      </c>
      <c r="B1269" s="2" t="s">
        <v>2232</v>
      </c>
      <c r="C1269" s="2">
        <v>4002.0</v>
      </c>
      <c r="D1269" s="2">
        <v>4000.0</v>
      </c>
      <c r="E1269" s="2">
        <v>27120.0</v>
      </c>
      <c r="F1269" s="2">
        <v>12.0</v>
      </c>
    </row>
    <row r="1270" ht="15.75" customHeight="1">
      <c r="A1270" s="4" t="s">
        <v>4101</v>
      </c>
      <c r="B1270" s="2" t="s">
        <v>4102</v>
      </c>
      <c r="C1270" s="2">
        <v>182.0</v>
      </c>
      <c r="D1270" s="2">
        <v>197.0</v>
      </c>
      <c r="E1270" s="2">
        <v>24330.0</v>
      </c>
      <c r="F1270" s="2" t="s">
        <v>150</v>
      </c>
    </row>
    <row r="1271" ht="15.75" hidden="1" customHeight="1">
      <c r="A1271" s="4" t="s">
        <v>2235</v>
      </c>
      <c r="B1271" s="2" t="s">
        <v>2236</v>
      </c>
      <c r="C1271" s="2">
        <v>12587.0</v>
      </c>
      <c r="D1271" s="2">
        <v>12199.0</v>
      </c>
      <c r="E1271" s="2">
        <v>20000.0</v>
      </c>
      <c r="F1271" s="2">
        <v>30.0</v>
      </c>
    </row>
    <row r="1272" ht="15.75" customHeight="1">
      <c r="A1272" s="4" t="s">
        <v>2237</v>
      </c>
      <c r="B1272" s="2" t="s">
        <v>2238</v>
      </c>
      <c r="C1272" s="2">
        <v>600.0</v>
      </c>
      <c r="D1272" s="2">
        <v>579.0</v>
      </c>
      <c r="E1272" s="2">
        <v>24530.0</v>
      </c>
      <c r="F1272" s="2" t="s">
        <v>150</v>
      </c>
    </row>
    <row r="1273" ht="15.75" customHeight="1">
      <c r="A1273" s="4" t="s">
        <v>4115</v>
      </c>
      <c r="B1273" s="2" t="s">
        <v>4116</v>
      </c>
      <c r="C1273" s="2">
        <v>228.0</v>
      </c>
      <c r="D1273" s="2">
        <v>220.0</v>
      </c>
      <c r="E1273" s="2">
        <v>23240.0</v>
      </c>
      <c r="F1273" s="2" t="s">
        <v>150</v>
      </c>
    </row>
    <row r="1274" ht="15.75" customHeight="1">
      <c r="A1274" s="4" t="s">
        <v>4119</v>
      </c>
      <c r="B1274" s="2" t="s">
        <v>4120</v>
      </c>
      <c r="C1274" s="2">
        <v>173.0</v>
      </c>
      <c r="D1274" s="2">
        <v>150.0</v>
      </c>
      <c r="E1274" s="2">
        <v>23480.0</v>
      </c>
      <c r="F1274" s="2" t="s">
        <v>150</v>
      </c>
    </row>
    <row r="1275" ht="15.75" hidden="1" customHeight="1">
      <c r="A1275" s="4" t="s">
        <v>2241</v>
      </c>
      <c r="B1275" s="2" t="s">
        <v>2242</v>
      </c>
      <c r="C1275" s="2">
        <v>2413.0</v>
      </c>
      <c r="D1275" s="2">
        <v>2338.0</v>
      </c>
      <c r="E1275" s="2">
        <v>20830.0</v>
      </c>
      <c r="F1275" s="2">
        <v>26.0</v>
      </c>
    </row>
    <row r="1276" ht="15.75" customHeight="1">
      <c r="A1276" s="4" t="s">
        <v>4125</v>
      </c>
      <c r="B1276" s="2" t="s">
        <v>4126</v>
      </c>
      <c r="C1276" s="2">
        <v>261.0</v>
      </c>
      <c r="D1276" s="2">
        <v>241.0</v>
      </c>
      <c r="E1276" s="2">
        <v>23650.0</v>
      </c>
      <c r="F1276" s="2" t="s">
        <v>150</v>
      </c>
    </row>
    <row r="1277" ht="15.75" hidden="1" customHeight="1">
      <c r="A1277" s="4" t="s">
        <v>2244</v>
      </c>
      <c r="B1277" s="2" t="s">
        <v>2246</v>
      </c>
      <c r="C1277" s="2">
        <v>2080.0</v>
      </c>
      <c r="D1277" s="2">
        <v>2113.0</v>
      </c>
      <c r="E1277" s="2">
        <v>25320.0</v>
      </c>
      <c r="F1277" s="2">
        <v>10.0</v>
      </c>
    </row>
    <row r="1278" ht="15.75" customHeight="1">
      <c r="A1278" s="4" t="s">
        <v>4131</v>
      </c>
      <c r="B1278" s="2" t="s">
        <v>4132</v>
      </c>
      <c r="C1278" s="2">
        <v>363.0</v>
      </c>
      <c r="D1278" s="2">
        <v>337.0</v>
      </c>
      <c r="E1278" s="2">
        <v>23700.0</v>
      </c>
      <c r="F1278" s="2" t="s">
        <v>150</v>
      </c>
    </row>
    <row r="1279" ht="15.75" customHeight="1">
      <c r="A1279" s="4" t="s">
        <v>2247</v>
      </c>
      <c r="B1279" s="2" t="s">
        <v>2248</v>
      </c>
      <c r="C1279" s="2">
        <v>2001.0</v>
      </c>
      <c r="D1279" s="2">
        <v>1976.0</v>
      </c>
      <c r="E1279" s="2">
        <v>25580.0</v>
      </c>
      <c r="F1279" s="2" t="s">
        <v>150</v>
      </c>
    </row>
    <row r="1280" ht="15.75" customHeight="1">
      <c r="A1280" s="4" t="s">
        <v>2249</v>
      </c>
      <c r="B1280" s="2" t="s">
        <v>2250</v>
      </c>
      <c r="C1280" s="2">
        <v>373.0</v>
      </c>
      <c r="D1280" s="2">
        <v>380.0</v>
      </c>
      <c r="E1280" s="2">
        <v>25510.0</v>
      </c>
      <c r="F1280" s="2" t="s">
        <v>150</v>
      </c>
    </row>
    <row r="1281" ht="15.75" customHeight="1">
      <c r="A1281" s="4" t="s">
        <v>2251</v>
      </c>
      <c r="B1281" s="2" t="s">
        <v>2252</v>
      </c>
      <c r="C1281" s="2">
        <v>1327.0</v>
      </c>
      <c r="D1281" s="2">
        <v>1261.0</v>
      </c>
      <c r="E1281" s="2">
        <v>25240.0</v>
      </c>
      <c r="F1281" s="2" t="s">
        <v>150</v>
      </c>
    </row>
    <row r="1282" ht="15.75" customHeight="1">
      <c r="A1282" s="4" t="s">
        <v>2255</v>
      </c>
      <c r="B1282" s="2" t="s">
        <v>2256</v>
      </c>
      <c r="C1282" s="2">
        <v>1445.0</v>
      </c>
      <c r="D1282" s="2">
        <v>1425.0</v>
      </c>
      <c r="E1282" s="2">
        <v>23980.0</v>
      </c>
      <c r="F1282" s="2" t="s">
        <v>150</v>
      </c>
    </row>
    <row r="1283" ht="15.75" customHeight="1">
      <c r="A1283" s="4" t="s">
        <v>4143</v>
      </c>
      <c r="B1283" s="2" t="s">
        <v>4144</v>
      </c>
      <c r="C1283" s="2">
        <v>184.0</v>
      </c>
      <c r="D1283" s="2">
        <v>201.0</v>
      </c>
      <c r="E1283" s="2">
        <v>25230.0</v>
      </c>
      <c r="F1283" s="2" t="s">
        <v>150</v>
      </c>
    </row>
    <row r="1284" ht="15.75" hidden="1" customHeight="1">
      <c r="A1284" s="4" t="s">
        <v>2305</v>
      </c>
      <c r="B1284" s="2" t="s">
        <v>2306</v>
      </c>
      <c r="C1284" s="2">
        <v>3830.0</v>
      </c>
      <c r="D1284" s="2">
        <v>3743.0</v>
      </c>
      <c r="E1284" s="2">
        <v>21690.0</v>
      </c>
      <c r="F1284" s="2">
        <v>22.0</v>
      </c>
    </row>
    <row r="1285" ht="15.75" customHeight="1">
      <c r="A1285" s="4" t="s">
        <v>2258</v>
      </c>
      <c r="B1285" s="2" t="s">
        <v>2260</v>
      </c>
      <c r="C1285" s="2">
        <v>760.0</v>
      </c>
      <c r="D1285" s="2">
        <v>741.0</v>
      </c>
      <c r="E1285" s="2">
        <v>29910.0</v>
      </c>
      <c r="F1285" s="2" t="s">
        <v>150</v>
      </c>
    </row>
    <row r="1286" ht="15.75" customHeight="1">
      <c r="A1286" s="4" t="s">
        <v>2263</v>
      </c>
      <c r="B1286" s="2" t="s">
        <v>2264</v>
      </c>
      <c r="C1286" s="2">
        <v>450.0</v>
      </c>
      <c r="D1286" s="2">
        <v>471.0</v>
      </c>
      <c r="E1286" s="2">
        <v>26410.0</v>
      </c>
      <c r="F1286" s="2" t="s">
        <v>150</v>
      </c>
    </row>
    <row r="1287" ht="15.75" hidden="1" customHeight="1">
      <c r="A1287" s="4" t="s">
        <v>2265</v>
      </c>
      <c r="B1287" s="2" t="s">
        <v>2266</v>
      </c>
      <c r="C1287" s="2">
        <v>19220.0</v>
      </c>
      <c r="D1287" s="2">
        <v>19787.0</v>
      </c>
      <c r="E1287" s="2">
        <v>24210.0</v>
      </c>
      <c r="F1287" s="2">
        <v>21.0</v>
      </c>
    </row>
    <row r="1288" ht="15.75" hidden="1" customHeight="1">
      <c r="A1288" s="4" t="s">
        <v>2269</v>
      </c>
      <c r="B1288" s="2" t="s">
        <v>2270</v>
      </c>
      <c r="C1288" s="2">
        <v>13388.0</v>
      </c>
      <c r="D1288" s="2">
        <v>14075.0</v>
      </c>
      <c r="E1288" s="2">
        <v>27760.0</v>
      </c>
      <c r="F1288" s="2">
        <v>10.0</v>
      </c>
    </row>
    <row r="1289" ht="15.75" hidden="1" customHeight="1">
      <c r="A1289" s="4" t="s">
        <v>2273</v>
      </c>
      <c r="B1289" s="2" t="s">
        <v>2274</v>
      </c>
      <c r="C1289" s="2">
        <v>6141.0</v>
      </c>
      <c r="D1289" s="2">
        <v>5956.0</v>
      </c>
      <c r="E1289" s="2">
        <v>23390.0</v>
      </c>
      <c r="F1289" s="2">
        <v>17.0</v>
      </c>
    </row>
    <row r="1290" ht="15.75" hidden="1" customHeight="1">
      <c r="A1290" s="4" t="s">
        <v>2277</v>
      </c>
      <c r="B1290" s="2" t="s">
        <v>2278</v>
      </c>
      <c r="C1290" s="2">
        <v>1911.0</v>
      </c>
      <c r="D1290" s="2">
        <v>2022.0</v>
      </c>
      <c r="E1290" s="2">
        <v>30140.0</v>
      </c>
      <c r="F1290" s="2">
        <v>5.0</v>
      </c>
    </row>
    <row r="1291" ht="15.75" hidden="1" customHeight="1">
      <c r="A1291" s="4" t="s">
        <v>2280</v>
      </c>
      <c r="B1291" s="2" t="s">
        <v>2282</v>
      </c>
      <c r="C1291" s="2">
        <v>96990.0</v>
      </c>
      <c r="D1291" s="2">
        <v>98286.0</v>
      </c>
      <c r="E1291" s="2">
        <v>16080.0</v>
      </c>
      <c r="F1291" s="2">
        <v>47.4</v>
      </c>
    </row>
    <row r="1292" ht="15.75" customHeight="1">
      <c r="A1292" s="4" t="s">
        <v>4161</v>
      </c>
      <c r="B1292" s="2" t="s">
        <v>4163</v>
      </c>
      <c r="C1292" s="2">
        <v>454.0</v>
      </c>
      <c r="D1292" s="2">
        <v>456.0</v>
      </c>
      <c r="E1292" s="2">
        <v>28660.0</v>
      </c>
      <c r="F1292" s="2" t="s">
        <v>150</v>
      </c>
    </row>
    <row r="1293" ht="15.75" hidden="1" customHeight="1">
      <c r="A1293" s="4" t="s">
        <v>2283</v>
      </c>
      <c r="B1293" s="2" t="s">
        <v>2284</v>
      </c>
      <c r="C1293" s="2">
        <v>4016.0</v>
      </c>
      <c r="D1293" s="2">
        <v>3980.0</v>
      </c>
      <c r="E1293" s="2">
        <v>24000.0</v>
      </c>
      <c r="F1293" s="2">
        <v>18.0</v>
      </c>
    </row>
    <row r="1294" ht="15.75" customHeight="1">
      <c r="A1294" s="4" t="s">
        <v>2285</v>
      </c>
      <c r="B1294" s="2" t="s">
        <v>2287</v>
      </c>
      <c r="C1294" s="2">
        <v>655.0</v>
      </c>
      <c r="D1294" s="2">
        <v>655.0</v>
      </c>
      <c r="E1294" s="2">
        <v>23960.0</v>
      </c>
      <c r="F1294" s="2" t="s">
        <v>150</v>
      </c>
    </row>
    <row r="1295" ht="15.75" customHeight="1">
      <c r="A1295" s="4" t="s">
        <v>2289</v>
      </c>
      <c r="B1295" s="2" t="s">
        <v>2290</v>
      </c>
      <c r="C1295" s="2">
        <v>939.0</v>
      </c>
      <c r="D1295" s="2">
        <v>899.0</v>
      </c>
      <c r="E1295" s="2">
        <v>25670.0</v>
      </c>
      <c r="F1295" s="2" t="s">
        <v>150</v>
      </c>
    </row>
    <row r="1296" ht="15.75" customHeight="1">
      <c r="A1296" s="4" t="s">
        <v>1868</v>
      </c>
      <c r="B1296" s="2" t="s">
        <v>1869</v>
      </c>
      <c r="C1296" s="2">
        <v>801.0</v>
      </c>
      <c r="D1296" s="2">
        <v>737.0</v>
      </c>
      <c r="E1296" s="2">
        <v>26140.0</v>
      </c>
      <c r="F1296" s="2" t="s">
        <v>150</v>
      </c>
    </row>
    <row r="1297" ht="15.75" customHeight="1">
      <c r="A1297" s="4" t="s">
        <v>2293</v>
      </c>
      <c r="B1297" s="2" t="s">
        <v>2294</v>
      </c>
      <c r="C1297" s="2">
        <v>450.0</v>
      </c>
      <c r="D1297" s="2">
        <v>448.0</v>
      </c>
      <c r="E1297" s="2">
        <v>26910.0</v>
      </c>
      <c r="F1297" s="2" t="s">
        <v>150</v>
      </c>
    </row>
    <row r="1298" ht="15.75" customHeight="1">
      <c r="A1298" s="4" t="s">
        <v>2295</v>
      </c>
      <c r="B1298" s="2" t="s">
        <v>2297</v>
      </c>
      <c r="C1298" s="2">
        <v>1797.0</v>
      </c>
      <c r="D1298" s="2">
        <v>1722.0</v>
      </c>
      <c r="E1298" s="2">
        <v>29330.0</v>
      </c>
      <c r="F1298" s="2" t="s">
        <v>150</v>
      </c>
    </row>
    <row r="1299" ht="15.75" customHeight="1">
      <c r="A1299" s="4" t="s">
        <v>2299</v>
      </c>
      <c r="B1299" s="2" t="s">
        <v>2300</v>
      </c>
      <c r="C1299" s="2">
        <v>1453.0</v>
      </c>
      <c r="D1299" s="2">
        <v>1431.0</v>
      </c>
      <c r="E1299" s="2">
        <v>24190.0</v>
      </c>
      <c r="F1299" s="2" t="s">
        <v>150</v>
      </c>
    </row>
    <row r="1300" ht="15.75" customHeight="1">
      <c r="A1300" s="4" t="s">
        <v>2309</v>
      </c>
      <c r="B1300" s="2" t="s">
        <v>2310</v>
      </c>
      <c r="C1300" s="2">
        <v>471.0</v>
      </c>
      <c r="D1300" s="2">
        <v>409.0</v>
      </c>
      <c r="E1300" s="2">
        <v>25370.0</v>
      </c>
      <c r="F1300" s="2" t="s">
        <v>150</v>
      </c>
    </row>
    <row r="1301" ht="15.75" customHeight="1">
      <c r="A1301" s="4" t="s">
        <v>2312</v>
      </c>
      <c r="B1301" s="2" t="s">
        <v>2314</v>
      </c>
      <c r="C1301" s="2">
        <v>1849.0</v>
      </c>
      <c r="D1301" s="2">
        <v>1923.0</v>
      </c>
      <c r="E1301" s="2">
        <v>34480.0</v>
      </c>
      <c r="F1301" s="2" t="s">
        <v>150</v>
      </c>
    </row>
    <row r="1302" ht="15.75" hidden="1" customHeight="1">
      <c r="A1302" s="4" t="s">
        <v>2316</v>
      </c>
      <c r="B1302" s="2" t="s">
        <v>2318</v>
      </c>
      <c r="C1302" s="2">
        <v>2760.0</v>
      </c>
      <c r="D1302" s="2">
        <v>2840.0</v>
      </c>
      <c r="E1302" s="2">
        <v>35020.0</v>
      </c>
      <c r="F1302" s="2">
        <v>6.0</v>
      </c>
    </row>
    <row r="1303" ht="15.75" hidden="1" customHeight="1">
      <c r="A1303" s="4" t="s">
        <v>2319</v>
      </c>
      <c r="B1303" s="2" t="s">
        <v>2320</v>
      </c>
      <c r="C1303" s="2">
        <v>5586.0</v>
      </c>
      <c r="D1303" s="2">
        <v>5638.0</v>
      </c>
      <c r="E1303" s="2">
        <v>27820.0</v>
      </c>
      <c r="F1303" s="2">
        <v>8.0</v>
      </c>
    </row>
    <row r="1304" ht="15.75" hidden="1" customHeight="1">
      <c r="A1304" s="4" t="s">
        <v>2321</v>
      </c>
      <c r="B1304" s="2" t="s">
        <v>2322</v>
      </c>
      <c r="C1304" s="2">
        <v>2892.0</v>
      </c>
      <c r="D1304" s="2">
        <v>2755.0</v>
      </c>
      <c r="E1304" s="2">
        <v>20660.0</v>
      </c>
      <c r="F1304" s="2">
        <v>29.0</v>
      </c>
    </row>
    <row r="1305" ht="15.75" hidden="1" customHeight="1">
      <c r="A1305" s="4" t="s">
        <v>2325</v>
      </c>
      <c r="B1305" s="2" t="s">
        <v>2326</v>
      </c>
      <c r="C1305" s="2">
        <v>15889.0</v>
      </c>
      <c r="D1305" s="2">
        <v>15974.0</v>
      </c>
      <c r="E1305" s="2">
        <v>23310.0</v>
      </c>
      <c r="F1305" s="2">
        <v>19.0</v>
      </c>
    </row>
    <row r="1306" ht="15.75" hidden="1" customHeight="1">
      <c r="A1306" s="4" t="s">
        <v>2327</v>
      </c>
      <c r="B1306" s="2" t="s">
        <v>2328</v>
      </c>
      <c r="C1306" s="2">
        <v>12608.0</v>
      </c>
      <c r="D1306" s="2">
        <v>13233.0</v>
      </c>
      <c r="E1306" s="2">
        <v>27780.0</v>
      </c>
      <c r="F1306" s="2">
        <v>12.0</v>
      </c>
    </row>
    <row r="1307" ht="15.75" customHeight="1">
      <c r="A1307" s="4" t="s">
        <v>2330</v>
      </c>
      <c r="B1307" s="2" t="s">
        <v>2332</v>
      </c>
      <c r="C1307" s="2">
        <v>1570.0</v>
      </c>
      <c r="D1307" s="2">
        <v>1570.0</v>
      </c>
      <c r="E1307" s="2">
        <v>23480.0</v>
      </c>
      <c r="F1307" s="2" t="s">
        <v>150</v>
      </c>
    </row>
    <row r="1308" ht="15.75" customHeight="1">
      <c r="A1308" s="4" t="s">
        <v>4193</v>
      </c>
      <c r="B1308" s="2" t="s">
        <v>2508</v>
      </c>
      <c r="C1308" s="2">
        <v>363.0</v>
      </c>
      <c r="D1308" s="2">
        <v>328.0</v>
      </c>
      <c r="E1308" s="2">
        <v>28310.0</v>
      </c>
      <c r="F1308" s="2" t="s">
        <v>150</v>
      </c>
    </row>
    <row r="1309" ht="15.75" customHeight="1">
      <c r="A1309" s="4" t="s">
        <v>4196</v>
      </c>
      <c r="B1309" s="2" t="s">
        <v>4197</v>
      </c>
      <c r="C1309" s="2">
        <v>379.0</v>
      </c>
      <c r="D1309" s="2">
        <v>328.0</v>
      </c>
      <c r="E1309" s="2">
        <v>27440.0</v>
      </c>
      <c r="F1309" s="2" t="s">
        <v>150</v>
      </c>
    </row>
    <row r="1310" ht="15.75" customHeight="1">
      <c r="A1310" s="4" t="s">
        <v>2333</v>
      </c>
      <c r="B1310" s="2" t="s">
        <v>2335</v>
      </c>
      <c r="C1310" s="2">
        <v>340.0</v>
      </c>
      <c r="D1310" s="2">
        <v>343.0</v>
      </c>
      <c r="E1310" s="2">
        <v>22540.0</v>
      </c>
      <c r="F1310" s="2" t="s">
        <v>150</v>
      </c>
    </row>
    <row r="1311" ht="15.75" customHeight="1">
      <c r="A1311" s="4" t="s">
        <v>4202</v>
      </c>
      <c r="B1311" s="2" t="s">
        <v>4203</v>
      </c>
      <c r="C1311" s="2">
        <v>307.0</v>
      </c>
      <c r="D1311" s="2">
        <v>287.0</v>
      </c>
      <c r="E1311" s="2">
        <v>24570.0</v>
      </c>
      <c r="F1311" s="2" t="s">
        <v>150</v>
      </c>
    </row>
    <row r="1312" ht="15.75" customHeight="1">
      <c r="A1312" s="4" t="s">
        <v>2338</v>
      </c>
      <c r="B1312" s="2" t="s">
        <v>2340</v>
      </c>
      <c r="C1312" s="2">
        <v>1602.0</v>
      </c>
      <c r="D1312" s="2">
        <v>1558.0</v>
      </c>
      <c r="E1312" s="2">
        <v>23280.0</v>
      </c>
      <c r="F1312" s="2" t="s">
        <v>150</v>
      </c>
    </row>
    <row r="1313" ht="15.75" customHeight="1">
      <c r="A1313" s="4" t="s">
        <v>2343</v>
      </c>
      <c r="B1313" s="2" t="s">
        <v>2344</v>
      </c>
      <c r="C1313" s="2">
        <v>823.0</v>
      </c>
      <c r="D1313" s="2">
        <v>733.0</v>
      </c>
      <c r="E1313" s="2">
        <v>24430.0</v>
      </c>
      <c r="F1313" s="2" t="s">
        <v>150</v>
      </c>
    </row>
    <row r="1314" ht="15.75" customHeight="1">
      <c r="A1314" s="4" t="s">
        <v>2347</v>
      </c>
      <c r="B1314" s="2" t="s">
        <v>2348</v>
      </c>
      <c r="C1314" s="2">
        <v>1722.0</v>
      </c>
      <c r="D1314" s="2">
        <v>1598.0</v>
      </c>
      <c r="E1314" s="2">
        <v>28980.0</v>
      </c>
      <c r="F1314" s="2" t="s">
        <v>150</v>
      </c>
    </row>
    <row r="1315" ht="15.75" customHeight="1">
      <c r="A1315" s="4" t="s">
        <v>2387</v>
      </c>
      <c r="B1315" s="2" t="s">
        <v>2388</v>
      </c>
      <c r="C1315" s="2">
        <v>877.0</v>
      </c>
      <c r="D1315" s="2">
        <v>825.0</v>
      </c>
      <c r="E1315" s="2">
        <v>29600.0</v>
      </c>
      <c r="F1315" s="2" t="s">
        <v>150</v>
      </c>
    </row>
    <row r="1316" ht="15.75" customHeight="1">
      <c r="A1316" s="4" t="s">
        <v>2351</v>
      </c>
      <c r="B1316" s="2" t="s">
        <v>2352</v>
      </c>
      <c r="C1316" s="2">
        <v>515.0</v>
      </c>
      <c r="D1316" s="2">
        <v>483.0</v>
      </c>
      <c r="E1316" s="2">
        <v>28350.0</v>
      </c>
      <c r="F1316" s="2" t="s">
        <v>150</v>
      </c>
    </row>
    <row r="1317" ht="15.75" customHeight="1">
      <c r="A1317" s="4" t="s">
        <v>4214</v>
      </c>
      <c r="B1317" s="2" t="s">
        <v>4216</v>
      </c>
      <c r="C1317" s="2">
        <v>462.0</v>
      </c>
      <c r="D1317" s="2">
        <v>410.0</v>
      </c>
      <c r="E1317" s="2">
        <v>22670.0</v>
      </c>
      <c r="F1317" s="2" t="s">
        <v>150</v>
      </c>
    </row>
    <row r="1318" ht="15.75" customHeight="1">
      <c r="A1318" s="4" t="s">
        <v>2354</v>
      </c>
      <c r="B1318" s="2" t="s">
        <v>2356</v>
      </c>
      <c r="C1318" s="2">
        <v>995.0</v>
      </c>
      <c r="D1318" s="2">
        <v>989.0</v>
      </c>
      <c r="E1318" s="2">
        <v>26180.0</v>
      </c>
      <c r="F1318" s="2" t="s">
        <v>150</v>
      </c>
    </row>
    <row r="1319" ht="15.75" customHeight="1">
      <c r="A1319" s="4" t="s">
        <v>2358</v>
      </c>
      <c r="B1319" s="2" t="s">
        <v>2360</v>
      </c>
      <c r="C1319" s="2">
        <v>1016.0</v>
      </c>
      <c r="D1319" s="2">
        <v>978.0</v>
      </c>
      <c r="E1319" s="2">
        <v>23020.0</v>
      </c>
      <c r="F1319" s="2" t="s">
        <v>150</v>
      </c>
    </row>
    <row r="1320" ht="15.75" customHeight="1">
      <c r="A1320" s="4" t="s">
        <v>2362</v>
      </c>
      <c r="B1320" s="2" t="s">
        <v>2363</v>
      </c>
      <c r="C1320" s="2">
        <v>510.0</v>
      </c>
      <c r="D1320" s="2">
        <v>469.0</v>
      </c>
      <c r="E1320" s="2">
        <v>25140.0</v>
      </c>
      <c r="F1320" s="2" t="s">
        <v>150</v>
      </c>
    </row>
    <row r="1321" ht="15.75" customHeight="1">
      <c r="A1321" s="4" t="s">
        <v>2365</v>
      </c>
      <c r="B1321" s="2" t="s">
        <v>2366</v>
      </c>
      <c r="C1321" s="2">
        <v>1115.0</v>
      </c>
      <c r="D1321" s="2">
        <v>1054.0</v>
      </c>
      <c r="E1321" s="2">
        <v>25190.0</v>
      </c>
      <c r="F1321" s="2" t="s">
        <v>150</v>
      </c>
    </row>
    <row r="1322" ht="15.75" hidden="1" customHeight="1">
      <c r="A1322" s="4" t="s">
        <v>2369</v>
      </c>
      <c r="B1322" s="2" t="s">
        <v>2370</v>
      </c>
      <c r="C1322" s="2">
        <v>11207.0</v>
      </c>
      <c r="D1322" s="2">
        <v>10947.0</v>
      </c>
      <c r="E1322" s="2">
        <v>24410.0</v>
      </c>
      <c r="F1322" s="2">
        <v>19.0</v>
      </c>
    </row>
    <row r="1323" ht="15.75" customHeight="1">
      <c r="A1323" s="4" t="s">
        <v>2371</v>
      </c>
      <c r="B1323" s="2" t="s">
        <v>2372</v>
      </c>
      <c r="C1323" s="2">
        <v>1230.0</v>
      </c>
      <c r="D1323" s="2">
        <v>1191.0</v>
      </c>
      <c r="E1323" s="2">
        <v>21610.0</v>
      </c>
      <c r="F1323" s="2" t="s">
        <v>150</v>
      </c>
    </row>
    <row r="1324" ht="15.75" customHeight="1">
      <c r="A1324" s="4" t="s">
        <v>2375</v>
      </c>
      <c r="B1324" s="2" t="s">
        <v>2376</v>
      </c>
      <c r="C1324" s="2">
        <v>1180.0</v>
      </c>
      <c r="D1324" s="2">
        <v>1144.0</v>
      </c>
      <c r="E1324" s="2">
        <v>26310.0</v>
      </c>
      <c r="F1324" s="2" t="s">
        <v>150</v>
      </c>
    </row>
    <row r="1325" ht="15.75" customHeight="1">
      <c r="A1325" s="4" t="s">
        <v>2379</v>
      </c>
      <c r="B1325" s="2" t="s">
        <v>2380</v>
      </c>
      <c r="C1325" s="2">
        <v>888.0</v>
      </c>
      <c r="D1325" s="2">
        <v>871.0</v>
      </c>
      <c r="E1325" s="2">
        <v>23970.0</v>
      </c>
      <c r="F1325" s="2" t="s">
        <v>150</v>
      </c>
    </row>
    <row r="1326" ht="15.75" customHeight="1">
      <c r="A1326" s="4" t="s">
        <v>2383</v>
      </c>
      <c r="B1326" s="2" t="s">
        <v>2384</v>
      </c>
      <c r="C1326" s="2">
        <v>636.0</v>
      </c>
      <c r="D1326" s="2">
        <v>686.0</v>
      </c>
      <c r="E1326" s="2">
        <v>27020.0</v>
      </c>
      <c r="F1326" s="2" t="s">
        <v>150</v>
      </c>
    </row>
    <row r="1327" ht="15.75" customHeight="1">
      <c r="A1327" s="4" t="s">
        <v>4232</v>
      </c>
      <c r="B1327" s="2" t="s">
        <v>4235</v>
      </c>
      <c r="C1327" s="2">
        <v>303.0</v>
      </c>
      <c r="D1327" s="2">
        <v>327.0</v>
      </c>
      <c r="E1327" s="2">
        <v>25150.0</v>
      </c>
      <c r="F1327" s="2" t="s">
        <v>150</v>
      </c>
    </row>
    <row r="1328" ht="15.75" hidden="1" customHeight="1">
      <c r="A1328" s="4" t="s">
        <v>2391</v>
      </c>
      <c r="B1328" s="2" t="s">
        <v>2392</v>
      </c>
      <c r="C1328" s="2">
        <v>2969.0</v>
      </c>
      <c r="D1328" s="2">
        <v>3182.0</v>
      </c>
      <c r="E1328" s="2">
        <v>25180.0</v>
      </c>
      <c r="F1328" s="2">
        <v>13.0</v>
      </c>
    </row>
    <row r="1329" ht="15.75" customHeight="1">
      <c r="A1329" s="4" t="s">
        <v>2393</v>
      </c>
      <c r="B1329" s="2" t="s">
        <v>2394</v>
      </c>
      <c r="C1329" s="2">
        <v>1672.0</v>
      </c>
      <c r="D1329" s="2">
        <v>1704.0</v>
      </c>
      <c r="E1329" s="2">
        <v>31330.0</v>
      </c>
      <c r="F1329" s="2" t="s">
        <v>150</v>
      </c>
    </row>
    <row r="1330" ht="15.75" customHeight="1">
      <c r="A1330" s="4" t="s">
        <v>4240</v>
      </c>
      <c r="B1330" s="2" t="s">
        <v>4241</v>
      </c>
      <c r="C1330" s="2">
        <v>197.0</v>
      </c>
      <c r="D1330" s="2">
        <v>190.0</v>
      </c>
      <c r="E1330" s="2">
        <v>24580.0</v>
      </c>
      <c r="F1330" s="2" t="s">
        <v>150</v>
      </c>
    </row>
    <row r="1331" ht="15.75" hidden="1" customHeight="1">
      <c r="A1331" s="4" t="s">
        <v>2395</v>
      </c>
      <c r="B1331" s="2" t="s">
        <v>2396</v>
      </c>
      <c r="C1331" s="2">
        <v>5724.0</v>
      </c>
      <c r="D1331" s="2">
        <v>5652.0</v>
      </c>
      <c r="E1331" s="2">
        <v>29810.0</v>
      </c>
      <c r="F1331" s="2">
        <v>6.0</v>
      </c>
    </row>
    <row r="1332" ht="15.75" customHeight="1">
      <c r="A1332" s="4" t="s">
        <v>2403</v>
      </c>
      <c r="B1332" s="2" t="s">
        <v>2404</v>
      </c>
      <c r="C1332" s="2">
        <v>588.0</v>
      </c>
      <c r="D1332" s="2">
        <v>620.0</v>
      </c>
      <c r="E1332" s="2">
        <v>31780.0</v>
      </c>
      <c r="F1332" s="2" t="s">
        <v>150</v>
      </c>
    </row>
    <row r="1333" ht="15.75" customHeight="1">
      <c r="A1333" s="4" t="s">
        <v>2399</v>
      </c>
      <c r="B1333" s="2" t="s">
        <v>2400</v>
      </c>
      <c r="C1333" s="2">
        <v>1441.0</v>
      </c>
      <c r="D1333" s="2">
        <v>1402.0</v>
      </c>
      <c r="E1333" s="2">
        <v>19650.0</v>
      </c>
      <c r="F1333" s="2" t="s">
        <v>150</v>
      </c>
    </row>
    <row r="1334" ht="15.75" customHeight="1">
      <c r="A1334" s="4" t="s">
        <v>4248</v>
      </c>
      <c r="B1334" s="2" t="s">
        <v>4249</v>
      </c>
      <c r="C1334" s="2">
        <v>269.0</v>
      </c>
      <c r="D1334" s="2">
        <v>260.0</v>
      </c>
      <c r="E1334" s="2">
        <v>24340.0</v>
      </c>
      <c r="F1334" s="2" t="s">
        <v>150</v>
      </c>
    </row>
    <row r="1335" ht="15.75" hidden="1" customHeight="1">
      <c r="A1335" s="4" t="s">
        <v>2407</v>
      </c>
      <c r="B1335" s="2" t="s">
        <v>2408</v>
      </c>
      <c r="C1335" s="2">
        <v>2398.0</v>
      </c>
      <c r="D1335" s="2">
        <v>2499.0</v>
      </c>
      <c r="E1335" s="2">
        <v>26820.0</v>
      </c>
      <c r="F1335" s="2">
        <v>11.0</v>
      </c>
    </row>
    <row r="1336" ht="15.75" customHeight="1">
      <c r="A1336" s="4" t="s">
        <v>2409</v>
      </c>
      <c r="B1336" s="2" t="s">
        <v>2410</v>
      </c>
      <c r="C1336" s="2">
        <v>1753.0</v>
      </c>
      <c r="D1336" s="2">
        <v>1672.0</v>
      </c>
      <c r="E1336" s="2">
        <v>25440.0</v>
      </c>
      <c r="F1336" s="2" t="s">
        <v>150</v>
      </c>
    </row>
    <row r="1337" ht="15.75" customHeight="1">
      <c r="A1337" s="4" t="s">
        <v>2411</v>
      </c>
      <c r="B1337" s="2" t="s">
        <v>2412</v>
      </c>
      <c r="C1337" s="2">
        <v>1969.0</v>
      </c>
      <c r="D1337" s="2">
        <v>1967.0</v>
      </c>
      <c r="E1337" s="2">
        <v>34210.0</v>
      </c>
      <c r="F1337" s="2" t="s">
        <v>150</v>
      </c>
    </row>
    <row r="1338" ht="15.75" hidden="1" customHeight="1">
      <c r="A1338" s="4" t="s">
        <v>2413</v>
      </c>
      <c r="B1338" s="2" t="s">
        <v>2414</v>
      </c>
      <c r="C1338" s="2">
        <v>12414.0</v>
      </c>
      <c r="D1338" s="2">
        <v>13261.0</v>
      </c>
      <c r="E1338" s="2">
        <v>24790.0</v>
      </c>
      <c r="F1338" s="2">
        <v>17.0</v>
      </c>
    </row>
    <row r="1339" ht="15.75" customHeight="1">
      <c r="A1339" s="4" t="s">
        <v>2465</v>
      </c>
      <c r="B1339" s="2" t="s">
        <v>2466</v>
      </c>
      <c r="C1339" s="2">
        <v>546.0</v>
      </c>
      <c r="D1339" s="2">
        <v>520.0</v>
      </c>
      <c r="E1339" s="2">
        <v>26550.0</v>
      </c>
      <c r="F1339" s="2" t="s">
        <v>150</v>
      </c>
    </row>
    <row r="1340" ht="15.75" customHeight="1">
      <c r="A1340" s="4" t="s">
        <v>4260</v>
      </c>
      <c r="B1340" s="2" t="s">
        <v>4261</v>
      </c>
      <c r="C1340" s="2">
        <v>243.0</v>
      </c>
      <c r="D1340" s="2">
        <v>227.0</v>
      </c>
      <c r="E1340" s="2">
        <v>27540.0</v>
      </c>
      <c r="F1340" s="2" t="s">
        <v>150</v>
      </c>
    </row>
    <row r="1341" ht="15.75" hidden="1" customHeight="1">
      <c r="A1341" s="4" t="s">
        <v>1818</v>
      </c>
      <c r="B1341" s="2" t="s">
        <v>1819</v>
      </c>
      <c r="C1341" s="2">
        <v>3136.0</v>
      </c>
      <c r="D1341" s="2">
        <v>3103.0</v>
      </c>
      <c r="E1341" s="2">
        <v>20760.0</v>
      </c>
      <c r="F1341" s="2">
        <v>27.0</v>
      </c>
    </row>
    <row r="1342" ht="15.75" customHeight="1">
      <c r="A1342" s="4" t="s">
        <v>2416</v>
      </c>
      <c r="B1342" s="2" t="s">
        <v>2417</v>
      </c>
      <c r="C1342" s="2">
        <v>663.0</v>
      </c>
      <c r="D1342" s="2">
        <v>640.0</v>
      </c>
      <c r="E1342" s="2">
        <v>28440.0</v>
      </c>
      <c r="F1342" s="2" t="s">
        <v>150</v>
      </c>
    </row>
    <row r="1343" ht="15.75" hidden="1" customHeight="1">
      <c r="A1343" s="4" t="s">
        <v>2419</v>
      </c>
      <c r="B1343" s="2" t="s">
        <v>2421</v>
      </c>
      <c r="C1343" s="2">
        <v>4712.0</v>
      </c>
      <c r="D1343" s="2">
        <v>4675.0</v>
      </c>
      <c r="E1343" s="2">
        <v>27970.0</v>
      </c>
      <c r="F1343" s="2">
        <v>7.0</v>
      </c>
    </row>
    <row r="1344" ht="15.75" customHeight="1">
      <c r="A1344" s="4" t="s">
        <v>4268</v>
      </c>
      <c r="B1344" s="2" t="s">
        <v>4269</v>
      </c>
      <c r="C1344" s="2">
        <v>411.0</v>
      </c>
      <c r="D1344" s="2">
        <v>416.0</v>
      </c>
      <c r="E1344" s="2">
        <v>27470.0</v>
      </c>
      <c r="F1344" s="2" t="s">
        <v>150</v>
      </c>
    </row>
    <row r="1345" ht="15.75" customHeight="1">
      <c r="A1345" s="4" t="s">
        <v>4272</v>
      </c>
      <c r="B1345" s="2" t="s">
        <v>4273</v>
      </c>
      <c r="C1345" s="2">
        <v>461.0</v>
      </c>
      <c r="D1345" s="2">
        <v>486.0</v>
      </c>
      <c r="E1345" s="2">
        <v>27200.0</v>
      </c>
      <c r="F1345" s="2" t="s">
        <v>150</v>
      </c>
    </row>
    <row r="1346" ht="15.75" hidden="1" customHeight="1">
      <c r="A1346" s="4" t="s">
        <v>2423</v>
      </c>
      <c r="B1346" s="2" t="s">
        <v>2424</v>
      </c>
      <c r="C1346" s="2">
        <v>15682.0</v>
      </c>
      <c r="D1346" s="2">
        <v>16076.0</v>
      </c>
      <c r="E1346" s="2">
        <v>20760.0</v>
      </c>
      <c r="F1346" s="2">
        <v>26.0</v>
      </c>
    </row>
    <row r="1347" ht="15.75" customHeight="1">
      <c r="A1347" s="4" t="s">
        <v>2427</v>
      </c>
      <c r="B1347" s="2" t="s">
        <v>2428</v>
      </c>
      <c r="C1347" s="2">
        <v>938.0</v>
      </c>
      <c r="D1347" s="2">
        <v>869.0</v>
      </c>
      <c r="E1347" s="2">
        <v>33190.0</v>
      </c>
      <c r="F1347" s="2" t="s">
        <v>150</v>
      </c>
    </row>
    <row r="1348" ht="15.75" hidden="1" customHeight="1">
      <c r="A1348" s="4" t="s">
        <v>2431</v>
      </c>
      <c r="B1348" s="2" t="s">
        <v>2432</v>
      </c>
      <c r="C1348" s="2">
        <v>4338.0</v>
      </c>
      <c r="D1348" s="2">
        <v>4142.0</v>
      </c>
      <c r="E1348" s="2">
        <v>21470.0</v>
      </c>
      <c r="F1348" s="2">
        <v>20.0</v>
      </c>
    </row>
    <row r="1349" ht="15.75" customHeight="1">
      <c r="A1349" s="4" t="s">
        <v>2435</v>
      </c>
      <c r="B1349" s="2" t="s">
        <v>2436</v>
      </c>
      <c r="C1349" s="2">
        <v>1815.0</v>
      </c>
      <c r="D1349" s="2">
        <v>1796.0</v>
      </c>
      <c r="E1349" s="2">
        <v>22720.0</v>
      </c>
      <c r="F1349" s="2" t="s">
        <v>150</v>
      </c>
    </row>
    <row r="1350" ht="15.75" customHeight="1">
      <c r="A1350" s="4" t="s">
        <v>4282</v>
      </c>
      <c r="B1350" s="2" t="s">
        <v>4283</v>
      </c>
      <c r="C1350" s="2">
        <v>135.0</v>
      </c>
      <c r="D1350" s="2">
        <v>142.0</v>
      </c>
      <c r="E1350" s="2">
        <v>27250.0</v>
      </c>
      <c r="F1350" s="2" t="s">
        <v>150</v>
      </c>
    </row>
    <row r="1351" ht="15.75" hidden="1" customHeight="1">
      <c r="A1351" s="4" t="s">
        <v>2439</v>
      </c>
      <c r="B1351" s="2" t="s">
        <v>2440</v>
      </c>
      <c r="C1351" s="2">
        <v>12151.0</v>
      </c>
      <c r="D1351" s="2">
        <v>11766.0</v>
      </c>
      <c r="E1351" s="2">
        <v>21160.0</v>
      </c>
      <c r="F1351" s="2">
        <v>24.0</v>
      </c>
    </row>
    <row r="1352" ht="15.75" customHeight="1">
      <c r="A1352" s="4" t="s">
        <v>4287</v>
      </c>
      <c r="B1352" s="2" t="s">
        <v>4288</v>
      </c>
      <c r="C1352" s="2">
        <v>413.0</v>
      </c>
      <c r="D1352" s="2">
        <v>397.0</v>
      </c>
      <c r="E1352" s="2">
        <v>28730.0</v>
      </c>
      <c r="F1352" s="2" t="s">
        <v>150</v>
      </c>
    </row>
    <row r="1353" ht="15.75" customHeight="1">
      <c r="A1353" s="4" t="s">
        <v>2442</v>
      </c>
      <c r="B1353" s="2" t="s">
        <v>2444</v>
      </c>
      <c r="C1353" s="2">
        <v>1807.0</v>
      </c>
      <c r="D1353" s="2">
        <v>1718.0</v>
      </c>
      <c r="E1353" s="2">
        <v>27880.0</v>
      </c>
      <c r="F1353" s="2" t="s">
        <v>150</v>
      </c>
    </row>
    <row r="1354" ht="15.75" customHeight="1">
      <c r="A1354" s="4" t="s">
        <v>2445</v>
      </c>
      <c r="B1354" s="2" t="s">
        <v>2446</v>
      </c>
      <c r="C1354" s="2">
        <v>658.0</v>
      </c>
      <c r="D1354" s="2">
        <v>756.0</v>
      </c>
      <c r="E1354" s="2">
        <v>25510.0</v>
      </c>
      <c r="F1354" s="2" t="s">
        <v>150</v>
      </c>
    </row>
    <row r="1355" ht="15.75" customHeight="1">
      <c r="A1355" s="4" t="s">
        <v>2448</v>
      </c>
      <c r="B1355" s="2" t="s">
        <v>2450</v>
      </c>
      <c r="C1355" s="2">
        <v>1690.0</v>
      </c>
      <c r="D1355" s="2">
        <v>1602.0</v>
      </c>
      <c r="E1355" s="2">
        <v>25910.0</v>
      </c>
      <c r="F1355" s="2" t="s">
        <v>150</v>
      </c>
    </row>
    <row r="1356" ht="15.75" customHeight="1">
      <c r="A1356" s="4" t="s">
        <v>2452</v>
      </c>
      <c r="B1356" s="2" t="s">
        <v>2453</v>
      </c>
      <c r="C1356" s="2">
        <v>1354.0</v>
      </c>
      <c r="D1356" s="2">
        <v>1405.0</v>
      </c>
      <c r="E1356" s="2">
        <v>27190.0</v>
      </c>
      <c r="F1356" s="2" t="s">
        <v>150</v>
      </c>
    </row>
    <row r="1357" ht="15.75" hidden="1" customHeight="1">
      <c r="A1357" s="4" t="s">
        <v>2456</v>
      </c>
      <c r="B1357" s="2" t="s">
        <v>2458</v>
      </c>
      <c r="C1357" s="2">
        <v>4368.0</v>
      </c>
      <c r="D1357" s="2">
        <v>4332.0</v>
      </c>
      <c r="E1357" s="2">
        <v>25720.0</v>
      </c>
      <c r="F1357" s="2">
        <v>13.0</v>
      </c>
    </row>
    <row r="1358" ht="15.75" hidden="1" customHeight="1">
      <c r="A1358" s="4" t="s">
        <v>2459</v>
      </c>
      <c r="B1358" s="2" t="s">
        <v>2460</v>
      </c>
      <c r="C1358" s="2">
        <v>3673.0</v>
      </c>
      <c r="D1358" s="2">
        <v>3450.0</v>
      </c>
      <c r="E1358" s="2">
        <v>27470.0</v>
      </c>
      <c r="F1358" s="2">
        <v>8.0</v>
      </c>
    </row>
    <row r="1359" ht="15.75" customHeight="1">
      <c r="A1359" s="4" t="s">
        <v>2461</v>
      </c>
      <c r="B1359" s="2" t="s">
        <v>2462</v>
      </c>
      <c r="C1359" s="2">
        <v>945.0</v>
      </c>
      <c r="D1359" s="2">
        <v>942.0</v>
      </c>
      <c r="E1359" s="2">
        <v>27720.0</v>
      </c>
      <c r="F1359" s="2" t="s">
        <v>150</v>
      </c>
    </row>
    <row r="1360" ht="15.75" customHeight="1">
      <c r="A1360" s="4" t="s">
        <v>2469</v>
      </c>
      <c r="B1360" s="2" t="s">
        <v>2470</v>
      </c>
      <c r="C1360" s="2">
        <v>466.0</v>
      </c>
      <c r="D1360" s="2">
        <v>475.0</v>
      </c>
      <c r="E1360" s="2">
        <v>23730.0</v>
      </c>
      <c r="F1360" s="2" t="s">
        <v>150</v>
      </c>
    </row>
    <row r="1361" ht="15.75" customHeight="1">
      <c r="A1361" s="4" t="s">
        <v>2471</v>
      </c>
      <c r="B1361" s="2" t="s">
        <v>2472</v>
      </c>
      <c r="C1361" s="2">
        <v>971.0</v>
      </c>
      <c r="D1361" s="2">
        <v>963.0</v>
      </c>
      <c r="E1361" s="2">
        <v>28780.0</v>
      </c>
      <c r="F1361" s="2" t="s">
        <v>150</v>
      </c>
    </row>
    <row r="1362" ht="15.75" hidden="1" customHeight="1">
      <c r="A1362" s="4" t="s">
        <v>2474</v>
      </c>
      <c r="B1362" s="2" t="s">
        <v>2476</v>
      </c>
      <c r="C1362" s="2">
        <v>3344.0</v>
      </c>
      <c r="D1362" s="2">
        <v>3669.0</v>
      </c>
      <c r="E1362" s="2">
        <v>29110.0</v>
      </c>
      <c r="F1362" s="2">
        <v>9.0</v>
      </c>
    </row>
    <row r="1363" ht="15.75" hidden="1" customHeight="1">
      <c r="A1363" s="4" t="s">
        <v>2479</v>
      </c>
      <c r="B1363" s="2" t="s">
        <v>2480</v>
      </c>
      <c r="C1363" s="2">
        <v>6059.0</v>
      </c>
      <c r="D1363" s="2">
        <v>7202.0</v>
      </c>
      <c r="E1363" s="2">
        <v>29670.0</v>
      </c>
      <c r="F1363" s="2">
        <v>7.0</v>
      </c>
    </row>
    <row r="1364" ht="15.75" customHeight="1">
      <c r="A1364" s="4" t="s">
        <v>4310</v>
      </c>
      <c r="B1364" s="2" t="s">
        <v>4311</v>
      </c>
      <c r="C1364" s="2">
        <v>532.0</v>
      </c>
      <c r="D1364" s="2">
        <v>519.0</v>
      </c>
      <c r="E1364" s="2">
        <v>28020.0</v>
      </c>
      <c r="F1364" s="2" t="s">
        <v>150</v>
      </c>
    </row>
    <row r="1365" ht="15.75" hidden="1" customHeight="1">
      <c r="A1365" s="4" t="s">
        <v>2519</v>
      </c>
      <c r="B1365" s="2" t="s">
        <v>2520</v>
      </c>
      <c r="C1365" s="2">
        <v>8341.0</v>
      </c>
      <c r="D1365" s="2">
        <v>8247.0</v>
      </c>
      <c r="E1365" s="2">
        <v>29680.0</v>
      </c>
      <c r="F1365" s="2">
        <v>9.0</v>
      </c>
    </row>
    <row r="1366" ht="15.75" hidden="1" customHeight="1">
      <c r="A1366" s="4" t="s">
        <v>2481</v>
      </c>
      <c r="B1366" s="2" t="s">
        <v>2482</v>
      </c>
      <c r="C1366" s="2">
        <v>2917.0</v>
      </c>
      <c r="D1366" s="2">
        <v>2914.0</v>
      </c>
      <c r="E1366" s="2">
        <v>23970.0</v>
      </c>
      <c r="F1366" s="2">
        <v>15.0</v>
      </c>
    </row>
    <row r="1367" ht="15.75" customHeight="1">
      <c r="A1367" s="4" t="s">
        <v>4319</v>
      </c>
      <c r="B1367" s="2" t="s">
        <v>4320</v>
      </c>
      <c r="C1367" s="2">
        <v>908.0</v>
      </c>
      <c r="D1367" s="2">
        <v>920.0</v>
      </c>
      <c r="E1367" s="2">
        <v>24600.0</v>
      </c>
      <c r="F1367" s="2" t="s">
        <v>150</v>
      </c>
    </row>
    <row r="1368" ht="15.75" customHeight="1">
      <c r="A1368" s="4" t="s">
        <v>4323</v>
      </c>
      <c r="B1368" s="2" t="s">
        <v>4324</v>
      </c>
      <c r="C1368" s="2">
        <v>846.0</v>
      </c>
      <c r="D1368" s="2">
        <v>817.0</v>
      </c>
      <c r="E1368" s="2">
        <v>20870.0</v>
      </c>
      <c r="F1368" s="2" t="s">
        <v>150</v>
      </c>
    </row>
    <row r="1369" ht="15.75" hidden="1" customHeight="1">
      <c r="A1369" s="4" t="s">
        <v>2483</v>
      </c>
      <c r="B1369" s="2" t="s">
        <v>2484</v>
      </c>
      <c r="C1369" s="2">
        <v>3900.0</v>
      </c>
      <c r="D1369" s="2">
        <v>4170.0</v>
      </c>
      <c r="E1369" s="2">
        <v>27860.0</v>
      </c>
      <c r="F1369" s="2">
        <v>7.0</v>
      </c>
    </row>
    <row r="1370" ht="15.75" customHeight="1">
      <c r="A1370" s="4" t="s">
        <v>2493</v>
      </c>
      <c r="B1370" s="2" t="s">
        <v>2494</v>
      </c>
      <c r="C1370" s="2">
        <v>754.0</v>
      </c>
      <c r="D1370" s="2">
        <v>788.0</v>
      </c>
      <c r="E1370" s="2">
        <v>27670.0</v>
      </c>
      <c r="F1370" s="2" t="s">
        <v>150</v>
      </c>
    </row>
    <row r="1371" ht="15.75" customHeight="1">
      <c r="A1371" s="4" t="s">
        <v>2487</v>
      </c>
      <c r="B1371" s="2" t="s">
        <v>2488</v>
      </c>
      <c r="C1371" s="2">
        <v>1125.0</v>
      </c>
      <c r="D1371" s="2">
        <v>1106.0</v>
      </c>
      <c r="E1371" s="2">
        <v>25910.0</v>
      </c>
      <c r="F1371" s="2" t="s">
        <v>150</v>
      </c>
    </row>
    <row r="1372" ht="15.75" customHeight="1">
      <c r="A1372" s="4" t="s">
        <v>2491</v>
      </c>
      <c r="B1372" s="2" t="s">
        <v>2492</v>
      </c>
      <c r="C1372" s="2">
        <v>518.0</v>
      </c>
      <c r="D1372" s="2">
        <v>543.0</v>
      </c>
      <c r="E1372" s="2">
        <v>28640.0</v>
      </c>
      <c r="F1372" s="2" t="s">
        <v>150</v>
      </c>
    </row>
    <row r="1373" ht="15.75" customHeight="1">
      <c r="A1373" s="4" t="s">
        <v>4335</v>
      </c>
      <c r="B1373" s="2" t="s">
        <v>4336</v>
      </c>
      <c r="C1373" s="2">
        <v>518.0</v>
      </c>
      <c r="D1373" s="2">
        <v>536.0</v>
      </c>
      <c r="E1373" s="2">
        <v>34290.0</v>
      </c>
      <c r="F1373" s="2" t="s">
        <v>150</v>
      </c>
    </row>
    <row r="1374" ht="15.75" customHeight="1">
      <c r="A1374" s="4" t="s">
        <v>4339</v>
      </c>
      <c r="B1374" s="2" t="s">
        <v>4341</v>
      </c>
      <c r="C1374" s="2">
        <v>590.0</v>
      </c>
      <c r="D1374" s="2">
        <v>695.0</v>
      </c>
      <c r="E1374" s="2">
        <v>30090.0</v>
      </c>
      <c r="F1374" s="2" t="s">
        <v>150</v>
      </c>
    </row>
    <row r="1375" ht="15.75" hidden="1" customHeight="1">
      <c r="A1375" s="4" t="s">
        <v>2495</v>
      </c>
      <c r="B1375" s="2" t="s">
        <v>2496</v>
      </c>
      <c r="C1375" s="2">
        <v>3905.0</v>
      </c>
      <c r="D1375" s="2">
        <v>3957.0</v>
      </c>
      <c r="E1375" s="2">
        <v>27400.0</v>
      </c>
      <c r="F1375" s="2">
        <v>9.0</v>
      </c>
    </row>
    <row r="1376" ht="15.75" hidden="1" customHeight="1">
      <c r="A1376" s="4" t="s">
        <v>2499</v>
      </c>
      <c r="B1376" s="2" t="s">
        <v>2500</v>
      </c>
      <c r="C1376" s="2">
        <v>97368.0</v>
      </c>
      <c r="D1376" s="2">
        <v>98772.0</v>
      </c>
      <c r="E1376" s="2">
        <v>20250.0</v>
      </c>
      <c r="F1376" s="2">
        <v>30.3</v>
      </c>
    </row>
    <row r="1377" ht="15.75" customHeight="1">
      <c r="A1377" s="4" t="s">
        <v>2501</v>
      </c>
      <c r="B1377" s="2" t="s">
        <v>2502</v>
      </c>
      <c r="C1377" s="2">
        <v>888.0</v>
      </c>
      <c r="D1377" s="2">
        <v>936.0</v>
      </c>
      <c r="E1377" s="2">
        <v>34190.0</v>
      </c>
      <c r="F1377" s="2" t="s">
        <v>150</v>
      </c>
    </row>
    <row r="1378" ht="15.75" hidden="1" customHeight="1">
      <c r="A1378" s="4" t="s">
        <v>2515</v>
      </c>
      <c r="B1378" s="2" t="s">
        <v>2516</v>
      </c>
      <c r="C1378" s="2">
        <v>2856.0</v>
      </c>
      <c r="D1378" s="2">
        <v>2604.0</v>
      </c>
      <c r="E1378" s="2">
        <v>21310.0</v>
      </c>
      <c r="F1378" s="2">
        <v>22.0</v>
      </c>
    </row>
    <row r="1379" ht="15.75" customHeight="1">
      <c r="A1379" s="4" t="s">
        <v>2505</v>
      </c>
      <c r="B1379" s="2" t="s">
        <v>2506</v>
      </c>
      <c r="C1379" s="2">
        <v>1408.0</v>
      </c>
      <c r="D1379" s="2">
        <v>1386.0</v>
      </c>
      <c r="E1379" s="2">
        <v>32930.0</v>
      </c>
      <c r="F1379" s="2" t="s">
        <v>150</v>
      </c>
    </row>
    <row r="1380" ht="15.75" hidden="1" customHeight="1">
      <c r="A1380" s="4" t="s">
        <v>2509</v>
      </c>
      <c r="B1380" s="2" t="s">
        <v>2510</v>
      </c>
      <c r="C1380" s="2">
        <v>6215.0</v>
      </c>
      <c r="D1380" s="2">
        <v>6019.0</v>
      </c>
      <c r="E1380" s="2">
        <v>22480.0</v>
      </c>
      <c r="F1380" s="2">
        <v>20.0</v>
      </c>
    </row>
    <row r="1381" ht="15.75" customHeight="1">
      <c r="A1381" s="4" t="s">
        <v>2513</v>
      </c>
      <c r="B1381" s="2" t="s">
        <v>2514</v>
      </c>
      <c r="C1381" s="2">
        <v>841.0</v>
      </c>
      <c r="D1381" s="2">
        <v>805.0</v>
      </c>
      <c r="E1381" s="2">
        <v>23460.0</v>
      </c>
      <c r="F1381" s="2" t="s">
        <v>150</v>
      </c>
    </row>
    <row r="1382" ht="15.75" customHeight="1">
      <c r="A1382" s="4" t="s">
        <v>2521</v>
      </c>
      <c r="B1382" s="2" t="s">
        <v>2523</v>
      </c>
      <c r="C1382" s="2">
        <v>1411.0</v>
      </c>
      <c r="D1382" s="2">
        <v>1518.0</v>
      </c>
      <c r="E1382" s="2">
        <v>29210.0</v>
      </c>
      <c r="F1382" s="2" t="s">
        <v>150</v>
      </c>
    </row>
    <row r="1383" ht="15.75" hidden="1" customHeight="1">
      <c r="A1383" s="4" t="s">
        <v>2525</v>
      </c>
      <c r="B1383" s="2" t="s">
        <v>2526</v>
      </c>
      <c r="C1383" s="2">
        <v>43336.0</v>
      </c>
      <c r="D1383" s="2">
        <v>43468.0</v>
      </c>
      <c r="E1383" s="2">
        <v>22180.0</v>
      </c>
      <c r="F1383" s="2">
        <v>27.8</v>
      </c>
    </row>
    <row r="1384" ht="15.75" customHeight="1">
      <c r="A1384" s="4" t="s">
        <v>4362</v>
      </c>
      <c r="B1384" s="2" t="s">
        <v>4364</v>
      </c>
      <c r="C1384" s="2">
        <v>487.0</v>
      </c>
      <c r="D1384" s="2">
        <v>482.0</v>
      </c>
      <c r="E1384" s="2">
        <v>27380.0</v>
      </c>
      <c r="F1384" s="2" t="s">
        <v>150</v>
      </c>
    </row>
    <row r="1385" ht="15.75" customHeight="1">
      <c r="A1385" s="4" t="s">
        <v>2527</v>
      </c>
      <c r="B1385" s="2" t="s">
        <v>2528</v>
      </c>
      <c r="C1385" s="2">
        <v>1068.0</v>
      </c>
      <c r="D1385" s="2">
        <v>1123.0</v>
      </c>
      <c r="E1385" s="2">
        <v>29220.0</v>
      </c>
      <c r="F1385" s="2" t="s">
        <v>150</v>
      </c>
    </row>
    <row r="1386" ht="15.75" customHeight="1">
      <c r="A1386" s="4" t="s">
        <v>2531</v>
      </c>
      <c r="B1386" s="2" t="s">
        <v>2532</v>
      </c>
      <c r="C1386" s="2">
        <v>1606.0</v>
      </c>
      <c r="D1386" s="2">
        <v>1654.0</v>
      </c>
      <c r="E1386" s="2">
        <v>31710.0</v>
      </c>
      <c r="F1386" s="2" t="s">
        <v>150</v>
      </c>
    </row>
    <row r="1387" ht="15.75" customHeight="1">
      <c r="A1387" s="4" t="s">
        <v>2535</v>
      </c>
      <c r="B1387" s="2" t="s">
        <v>2536</v>
      </c>
      <c r="C1387" s="2">
        <v>1013.0</v>
      </c>
      <c r="D1387" s="2">
        <v>1103.0</v>
      </c>
      <c r="E1387" s="2">
        <v>27680.0</v>
      </c>
      <c r="F1387" s="2" t="s">
        <v>150</v>
      </c>
    </row>
    <row r="1388" ht="15.75" hidden="1" customHeight="1">
      <c r="A1388" s="4" t="s">
        <v>2539</v>
      </c>
      <c r="B1388" s="2" t="s">
        <v>2540</v>
      </c>
      <c r="C1388" s="2">
        <v>2460.0</v>
      </c>
      <c r="D1388" s="2">
        <v>2682.0</v>
      </c>
      <c r="E1388" s="2">
        <v>34180.0</v>
      </c>
      <c r="F1388" s="2">
        <v>6.0</v>
      </c>
    </row>
    <row r="1389" ht="15.75" customHeight="1">
      <c r="A1389" s="4" t="s">
        <v>2541</v>
      </c>
      <c r="B1389" s="2" t="s">
        <v>2542</v>
      </c>
      <c r="C1389" s="2">
        <v>517.0</v>
      </c>
      <c r="D1389" s="2">
        <v>535.0</v>
      </c>
      <c r="E1389" s="2">
        <v>27410.0</v>
      </c>
      <c r="F1389" s="2" t="s">
        <v>150</v>
      </c>
    </row>
    <row r="1390" ht="15.75" customHeight="1">
      <c r="A1390" s="4" t="s">
        <v>2544</v>
      </c>
      <c r="B1390" s="2" t="s">
        <v>2546</v>
      </c>
      <c r="C1390" s="2">
        <v>1492.0</v>
      </c>
      <c r="D1390" s="2">
        <v>1464.0</v>
      </c>
      <c r="E1390" s="2">
        <v>24440.0</v>
      </c>
      <c r="F1390" s="2" t="s">
        <v>150</v>
      </c>
    </row>
    <row r="1391" ht="15.75" customHeight="1">
      <c r="A1391" s="4" t="s">
        <v>2548</v>
      </c>
      <c r="B1391" s="2" t="s">
        <v>2550</v>
      </c>
      <c r="C1391" s="2">
        <v>1506.0</v>
      </c>
      <c r="D1391" s="2">
        <v>1364.0</v>
      </c>
      <c r="E1391" s="2">
        <v>23340.0</v>
      </c>
      <c r="F1391" s="2" t="s">
        <v>150</v>
      </c>
    </row>
    <row r="1392" ht="15.75" hidden="1" customHeight="1">
      <c r="A1392" s="4" t="s">
        <v>2552</v>
      </c>
      <c r="B1392" s="2" t="s">
        <v>2553</v>
      </c>
      <c r="C1392" s="2">
        <v>2507.0</v>
      </c>
      <c r="D1392" s="2">
        <v>2628.0</v>
      </c>
      <c r="E1392" s="2">
        <v>27660.0</v>
      </c>
      <c r="F1392" s="2">
        <v>7.0</v>
      </c>
    </row>
    <row r="1393" ht="15.75" hidden="1" customHeight="1">
      <c r="A1393" s="4" t="s">
        <v>2555</v>
      </c>
      <c r="B1393" s="2" t="s">
        <v>2556</v>
      </c>
      <c r="C1393" s="2">
        <v>10469.0</v>
      </c>
      <c r="D1393" s="2">
        <v>10617.0</v>
      </c>
      <c r="E1393" s="2">
        <v>20530.0</v>
      </c>
      <c r="F1393" s="2">
        <v>28.0</v>
      </c>
    </row>
    <row r="1394" ht="15.75" customHeight="1">
      <c r="A1394" s="4" t="s">
        <v>2559</v>
      </c>
      <c r="B1394" s="2" t="s">
        <v>2560</v>
      </c>
      <c r="C1394" s="2">
        <v>636.0</v>
      </c>
      <c r="D1394" s="2">
        <v>641.0</v>
      </c>
      <c r="E1394" s="2">
        <v>26060.0</v>
      </c>
      <c r="F1394" s="2" t="s">
        <v>150</v>
      </c>
    </row>
    <row r="1395" ht="15.75" customHeight="1">
      <c r="A1395" s="4" t="s">
        <v>2563</v>
      </c>
      <c r="B1395" s="2" t="s">
        <v>2564</v>
      </c>
      <c r="C1395" s="2">
        <v>848.0</v>
      </c>
      <c r="D1395" s="2">
        <v>938.0</v>
      </c>
      <c r="E1395" s="2">
        <v>25620.0</v>
      </c>
      <c r="F1395" s="2" t="s">
        <v>150</v>
      </c>
    </row>
    <row r="1396" ht="15.75" customHeight="1">
      <c r="A1396" s="4" t="s">
        <v>4399</v>
      </c>
      <c r="B1396" s="2" t="s">
        <v>4401</v>
      </c>
      <c r="C1396" s="2">
        <v>996.0</v>
      </c>
      <c r="D1396" s="2">
        <v>1084.0</v>
      </c>
      <c r="E1396" s="2">
        <v>28490.0</v>
      </c>
      <c r="F1396" s="2" t="s">
        <v>150</v>
      </c>
    </row>
    <row r="1397" ht="15.75" customHeight="1">
      <c r="A1397" s="4" t="s">
        <v>4403</v>
      </c>
      <c r="B1397" s="2" t="s">
        <v>4404</v>
      </c>
      <c r="C1397" s="2">
        <v>630.0</v>
      </c>
      <c r="D1397" s="2">
        <v>670.0</v>
      </c>
      <c r="E1397" s="2">
        <v>27730.0</v>
      </c>
      <c r="F1397" s="2" t="s">
        <v>150</v>
      </c>
    </row>
    <row r="1398" ht="15.75" customHeight="1">
      <c r="A1398" s="4" t="s">
        <v>2587</v>
      </c>
      <c r="B1398" s="2" t="s">
        <v>2588</v>
      </c>
      <c r="C1398" s="2">
        <v>1248.0</v>
      </c>
      <c r="D1398" s="2">
        <v>1151.0</v>
      </c>
      <c r="E1398" s="2">
        <v>24460.0</v>
      </c>
      <c r="F1398" s="2" t="s">
        <v>150</v>
      </c>
    </row>
    <row r="1399" ht="15.75" customHeight="1">
      <c r="A1399" s="4" t="s">
        <v>2570</v>
      </c>
      <c r="B1399" s="2" t="s">
        <v>2572</v>
      </c>
      <c r="C1399" s="2">
        <v>696.0</v>
      </c>
      <c r="D1399" s="2">
        <v>684.0</v>
      </c>
      <c r="E1399" s="2">
        <v>23400.0</v>
      </c>
      <c r="F1399" s="2" t="s">
        <v>150</v>
      </c>
    </row>
    <row r="1400" ht="15.75" hidden="1" customHeight="1">
      <c r="A1400" s="4" t="s">
        <v>2574</v>
      </c>
      <c r="B1400" s="2" t="s">
        <v>2576</v>
      </c>
      <c r="C1400" s="2">
        <v>2110.0</v>
      </c>
      <c r="D1400" s="2">
        <v>2117.0</v>
      </c>
      <c r="E1400" s="2">
        <v>21700.0</v>
      </c>
      <c r="F1400" s="2">
        <v>20.0</v>
      </c>
    </row>
    <row r="1401" ht="15.75" customHeight="1">
      <c r="A1401" s="4" t="s">
        <v>2578</v>
      </c>
      <c r="B1401" s="2" t="s">
        <v>2580</v>
      </c>
      <c r="C1401" s="2">
        <v>404.0</v>
      </c>
      <c r="D1401" s="2">
        <v>390.0</v>
      </c>
      <c r="E1401" s="2">
        <v>25920.0</v>
      </c>
      <c r="F1401" s="2" t="s">
        <v>150</v>
      </c>
    </row>
    <row r="1402" ht="15.75" customHeight="1">
      <c r="A1402" s="4" t="s">
        <v>2581</v>
      </c>
      <c r="B1402" s="2" t="s">
        <v>2582</v>
      </c>
      <c r="C1402" s="2">
        <v>1276.0</v>
      </c>
      <c r="D1402" s="2">
        <v>1197.0</v>
      </c>
      <c r="E1402" s="2">
        <v>30430.0</v>
      </c>
      <c r="F1402" s="2" t="s">
        <v>150</v>
      </c>
    </row>
    <row r="1403" ht="15.75" customHeight="1">
      <c r="A1403" s="4" t="s">
        <v>2585</v>
      </c>
      <c r="B1403" s="2" t="s">
        <v>2586</v>
      </c>
      <c r="C1403" s="2">
        <v>978.0</v>
      </c>
      <c r="D1403" s="2">
        <v>1009.0</v>
      </c>
      <c r="E1403" s="2">
        <v>25340.0</v>
      </c>
      <c r="F1403" s="2" t="s">
        <v>150</v>
      </c>
    </row>
    <row r="1404" ht="15.75" customHeight="1">
      <c r="A1404" s="4" t="s">
        <v>2591</v>
      </c>
      <c r="B1404" s="2" t="s">
        <v>2592</v>
      </c>
      <c r="C1404" s="2">
        <v>567.0</v>
      </c>
      <c r="D1404" s="2">
        <v>573.0</v>
      </c>
      <c r="E1404" s="2">
        <v>27690.0</v>
      </c>
      <c r="F1404" s="2" t="s">
        <v>150</v>
      </c>
    </row>
    <row r="1405" ht="15.75" customHeight="1">
      <c r="A1405" s="4" t="s">
        <v>2597</v>
      </c>
      <c r="B1405" s="2" t="s">
        <v>2598</v>
      </c>
      <c r="C1405" s="2">
        <v>1375.0</v>
      </c>
      <c r="D1405" s="2">
        <v>1302.0</v>
      </c>
      <c r="E1405" s="2">
        <v>26600.0</v>
      </c>
      <c r="F1405" s="2" t="s">
        <v>150</v>
      </c>
    </row>
    <row r="1406" ht="15.75" hidden="1" customHeight="1">
      <c r="A1406" s="4" t="s">
        <v>2600</v>
      </c>
      <c r="B1406" s="2" t="s">
        <v>2601</v>
      </c>
      <c r="C1406" s="2">
        <v>2598.0</v>
      </c>
      <c r="D1406" s="2">
        <v>2613.0</v>
      </c>
      <c r="E1406" s="2">
        <v>26550.0</v>
      </c>
      <c r="F1406" s="2">
        <v>10.0</v>
      </c>
    </row>
    <row r="1407" ht="15.75" hidden="1" customHeight="1">
      <c r="A1407" s="4" t="s">
        <v>2603</v>
      </c>
      <c r="B1407" s="2" t="s">
        <v>2604</v>
      </c>
      <c r="C1407" s="2">
        <v>2136.0</v>
      </c>
      <c r="D1407" s="2">
        <v>2081.0</v>
      </c>
      <c r="E1407" s="2">
        <v>21970.0</v>
      </c>
      <c r="F1407" s="2">
        <v>20.0</v>
      </c>
    </row>
    <row r="1408" ht="15.75" hidden="1" customHeight="1">
      <c r="A1408" s="4" t="s">
        <v>2605</v>
      </c>
      <c r="B1408" s="2" t="s">
        <v>2606</v>
      </c>
      <c r="C1408" s="2">
        <v>5526.0</v>
      </c>
      <c r="D1408" s="2">
        <v>5633.0</v>
      </c>
      <c r="E1408" s="2">
        <v>22860.0</v>
      </c>
      <c r="F1408" s="2">
        <v>20.0</v>
      </c>
    </row>
    <row r="1409" ht="15.75" customHeight="1">
      <c r="A1409" s="4" t="s">
        <v>4621</v>
      </c>
      <c r="B1409" s="2" t="s">
        <v>4623</v>
      </c>
      <c r="C1409" s="2">
        <v>286.0</v>
      </c>
      <c r="D1409" s="2">
        <v>284.0</v>
      </c>
      <c r="E1409" s="2">
        <v>25640.0</v>
      </c>
      <c r="F1409" s="2" t="s">
        <v>150</v>
      </c>
    </row>
    <row r="1410" ht="15.75" customHeight="1">
      <c r="A1410" s="4" t="s">
        <v>2609</v>
      </c>
      <c r="B1410" s="2" t="s">
        <v>2610</v>
      </c>
      <c r="C1410" s="2">
        <v>811.0</v>
      </c>
      <c r="D1410" s="2">
        <v>808.0</v>
      </c>
      <c r="E1410" s="2">
        <v>28180.0</v>
      </c>
      <c r="F1410" s="2" t="s">
        <v>150</v>
      </c>
    </row>
    <row r="1411" ht="15.75" customHeight="1">
      <c r="A1411" s="4" t="s">
        <v>2611</v>
      </c>
      <c r="B1411" s="2" t="s">
        <v>2612</v>
      </c>
      <c r="C1411" s="2">
        <v>374.0</v>
      </c>
      <c r="D1411" s="2">
        <v>381.0</v>
      </c>
      <c r="E1411" s="2">
        <v>28190.0</v>
      </c>
      <c r="F1411" s="2" t="s">
        <v>150</v>
      </c>
    </row>
    <row r="1412" ht="15.75" hidden="1" customHeight="1">
      <c r="A1412" s="4" t="s">
        <v>2614</v>
      </c>
      <c r="B1412" s="2" t="s">
        <v>2616</v>
      </c>
      <c r="C1412" s="2">
        <v>10948.0</v>
      </c>
      <c r="D1412" s="2">
        <v>11012.0</v>
      </c>
      <c r="E1412" s="2">
        <v>29610.0</v>
      </c>
      <c r="F1412" s="2">
        <v>8.0</v>
      </c>
    </row>
    <row r="1413" ht="15.75" customHeight="1">
      <c r="A1413" s="4" t="s">
        <v>2617</v>
      </c>
      <c r="B1413" s="2" t="s">
        <v>2618</v>
      </c>
      <c r="C1413" s="2">
        <v>1302.0</v>
      </c>
      <c r="D1413" s="2">
        <v>1301.0</v>
      </c>
      <c r="E1413" s="2">
        <v>28560.0</v>
      </c>
      <c r="F1413" s="2" t="s">
        <v>150</v>
      </c>
    </row>
    <row r="1414" ht="15.75" customHeight="1">
      <c r="A1414" s="4" t="s">
        <v>2619</v>
      </c>
      <c r="B1414" s="2" t="s">
        <v>2620</v>
      </c>
      <c r="C1414" s="2">
        <v>1272.0</v>
      </c>
      <c r="D1414" s="2">
        <v>1338.0</v>
      </c>
      <c r="E1414" s="2">
        <v>30150.0</v>
      </c>
      <c r="F1414" s="2" t="s">
        <v>150</v>
      </c>
    </row>
    <row r="1415" ht="15.75" customHeight="1">
      <c r="A1415" s="4" t="s">
        <v>2621</v>
      </c>
      <c r="B1415" s="2" t="s">
        <v>2622</v>
      </c>
      <c r="C1415" s="2">
        <v>1101.0</v>
      </c>
      <c r="D1415" s="2">
        <v>1125.0</v>
      </c>
      <c r="E1415" s="2">
        <v>29450.0</v>
      </c>
      <c r="F1415" s="2" t="s">
        <v>150</v>
      </c>
    </row>
    <row r="1416" ht="15.75" customHeight="1">
      <c r="A1416" s="4" t="s">
        <v>2625</v>
      </c>
      <c r="B1416" s="2" t="s">
        <v>2626</v>
      </c>
      <c r="C1416" s="2">
        <v>759.0</v>
      </c>
      <c r="D1416" s="2">
        <v>771.0</v>
      </c>
      <c r="E1416" s="2">
        <v>28730.0</v>
      </c>
      <c r="F1416" s="2" t="s">
        <v>150</v>
      </c>
    </row>
    <row r="1417" ht="15.75" customHeight="1">
      <c r="A1417" s="4" t="s">
        <v>2629</v>
      </c>
      <c r="B1417" s="2" t="s">
        <v>2630</v>
      </c>
      <c r="C1417" s="2">
        <v>2032.0</v>
      </c>
      <c r="D1417" s="2">
        <v>2020.0</v>
      </c>
      <c r="E1417" s="2">
        <v>26990.0</v>
      </c>
      <c r="F1417" s="2" t="s">
        <v>150</v>
      </c>
    </row>
    <row r="1418" ht="15.75" customHeight="1">
      <c r="A1418" s="4" t="s">
        <v>4639</v>
      </c>
      <c r="B1418" s="2" t="s">
        <v>4640</v>
      </c>
      <c r="C1418" s="2">
        <v>579.0</v>
      </c>
      <c r="D1418" s="2">
        <v>603.0</v>
      </c>
      <c r="E1418" s="2">
        <v>30510.0</v>
      </c>
      <c r="F1418" s="2" t="s">
        <v>150</v>
      </c>
    </row>
    <row r="1419" ht="15.75" customHeight="1">
      <c r="A1419" s="4" t="s">
        <v>4643</v>
      </c>
      <c r="B1419" s="2" t="s">
        <v>4644</v>
      </c>
      <c r="C1419" s="2">
        <v>239.0</v>
      </c>
      <c r="D1419" s="2">
        <v>231.0</v>
      </c>
      <c r="E1419" s="2">
        <v>28370.0</v>
      </c>
      <c r="F1419" s="2" t="s">
        <v>150</v>
      </c>
    </row>
    <row r="1420" ht="15.75" customHeight="1">
      <c r="A1420" s="4" t="s">
        <v>2632</v>
      </c>
      <c r="B1420" s="2" t="s">
        <v>2634</v>
      </c>
      <c r="C1420" s="2">
        <v>609.0</v>
      </c>
      <c r="D1420" s="2">
        <v>604.0</v>
      </c>
      <c r="E1420" s="2">
        <v>26020.0</v>
      </c>
      <c r="F1420" s="2" t="s">
        <v>150</v>
      </c>
    </row>
    <row r="1421" ht="15.75" hidden="1" customHeight="1">
      <c r="A1421" s="4" t="s">
        <v>2636</v>
      </c>
      <c r="B1421" s="2" t="s">
        <v>2637</v>
      </c>
      <c r="C1421" s="2">
        <v>20479.0</v>
      </c>
      <c r="D1421" s="2">
        <v>20726.0</v>
      </c>
      <c r="E1421" s="2">
        <v>28800.0</v>
      </c>
      <c r="F1421" s="2">
        <v>12.1</v>
      </c>
    </row>
    <row r="1422" ht="15.75" hidden="1" customHeight="1">
      <c r="A1422" s="4" t="s">
        <v>2640</v>
      </c>
      <c r="B1422" s="2" t="s">
        <v>2642</v>
      </c>
      <c r="C1422" s="2">
        <v>2563.0</v>
      </c>
      <c r="D1422" s="2">
        <v>2564.0</v>
      </c>
      <c r="E1422" s="2">
        <v>21420.0</v>
      </c>
      <c r="F1422" s="2">
        <v>19.0</v>
      </c>
    </row>
    <row r="1423" ht="15.75" hidden="1" customHeight="1">
      <c r="A1423" s="4" t="s">
        <v>2644</v>
      </c>
      <c r="B1423" s="2" t="s">
        <v>2646</v>
      </c>
      <c r="C1423" s="2">
        <v>14549.0</v>
      </c>
      <c r="D1423" s="2">
        <v>15525.0</v>
      </c>
      <c r="E1423" s="2">
        <v>24100.0</v>
      </c>
      <c r="F1423" s="2">
        <v>22.0</v>
      </c>
    </row>
    <row r="1424" ht="15.75" customHeight="1">
      <c r="A1424" s="4" t="s">
        <v>4657</v>
      </c>
      <c r="B1424" s="2" t="s">
        <v>4659</v>
      </c>
      <c r="C1424" s="2">
        <v>243.0</v>
      </c>
      <c r="D1424" s="2">
        <v>240.0</v>
      </c>
      <c r="E1424" s="2">
        <v>27580.0</v>
      </c>
      <c r="F1424" s="2" t="s">
        <v>150</v>
      </c>
    </row>
    <row r="1425" ht="15.75" hidden="1" customHeight="1">
      <c r="A1425" s="4" t="s">
        <v>2647</v>
      </c>
      <c r="B1425" s="2" t="s">
        <v>2648</v>
      </c>
      <c r="C1425" s="2">
        <v>40958.0</v>
      </c>
      <c r="D1425" s="2">
        <v>40847.0</v>
      </c>
      <c r="E1425" s="2">
        <v>21660.0</v>
      </c>
      <c r="F1425" s="2">
        <v>23.8</v>
      </c>
    </row>
    <row r="1426" ht="15.75" customHeight="1">
      <c r="A1426" s="4" t="s">
        <v>2651</v>
      </c>
      <c r="B1426" s="2" t="s">
        <v>2652</v>
      </c>
      <c r="C1426" s="2">
        <v>1661.0</v>
      </c>
      <c r="D1426" s="2">
        <v>1599.0</v>
      </c>
      <c r="E1426" s="2">
        <v>20340.0</v>
      </c>
      <c r="F1426" s="2" t="s">
        <v>150</v>
      </c>
    </row>
    <row r="1427" ht="15.75" customHeight="1">
      <c r="A1427" s="4" t="s">
        <v>4666</v>
      </c>
      <c r="B1427" s="2" t="s">
        <v>4668</v>
      </c>
      <c r="C1427" s="2">
        <v>386.0</v>
      </c>
      <c r="D1427" s="2">
        <v>440.0</v>
      </c>
      <c r="E1427" s="2">
        <v>25190.0</v>
      </c>
      <c r="F1427" s="2" t="s">
        <v>150</v>
      </c>
    </row>
    <row r="1428" ht="15.75" hidden="1" customHeight="1">
      <c r="A1428" s="4" t="s">
        <v>2654</v>
      </c>
      <c r="B1428" s="2" t="s">
        <v>2655</v>
      </c>
      <c r="C1428" s="2">
        <v>7676.0</v>
      </c>
      <c r="D1428" s="2">
        <v>7758.0</v>
      </c>
      <c r="E1428" s="2">
        <v>26660.0</v>
      </c>
      <c r="F1428" s="2">
        <v>12.0</v>
      </c>
    </row>
    <row r="1429" ht="15.75" hidden="1" customHeight="1">
      <c r="A1429" s="4" t="s">
        <v>2657</v>
      </c>
      <c r="B1429" s="2" t="s">
        <v>2659</v>
      </c>
      <c r="C1429" s="2">
        <v>7452.0</v>
      </c>
      <c r="D1429" s="2">
        <v>7266.0</v>
      </c>
      <c r="E1429" s="2">
        <v>18410.0</v>
      </c>
      <c r="F1429" s="2">
        <v>33.0</v>
      </c>
    </row>
    <row r="1430" ht="15.75" customHeight="1">
      <c r="A1430" s="4" t="s">
        <v>4674</v>
      </c>
      <c r="B1430" s="2" t="s">
        <v>4675</v>
      </c>
      <c r="C1430" s="2">
        <v>252.0</v>
      </c>
      <c r="D1430" s="2">
        <v>225.0</v>
      </c>
      <c r="E1430" s="2">
        <v>27220.0</v>
      </c>
      <c r="F1430" s="2" t="s">
        <v>150</v>
      </c>
    </row>
    <row r="1431" ht="15.75" hidden="1" customHeight="1">
      <c r="A1431" s="4" t="s">
        <v>2661</v>
      </c>
      <c r="B1431" s="2" t="s">
        <v>2663</v>
      </c>
      <c r="C1431" s="2">
        <v>5413.0</v>
      </c>
      <c r="D1431" s="2">
        <v>5426.0</v>
      </c>
      <c r="E1431" s="2">
        <v>26770.0</v>
      </c>
      <c r="F1431" s="2">
        <v>15.0</v>
      </c>
    </row>
    <row r="1432" ht="15.75" customHeight="1">
      <c r="A1432" s="4" t="s">
        <v>2665</v>
      </c>
      <c r="B1432" s="2" t="s">
        <v>2666</v>
      </c>
      <c r="C1432" s="2">
        <v>628.0</v>
      </c>
      <c r="D1432" s="2">
        <v>644.0</v>
      </c>
      <c r="E1432" s="2">
        <v>26450.0</v>
      </c>
      <c r="F1432" s="2" t="s">
        <v>150</v>
      </c>
    </row>
    <row r="1433" ht="15.75" customHeight="1">
      <c r="A1433" s="4" t="s">
        <v>2667</v>
      </c>
      <c r="B1433" s="2" t="s">
        <v>2668</v>
      </c>
      <c r="C1433" s="2">
        <v>498.0</v>
      </c>
      <c r="D1433" s="2">
        <v>581.0</v>
      </c>
      <c r="E1433" s="2">
        <v>29850.0</v>
      </c>
      <c r="F1433" s="2" t="s">
        <v>150</v>
      </c>
    </row>
    <row r="1434" ht="15.75" hidden="1" customHeight="1">
      <c r="A1434" s="4" t="s">
        <v>2671</v>
      </c>
      <c r="B1434" s="2" t="s">
        <v>2672</v>
      </c>
      <c r="C1434" s="2">
        <v>2903.0</v>
      </c>
      <c r="D1434" s="2">
        <v>2804.0</v>
      </c>
      <c r="E1434" s="2">
        <v>19990.0</v>
      </c>
      <c r="F1434" s="2">
        <v>29.0</v>
      </c>
    </row>
    <row r="1435" ht="15.75" hidden="1" customHeight="1">
      <c r="A1435" s="4" t="s">
        <v>2673</v>
      </c>
      <c r="B1435" s="2" t="s">
        <v>2674</v>
      </c>
      <c r="C1435" s="2">
        <v>3021.0</v>
      </c>
      <c r="D1435" s="2">
        <v>2941.0</v>
      </c>
      <c r="E1435" s="2">
        <v>28750.0</v>
      </c>
      <c r="F1435" s="2">
        <v>10.0</v>
      </c>
    </row>
    <row r="1436" ht="15.75" customHeight="1">
      <c r="A1436" s="4" t="s">
        <v>4688</v>
      </c>
      <c r="B1436" s="2" t="s">
        <v>4689</v>
      </c>
      <c r="C1436" s="2">
        <v>148.0</v>
      </c>
      <c r="D1436" s="2">
        <v>128.0</v>
      </c>
      <c r="E1436" s="2">
        <v>24520.0</v>
      </c>
      <c r="F1436" s="2" t="s">
        <v>150</v>
      </c>
    </row>
    <row r="1437" ht="15.75" customHeight="1">
      <c r="A1437" s="4" t="s">
        <v>2675</v>
      </c>
      <c r="B1437" s="2" t="s">
        <v>2676</v>
      </c>
      <c r="C1437" s="2">
        <v>1306.0</v>
      </c>
      <c r="D1437" s="2">
        <v>1261.0</v>
      </c>
      <c r="E1437" s="2">
        <v>26500.0</v>
      </c>
      <c r="F1437" s="2" t="s">
        <v>150</v>
      </c>
    </row>
    <row r="1438" ht="15.75" hidden="1" customHeight="1">
      <c r="A1438" s="4" t="s">
        <v>2677</v>
      </c>
      <c r="B1438" s="2" t="s">
        <v>2678</v>
      </c>
      <c r="C1438" s="2">
        <v>5632.0</v>
      </c>
      <c r="D1438" s="2">
        <v>5584.0</v>
      </c>
      <c r="E1438" s="2">
        <v>26280.0</v>
      </c>
      <c r="F1438" s="2">
        <v>9.0</v>
      </c>
    </row>
    <row r="1439" ht="15.75" customHeight="1">
      <c r="A1439" s="4" t="s">
        <v>4695</v>
      </c>
      <c r="B1439" s="2" t="s">
        <v>4697</v>
      </c>
      <c r="C1439" s="2">
        <v>309.0</v>
      </c>
      <c r="D1439" s="2">
        <v>334.0</v>
      </c>
      <c r="E1439" s="2">
        <v>24230.0</v>
      </c>
      <c r="F1439" s="2" t="s">
        <v>150</v>
      </c>
    </row>
    <row r="1440" ht="15.75" customHeight="1">
      <c r="A1440" s="4" t="s">
        <v>4699</v>
      </c>
      <c r="B1440" s="2" t="s">
        <v>4700</v>
      </c>
      <c r="C1440" s="2">
        <v>291.0</v>
      </c>
      <c r="D1440" s="2">
        <v>298.0</v>
      </c>
      <c r="E1440" s="2">
        <v>25470.0</v>
      </c>
      <c r="F1440" s="2" t="s">
        <v>150</v>
      </c>
    </row>
    <row r="1441" ht="15.75" customHeight="1">
      <c r="A1441" s="4" t="s">
        <v>2679</v>
      </c>
      <c r="B1441" s="2" t="s">
        <v>2680</v>
      </c>
      <c r="C1441" s="2">
        <v>1529.0</v>
      </c>
      <c r="D1441" s="2">
        <v>1562.0</v>
      </c>
      <c r="E1441" s="2">
        <v>27550.0</v>
      </c>
      <c r="F1441" s="2" t="s">
        <v>150</v>
      </c>
    </row>
    <row r="1442" ht="15.75" customHeight="1">
      <c r="A1442" s="4" t="s">
        <v>4703</v>
      </c>
      <c r="B1442" s="2" t="s">
        <v>4704</v>
      </c>
      <c r="C1442" s="2">
        <v>223.0</v>
      </c>
      <c r="D1442" s="2">
        <v>252.0</v>
      </c>
      <c r="E1442" s="2">
        <v>29250.0</v>
      </c>
      <c r="F1442" s="2" t="s">
        <v>150</v>
      </c>
    </row>
    <row r="1443" ht="15.75" customHeight="1">
      <c r="A1443" s="4" t="s">
        <v>2681</v>
      </c>
      <c r="B1443" s="2" t="s">
        <v>2682</v>
      </c>
      <c r="C1443" s="2">
        <v>1677.0</v>
      </c>
      <c r="D1443" s="2">
        <v>1630.0</v>
      </c>
      <c r="E1443" s="2">
        <v>27730.0</v>
      </c>
      <c r="F1443" s="2" t="s">
        <v>150</v>
      </c>
    </row>
    <row r="1444" ht="15.75" customHeight="1">
      <c r="A1444" s="4" t="s">
        <v>4710</v>
      </c>
      <c r="B1444" s="2" t="s">
        <v>4711</v>
      </c>
      <c r="C1444" s="2">
        <v>524.0</v>
      </c>
      <c r="D1444" s="2">
        <v>557.0</v>
      </c>
      <c r="E1444" s="2">
        <v>25260.0</v>
      </c>
      <c r="F1444" s="2" t="s">
        <v>150</v>
      </c>
    </row>
    <row r="1445" ht="15.75" customHeight="1">
      <c r="A1445" s="4" t="s">
        <v>1446</v>
      </c>
      <c r="B1445" s="2" t="s">
        <v>1447</v>
      </c>
      <c r="C1445" s="2">
        <v>1287.0</v>
      </c>
      <c r="D1445" s="2">
        <v>1387.0</v>
      </c>
      <c r="E1445" s="2">
        <v>27570.0</v>
      </c>
      <c r="F1445" s="2" t="s">
        <v>150</v>
      </c>
    </row>
    <row r="1446" ht="15.75" customHeight="1">
      <c r="A1446" s="4" t="s">
        <v>2701</v>
      </c>
      <c r="B1446" s="2" t="s">
        <v>2702</v>
      </c>
      <c r="C1446" s="2">
        <v>651.0</v>
      </c>
      <c r="D1446" s="2">
        <v>569.0</v>
      </c>
      <c r="E1446" s="2">
        <v>22970.0</v>
      </c>
      <c r="F1446" s="2" t="s">
        <v>150</v>
      </c>
    </row>
    <row r="1447" ht="15.75" customHeight="1">
      <c r="A1447" s="4" t="s">
        <v>2706</v>
      </c>
      <c r="B1447" s="2" t="s">
        <v>2707</v>
      </c>
      <c r="C1447" s="2">
        <v>787.0</v>
      </c>
      <c r="D1447" s="2">
        <v>879.0</v>
      </c>
      <c r="E1447" s="2">
        <v>29050.0</v>
      </c>
      <c r="F1447" s="2" t="s">
        <v>150</v>
      </c>
    </row>
    <row r="1448" ht="15.75" customHeight="1">
      <c r="A1448" s="4" t="s">
        <v>4720</v>
      </c>
      <c r="B1448" s="2" t="s">
        <v>4722</v>
      </c>
      <c r="C1448" s="2">
        <v>490.0</v>
      </c>
      <c r="D1448" s="2">
        <v>499.0</v>
      </c>
      <c r="E1448" s="2">
        <v>29790.0</v>
      </c>
      <c r="F1448" s="2" t="s">
        <v>150</v>
      </c>
    </row>
    <row r="1449" ht="15.75" customHeight="1">
      <c r="A1449" s="4" t="s">
        <v>4726</v>
      </c>
      <c r="B1449" s="2" t="s">
        <v>4727</v>
      </c>
      <c r="C1449" s="2">
        <v>402.0</v>
      </c>
      <c r="D1449" s="2">
        <v>408.0</v>
      </c>
      <c r="E1449" s="2">
        <v>26720.0</v>
      </c>
      <c r="F1449" s="2" t="s">
        <v>150</v>
      </c>
    </row>
    <row r="1450" ht="15.75" customHeight="1">
      <c r="A1450" s="4" t="s">
        <v>2708</v>
      </c>
      <c r="B1450" s="2" t="s">
        <v>2709</v>
      </c>
      <c r="C1450" s="2">
        <v>849.0</v>
      </c>
      <c r="D1450" s="2">
        <v>821.0</v>
      </c>
      <c r="E1450" s="2">
        <v>27550.0</v>
      </c>
      <c r="F1450" s="2" t="s">
        <v>150</v>
      </c>
    </row>
    <row r="1451" ht="15.75" customHeight="1">
      <c r="A1451" s="4" t="s">
        <v>3248</v>
      </c>
      <c r="B1451" s="2" t="s">
        <v>3250</v>
      </c>
      <c r="C1451" s="2">
        <v>1179.0</v>
      </c>
      <c r="D1451" s="2">
        <v>1153.0</v>
      </c>
      <c r="E1451" s="2">
        <v>27630.0</v>
      </c>
      <c r="F1451" s="2" t="s">
        <v>150</v>
      </c>
    </row>
    <row r="1452" ht="15.75" hidden="1" customHeight="1">
      <c r="A1452" s="4" t="s">
        <v>2712</v>
      </c>
      <c r="B1452" s="2" t="s">
        <v>2715</v>
      </c>
      <c r="C1452" s="2">
        <v>3050.0</v>
      </c>
      <c r="D1452" s="2">
        <v>3058.0</v>
      </c>
      <c r="E1452" s="2">
        <v>30860.0</v>
      </c>
      <c r="F1452" s="2">
        <v>5.0</v>
      </c>
    </row>
    <row r="1453" ht="15.75" customHeight="1">
      <c r="A1453" s="4" t="s">
        <v>2717</v>
      </c>
      <c r="B1453" s="2" t="s">
        <v>2718</v>
      </c>
      <c r="C1453" s="2">
        <v>399.0</v>
      </c>
      <c r="D1453" s="2">
        <v>409.0</v>
      </c>
      <c r="E1453" s="2">
        <v>29640.0</v>
      </c>
      <c r="F1453" s="2" t="s">
        <v>150</v>
      </c>
    </row>
    <row r="1454" ht="15.75" customHeight="1">
      <c r="A1454" s="4" t="s">
        <v>2720</v>
      </c>
      <c r="B1454" s="2" t="s">
        <v>2721</v>
      </c>
      <c r="C1454" s="2">
        <v>1572.0</v>
      </c>
      <c r="D1454" s="2">
        <v>1767.0</v>
      </c>
      <c r="E1454" s="2">
        <v>27930.0</v>
      </c>
      <c r="F1454" s="2" t="s">
        <v>150</v>
      </c>
    </row>
    <row r="1455" ht="15.75" customHeight="1">
      <c r="A1455" s="4" t="s">
        <v>2722</v>
      </c>
      <c r="B1455" s="2" t="s">
        <v>2723</v>
      </c>
      <c r="C1455" s="2">
        <v>1740.0</v>
      </c>
      <c r="D1455" s="2">
        <v>1805.0</v>
      </c>
      <c r="E1455" s="2">
        <v>29590.0</v>
      </c>
      <c r="F1455" s="2" t="s">
        <v>150</v>
      </c>
    </row>
    <row r="1456" ht="15.75" customHeight="1">
      <c r="A1456" s="4" t="s">
        <v>2726</v>
      </c>
      <c r="B1456" s="2" t="s">
        <v>2727</v>
      </c>
      <c r="C1456" s="2">
        <v>392.0</v>
      </c>
      <c r="D1456" s="2">
        <v>419.0</v>
      </c>
      <c r="E1456" s="2">
        <v>24630.0</v>
      </c>
      <c r="F1456" s="2" t="s">
        <v>150</v>
      </c>
    </row>
    <row r="1457" ht="15.75" hidden="1" customHeight="1">
      <c r="A1457" s="4" t="s">
        <v>2729</v>
      </c>
      <c r="B1457" s="2" t="s">
        <v>2731</v>
      </c>
      <c r="C1457" s="2">
        <v>3227.0</v>
      </c>
      <c r="D1457" s="2">
        <v>3434.0</v>
      </c>
      <c r="E1457" s="2">
        <v>28060.0</v>
      </c>
      <c r="F1457" s="2">
        <v>7.0</v>
      </c>
    </row>
    <row r="1458" ht="15.75" customHeight="1">
      <c r="A1458" s="4" t="s">
        <v>2732</v>
      </c>
      <c r="B1458" s="2" t="s">
        <v>2734</v>
      </c>
      <c r="C1458" s="2">
        <v>1396.0</v>
      </c>
      <c r="D1458" s="2">
        <v>1345.0</v>
      </c>
      <c r="E1458" s="2">
        <v>30100.0</v>
      </c>
      <c r="F1458" s="2" t="s">
        <v>150</v>
      </c>
    </row>
    <row r="1459" ht="15.75" customHeight="1">
      <c r="A1459" s="4" t="s">
        <v>4754</v>
      </c>
      <c r="B1459" s="2" t="s">
        <v>4755</v>
      </c>
      <c r="C1459" s="2">
        <v>185.0</v>
      </c>
      <c r="D1459" s="2">
        <v>155.0</v>
      </c>
      <c r="E1459" s="2">
        <v>26770.0</v>
      </c>
      <c r="F1459" s="2" t="s">
        <v>150</v>
      </c>
    </row>
    <row r="1460" ht="15.75" customHeight="1">
      <c r="A1460" s="4" t="s">
        <v>2736</v>
      </c>
      <c r="B1460" s="2" t="s">
        <v>2738</v>
      </c>
      <c r="C1460" s="2">
        <v>1172.0</v>
      </c>
      <c r="D1460" s="2">
        <v>1124.0</v>
      </c>
      <c r="E1460" s="2">
        <v>27290.0</v>
      </c>
      <c r="F1460" s="2" t="s">
        <v>150</v>
      </c>
    </row>
    <row r="1461" ht="15.75" customHeight="1">
      <c r="A1461" s="4" t="s">
        <v>4763</v>
      </c>
      <c r="B1461" s="2" t="s">
        <v>4764</v>
      </c>
      <c r="C1461" s="2">
        <v>276.0</v>
      </c>
      <c r="D1461" s="2">
        <v>273.0</v>
      </c>
      <c r="E1461" s="2">
        <v>31020.0</v>
      </c>
      <c r="F1461" s="2" t="s">
        <v>150</v>
      </c>
    </row>
    <row r="1462" ht="15.75" customHeight="1">
      <c r="A1462" s="4" t="s">
        <v>2740</v>
      </c>
      <c r="B1462" s="2" t="s">
        <v>2741</v>
      </c>
      <c r="C1462" s="2">
        <v>1197.0</v>
      </c>
      <c r="D1462" s="2">
        <v>1134.0</v>
      </c>
      <c r="E1462" s="2">
        <v>25300.0</v>
      </c>
      <c r="F1462" s="2" t="s">
        <v>150</v>
      </c>
    </row>
    <row r="1463" ht="15.75" customHeight="1">
      <c r="A1463" s="4" t="s">
        <v>4767</v>
      </c>
      <c r="B1463" s="2" t="s">
        <v>4768</v>
      </c>
      <c r="C1463" s="2">
        <v>409.0</v>
      </c>
      <c r="D1463" s="2">
        <v>408.0</v>
      </c>
      <c r="E1463" s="2">
        <v>27310.0</v>
      </c>
      <c r="F1463" s="2" t="s">
        <v>150</v>
      </c>
    </row>
    <row r="1464" ht="15.75" customHeight="1">
      <c r="A1464" s="4" t="s">
        <v>4769</v>
      </c>
      <c r="B1464" s="2" t="s">
        <v>4770</v>
      </c>
      <c r="C1464" s="2">
        <v>264.0</v>
      </c>
      <c r="D1464" s="2">
        <v>273.0</v>
      </c>
      <c r="E1464" s="2">
        <v>28640.0</v>
      </c>
      <c r="F1464" s="2" t="s">
        <v>150</v>
      </c>
    </row>
    <row r="1465" ht="15.75" customHeight="1">
      <c r="A1465" s="4" t="s">
        <v>2742</v>
      </c>
      <c r="B1465" s="2" t="s">
        <v>2743</v>
      </c>
      <c r="C1465" s="2">
        <v>542.0</v>
      </c>
      <c r="D1465" s="2">
        <v>498.0</v>
      </c>
      <c r="E1465" s="2">
        <v>24370.0</v>
      </c>
      <c r="F1465" s="2" t="s">
        <v>150</v>
      </c>
    </row>
    <row r="1466" ht="15.75" customHeight="1">
      <c r="A1466" s="4" t="s">
        <v>2744</v>
      </c>
      <c r="B1466" s="2" t="s">
        <v>2745</v>
      </c>
      <c r="C1466" s="2">
        <v>660.0</v>
      </c>
      <c r="D1466" s="2">
        <v>636.0</v>
      </c>
      <c r="E1466" s="2">
        <v>37050.0</v>
      </c>
      <c r="F1466" s="2" t="s">
        <v>150</v>
      </c>
    </row>
    <row r="1467" ht="15.75" customHeight="1">
      <c r="A1467" s="4" t="s">
        <v>4773</v>
      </c>
      <c r="B1467" s="2" t="s">
        <v>4774</v>
      </c>
      <c r="C1467" s="2">
        <v>563.0</v>
      </c>
      <c r="D1467" s="2">
        <v>548.0</v>
      </c>
      <c r="E1467" s="2">
        <v>29820.0</v>
      </c>
      <c r="F1467" s="2" t="s">
        <v>150</v>
      </c>
    </row>
    <row r="1468" ht="15.75" customHeight="1">
      <c r="A1468" s="4" t="s">
        <v>2748</v>
      </c>
      <c r="B1468" s="2" t="s">
        <v>2749</v>
      </c>
      <c r="C1468" s="2">
        <v>770.0</v>
      </c>
      <c r="D1468" s="2">
        <v>832.0</v>
      </c>
      <c r="E1468" s="2">
        <v>27500.0</v>
      </c>
      <c r="F1468" s="2" t="s">
        <v>150</v>
      </c>
    </row>
    <row r="1469" ht="15.75" customHeight="1">
      <c r="A1469" s="4" t="s">
        <v>2752</v>
      </c>
      <c r="B1469" s="2" t="s">
        <v>2753</v>
      </c>
      <c r="C1469" s="2">
        <v>1880.0</v>
      </c>
      <c r="D1469" s="2">
        <v>1857.0</v>
      </c>
      <c r="E1469" s="2">
        <v>26740.0</v>
      </c>
      <c r="F1469" s="2" t="s">
        <v>150</v>
      </c>
    </row>
    <row r="1470" ht="15.75" customHeight="1">
      <c r="A1470" s="4" t="s">
        <v>4780</v>
      </c>
      <c r="B1470" s="2" t="s">
        <v>4781</v>
      </c>
      <c r="C1470" s="2">
        <v>592.0</v>
      </c>
      <c r="D1470" s="2">
        <v>562.0</v>
      </c>
      <c r="E1470" s="2">
        <v>24970.0</v>
      </c>
      <c r="F1470" s="2" t="s">
        <v>150</v>
      </c>
    </row>
    <row r="1471" ht="15.75" customHeight="1">
      <c r="A1471" s="4" t="s">
        <v>2754</v>
      </c>
      <c r="B1471" s="2" t="s">
        <v>2755</v>
      </c>
      <c r="C1471" s="2">
        <v>518.0</v>
      </c>
      <c r="D1471" s="2">
        <v>515.0</v>
      </c>
      <c r="E1471" s="2">
        <v>31850.0</v>
      </c>
      <c r="F1471" s="2" t="s">
        <v>150</v>
      </c>
    </row>
    <row r="1472" ht="15.75" customHeight="1">
      <c r="A1472" s="4" t="s">
        <v>4784</v>
      </c>
      <c r="B1472" s="2" t="s">
        <v>4785</v>
      </c>
      <c r="C1472" s="2">
        <v>476.0</v>
      </c>
      <c r="D1472" s="2">
        <v>567.0</v>
      </c>
      <c r="E1472" s="2">
        <v>42250.0</v>
      </c>
      <c r="F1472" s="2" t="s">
        <v>150</v>
      </c>
    </row>
    <row r="1473" ht="15.75" hidden="1" customHeight="1">
      <c r="A1473" s="4" t="s">
        <v>2757</v>
      </c>
      <c r="B1473" s="2" t="s">
        <v>2759</v>
      </c>
      <c r="C1473" s="2">
        <v>2892.0</v>
      </c>
      <c r="D1473" s="2">
        <v>2898.0</v>
      </c>
      <c r="E1473" s="2">
        <v>26150.0</v>
      </c>
      <c r="F1473" s="2">
        <v>13.0</v>
      </c>
    </row>
    <row r="1474" ht="15.75" customHeight="1">
      <c r="A1474" s="4" t="s">
        <v>2760</v>
      </c>
      <c r="B1474" s="2" t="s">
        <v>2761</v>
      </c>
      <c r="C1474" s="2">
        <v>554.0</v>
      </c>
      <c r="D1474" s="2">
        <v>554.0</v>
      </c>
      <c r="E1474" s="2">
        <v>27420.0</v>
      </c>
      <c r="F1474" s="2" t="s">
        <v>150</v>
      </c>
    </row>
    <row r="1475" ht="15.75" customHeight="1">
      <c r="A1475" s="4" t="s">
        <v>4792</v>
      </c>
      <c r="B1475" s="2" t="s">
        <v>4793</v>
      </c>
      <c r="C1475" s="2">
        <v>272.0</v>
      </c>
      <c r="D1475" s="2">
        <v>265.0</v>
      </c>
      <c r="E1475" s="2">
        <v>28760.0</v>
      </c>
      <c r="F1475" s="2" t="s">
        <v>150</v>
      </c>
    </row>
    <row r="1476" ht="15.75" customHeight="1">
      <c r="A1476" s="4" t="s">
        <v>2762</v>
      </c>
      <c r="B1476" s="2" t="s">
        <v>2764</v>
      </c>
      <c r="C1476" s="2">
        <v>733.0</v>
      </c>
      <c r="D1476" s="2">
        <v>738.0</v>
      </c>
      <c r="E1476" s="2">
        <v>25940.0</v>
      </c>
      <c r="F1476" s="2" t="s">
        <v>150</v>
      </c>
    </row>
    <row r="1477" ht="15.75" customHeight="1">
      <c r="A1477" s="4" t="s">
        <v>2770</v>
      </c>
      <c r="B1477" s="2" t="s">
        <v>2771</v>
      </c>
      <c r="C1477" s="2">
        <v>887.0</v>
      </c>
      <c r="D1477" s="2">
        <v>852.0</v>
      </c>
      <c r="E1477" s="2">
        <v>37150.0</v>
      </c>
      <c r="F1477" s="2" t="s">
        <v>150</v>
      </c>
    </row>
    <row r="1478" ht="15.75" customHeight="1">
      <c r="A1478" s="4" t="s">
        <v>2772</v>
      </c>
      <c r="B1478" s="2" t="s">
        <v>2773</v>
      </c>
      <c r="C1478" s="2">
        <v>1150.0</v>
      </c>
      <c r="D1478" s="2">
        <v>1147.0</v>
      </c>
      <c r="E1478" s="2">
        <v>28320.0</v>
      </c>
      <c r="F1478" s="2" t="s">
        <v>150</v>
      </c>
    </row>
    <row r="1479" ht="15.75" customHeight="1">
      <c r="A1479" s="4" t="s">
        <v>4806</v>
      </c>
      <c r="B1479" s="2" t="s">
        <v>4807</v>
      </c>
      <c r="C1479" s="2">
        <v>260.0</v>
      </c>
      <c r="D1479" s="2">
        <v>232.0</v>
      </c>
      <c r="E1479" s="2">
        <v>21330.0</v>
      </c>
      <c r="F1479" s="2" t="s">
        <v>150</v>
      </c>
    </row>
    <row r="1480" ht="15.75" customHeight="1">
      <c r="A1480" s="4" t="s">
        <v>2775</v>
      </c>
      <c r="B1480" s="2" t="s">
        <v>2777</v>
      </c>
      <c r="C1480" s="2">
        <v>373.0</v>
      </c>
      <c r="D1480" s="2">
        <v>404.0</v>
      </c>
      <c r="E1480" s="2">
        <v>30370.0</v>
      </c>
      <c r="F1480" s="2" t="s">
        <v>150</v>
      </c>
    </row>
    <row r="1481" ht="15.75" customHeight="1">
      <c r="A1481" s="4" t="s">
        <v>2778</v>
      </c>
      <c r="B1481" s="2" t="s">
        <v>2779</v>
      </c>
      <c r="C1481" s="2">
        <v>520.0</v>
      </c>
      <c r="D1481" s="2">
        <v>508.0</v>
      </c>
      <c r="E1481" s="2">
        <v>26220.0</v>
      </c>
      <c r="F1481" s="2" t="s">
        <v>150</v>
      </c>
    </row>
    <row r="1482" ht="15.75" customHeight="1">
      <c r="A1482" s="4" t="s">
        <v>4812</v>
      </c>
      <c r="B1482" s="2" t="s">
        <v>4813</v>
      </c>
      <c r="C1482" s="2">
        <v>492.0</v>
      </c>
      <c r="D1482" s="2">
        <v>477.0</v>
      </c>
      <c r="E1482" s="2">
        <v>23870.0</v>
      </c>
      <c r="F1482" s="2" t="s">
        <v>150</v>
      </c>
    </row>
    <row r="1483" ht="15.75" customHeight="1">
      <c r="A1483" s="4" t="s">
        <v>2780</v>
      </c>
      <c r="B1483" s="2" t="s">
        <v>2782</v>
      </c>
      <c r="C1483" s="2">
        <v>642.0</v>
      </c>
      <c r="D1483" s="2">
        <v>645.0</v>
      </c>
      <c r="E1483" s="2">
        <v>28440.0</v>
      </c>
      <c r="F1483" s="2" t="s">
        <v>150</v>
      </c>
    </row>
    <row r="1484" ht="15.75" hidden="1" customHeight="1">
      <c r="A1484" s="4" t="s">
        <v>2784</v>
      </c>
      <c r="B1484" s="2" t="s">
        <v>2785</v>
      </c>
      <c r="C1484" s="2">
        <v>2175.0</v>
      </c>
      <c r="D1484" s="2">
        <v>2330.0</v>
      </c>
      <c r="E1484" s="2">
        <v>25830.0</v>
      </c>
      <c r="F1484" s="2">
        <v>10.0</v>
      </c>
    </row>
    <row r="1485" ht="15.75" customHeight="1">
      <c r="A1485" s="4" t="s">
        <v>2786</v>
      </c>
      <c r="B1485" s="2" t="s">
        <v>2787</v>
      </c>
      <c r="C1485" s="2">
        <v>1477.0</v>
      </c>
      <c r="D1485" s="2">
        <v>1483.0</v>
      </c>
      <c r="E1485" s="2">
        <v>29070.0</v>
      </c>
      <c r="F1485" s="2" t="s">
        <v>150</v>
      </c>
    </row>
    <row r="1486" ht="15.75" customHeight="1">
      <c r="A1486" s="4" t="s">
        <v>2790</v>
      </c>
      <c r="B1486" s="2" t="s">
        <v>2791</v>
      </c>
      <c r="C1486" s="2">
        <v>636.0</v>
      </c>
      <c r="D1486" s="2">
        <v>599.0</v>
      </c>
      <c r="E1486" s="2">
        <v>27480.0</v>
      </c>
      <c r="F1486" s="2" t="s">
        <v>150</v>
      </c>
    </row>
    <row r="1487" ht="15.75" customHeight="1">
      <c r="A1487" s="4" t="s">
        <v>2792</v>
      </c>
      <c r="B1487" s="2" t="s">
        <v>2793</v>
      </c>
      <c r="C1487" s="2">
        <v>1723.0</v>
      </c>
      <c r="D1487" s="2">
        <v>1628.0</v>
      </c>
      <c r="E1487" s="2">
        <v>25740.0</v>
      </c>
      <c r="F1487" s="2" t="s">
        <v>150</v>
      </c>
    </row>
    <row r="1488" ht="15.75" customHeight="1">
      <c r="A1488" s="4" t="s">
        <v>4822</v>
      </c>
      <c r="B1488" s="2" t="s">
        <v>4825</v>
      </c>
      <c r="C1488" s="2">
        <v>572.0</v>
      </c>
      <c r="D1488" s="2">
        <v>528.0</v>
      </c>
      <c r="E1488" s="2">
        <v>33470.0</v>
      </c>
      <c r="F1488" s="2" t="s">
        <v>150</v>
      </c>
    </row>
    <row r="1489" ht="15.75" customHeight="1">
      <c r="A1489" s="4" t="s">
        <v>4827</v>
      </c>
      <c r="B1489" s="2" t="s">
        <v>4829</v>
      </c>
      <c r="C1489" s="2">
        <v>332.0</v>
      </c>
      <c r="D1489" s="2">
        <v>324.0</v>
      </c>
      <c r="E1489" s="2">
        <v>30240.0</v>
      </c>
      <c r="F1489" s="2" t="s">
        <v>150</v>
      </c>
    </row>
    <row r="1490" ht="15.75" customHeight="1">
      <c r="A1490" s="4" t="s">
        <v>2794</v>
      </c>
      <c r="B1490" s="2" t="s">
        <v>2795</v>
      </c>
      <c r="C1490" s="2">
        <v>760.0</v>
      </c>
      <c r="D1490" s="2">
        <v>729.0</v>
      </c>
      <c r="E1490" s="2">
        <v>32930.0</v>
      </c>
      <c r="F1490" s="2" t="s">
        <v>150</v>
      </c>
    </row>
    <row r="1491" ht="15.75" customHeight="1">
      <c r="A1491" s="4" t="s">
        <v>4832</v>
      </c>
      <c r="B1491" s="2" t="s">
        <v>4835</v>
      </c>
      <c r="C1491" s="2">
        <v>241.0</v>
      </c>
      <c r="D1491" s="2">
        <v>286.0</v>
      </c>
      <c r="E1491" s="2">
        <v>27900.0</v>
      </c>
      <c r="F1491" s="2" t="s">
        <v>150</v>
      </c>
    </row>
    <row r="1492" ht="15.75" customHeight="1">
      <c r="A1492" s="4" t="s">
        <v>4837</v>
      </c>
      <c r="B1492" s="2" t="s">
        <v>4838</v>
      </c>
      <c r="C1492" s="2">
        <v>129.0</v>
      </c>
      <c r="D1492" s="2">
        <v>100.0</v>
      </c>
      <c r="E1492" s="2" t="s">
        <v>150</v>
      </c>
      <c r="F1492" s="2" t="s">
        <v>150</v>
      </c>
    </row>
    <row r="1493" ht="15.75" customHeight="1">
      <c r="A1493" s="4" t="s">
        <v>2798</v>
      </c>
      <c r="B1493" s="2" t="s">
        <v>2799</v>
      </c>
      <c r="C1493" s="2">
        <v>337.0</v>
      </c>
      <c r="D1493" s="2">
        <v>388.0</v>
      </c>
      <c r="E1493" s="2">
        <v>28380.0</v>
      </c>
      <c r="F1493" s="2" t="s">
        <v>150</v>
      </c>
    </row>
    <row r="1494" ht="15.75" customHeight="1">
      <c r="A1494" s="4" t="s">
        <v>4844</v>
      </c>
      <c r="B1494" s="2" t="s">
        <v>4845</v>
      </c>
      <c r="C1494" s="2">
        <v>204.0</v>
      </c>
      <c r="D1494" s="2">
        <v>173.0</v>
      </c>
      <c r="E1494" s="2">
        <v>24820.0</v>
      </c>
      <c r="F1494" s="2" t="s">
        <v>150</v>
      </c>
    </row>
    <row r="1495" ht="15.75" customHeight="1">
      <c r="A1495" s="4" t="s">
        <v>4848</v>
      </c>
      <c r="B1495" s="2" t="s">
        <v>4851</v>
      </c>
      <c r="C1495" s="2">
        <v>101.0</v>
      </c>
      <c r="D1495" s="2">
        <v>104.0</v>
      </c>
      <c r="E1495" s="2">
        <v>27490.0</v>
      </c>
      <c r="F1495" s="2" t="s">
        <v>150</v>
      </c>
    </row>
    <row r="1496" ht="15.75" customHeight="1">
      <c r="A1496" s="4" t="s">
        <v>2802</v>
      </c>
      <c r="B1496" s="2" t="s">
        <v>2803</v>
      </c>
      <c r="C1496" s="2">
        <v>609.0</v>
      </c>
      <c r="D1496" s="2">
        <v>563.0</v>
      </c>
      <c r="E1496" s="2">
        <v>25230.0</v>
      </c>
      <c r="F1496" s="2" t="s">
        <v>150</v>
      </c>
    </row>
    <row r="1497" ht="15.75" customHeight="1">
      <c r="A1497" s="4" t="s">
        <v>4853</v>
      </c>
      <c r="B1497" s="2" t="s">
        <v>4855</v>
      </c>
      <c r="C1497" s="2">
        <v>343.0</v>
      </c>
      <c r="D1497" s="2">
        <v>339.0</v>
      </c>
      <c r="E1497" s="2">
        <v>28600.0</v>
      </c>
      <c r="F1497" s="2" t="s">
        <v>150</v>
      </c>
    </row>
    <row r="1498" ht="15.75" customHeight="1">
      <c r="A1498" s="4" t="s">
        <v>2806</v>
      </c>
      <c r="B1498" s="2" t="s">
        <v>2808</v>
      </c>
      <c r="C1498" s="2">
        <v>338.0</v>
      </c>
      <c r="D1498" s="2">
        <v>341.0</v>
      </c>
      <c r="E1498" s="2">
        <v>25810.0</v>
      </c>
      <c r="F1498" s="2" t="s">
        <v>150</v>
      </c>
    </row>
    <row r="1499" ht="15.75" customHeight="1">
      <c r="A1499" s="4" t="s">
        <v>4858</v>
      </c>
      <c r="B1499" s="2" t="s">
        <v>4859</v>
      </c>
      <c r="C1499" s="2">
        <v>67.0</v>
      </c>
      <c r="D1499" s="2">
        <v>63.0</v>
      </c>
      <c r="E1499" s="2" t="s">
        <v>150</v>
      </c>
      <c r="F1499" s="2" t="s">
        <v>150</v>
      </c>
    </row>
    <row r="1500" ht="15.75" hidden="1" customHeight="1">
      <c r="A1500" s="4" t="s">
        <v>2810</v>
      </c>
      <c r="B1500" s="2" t="s">
        <v>2811</v>
      </c>
      <c r="C1500" s="2">
        <v>56254.0</v>
      </c>
      <c r="D1500" s="2">
        <v>55550.0</v>
      </c>
      <c r="E1500" s="2">
        <v>21400.0</v>
      </c>
      <c r="F1500" s="2">
        <v>27.3</v>
      </c>
    </row>
    <row r="1501" ht="15.75" customHeight="1">
      <c r="A1501" s="4" t="s">
        <v>4864</v>
      </c>
      <c r="B1501" s="2" t="s">
        <v>4865</v>
      </c>
      <c r="C1501" s="2">
        <v>238.0</v>
      </c>
      <c r="D1501" s="2">
        <v>239.0</v>
      </c>
      <c r="E1501" s="2">
        <v>28450.0</v>
      </c>
      <c r="F1501" s="2" t="s">
        <v>150</v>
      </c>
    </row>
    <row r="1502" ht="15.75" customHeight="1">
      <c r="A1502" s="4" t="s">
        <v>4867</v>
      </c>
      <c r="B1502" s="2" t="s">
        <v>4869</v>
      </c>
      <c r="C1502" s="2">
        <v>209.0</v>
      </c>
      <c r="D1502" s="2">
        <v>192.0</v>
      </c>
      <c r="E1502" s="2">
        <v>27610.0</v>
      </c>
      <c r="F1502" s="2" t="s">
        <v>150</v>
      </c>
    </row>
    <row r="1503" ht="15.75" customHeight="1">
      <c r="A1503" s="4" t="s">
        <v>2812</v>
      </c>
      <c r="B1503" s="2" t="s">
        <v>2813</v>
      </c>
      <c r="C1503" s="2">
        <v>609.0</v>
      </c>
      <c r="D1503" s="2">
        <v>730.0</v>
      </c>
      <c r="E1503" s="2">
        <v>30190.0</v>
      </c>
      <c r="F1503" s="2" t="s">
        <v>150</v>
      </c>
    </row>
    <row r="1504" ht="15.75" customHeight="1">
      <c r="A1504" s="4" t="s">
        <v>4874</v>
      </c>
      <c r="B1504" s="2" t="s">
        <v>4875</v>
      </c>
      <c r="C1504" s="2">
        <v>94.0</v>
      </c>
      <c r="D1504" s="2">
        <v>68.0</v>
      </c>
      <c r="E1504" s="2" t="s">
        <v>150</v>
      </c>
      <c r="F1504" s="2" t="s">
        <v>150</v>
      </c>
    </row>
    <row r="1505" ht="15.75" customHeight="1">
      <c r="A1505" s="4" t="s">
        <v>4878</v>
      </c>
      <c r="B1505" s="2" t="s">
        <v>377</v>
      </c>
      <c r="C1505" s="2">
        <v>331.0</v>
      </c>
      <c r="D1505" s="2">
        <v>310.0</v>
      </c>
      <c r="E1505" s="2">
        <v>23900.0</v>
      </c>
      <c r="F1505" s="2" t="s">
        <v>150</v>
      </c>
    </row>
    <row r="1506" ht="15.75" customHeight="1">
      <c r="A1506" s="4" t="s">
        <v>2814</v>
      </c>
      <c r="B1506" s="2" t="s">
        <v>2815</v>
      </c>
      <c r="C1506" s="2">
        <v>788.0</v>
      </c>
      <c r="D1506" s="2">
        <v>813.0</v>
      </c>
      <c r="E1506" s="2">
        <v>29520.0</v>
      </c>
      <c r="F1506" s="2" t="s">
        <v>150</v>
      </c>
    </row>
    <row r="1507" ht="15.75" customHeight="1">
      <c r="A1507" s="4" t="s">
        <v>2816</v>
      </c>
      <c r="B1507" s="2" t="s">
        <v>2817</v>
      </c>
      <c r="C1507" s="2">
        <v>1004.0</v>
      </c>
      <c r="D1507" s="2">
        <v>912.0</v>
      </c>
      <c r="E1507" s="2">
        <v>27230.0</v>
      </c>
      <c r="F1507" s="2" t="s">
        <v>150</v>
      </c>
    </row>
    <row r="1508" ht="15.75" customHeight="1">
      <c r="A1508" s="4" t="s">
        <v>2818</v>
      </c>
      <c r="B1508" s="2" t="s">
        <v>2819</v>
      </c>
      <c r="C1508" s="2">
        <v>1633.0</v>
      </c>
      <c r="D1508" s="2">
        <v>1564.0</v>
      </c>
      <c r="E1508" s="2">
        <v>25410.0</v>
      </c>
      <c r="F1508" s="2" t="s">
        <v>150</v>
      </c>
    </row>
    <row r="1509" ht="15.75" customHeight="1">
      <c r="A1509" s="4" t="s">
        <v>4886</v>
      </c>
      <c r="B1509" s="2" t="s">
        <v>4887</v>
      </c>
      <c r="C1509" s="2">
        <v>218.0</v>
      </c>
      <c r="D1509" s="2">
        <v>214.0</v>
      </c>
      <c r="E1509" s="2">
        <v>32620.0</v>
      </c>
      <c r="F1509" s="2" t="s">
        <v>150</v>
      </c>
    </row>
    <row r="1510" ht="15.75" customHeight="1">
      <c r="A1510" s="4" t="s">
        <v>2892</v>
      </c>
      <c r="B1510" s="2" t="s">
        <v>2893</v>
      </c>
      <c r="C1510" s="2">
        <v>1060.0</v>
      </c>
      <c r="D1510" s="2">
        <v>996.0</v>
      </c>
      <c r="E1510" s="2">
        <v>27850.0</v>
      </c>
      <c r="F1510" s="2" t="s">
        <v>150</v>
      </c>
    </row>
    <row r="1511" ht="15.75" hidden="1" customHeight="1">
      <c r="A1511" s="4" t="s">
        <v>2894</v>
      </c>
      <c r="B1511" s="2" t="s">
        <v>2895</v>
      </c>
      <c r="C1511" s="2">
        <v>3078.0</v>
      </c>
      <c r="D1511" s="2">
        <v>3111.0</v>
      </c>
      <c r="E1511" s="2">
        <v>24630.0</v>
      </c>
      <c r="F1511" s="2">
        <v>14.0</v>
      </c>
    </row>
    <row r="1512" ht="15.75" customHeight="1">
      <c r="A1512" s="4" t="s">
        <v>2820</v>
      </c>
      <c r="B1512" s="2" t="s">
        <v>2821</v>
      </c>
      <c r="C1512" s="2">
        <v>1161.0</v>
      </c>
      <c r="D1512" s="2">
        <v>1100.0</v>
      </c>
      <c r="E1512" s="2">
        <v>29360.0</v>
      </c>
      <c r="F1512" s="2" t="s">
        <v>150</v>
      </c>
    </row>
    <row r="1513" ht="15.75" customHeight="1">
      <c r="A1513" s="4" t="s">
        <v>4896</v>
      </c>
      <c r="B1513" s="2" t="s">
        <v>4897</v>
      </c>
      <c r="C1513" s="2">
        <v>442.0</v>
      </c>
      <c r="D1513" s="2">
        <v>495.0</v>
      </c>
      <c r="E1513" s="2">
        <v>28940.0</v>
      </c>
      <c r="F1513" s="2" t="s">
        <v>150</v>
      </c>
    </row>
    <row r="1514" ht="15.75" customHeight="1">
      <c r="A1514" s="4" t="s">
        <v>4900</v>
      </c>
      <c r="B1514" s="2" t="s">
        <v>4901</v>
      </c>
      <c r="C1514" s="2">
        <v>175.0</v>
      </c>
      <c r="D1514" s="2">
        <v>160.0</v>
      </c>
      <c r="E1514" s="2">
        <v>28130.0</v>
      </c>
      <c r="F1514" s="2" t="s">
        <v>150</v>
      </c>
    </row>
    <row r="1515" ht="15.75" customHeight="1">
      <c r="A1515" s="4" t="s">
        <v>4904</v>
      </c>
      <c r="B1515" s="2" t="s">
        <v>4905</v>
      </c>
      <c r="C1515" s="2">
        <v>317.0</v>
      </c>
      <c r="D1515" s="2">
        <v>308.0</v>
      </c>
      <c r="E1515" s="2">
        <v>27600.0</v>
      </c>
      <c r="F1515" s="2" t="s">
        <v>150</v>
      </c>
    </row>
    <row r="1516" ht="15.75" customHeight="1">
      <c r="A1516" s="4" t="s">
        <v>2822</v>
      </c>
      <c r="B1516" s="2" t="s">
        <v>2824</v>
      </c>
      <c r="C1516" s="2">
        <v>602.0</v>
      </c>
      <c r="D1516" s="2">
        <v>592.0</v>
      </c>
      <c r="E1516" s="2">
        <v>26430.0</v>
      </c>
      <c r="F1516" s="2" t="s">
        <v>150</v>
      </c>
    </row>
    <row r="1517" ht="15.75" customHeight="1">
      <c r="A1517" s="4" t="s">
        <v>2826</v>
      </c>
      <c r="B1517" s="2" t="s">
        <v>2828</v>
      </c>
      <c r="C1517" s="2">
        <v>1190.0</v>
      </c>
      <c r="D1517" s="2">
        <v>1189.0</v>
      </c>
      <c r="E1517" s="2">
        <v>31100.0</v>
      </c>
      <c r="F1517" s="2" t="s">
        <v>150</v>
      </c>
    </row>
    <row r="1518" ht="15.75" customHeight="1">
      <c r="A1518" s="4" t="s">
        <v>4906</v>
      </c>
      <c r="B1518" s="2" t="s">
        <v>4907</v>
      </c>
      <c r="C1518" s="2">
        <v>146.0</v>
      </c>
      <c r="D1518" s="2">
        <v>143.0</v>
      </c>
      <c r="E1518" s="2">
        <v>22080.0</v>
      </c>
      <c r="F1518" s="2" t="s">
        <v>150</v>
      </c>
    </row>
    <row r="1519" ht="15.75" customHeight="1">
      <c r="A1519" s="4" t="s">
        <v>4908</v>
      </c>
      <c r="B1519" s="2" t="s">
        <v>4909</v>
      </c>
      <c r="C1519" s="2">
        <v>533.0</v>
      </c>
      <c r="D1519" s="2">
        <v>498.0</v>
      </c>
      <c r="E1519" s="2">
        <v>23940.0</v>
      </c>
      <c r="F1519" s="2" t="s">
        <v>150</v>
      </c>
    </row>
    <row r="1520" ht="15.75" customHeight="1">
      <c r="A1520" s="4" t="s">
        <v>4910</v>
      </c>
      <c r="B1520" s="2" t="s">
        <v>4911</v>
      </c>
      <c r="C1520" s="2">
        <v>349.0</v>
      </c>
      <c r="D1520" s="2">
        <v>356.0</v>
      </c>
      <c r="E1520" s="2">
        <v>27030.0</v>
      </c>
      <c r="F1520" s="2" t="s">
        <v>150</v>
      </c>
    </row>
    <row r="1521" ht="15.75" customHeight="1">
      <c r="A1521" s="4" t="s">
        <v>4912</v>
      </c>
      <c r="B1521" s="2" t="s">
        <v>4913</v>
      </c>
      <c r="C1521" s="2">
        <v>93.0</v>
      </c>
      <c r="D1521" s="2">
        <v>125.0</v>
      </c>
      <c r="E1521" s="2">
        <v>26280.0</v>
      </c>
      <c r="F1521" s="2" t="s">
        <v>150</v>
      </c>
    </row>
    <row r="1522" ht="15.75" customHeight="1">
      <c r="A1522" s="4" t="s">
        <v>2830</v>
      </c>
      <c r="B1522" s="2" t="s">
        <v>2831</v>
      </c>
      <c r="C1522" s="2">
        <v>999.0</v>
      </c>
      <c r="D1522" s="2">
        <v>942.0</v>
      </c>
      <c r="E1522" s="2">
        <v>29360.0</v>
      </c>
      <c r="F1522" s="2" t="s">
        <v>150</v>
      </c>
    </row>
    <row r="1523" ht="15.75" customHeight="1">
      <c r="A1523" s="4" t="s">
        <v>4916</v>
      </c>
      <c r="B1523" s="2" t="s">
        <v>4918</v>
      </c>
      <c r="C1523" s="2">
        <v>474.0</v>
      </c>
      <c r="D1523" s="2">
        <v>467.0</v>
      </c>
      <c r="E1523" s="2">
        <v>29330.0</v>
      </c>
      <c r="F1523" s="2" t="s">
        <v>150</v>
      </c>
    </row>
    <row r="1524" ht="15.75" customHeight="1">
      <c r="A1524" s="4" t="s">
        <v>4922</v>
      </c>
      <c r="B1524" s="2" t="s">
        <v>4923</v>
      </c>
      <c r="C1524" s="2">
        <v>805.0</v>
      </c>
      <c r="D1524" s="2">
        <v>787.0</v>
      </c>
      <c r="E1524" s="2">
        <v>26320.0</v>
      </c>
      <c r="F1524" s="2" t="s">
        <v>150</v>
      </c>
    </row>
    <row r="1525" ht="15.75" customHeight="1">
      <c r="A1525" s="4" t="s">
        <v>2834</v>
      </c>
      <c r="B1525" s="2" t="s">
        <v>2835</v>
      </c>
      <c r="C1525" s="2">
        <v>1025.0</v>
      </c>
      <c r="D1525" s="2">
        <v>986.0</v>
      </c>
      <c r="E1525" s="2">
        <v>28300.0</v>
      </c>
      <c r="F1525" s="2" t="s">
        <v>150</v>
      </c>
    </row>
    <row r="1526" ht="15.75" customHeight="1">
      <c r="A1526" s="4" t="s">
        <v>2838</v>
      </c>
      <c r="B1526" s="2" t="s">
        <v>2839</v>
      </c>
      <c r="C1526" s="2">
        <v>169.0</v>
      </c>
      <c r="D1526" s="2">
        <v>201.0</v>
      </c>
      <c r="E1526" s="2">
        <v>28600.0</v>
      </c>
      <c r="F1526" s="2" t="s">
        <v>150</v>
      </c>
    </row>
    <row r="1527" ht="15.75" customHeight="1">
      <c r="A1527" s="4" t="s">
        <v>4928</v>
      </c>
      <c r="B1527" s="2" t="s">
        <v>4929</v>
      </c>
      <c r="C1527" s="2">
        <v>204.0</v>
      </c>
      <c r="D1527" s="2">
        <v>189.0</v>
      </c>
      <c r="E1527" s="2">
        <v>28090.0</v>
      </c>
      <c r="F1527" s="2" t="s">
        <v>150</v>
      </c>
    </row>
    <row r="1528" ht="15.75" customHeight="1">
      <c r="A1528" s="4" t="s">
        <v>2841</v>
      </c>
      <c r="B1528" s="2" t="s">
        <v>2843</v>
      </c>
      <c r="C1528" s="2">
        <v>2165.0</v>
      </c>
      <c r="D1528" s="2">
        <v>2135.0</v>
      </c>
      <c r="E1528" s="2">
        <v>29290.0</v>
      </c>
      <c r="F1528" s="2" t="s">
        <v>150</v>
      </c>
    </row>
    <row r="1529" ht="15.75" customHeight="1">
      <c r="A1529" s="4" t="s">
        <v>4934</v>
      </c>
      <c r="B1529" s="2" t="s">
        <v>4937</v>
      </c>
      <c r="C1529" s="2">
        <v>334.0</v>
      </c>
      <c r="D1529" s="2">
        <v>367.0</v>
      </c>
      <c r="E1529" s="2">
        <v>39980.0</v>
      </c>
      <c r="F1529" s="2" t="s">
        <v>150</v>
      </c>
    </row>
    <row r="1530" ht="15.75" hidden="1" customHeight="1">
      <c r="A1530" s="4" t="s">
        <v>2845</v>
      </c>
      <c r="B1530" s="2" t="s">
        <v>2847</v>
      </c>
      <c r="C1530" s="2">
        <v>4817.0</v>
      </c>
      <c r="D1530" s="2">
        <v>4832.0</v>
      </c>
      <c r="E1530" s="2">
        <v>27960.0</v>
      </c>
      <c r="F1530" s="2">
        <v>7.0</v>
      </c>
    </row>
    <row r="1531" ht="15.75" customHeight="1">
      <c r="A1531" s="4" t="s">
        <v>4940</v>
      </c>
      <c r="B1531" s="2" t="s">
        <v>4942</v>
      </c>
      <c r="C1531" s="2">
        <v>412.0</v>
      </c>
      <c r="D1531" s="2">
        <v>382.0</v>
      </c>
      <c r="E1531" s="2">
        <v>30690.0</v>
      </c>
      <c r="F1531" s="2" t="s">
        <v>150</v>
      </c>
    </row>
    <row r="1532" ht="15.75" customHeight="1">
      <c r="A1532" s="4" t="s">
        <v>2850</v>
      </c>
      <c r="B1532" s="2" t="s">
        <v>2851</v>
      </c>
      <c r="C1532" s="2">
        <v>387.0</v>
      </c>
      <c r="D1532" s="2">
        <v>423.0</v>
      </c>
      <c r="E1532" s="2">
        <v>29470.0</v>
      </c>
      <c r="F1532" s="2" t="s">
        <v>150</v>
      </c>
    </row>
    <row r="1533" ht="15.75" customHeight="1">
      <c r="A1533" s="4" t="s">
        <v>4947</v>
      </c>
      <c r="B1533" s="2" t="s">
        <v>4949</v>
      </c>
      <c r="C1533" s="2">
        <v>382.0</v>
      </c>
      <c r="D1533" s="2">
        <v>429.0</v>
      </c>
      <c r="E1533" s="2">
        <v>32220.0</v>
      </c>
      <c r="F1533" s="2" t="s">
        <v>150</v>
      </c>
    </row>
    <row r="1534" ht="15.75" customHeight="1">
      <c r="A1534" s="4" t="s">
        <v>4951</v>
      </c>
      <c r="B1534" s="2" t="s">
        <v>4953</v>
      </c>
      <c r="C1534" s="2">
        <v>223.0</v>
      </c>
      <c r="D1534" s="2">
        <v>194.0</v>
      </c>
      <c r="E1534" s="2">
        <v>28470.0</v>
      </c>
      <c r="F1534" s="2" t="s">
        <v>150</v>
      </c>
    </row>
    <row r="1535" ht="15.75" customHeight="1">
      <c r="A1535" s="4" t="s">
        <v>4956</v>
      </c>
      <c r="B1535" s="2" t="s">
        <v>4957</v>
      </c>
      <c r="C1535" s="2">
        <v>471.0</v>
      </c>
      <c r="D1535" s="2">
        <v>472.0</v>
      </c>
      <c r="E1535" s="2">
        <v>26000.0</v>
      </c>
      <c r="F1535" s="2" t="s">
        <v>150</v>
      </c>
    </row>
    <row r="1536" ht="15.75" customHeight="1">
      <c r="A1536" s="4" t="s">
        <v>4960</v>
      </c>
      <c r="B1536" s="2" t="s">
        <v>4961</v>
      </c>
      <c r="C1536" s="2">
        <v>300.0</v>
      </c>
      <c r="D1536" s="2">
        <v>303.0</v>
      </c>
      <c r="E1536" s="2">
        <v>31140.0</v>
      </c>
      <c r="F1536" s="2" t="s">
        <v>150</v>
      </c>
    </row>
    <row r="1537" ht="15.75" customHeight="1">
      <c r="A1537" s="4" t="s">
        <v>2852</v>
      </c>
      <c r="B1537" s="2" t="s">
        <v>2853</v>
      </c>
      <c r="C1537" s="2">
        <v>341.0</v>
      </c>
      <c r="D1537" s="2">
        <v>343.0</v>
      </c>
      <c r="E1537" s="2">
        <v>29740.0</v>
      </c>
      <c r="F1537" s="2" t="s">
        <v>150</v>
      </c>
    </row>
    <row r="1538" ht="15.75" customHeight="1">
      <c r="A1538" s="4" t="s">
        <v>4966</v>
      </c>
      <c r="B1538" s="2" t="s">
        <v>4968</v>
      </c>
      <c r="C1538" s="2">
        <v>220.0</v>
      </c>
      <c r="D1538" s="2">
        <v>213.0</v>
      </c>
      <c r="E1538" s="2">
        <v>30880.0</v>
      </c>
      <c r="F1538" s="2" t="s">
        <v>150</v>
      </c>
    </row>
    <row r="1539" ht="15.75" customHeight="1">
      <c r="A1539" s="4" t="s">
        <v>4970</v>
      </c>
      <c r="B1539" s="2" t="s">
        <v>4972</v>
      </c>
      <c r="C1539" s="2">
        <v>160.0</v>
      </c>
      <c r="D1539" s="2">
        <v>170.0</v>
      </c>
      <c r="E1539" s="2">
        <v>27810.0</v>
      </c>
      <c r="F1539" s="2" t="s">
        <v>150</v>
      </c>
    </row>
    <row r="1540" ht="15.75" customHeight="1">
      <c r="A1540" s="4" t="s">
        <v>4974</v>
      </c>
      <c r="B1540" s="2" t="s">
        <v>4975</v>
      </c>
      <c r="C1540" s="2">
        <v>169.0</v>
      </c>
      <c r="D1540" s="2">
        <v>174.0</v>
      </c>
      <c r="E1540" s="2">
        <v>28720.0</v>
      </c>
      <c r="F1540" s="2" t="s">
        <v>150</v>
      </c>
    </row>
    <row r="1541" ht="15.75" customHeight="1">
      <c r="A1541" s="4" t="s">
        <v>4978</v>
      </c>
      <c r="B1541" s="2" t="s">
        <v>4979</v>
      </c>
      <c r="C1541" s="2">
        <v>107.0</v>
      </c>
      <c r="D1541" s="2">
        <v>110.0</v>
      </c>
      <c r="E1541" s="2">
        <v>31220.0</v>
      </c>
      <c r="F1541" s="2" t="s">
        <v>150</v>
      </c>
    </row>
    <row r="1542" ht="15.75" customHeight="1">
      <c r="A1542" s="4" t="s">
        <v>2881</v>
      </c>
      <c r="B1542" s="2" t="s">
        <v>2883</v>
      </c>
      <c r="C1542" s="2">
        <v>636.0</v>
      </c>
      <c r="D1542" s="2">
        <v>627.0</v>
      </c>
      <c r="E1542" s="2">
        <v>27910.0</v>
      </c>
      <c r="F1542" s="2" t="s">
        <v>150</v>
      </c>
    </row>
    <row r="1543" ht="15.75" hidden="1" customHeight="1">
      <c r="A1543" s="4" t="s">
        <v>2854</v>
      </c>
      <c r="B1543" s="2" t="s">
        <v>2856</v>
      </c>
      <c r="C1543" s="2">
        <v>2016.0</v>
      </c>
      <c r="D1543" s="2">
        <v>2105.0</v>
      </c>
      <c r="E1543" s="2">
        <v>27190.0</v>
      </c>
      <c r="F1543" s="2">
        <v>8.0</v>
      </c>
    </row>
    <row r="1544" ht="15.75" hidden="1" customHeight="1">
      <c r="A1544" s="4" t="s">
        <v>2860</v>
      </c>
      <c r="B1544" s="2" t="s">
        <v>2861</v>
      </c>
      <c r="C1544" s="2">
        <v>4147.0</v>
      </c>
      <c r="D1544" s="2">
        <v>4029.0</v>
      </c>
      <c r="E1544" s="2">
        <v>25000.0</v>
      </c>
      <c r="F1544" s="2">
        <v>13.0</v>
      </c>
    </row>
    <row r="1545" ht="15.75" hidden="1" customHeight="1">
      <c r="A1545" s="4" t="s">
        <v>2864</v>
      </c>
      <c r="B1545" s="2" t="s">
        <v>2865</v>
      </c>
      <c r="C1545" s="2">
        <v>4340.0</v>
      </c>
      <c r="D1545" s="2">
        <v>4222.0</v>
      </c>
      <c r="E1545" s="2">
        <v>21230.0</v>
      </c>
      <c r="F1545" s="2">
        <v>24.0</v>
      </c>
    </row>
    <row r="1546" ht="15.75" customHeight="1">
      <c r="A1546" s="4" t="s">
        <v>2884</v>
      </c>
      <c r="B1546" s="2" t="s">
        <v>2886</v>
      </c>
      <c r="C1546" s="2">
        <v>410.0</v>
      </c>
      <c r="D1546" s="2">
        <v>435.0</v>
      </c>
      <c r="E1546" s="2">
        <v>23070.0</v>
      </c>
      <c r="F1546" s="2" t="s">
        <v>150</v>
      </c>
    </row>
    <row r="1547" ht="15.75" hidden="1" customHeight="1">
      <c r="A1547" s="4" t="s">
        <v>2868</v>
      </c>
      <c r="B1547" s="2" t="s">
        <v>2869</v>
      </c>
      <c r="C1547" s="2">
        <v>2648.0</v>
      </c>
      <c r="D1547" s="2">
        <v>2467.0</v>
      </c>
      <c r="E1547" s="2">
        <v>28220.0</v>
      </c>
      <c r="F1547" s="2">
        <v>6.0</v>
      </c>
    </row>
    <row r="1548" ht="15.75" hidden="1" customHeight="1">
      <c r="A1548" s="4" t="s">
        <v>2870</v>
      </c>
      <c r="B1548" s="2" t="s">
        <v>2871</v>
      </c>
      <c r="C1548" s="2">
        <v>3087.0</v>
      </c>
      <c r="D1548" s="2">
        <v>3183.0</v>
      </c>
      <c r="E1548" s="2">
        <v>29280.0</v>
      </c>
      <c r="F1548" s="2">
        <v>6.0</v>
      </c>
    </row>
    <row r="1549" ht="15.75" customHeight="1">
      <c r="A1549" s="4" t="s">
        <v>4994</v>
      </c>
      <c r="B1549" s="2" t="s">
        <v>4995</v>
      </c>
      <c r="C1549" s="2">
        <v>283.0</v>
      </c>
      <c r="D1549" s="2">
        <v>302.0</v>
      </c>
      <c r="E1549" s="2">
        <v>25450.0</v>
      </c>
      <c r="F1549" s="2" t="s">
        <v>150</v>
      </c>
    </row>
    <row r="1550" ht="15.75" customHeight="1">
      <c r="A1550" s="4" t="s">
        <v>2874</v>
      </c>
      <c r="B1550" s="2" t="s">
        <v>2875</v>
      </c>
      <c r="C1550" s="2">
        <v>256.0</v>
      </c>
      <c r="D1550" s="2">
        <v>244.0</v>
      </c>
      <c r="E1550" s="2">
        <v>25830.0</v>
      </c>
      <c r="F1550" s="2" t="s">
        <v>150</v>
      </c>
    </row>
    <row r="1551" ht="15.75" customHeight="1">
      <c r="A1551" s="4" t="s">
        <v>5000</v>
      </c>
      <c r="B1551" s="2" t="s">
        <v>5001</v>
      </c>
      <c r="C1551" s="2">
        <v>242.0</v>
      </c>
      <c r="D1551" s="2">
        <v>231.0</v>
      </c>
      <c r="E1551" s="2">
        <v>24290.0</v>
      </c>
      <c r="F1551" s="2" t="s">
        <v>150</v>
      </c>
    </row>
    <row r="1552" ht="15.75" customHeight="1">
      <c r="A1552" s="4" t="s">
        <v>5003</v>
      </c>
      <c r="B1552" s="2" t="s">
        <v>5005</v>
      </c>
      <c r="C1552" s="2">
        <v>172.0</v>
      </c>
      <c r="D1552" s="2">
        <v>150.0</v>
      </c>
      <c r="E1552" s="2">
        <v>24440.0</v>
      </c>
      <c r="F1552" s="2" t="s">
        <v>150</v>
      </c>
    </row>
    <row r="1553" ht="15.75" customHeight="1">
      <c r="A1553" s="4" t="s">
        <v>2878</v>
      </c>
      <c r="B1553" s="2" t="s">
        <v>2879</v>
      </c>
      <c r="C1553" s="2">
        <v>344.0</v>
      </c>
      <c r="D1553" s="2">
        <v>335.0</v>
      </c>
      <c r="E1553" s="2">
        <v>24150.0</v>
      </c>
      <c r="F1553" s="2" t="s">
        <v>150</v>
      </c>
    </row>
    <row r="1554" ht="15.75" customHeight="1">
      <c r="A1554" s="4" t="s">
        <v>5008</v>
      </c>
      <c r="B1554" s="2" t="s">
        <v>5010</v>
      </c>
      <c r="C1554" s="2">
        <v>188.0</v>
      </c>
      <c r="D1554" s="2">
        <v>209.0</v>
      </c>
      <c r="E1554" s="2">
        <v>28940.0</v>
      </c>
      <c r="F1554" s="2" t="s">
        <v>150</v>
      </c>
    </row>
    <row r="1555" ht="15.75" customHeight="1">
      <c r="A1555" s="4" t="s">
        <v>5012</v>
      </c>
      <c r="B1555" s="2" t="s">
        <v>5013</v>
      </c>
      <c r="C1555" s="2">
        <v>145.0</v>
      </c>
      <c r="D1555" s="2">
        <v>143.0</v>
      </c>
      <c r="E1555" s="2">
        <v>27040.0</v>
      </c>
      <c r="F1555" s="2" t="s">
        <v>150</v>
      </c>
    </row>
    <row r="1556" ht="15.75" customHeight="1">
      <c r="A1556" s="4" t="s">
        <v>2888</v>
      </c>
      <c r="B1556" s="2" t="s">
        <v>2889</v>
      </c>
      <c r="C1556" s="2">
        <v>894.0</v>
      </c>
      <c r="D1556" s="2">
        <v>830.0</v>
      </c>
      <c r="E1556" s="2">
        <v>26390.0</v>
      </c>
      <c r="F1556" s="2" t="s">
        <v>150</v>
      </c>
    </row>
    <row r="1557" ht="15.75" hidden="1" customHeight="1">
      <c r="A1557" s="4" t="s">
        <v>2890</v>
      </c>
      <c r="B1557" s="2" t="s">
        <v>2891</v>
      </c>
      <c r="C1557" s="2">
        <v>2971.0</v>
      </c>
      <c r="D1557" s="2">
        <v>2838.0</v>
      </c>
      <c r="E1557" s="2">
        <v>26630.0</v>
      </c>
      <c r="F1557" s="2">
        <v>10.0</v>
      </c>
    </row>
    <row r="1558" ht="15.75" customHeight="1">
      <c r="A1558" s="4" t="s">
        <v>5020</v>
      </c>
      <c r="B1558" s="2" t="s">
        <v>5021</v>
      </c>
      <c r="C1558" s="2">
        <v>323.0</v>
      </c>
      <c r="D1558" s="2">
        <v>305.0</v>
      </c>
      <c r="E1558" s="2">
        <v>26280.0</v>
      </c>
      <c r="F1558" s="2" t="s">
        <v>150</v>
      </c>
    </row>
    <row r="1559" ht="15.75" customHeight="1">
      <c r="A1559" s="4" t="s">
        <v>5024</v>
      </c>
      <c r="B1559" s="2" t="s">
        <v>5025</v>
      </c>
      <c r="C1559" s="2">
        <v>511.0</v>
      </c>
      <c r="D1559" s="2">
        <v>518.0</v>
      </c>
      <c r="E1559" s="2">
        <v>26390.0</v>
      </c>
      <c r="F1559" s="2" t="s">
        <v>150</v>
      </c>
    </row>
    <row r="1560" ht="15.75" customHeight="1">
      <c r="A1560" s="4" t="s">
        <v>2898</v>
      </c>
      <c r="B1560" s="2" t="s">
        <v>2899</v>
      </c>
      <c r="C1560" s="2">
        <v>1949.0</v>
      </c>
      <c r="D1560" s="2">
        <v>1831.0</v>
      </c>
      <c r="E1560" s="2">
        <v>25750.0</v>
      </c>
      <c r="F1560" s="2" t="s">
        <v>150</v>
      </c>
    </row>
    <row r="1561" ht="15.75" customHeight="1">
      <c r="A1561" s="4" t="s">
        <v>2896</v>
      </c>
      <c r="B1561" s="2" t="s">
        <v>2897</v>
      </c>
      <c r="C1561" s="2">
        <v>1145.0</v>
      </c>
      <c r="D1561" s="2">
        <v>1146.0</v>
      </c>
      <c r="E1561" s="2">
        <v>30500.0</v>
      </c>
      <c r="F1561" s="2" t="s">
        <v>150</v>
      </c>
    </row>
    <row r="1562" ht="15.75" customHeight="1">
      <c r="A1562" s="4" t="s">
        <v>5036</v>
      </c>
      <c r="B1562" s="2" t="s">
        <v>5037</v>
      </c>
      <c r="C1562" s="2">
        <v>161.0</v>
      </c>
      <c r="D1562" s="2">
        <v>160.0</v>
      </c>
      <c r="E1562" s="2">
        <v>24220.0</v>
      </c>
      <c r="F1562" s="2" t="s">
        <v>150</v>
      </c>
    </row>
    <row r="1563" ht="15.75" customHeight="1">
      <c r="A1563" s="4" t="s">
        <v>2901</v>
      </c>
      <c r="B1563" s="2" t="s">
        <v>2903</v>
      </c>
      <c r="C1563" s="2">
        <v>503.0</v>
      </c>
      <c r="D1563" s="2">
        <v>483.0</v>
      </c>
      <c r="E1563" s="2">
        <v>23930.0</v>
      </c>
      <c r="F1563" s="2" t="s">
        <v>150</v>
      </c>
    </row>
    <row r="1564" ht="15.75" customHeight="1">
      <c r="A1564" s="4" t="s">
        <v>5043</v>
      </c>
      <c r="B1564" s="2" t="s">
        <v>5045</v>
      </c>
      <c r="C1564" s="2">
        <v>490.0</v>
      </c>
      <c r="D1564" s="2">
        <v>469.0</v>
      </c>
      <c r="E1564" s="2">
        <v>26300.0</v>
      </c>
      <c r="F1564" s="2" t="s">
        <v>150</v>
      </c>
    </row>
    <row r="1565" ht="15.75" customHeight="1">
      <c r="A1565" s="4" t="s">
        <v>5046</v>
      </c>
      <c r="B1565" s="2" t="s">
        <v>5047</v>
      </c>
      <c r="C1565" s="2">
        <v>297.0</v>
      </c>
      <c r="D1565" s="2">
        <v>321.0</v>
      </c>
      <c r="E1565" s="2">
        <v>26800.0</v>
      </c>
      <c r="F1565" s="2" t="s">
        <v>150</v>
      </c>
    </row>
    <row r="1566" ht="15.75" customHeight="1">
      <c r="A1566" s="4" t="s">
        <v>2904</v>
      </c>
      <c r="B1566" s="2" t="s">
        <v>2905</v>
      </c>
      <c r="C1566" s="2">
        <v>782.0</v>
      </c>
      <c r="D1566" s="2">
        <v>741.0</v>
      </c>
      <c r="E1566" s="2">
        <v>29360.0</v>
      </c>
      <c r="F1566" s="2" t="s">
        <v>150</v>
      </c>
    </row>
    <row r="1567" ht="15.75" customHeight="1">
      <c r="A1567" s="4" t="s">
        <v>5052</v>
      </c>
      <c r="B1567" s="2" t="s">
        <v>5053</v>
      </c>
      <c r="C1567" s="2">
        <v>510.0</v>
      </c>
      <c r="D1567" s="2">
        <v>515.0</v>
      </c>
      <c r="E1567" s="2">
        <v>26780.0</v>
      </c>
      <c r="F1567" s="2" t="s">
        <v>150</v>
      </c>
    </row>
    <row r="1568" ht="15.75" customHeight="1">
      <c r="A1568" s="4" t="s">
        <v>5056</v>
      </c>
      <c r="B1568" s="2" t="s">
        <v>5057</v>
      </c>
      <c r="C1568" s="2">
        <v>392.0</v>
      </c>
      <c r="D1568" s="2">
        <v>415.0</v>
      </c>
      <c r="E1568" s="2">
        <v>26250.0</v>
      </c>
      <c r="F1568" s="2" t="s">
        <v>150</v>
      </c>
    </row>
    <row r="1569" ht="15.75" customHeight="1">
      <c r="A1569" s="4" t="s">
        <v>5060</v>
      </c>
      <c r="B1569" s="2" t="s">
        <v>5061</v>
      </c>
      <c r="C1569" s="2">
        <v>228.0</v>
      </c>
      <c r="D1569" s="2">
        <v>222.0</v>
      </c>
      <c r="E1569" s="2">
        <v>24340.0</v>
      </c>
      <c r="F1569" s="2" t="s">
        <v>150</v>
      </c>
    </row>
    <row r="1570" ht="15.75" customHeight="1">
      <c r="A1570" s="4" t="s">
        <v>2906</v>
      </c>
      <c r="B1570" s="2" t="s">
        <v>2907</v>
      </c>
      <c r="C1570" s="2">
        <v>1514.0</v>
      </c>
      <c r="D1570" s="2">
        <v>1393.0</v>
      </c>
      <c r="E1570" s="2">
        <v>26450.0</v>
      </c>
      <c r="F1570" s="2" t="s">
        <v>150</v>
      </c>
    </row>
    <row r="1571" ht="15.75" customHeight="1">
      <c r="A1571" s="4" t="s">
        <v>2910</v>
      </c>
      <c r="B1571" s="2" t="s">
        <v>2911</v>
      </c>
      <c r="C1571" s="2">
        <v>1041.0</v>
      </c>
      <c r="D1571" s="2">
        <v>1125.0</v>
      </c>
      <c r="E1571" s="2">
        <v>28640.0</v>
      </c>
      <c r="F1571" s="2" t="s">
        <v>150</v>
      </c>
    </row>
    <row r="1572" ht="15.75" customHeight="1">
      <c r="A1572" s="4" t="s">
        <v>5067</v>
      </c>
      <c r="B1572" s="2" t="s">
        <v>5068</v>
      </c>
      <c r="C1572" s="2">
        <v>109.0</v>
      </c>
      <c r="D1572" s="2">
        <v>100.0</v>
      </c>
      <c r="E1572" s="2">
        <v>28150.0</v>
      </c>
      <c r="F1572" s="2" t="s">
        <v>150</v>
      </c>
    </row>
    <row r="1573" ht="15.75" customHeight="1">
      <c r="A1573" s="4" t="s">
        <v>5071</v>
      </c>
      <c r="B1573" s="2" t="s">
        <v>5072</v>
      </c>
      <c r="C1573" s="2">
        <v>191.0</v>
      </c>
      <c r="D1573" s="2">
        <v>176.0</v>
      </c>
      <c r="E1573" s="2">
        <v>27450.0</v>
      </c>
      <c r="F1573" s="2" t="s">
        <v>150</v>
      </c>
    </row>
    <row r="1574" ht="15.75" customHeight="1">
      <c r="A1574" s="4" t="s">
        <v>2912</v>
      </c>
      <c r="B1574" s="2" t="s">
        <v>2913</v>
      </c>
      <c r="C1574" s="2">
        <v>536.0</v>
      </c>
      <c r="D1574" s="2">
        <v>542.0</v>
      </c>
      <c r="E1574" s="2">
        <v>25710.0</v>
      </c>
      <c r="F1574" s="2" t="s">
        <v>150</v>
      </c>
    </row>
    <row r="1575" ht="15.75" hidden="1" customHeight="1">
      <c r="A1575" s="4" t="s">
        <v>2914</v>
      </c>
      <c r="B1575" s="2" t="s">
        <v>2915</v>
      </c>
      <c r="C1575" s="2">
        <v>2540.0</v>
      </c>
      <c r="D1575" s="2">
        <v>2649.0</v>
      </c>
      <c r="E1575" s="2">
        <v>27300.0</v>
      </c>
      <c r="F1575" s="2">
        <v>9.0</v>
      </c>
    </row>
    <row r="1576" ht="15.75" customHeight="1">
      <c r="A1576" s="4" t="s">
        <v>2916</v>
      </c>
      <c r="B1576" s="2" t="s">
        <v>2919</v>
      </c>
      <c r="C1576" s="2">
        <v>1662.0</v>
      </c>
      <c r="D1576" s="2">
        <v>1669.0</v>
      </c>
      <c r="E1576" s="2">
        <v>29170.0</v>
      </c>
      <c r="F1576" s="2" t="s">
        <v>150</v>
      </c>
    </row>
    <row r="1577" ht="15.75" customHeight="1">
      <c r="A1577" s="4" t="s">
        <v>2932</v>
      </c>
      <c r="B1577" s="2" t="s">
        <v>2934</v>
      </c>
      <c r="C1577" s="2">
        <v>501.0</v>
      </c>
      <c r="D1577" s="2">
        <v>467.0</v>
      </c>
      <c r="E1577" s="2">
        <v>27400.0</v>
      </c>
      <c r="F1577" s="2" t="s">
        <v>150</v>
      </c>
    </row>
    <row r="1578" ht="15.75" customHeight="1">
      <c r="A1578" s="4" t="s">
        <v>5083</v>
      </c>
      <c r="B1578" s="2" t="s">
        <v>5084</v>
      </c>
      <c r="C1578" s="2">
        <v>297.0</v>
      </c>
      <c r="D1578" s="2">
        <v>288.0</v>
      </c>
      <c r="E1578" s="2">
        <v>26740.0</v>
      </c>
      <c r="F1578" s="2" t="s">
        <v>150</v>
      </c>
    </row>
    <row r="1579" ht="15.75" customHeight="1">
      <c r="A1579" s="4" t="s">
        <v>2935</v>
      </c>
      <c r="B1579" s="2" t="s">
        <v>2936</v>
      </c>
      <c r="C1579" s="2">
        <v>910.0</v>
      </c>
      <c r="D1579" s="2">
        <v>1043.0</v>
      </c>
      <c r="E1579" s="2">
        <v>36590.0</v>
      </c>
      <c r="F1579" s="2" t="s">
        <v>150</v>
      </c>
    </row>
    <row r="1580" ht="15.75" hidden="1" customHeight="1">
      <c r="A1580" s="4" t="s">
        <v>2938</v>
      </c>
      <c r="B1580" s="2" t="s">
        <v>2939</v>
      </c>
      <c r="C1580" s="2">
        <v>10174.0</v>
      </c>
      <c r="D1580" s="2">
        <v>9959.0</v>
      </c>
      <c r="E1580" s="2">
        <v>26560.0</v>
      </c>
      <c r="F1580" s="2">
        <v>12.0</v>
      </c>
    </row>
    <row r="1581" ht="15.75" customHeight="1">
      <c r="A1581" s="4" t="s">
        <v>2942</v>
      </c>
      <c r="B1581" s="2" t="s">
        <v>2943</v>
      </c>
      <c r="C1581" s="2">
        <v>315.0</v>
      </c>
      <c r="D1581" s="2">
        <v>300.0</v>
      </c>
      <c r="E1581" s="2">
        <v>28520.0</v>
      </c>
      <c r="F1581" s="2" t="s">
        <v>150</v>
      </c>
    </row>
    <row r="1582" ht="15.75" hidden="1" customHeight="1">
      <c r="A1582" s="4" t="s">
        <v>2944</v>
      </c>
      <c r="B1582" s="2" t="s">
        <v>2945</v>
      </c>
      <c r="C1582" s="2">
        <v>10863.0</v>
      </c>
      <c r="D1582" s="2">
        <v>10591.0</v>
      </c>
      <c r="E1582" s="2">
        <v>31380.0</v>
      </c>
      <c r="F1582" s="2">
        <v>11.0</v>
      </c>
    </row>
    <row r="1583" ht="15.75" hidden="1" customHeight="1">
      <c r="A1583" s="4" t="s">
        <v>3154</v>
      </c>
      <c r="B1583" s="2" t="s">
        <v>3155</v>
      </c>
      <c r="C1583" s="2">
        <v>3141.0</v>
      </c>
      <c r="D1583" s="2">
        <v>3084.0</v>
      </c>
      <c r="E1583" s="2">
        <v>31850.0</v>
      </c>
      <c r="F1583" s="2">
        <v>6.0</v>
      </c>
    </row>
    <row r="1584" ht="15.75" hidden="1" customHeight="1">
      <c r="A1584" s="4" t="s">
        <v>2946</v>
      </c>
      <c r="B1584" s="2" t="s">
        <v>2947</v>
      </c>
      <c r="C1584" s="2">
        <v>3269.0</v>
      </c>
      <c r="D1584" s="2">
        <v>3338.0</v>
      </c>
      <c r="E1584" s="2">
        <v>25740.0</v>
      </c>
      <c r="F1584" s="2">
        <v>10.0</v>
      </c>
    </row>
    <row r="1585" ht="15.75" customHeight="1">
      <c r="A1585" s="4" t="s">
        <v>5103</v>
      </c>
      <c r="B1585" s="2" t="s">
        <v>5104</v>
      </c>
      <c r="C1585" s="2">
        <v>172.0</v>
      </c>
      <c r="D1585" s="2">
        <v>159.0</v>
      </c>
      <c r="E1585" s="2">
        <v>32490.0</v>
      </c>
      <c r="F1585" s="2" t="s">
        <v>150</v>
      </c>
    </row>
    <row r="1586" ht="15.75" customHeight="1">
      <c r="A1586" s="4" t="s">
        <v>2949</v>
      </c>
      <c r="B1586" s="2" t="s">
        <v>2950</v>
      </c>
      <c r="C1586" s="2">
        <v>507.0</v>
      </c>
      <c r="D1586" s="2">
        <v>471.0</v>
      </c>
      <c r="E1586" s="2">
        <v>29900.0</v>
      </c>
      <c r="F1586" s="2" t="s">
        <v>150</v>
      </c>
    </row>
    <row r="1587" ht="15.75" customHeight="1">
      <c r="A1587" s="4" t="s">
        <v>2952</v>
      </c>
      <c r="B1587" s="2" t="s">
        <v>2953</v>
      </c>
      <c r="C1587" s="2">
        <v>431.0</v>
      </c>
      <c r="D1587" s="2">
        <v>442.0</v>
      </c>
      <c r="E1587" s="2">
        <v>23800.0</v>
      </c>
      <c r="F1587" s="2" t="s">
        <v>150</v>
      </c>
    </row>
    <row r="1588" ht="15.75" customHeight="1">
      <c r="A1588" s="4" t="s">
        <v>2954</v>
      </c>
      <c r="B1588" s="2" t="s">
        <v>2955</v>
      </c>
      <c r="C1588" s="2">
        <v>869.0</v>
      </c>
      <c r="D1588" s="2">
        <v>772.0</v>
      </c>
      <c r="E1588" s="2">
        <v>29480.0</v>
      </c>
      <c r="F1588" s="2" t="s">
        <v>150</v>
      </c>
    </row>
    <row r="1589" ht="15.75" customHeight="1">
      <c r="A1589" s="4" t="s">
        <v>5113</v>
      </c>
      <c r="B1589" s="2" t="s">
        <v>5114</v>
      </c>
      <c r="C1589" s="2">
        <v>425.0</v>
      </c>
      <c r="D1589" s="2">
        <v>399.0</v>
      </c>
      <c r="E1589" s="2">
        <v>29920.0</v>
      </c>
      <c r="F1589" s="2" t="s">
        <v>150</v>
      </c>
    </row>
    <row r="1590" ht="15.75" hidden="1" customHeight="1">
      <c r="A1590" s="4" t="s">
        <v>2958</v>
      </c>
      <c r="B1590" s="2" t="s">
        <v>2959</v>
      </c>
      <c r="C1590" s="2">
        <v>1993.0</v>
      </c>
      <c r="D1590" s="2">
        <v>2036.0</v>
      </c>
      <c r="E1590" s="2">
        <v>27730.0</v>
      </c>
      <c r="F1590" s="2">
        <v>7.0</v>
      </c>
    </row>
    <row r="1591" ht="15.75" customHeight="1">
      <c r="A1591" s="4" t="s">
        <v>2960</v>
      </c>
      <c r="B1591" s="2" t="s">
        <v>2961</v>
      </c>
      <c r="C1591" s="2">
        <v>1199.0</v>
      </c>
      <c r="D1591" s="2">
        <v>1093.0</v>
      </c>
      <c r="E1591" s="2">
        <v>25660.0</v>
      </c>
      <c r="F1591" s="2" t="s">
        <v>150</v>
      </c>
    </row>
    <row r="1592" ht="15.75" hidden="1" customHeight="1">
      <c r="A1592" s="4" t="s">
        <v>2963</v>
      </c>
      <c r="B1592" s="2" t="s">
        <v>2965</v>
      </c>
      <c r="C1592" s="2">
        <v>3291.0</v>
      </c>
      <c r="D1592" s="2">
        <v>3449.0</v>
      </c>
      <c r="E1592" s="2">
        <v>28600.0</v>
      </c>
      <c r="F1592" s="2">
        <v>8.0</v>
      </c>
    </row>
    <row r="1593" ht="15.75" customHeight="1">
      <c r="A1593" s="4" t="s">
        <v>5125</v>
      </c>
      <c r="B1593" s="2" t="s">
        <v>5128</v>
      </c>
      <c r="C1593" s="2">
        <v>236.0</v>
      </c>
      <c r="D1593" s="2">
        <v>252.0</v>
      </c>
      <c r="E1593" s="2">
        <v>28380.0</v>
      </c>
      <c r="F1593" s="2" t="s">
        <v>150</v>
      </c>
    </row>
    <row r="1594" ht="15.75" customHeight="1">
      <c r="A1594" s="4" t="s">
        <v>5131</v>
      </c>
      <c r="B1594" s="2" t="s">
        <v>5132</v>
      </c>
      <c r="C1594" s="2">
        <v>103.0</v>
      </c>
      <c r="D1594" s="2">
        <v>98.0</v>
      </c>
      <c r="E1594" s="2">
        <v>23990.0</v>
      </c>
      <c r="F1594" s="2" t="s">
        <v>150</v>
      </c>
    </row>
    <row r="1595" ht="15.75" customHeight="1">
      <c r="A1595" s="4" t="s">
        <v>2966</v>
      </c>
      <c r="B1595" s="2" t="s">
        <v>2967</v>
      </c>
      <c r="C1595" s="2">
        <v>1556.0</v>
      </c>
      <c r="D1595" s="2">
        <v>1630.0</v>
      </c>
      <c r="E1595" s="2">
        <v>30380.0</v>
      </c>
      <c r="F1595" s="2" t="s">
        <v>150</v>
      </c>
    </row>
    <row r="1596" ht="15.75" hidden="1" customHeight="1">
      <c r="A1596" s="4" t="s">
        <v>2970</v>
      </c>
      <c r="B1596" s="2" t="s">
        <v>2971</v>
      </c>
      <c r="C1596" s="2">
        <v>3977.0</v>
      </c>
      <c r="D1596" s="2">
        <v>3978.0</v>
      </c>
      <c r="E1596" s="2">
        <v>25970.0</v>
      </c>
      <c r="F1596" s="2">
        <v>12.0</v>
      </c>
    </row>
    <row r="1597" ht="15.75" hidden="1" customHeight="1">
      <c r="A1597" s="4" t="s">
        <v>2972</v>
      </c>
      <c r="B1597" s="2" t="s">
        <v>2973</v>
      </c>
      <c r="C1597" s="2">
        <v>2165.0</v>
      </c>
      <c r="D1597" s="2">
        <v>2208.0</v>
      </c>
      <c r="E1597" s="2">
        <v>28230.0</v>
      </c>
      <c r="F1597" s="2">
        <v>7.0</v>
      </c>
    </row>
    <row r="1598" ht="15.75" hidden="1" customHeight="1">
      <c r="A1598" s="4" t="s">
        <v>2976</v>
      </c>
      <c r="B1598" s="2" t="s">
        <v>2977</v>
      </c>
      <c r="C1598" s="2">
        <v>10147.0</v>
      </c>
      <c r="D1598" s="2">
        <v>10564.0</v>
      </c>
      <c r="E1598" s="2">
        <v>23800.0</v>
      </c>
      <c r="F1598" s="2">
        <v>19.0</v>
      </c>
    </row>
    <row r="1599" ht="15.75" customHeight="1">
      <c r="A1599" s="4" t="s">
        <v>5146</v>
      </c>
      <c r="B1599" s="2" t="s">
        <v>5148</v>
      </c>
      <c r="C1599" s="2">
        <v>251.0</v>
      </c>
      <c r="D1599" s="2">
        <v>249.0</v>
      </c>
      <c r="E1599" s="2">
        <v>26090.0</v>
      </c>
      <c r="F1599" s="2" t="s">
        <v>150</v>
      </c>
    </row>
    <row r="1600" ht="15.75" hidden="1" customHeight="1">
      <c r="A1600" s="4" t="s">
        <v>2980</v>
      </c>
      <c r="B1600" s="2" t="s">
        <v>2981</v>
      </c>
      <c r="C1600" s="2">
        <v>40199.0</v>
      </c>
      <c r="D1600" s="2">
        <v>40761.0</v>
      </c>
      <c r="E1600" s="2">
        <v>23310.0</v>
      </c>
      <c r="F1600" s="2">
        <v>24.4</v>
      </c>
    </row>
    <row r="1601" ht="15.75" customHeight="1">
      <c r="A1601" s="4" t="s">
        <v>5154</v>
      </c>
      <c r="B1601" s="2" t="s">
        <v>5155</v>
      </c>
      <c r="C1601" s="2">
        <v>705.0</v>
      </c>
      <c r="D1601" s="2">
        <v>734.0</v>
      </c>
      <c r="E1601" s="2">
        <v>26020.0</v>
      </c>
      <c r="F1601" s="2" t="s">
        <v>150</v>
      </c>
    </row>
    <row r="1602" ht="15.75" customHeight="1">
      <c r="A1602" s="4" t="s">
        <v>5158</v>
      </c>
      <c r="B1602" s="2" t="s">
        <v>5159</v>
      </c>
      <c r="C1602" s="2">
        <v>73.0</v>
      </c>
      <c r="D1602" s="2">
        <v>71.0</v>
      </c>
      <c r="E1602" s="2" t="s">
        <v>150</v>
      </c>
      <c r="F1602" s="2" t="s">
        <v>150</v>
      </c>
    </row>
    <row r="1603" ht="15.75" customHeight="1">
      <c r="A1603" s="4" t="s">
        <v>5162</v>
      </c>
      <c r="B1603" s="2" t="s">
        <v>5164</v>
      </c>
      <c r="C1603" s="2">
        <v>332.0</v>
      </c>
      <c r="D1603" s="2">
        <v>357.0</v>
      </c>
      <c r="E1603" s="2">
        <v>29440.0</v>
      </c>
      <c r="F1603" s="2" t="s">
        <v>150</v>
      </c>
    </row>
    <row r="1604" ht="15.75" customHeight="1">
      <c r="A1604" s="4" t="s">
        <v>2984</v>
      </c>
      <c r="B1604" s="2" t="s">
        <v>2985</v>
      </c>
      <c r="C1604" s="2">
        <v>421.0</v>
      </c>
      <c r="D1604" s="2">
        <v>392.0</v>
      </c>
      <c r="E1604" s="2">
        <v>26270.0</v>
      </c>
      <c r="F1604" s="2" t="s">
        <v>150</v>
      </c>
    </row>
    <row r="1605" ht="15.75" customHeight="1">
      <c r="A1605" s="4" t="s">
        <v>3217</v>
      </c>
      <c r="B1605" s="2" t="s">
        <v>3218</v>
      </c>
      <c r="C1605" s="2">
        <v>906.0</v>
      </c>
      <c r="D1605" s="2">
        <v>870.0</v>
      </c>
      <c r="E1605" s="2">
        <v>23230.0</v>
      </c>
      <c r="F1605" s="2" t="s">
        <v>150</v>
      </c>
    </row>
    <row r="1606" ht="15.75" customHeight="1">
      <c r="A1606" s="4" t="s">
        <v>5169</v>
      </c>
      <c r="B1606" s="2" t="s">
        <v>5171</v>
      </c>
      <c r="C1606" s="2">
        <v>544.0</v>
      </c>
      <c r="D1606" s="2">
        <v>554.0</v>
      </c>
      <c r="E1606" s="2">
        <v>28300.0</v>
      </c>
      <c r="F1606" s="2" t="s">
        <v>150</v>
      </c>
    </row>
    <row r="1607" ht="15.75" customHeight="1">
      <c r="A1607" s="4" t="s">
        <v>2988</v>
      </c>
      <c r="B1607" s="2" t="s">
        <v>2989</v>
      </c>
      <c r="C1607" s="2">
        <v>1062.0</v>
      </c>
      <c r="D1607" s="2">
        <v>1050.0</v>
      </c>
      <c r="E1607" s="2">
        <v>28870.0</v>
      </c>
      <c r="F1607" s="2" t="s">
        <v>150</v>
      </c>
    </row>
    <row r="1608" ht="15.75" customHeight="1">
      <c r="A1608" s="4" t="s">
        <v>2990</v>
      </c>
      <c r="B1608" s="2" t="s">
        <v>2991</v>
      </c>
      <c r="C1608" s="2">
        <v>541.0</v>
      </c>
      <c r="D1608" s="2">
        <v>592.0</v>
      </c>
      <c r="E1608" s="2">
        <v>24480.0</v>
      </c>
      <c r="F1608" s="2" t="s">
        <v>150</v>
      </c>
    </row>
    <row r="1609" ht="15.75" customHeight="1">
      <c r="A1609" s="4" t="s">
        <v>5177</v>
      </c>
      <c r="B1609" s="2" t="s">
        <v>5179</v>
      </c>
      <c r="C1609" s="2">
        <v>205.0</v>
      </c>
      <c r="D1609" s="2">
        <v>210.0</v>
      </c>
      <c r="E1609" s="2">
        <v>24620.0</v>
      </c>
      <c r="F1609" s="2" t="s">
        <v>150</v>
      </c>
    </row>
    <row r="1610" ht="15.75" customHeight="1">
      <c r="A1610" s="4" t="s">
        <v>2993</v>
      </c>
      <c r="B1610" s="2" t="s">
        <v>2995</v>
      </c>
      <c r="C1610" s="2">
        <v>821.0</v>
      </c>
      <c r="D1610" s="2">
        <v>809.0</v>
      </c>
      <c r="E1610" s="2">
        <v>27940.0</v>
      </c>
      <c r="F1610" s="2" t="s">
        <v>150</v>
      </c>
    </row>
    <row r="1611" ht="15.75" customHeight="1">
      <c r="A1611" s="4" t="s">
        <v>2996</v>
      </c>
      <c r="B1611" s="2" t="s">
        <v>2997</v>
      </c>
      <c r="C1611" s="2">
        <v>602.0</v>
      </c>
      <c r="D1611" s="2">
        <v>581.0</v>
      </c>
      <c r="E1611" s="2">
        <v>36890.0</v>
      </c>
      <c r="F1611" s="2" t="s">
        <v>150</v>
      </c>
    </row>
    <row r="1612" ht="15.75" customHeight="1">
      <c r="A1612" s="4" t="s">
        <v>5185</v>
      </c>
      <c r="B1612" s="2" t="s">
        <v>5188</v>
      </c>
      <c r="C1612" s="2">
        <v>181.0</v>
      </c>
      <c r="D1612" s="2">
        <v>171.0</v>
      </c>
      <c r="E1612" s="2">
        <v>27000.0</v>
      </c>
      <c r="F1612" s="2" t="s">
        <v>150</v>
      </c>
    </row>
    <row r="1613" ht="15.75" hidden="1" customHeight="1">
      <c r="A1613" s="4" t="s">
        <v>2998</v>
      </c>
      <c r="B1613" s="2" t="s">
        <v>2999</v>
      </c>
      <c r="C1613" s="2">
        <v>3931.0</v>
      </c>
      <c r="D1613" s="2">
        <v>3915.0</v>
      </c>
      <c r="E1613" s="2">
        <v>37040.0</v>
      </c>
      <c r="F1613" s="2">
        <v>6.0</v>
      </c>
    </row>
    <row r="1614" ht="15.75" customHeight="1">
      <c r="A1614" s="4" t="s">
        <v>3002</v>
      </c>
      <c r="B1614" s="2" t="s">
        <v>3003</v>
      </c>
      <c r="C1614" s="2">
        <v>809.0</v>
      </c>
      <c r="D1614" s="2">
        <v>803.0</v>
      </c>
      <c r="E1614" s="2">
        <v>27390.0</v>
      </c>
      <c r="F1614" s="2" t="s">
        <v>150</v>
      </c>
    </row>
    <row r="1615" ht="15.75" customHeight="1">
      <c r="A1615" s="4" t="s">
        <v>3005</v>
      </c>
      <c r="B1615" s="2" t="s">
        <v>3007</v>
      </c>
      <c r="C1615" s="2">
        <v>202.0</v>
      </c>
      <c r="D1615" s="2">
        <v>225.0</v>
      </c>
      <c r="E1615" s="2">
        <v>24950.0</v>
      </c>
      <c r="F1615" s="2" t="s">
        <v>150</v>
      </c>
    </row>
    <row r="1616" ht="15.75" hidden="1" customHeight="1">
      <c r="A1616" s="4" t="s">
        <v>3009</v>
      </c>
      <c r="B1616" s="2" t="s">
        <v>3011</v>
      </c>
      <c r="C1616" s="2">
        <v>35657.0</v>
      </c>
      <c r="D1616" s="2">
        <v>36301.0</v>
      </c>
      <c r="E1616" s="2">
        <v>16820.0</v>
      </c>
      <c r="F1616" s="2">
        <v>43.5</v>
      </c>
    </row>
    <row r="1617" ht="15.75" hidden="1" customHeight="1">
      <c r="A1617" s="4" t="s">
        <v>3026</v>
      </c>
      <c r="B1617" s="2" t="s">
        <v>3027</v>
      </c>
      <c r="C1617" s="2">
        <v>15090.0</v>
      </c>
      <c r="D1617" s="2">
        <v>14351.0</v>
      </c>
      <c r="E1617" s="2">
        <v>25750.0</v>
      </c>
      <c r="F1617" s="2">
        <v>13.0</v>
      </c>
    </row>
    <row r="1618" ht="15.75" customHeight="1">
      <c r="A1618" s="4" t="s">
        <v>5203</v>
      </c>
      <c r="B1618" s="2" t="s">
        <v>5204</v>
      </c>
      <c r="C1618" s="2">
        <v>448.0</v>
      </c>
      <c r="D1618" s="2">
        <v>435.0</v>
      </c>
      <c r="E1618" s="2">
        <v>28390.0</v>
      </c>
      <c r="F1618" s="2" t="s">
        <v>150</v>
      </c>
    </row>
    <row r="1619" ht="15.75" hidden="1" customHeight="1">
      <c r="A1619" s="4" t="s">
        <v>3022</v>
      </c>
      <c r="B1619" s="2" t="s">
        <v>3025</v>
      </c>
      <c r="C1619" s="2">
        <v>3535.0</v>
      </c>
      <c r="D1619" s="2">
        <v>3462.0</v>
      </c>
      <c r="E1619" s="2">
        <v>23190.0</v>
      </c>
      <c r="F1619" s="2">
        <v>20.0</v>
      </c>
    </row>
    <row r="1620" ht="15.75" customHeight="1">
      <c r="A1620" s="4" t="s">
        <v>5209</v>
      </c>
      <c r="B1620" s="2" t="s">
        <v>5211</v>
      </c>
      <c r="C1620" s="2">
        <v>147.0</v>
      </c>
      <c r="D1620" s="2">
        <v>159.0</v>
      </c>
      <c r="E1620" s="2">
        <v>24490.0</v>
      </c>
      <c r="F1620" s="2" t="s">
        <v>150</v>
      </c>
    </row>
    <row r="1621" ht="15.75" customHeight="1">
      <c r="A1621" s="4" t="s">
        <v>3013</v>
      </c>
      <c r="B1621" s="2" t="s">
        <v>3014</v>
      </c>
      <c r="C1621" s="2">
        <v>491.0</v>
      </c>
      <c r="D1621" s="2">
        <v>488.0</v>
      </c>
      <c r="E1621" s="2">
        <v>25730.0</v>
      </c>
      <c r="F1621" s="2" t="s">
        <v>150</v>
      </c>
    </row>
    <row r="1622" ht="15.75" customHeight="1">
      <c r="A1622" s="4" t="s">
        <v>3016</v>
      </c>
      <c r="B1622" s="2" t="s">
        <v>3017</v>
      </c>
      <c r="C1622" s="2">
        <v>935.0</v>
      </c>
      <c r="D1622" s="2">
        <v>917.0</v>
      </c>
      <c r="E1622" s="2">
        <v>24950.0</v>
      </c>
      <c r="F1622" s="2" t="s">
        <v>150</v>
      </c>
    </row>
    <row r="1623" ht="15.75" customHeight="1">
      <c r="A1623" s="4" t="s">
        <v>5218</v>
      </c>
      <c r="B1623" s="2" t="s">
        <v>5219</v>
      </c>
      <c r="C1623" s="2">
        <v>182.0</v>
      </c>
      <c r="D1623" s="2">
        <v>178.0</v>
      </c>
      <c r="E1623" s="2">
        <v>24480.0</v>
      </c>
      <c r="F1623" s="2" t="s">
        <v>150</v>
      </c>
    </row>
    <row r="1624" ht="15.75" customHeight="1">
      <c r="A1624" s="4" t="s">
        <v>5221</v>
      </c>
      <c r="B1624" s="2" t="s">
        <v>5224</v>
      </c>
      <c r="C1624" s="2">
        <v>266.0</v>
      </c>
      <c r="D1624" s="2">
        <v>231.0</v>
      </c>
      <c r="E1624" s="2">
        <v>29050.0</v>
      </c>
      <c r="F1624" s="2" t="s">
        <v>150</v>
      </c>
    </row>
    <row r="1625" ht="15.75" customHeight="1">
      <c r="A1625" s="4" t="s">
        <v>5227</v>
      </c>
      <c r="B1625" s="2" t="s">
        <v>5228</v>
      </c>
      <c r="C1625" s="2">
        <v>207.0</v>
      </c>
      <c r="D1625" s="2">
        <v>203.0</v>
      </c>
      <c r="E1625" s="2">
        <v>30390.0</v>
      </c>
      <c r="F1625" s="2" t="s">
        <v>150</v>
      </c>
    </row>
    <row r="1626" ht="15.75" customHeight="1">
      <c r="A1626" s="4" t="s">
        <v>3018</v>
      </c>
      <c r="B1626" s="2" t="s">
        <v>3021</v>
      </c>
      <c r="C1626" s="2">
        <v>1098.0</v>
      </c>
      <c r="D1626" s="2">
        <v>1092.0</v>
      </c>
      <c r="E1626" s="2">
        <v>30860.0</v>
      </c>
      <c r="F1626" s="2" t="s">
        <v>150</v>
      </c>
    </row>
    <row r="1627" ht="15.75" customHeight="1">
      <c r="A1627" s="4" t="s">
        <v>5233</v>
      </c>
      <c r="B1627" s="2" t="s">
        <v>5234</v>
      </c>
      <c r="C1627" s="2">
        <v>248.0</v>
      </c>
      <c r="D1627" s="2">
        <v>274.0</v>
      </c>
      <c r="E1627" s="2">
        <v>27830.0</v>
      </c>
      <c r="F1627" s="2" t="s">
        <v>150</v>
      </c>
    </row>
    <row r="1628" ht="15.75" customHeight="1">
      <c r="A1628" s="4" t="s">
        <v>3029</v>
      </c>
      <c r="B1628" s="2" t="s">
        <v>3031</v>
      </c>
      <c r="C1628" s="2">
        <v>943.0</v>
      </c>
      <c r="D1628" s="2">
        <v>987.0</v>
      </c>
      <c r="E1628" s="2">
        <v>25450.0</v>
      </c>
      <c r="F1628" s="2" t="s">
        <v>150</v>
      </c>
    </row>
    <row r="1629" ht="15.75" customHeight="1">
      <c r="A1629" s="4" t="s">
        <v>3034</v>
      </c>
      <c r="B1629" s="2" t="s">
        <v>3035</v>
      </c>
      <c r="C1629" s="2">
        <v>2192.0</v>
      </c>
      <c r="D1629" s="2">
        <v>2042.0</v>
      </c>
      <c r="E1629" s="2">
        <v>24620.0</v>
      </c>
      <c r="F1629" s="2" t="s">
        <v>150</v>
      </c>
    </row>
    <row r="1630" ht="15.75" customHeight="1">
      <c r="A1630" s="4" t="s">
        <v>3038</v>
      </c>
      <c r="B1630" s="2" t="s">
        <v>3039</v>
      </c>
      <c r="C1630" s="2">
        <v>975.0</v>
      </c>
      <c r="D1630" s="2">
        <v>949.0</v>
      </c>
      <c r="E1630" s="2">
        <v>26240.0</v>
      </c>
      <c r="F1630" s="2" t="s">
        <v>150</v>
      </c>
    </row>
    <row r="1631" ht="15.75" customHeight="1">
      <c r="A1631" s="4" t="s">
        <v>3042</v>
      </c>
      <c r="B1631" s="2" t="s">
        <v>3043</v>
      </c>
      <c r="C1631" s="2">
        <v>291.0</v>
      </c>
      <c r="D1631" s="2">
        <v>323.0</v>
      </c>
      <c r="E1631" s="2">
        <v>29740.0</v>
      </c>
      <c r="F1631" s="2" t="s">
        <v>150</v>
      </c>
    </row>
    <row r="1632" ht="15.75" customHeight="1">
      <c r="A1632" s="4" t="s">
        <v>3045</v>
      </c>
      <c r="B1632" s="2" t="s">
        <v>3046</v>
      </c>
      <c r="C1632" s="2">
        <v>637.0</v>
      </c>
      <c r="D1632" s="2">
        <v>620.0</v>
      </c>
      <c r="E1632" s="2">
        <v>25530.0</v>
      </c>
      <c r="F1632" s="2" t="s">
        <v>150</v>
      </c>
    </row>
    <row r="1633" ht="15.75" customHeight="1">
      <c r="A1633" s="4" t="s">
        <v>5247</v>
      </c>
      <c r="B1633" s="2" t="s">
        <v>5249</v>
      </c>
      <c r="C1633" s="2">
        <v>219.0</v>
      </c>
      <c r="D1633" s="2">
        <v>215.0</v>
      </c>
      <c r="E1633" s="2">
        <v>25130.0</v>
      </c>
      <c r="F1633" s="2" t="s">
        <v>150</v>
      </c>
    </row>
    <row r="1634" ht="15.75" customHeight="1">
      <c r="A1634" s="4" t="s">
        <v>5251</v>
      </c>
      <c r="B1634" s="2" t="s">
        <v>5253</v>
      </c>
      <c r="C1634" s="2">
        <v>222.0</v>
      </c>
      <c r="D1634" s="2">
        <v>198.0</v>
      </c>
      <c r="E1634" s="2">
        <v>25460.0</v>
      </c>
      <c r="F1634" s="2" t="s">
        <v>150</v>
      </c>
    </row>
    <row r="1635" ht="15.75" customHeight="1">
      <c r="A1635" s="4" t="s">
        <v>3047</v>
      </c>
      <c r="B1635" s="2" t="s">
        <v>3048</v>
      </c>
      <c r="C1635" s="2">
        <v>253.0</v>
      </c>
      <c r="D1635" s="2">
        <v>239.0</v>
      </c>
      <c r="E1635" s="2">
        <v>24100.0</v>
      </c>
      <c r="F1635" s="2" t="s">
        <v>150</v>
      </c>
    </row>
    <row r="1636" ht="15.75" customHeight="1">
      <c r="A1636" s="4" t="s">
        <v>5258</v>
      </c>
      <c r="B1636" s="2" t="s">
        <v>5260</v>
      </c>
      <c r="C1636" s="2">
        <v>473.0</v>
      </c>
      <c r="D1636" s="2">
        <v>537.0</v>
      </c>
      <c r="E1636" s="2">
        <v>29610.0</v>
      </c>
      <c r="F1636" s="2" t="s">
        <v>150</v>
      </c>
    </row>
    <row r="1637" ht="15.75" customHeight="1">
      <c r="A1637" s="4" t="s">
        <v>3158</v>
      </c>
      <c r="B1637" s="2" t="s">
        <v>3159</v>
      </c>
      <c r="C1637" s="2">
        <v>1001.0</v>
      </c>
      <c r="D1637" s="2">
        <v>1080.0</v>
      </c>
      <c r="E1637" s="2">
        <v>29190.0</v>
      </c>
      <c r="F1637" s="2" t="s">
        <v>150</v>
      </c>
    </row>
    <row r="1638" ht="15.75" customHeight="1">
      <c r="A1638" s="4" t="s">
        <v>3051</v>
      </c>
      <c r="B1638" s="2" t="s">
        <v>3052</v>
      </c>
      <c r="C1638" s="2">
        <v>818.0</v>
      </c>
      <c r="D1638" s="2">
        <v>987.0</v>
      </c>
      <c r="E1638" s="2">
        <v>29500.0</v>
      </c>
      <c r="F1638" s="2" t="s">
        <v>150</v>
      </c>
    </row>
    <row r="1639" ht="15.75" customHeight="1">
      <c r="A1639" s="4" t="s">
        <v>3053</v>
      </c>
      <c r="B1639" s="2" t="s">
        <v>3054</v>
      </c>
      <c r="C1639" s="2">
        <v>401.0</v>
      </c>
      <c r="D1639" s="2">
        <v>376.0</v>
      </c>
      <c r="E1639" s="2">
        <v>26210.0</v>
      </c>
      <c r="F1639" s="2" t="s">
        <v>150</v>
      </c>
    </row>
    <row r="1640" ht="15.75" customHeight="1">
      <c r="A1640" s="4" t="s">
        <v>5270</v>
      </c>
      <c r="B1640" s="2" t="s">
        <v>5272</v>
      </c>
      <c r="C1640" s="2">
        <v>248.0</v>
      </c>
      <c r="D1640" s="2">
        <v>250.0</v>
      </c>
      <c r="E1640" s="2">
        <v>26800.0</v>
      </c>
      <c r="F1640" s="2" t="s">
        <v>150</v>
      </c>
    </row>
    <row r="1641" ht="15.75" customHeight="1">
      <c r="A1641" s="4" t="s">
        <v>3057</v>
      </c>
      <c r="B1641" s="2" t="s">
        <v>3058</v>
      </c>
      <c r="C1641" s="2">
        <v>311.0</v>
      </c>
      <c r="D1641" s="2">
        <v>310.0</v>
      </c>
      <c r="E1641" s="2">
        <v>22730.0</v>
      </c>
      <c r="F1641" s="2" t="s">
        <v>150</v>
      </c>
    </row>
    <row r="1642" ht="15.75" customHeight="1">
      <c r="A1642" s="4" t="s">
        <v>3059</v>
      </c>
      <c r="B1642" s="2" t="s">
        <v>3060</v>
      </c>
      <c r="C1642" s="2">
        <v>240.0</v>
      </c>
      <c r="D1642" s="2">
        <v>248.0</v>
      </c>
      <c r="E1642" s="2">
        <v>25140.0</v>
      </c>
      <c r="F1642" s="2" t="s">
        <v>150</v>
      </c>
    </row>
    <row r="1643" ht="15.75" customHeight="1">
      <c r="A1643" s="4" t="s">
        <v>5279</v>
      </c>
      <c r="B1643" s="2" t="s">
        <v>5281</v>
      </c>
      <c r="C1643" s="2">
        <v>445.0</v>
      </c>
      <c r="D1643" s="2">
        <v>412.0</v>
      </c>
      <c r="E1643" s="2">
        <v>28810.0</v>
      </c>
      <c r="F1643" s="2" t="s">
        <v>150</v>
      </c>
    </row>
    <row r="1644" ht="15.75" customHeight="1">
      <c r="A1644" s="4" t="s">
        <v>5284</v>
      </c>
      <c r="B1644" s="2" t="s">
        <v>5285</v>
      </c>
      <c r="C1644" s="2">
        <v>312.0</v>
      </c>
      <c r="D1644" s="2">
        <v>297.0</v>
      </c>
      <c r="E1644" s="2">
        <v>25730.0</v>
      </c>
      <c r="F1644" s="2" t="s">
        <v>150</v>
      </c>
    </row>
    <row r="1645" ht="15.75" customHeight="1">
      <c r="A1645" s="4" t="s">
        <v>5288</v>
      </c>
      <c r="B1645" s="2" t="s">
        <v>5289</v>
      </c>
      <c r="C1645" s="2">
        <v>53.0</v>
      </c>
      <c r="D1645" s="2">
        <v>48.0</v>
      </c>
      <c r="E1645" s="2" t="s">
        <v>150</v>
      </c>
      <c r="F1645" s="2" t="s">
        <v>150</v>
      </c>
    </row>
    <row r="1646" ht="15.75" customHeight="1">
      <c r="A1646" s="4" t="s">
        <v>3649</v>
      </c>
      <c r="B1646" s="2" t="s">
        <v>3650</v>
      </c>
      <c r="C1646" s="2">
        <v>862.0</v>
      </c>
      <c r="D1646" s="2">
        <v>922.0</v>
      </c>
      <c r="E1646" s="2">
        <v>28830.0</v>
      </c>
      <c r="F1646" s="2" t="s">
        <v>150</v>
      </c>
    </row>
    <row r="1647" ht="15.75" customHeight="1">
      <c r="A1647" s="4" t="s">
        <v>5294</v>
      </c>
      <c r="B1647" s="2" t="s">
        <v>5295</v>
      </c>
      <c r="C1647" s="2">
        <v>287.0</v>
      </c>
      <c r="D1647" s="2">
        <v>283.0</v>
      </c>
      <c r="E1647" s="2">
        <v>29160.0</v>
      </c>
      <c r="F1647" s="2" t="s">
        <v>150</v>
      </c>
    </row>
    <row r="1648" ht="15.75" customHeight="1">
      <c r="A1648" s="4" t="s">
        <v>5297</v>
      </c>
      <c r="B1648" s="2" t="s">
        <v>5299</v>
      </c>
      <c r="C1648" s="2">
        <v>136.0</v>
      </c>
      <c r="D1648" s="2">
        <v>121.0</v>
      </c>
      <c r="E1648" s="2">
        <v>33230.0</v>
      </c>
      <c r="F1648" s="2" t="s">
        <v>150</v>
      </c>
    </row>
    <row r="1649" ht="15.75" customHeight="1">
      <c r="A1649" s="4" t="s">
        <v>3156</v>
      </c>
      <c r="B1649" s="2" t="s">
        <v>3157</v>
      </c>
      <c r="C1649" s="2">
        <v>529.0</v>
      </c>
      <c r="D1649" s="2">
        <v>544.0</v>
      </c>
      <c r="E1649" s="2">
        <v>28130.0</v>
      </c>
      <c r="F1649" s="2" t="s">
        <v>150</v>
      </c>
    </row>
    <row r="1650" ht="15.75" customHeight="1">
      <c r="A1650" s="4" t="s">
        <v>5304</v>
      </c>
      <c r="B1650" s="2" t="s">
        <v>5306</v>
      </c>
      <c r="C1650" s="2">
        <v>244.0</v>
      </c>
      <c r="D1650" s="2">
        <v>281.0</v>
      </c>
      <c r="E1650" s="2">
        <v>29150.0</v>
      </c>
      <c r="F1650" s="2" t="s">
        <v>150</v>
      </c>
    </row>
    <row r="1651" ht="15.75" customHeight="1">
      <c r="A1651" s="4" t="s">
        <v>3653</v>
      </c>
      <c r="B1651" s="2" t="s">
        <v>3654</v>
      </c>
      <c r="C1651" s="2">
        <v>606.0</v>
      </c>
      <c r="D1651" s="2">
        <v>598.0</v>
      </c>
      <c r="E1651" s="2">
        <v>25930.0</v>
      </c>
      <c r="F1651" s="2" t="s">
        <v>150</v>
      </c>
    </row>
    <row r="1652" ht="15.75" customHeight="1">
      <c r="A1652" s="4" t="s">
        <v>3061</v>
      </c>
      <c r="B1652" s="2" t="s">
        <v>3062</v>
      </c>
      <c r="C1652" s="2">
        <v>1609.0</v>
      </c>
      <c r="D1652" s="2">
        <v>1603.0</v>
      </c>
      <c r="E1652" s="2">
        <v>27640.0</v>
      </c>
      <c r="F1652" s="2" t="s">
        <v>150</v>
      </c>
    </row>
    <row r="1653" ht="15.75" customHeight="1">
      <c r="A1653" s="4" t="s">
        <v>3063</v>
      </c>
      <c r="B1653" s="2" t="s">
        <v>3064</v>
      </c>
      <c r="C1653" s="2">
        <v>1007.0</v>
      </c>
      <c r="D1653" s="2">
        <v>906.0</v>
      </c>
      <c r="E1653" s="2">
        <v>33480.0</v>
      </c>
      <c r="F1653" s="2" t="s">
        <v>150</v>
      </c>
    </row>
    <row r="1654" ht="15.75" customHeight="1">
      <c r="A1654" s="4" t="s">
        <v>5314</v>
      </c>
      <c r="B1654" s="2" t="s">
        <v>5316</v>
      </c>
      <c r="C1654" s="2">
        <v>207.0</v>
      </c>
      <c r="D1654" s="2">
        <v>172.0</v>
      </c>
      <c r="E1654" s="2">
        <v>25580.0</v>
      </c>
      <c r="F1654" s="2" t="s">
        <v>150</v>
      </c>
    </row>
    <row r="1655" ht="15.75" customHeight="1">
      <c r="A1655" s="4" t="s">
        <v>5318</v>
      </c>
      <c r="B1655" s="2" t="s">
        <v>5320</v>
      </c>
      <c r="C1655" s="2">
        <v>607.0</v>
      </c>
      <c r="D1655" s="2">
        <v>589.0</v>
      </c>
      <c r="E1655" s="2">
        <v>29460.0</v>
      </c>
      <c r="F1655" s="2" t="s">
        <v>150</v>
      </c>
    </row>
    <row r="1656" ht="15.75" customHeight="1">
      <c r="A1656" s="4" t="s">
        <v>5323</v>
      </c>
      <c r="B1656" s="2" t="s">
        <v>5324</v>
      </c>
      <c r="C1656" s="2">
        <v>183.0</v>
      </c>
      <c r="D1656" s="2">
        <v>185.0</v>
      </c>
      <c r="E1656" s="2">
        <v>26950.0</v>
      </c>
      <c r="F1656" s="2" t="s">
        <v>150</v>
      </c>
    </row>
    <row r="1657" ht="15.75" customHeight="1">
      <c r="A1657" s="4" t="s">
        <v>5327</v>
      </c>
      <c r="B1657" s="2" t="s">
        <v>5328</v>
      </c>
      <c r="C1657" s="2">
        <v>217.0</v>
      </c>
      <c r="D1657" s="2">
        <v>226.0</v>
      </c>
      <c r="E1657" s="2">
        <v>27960.0</v>
      </c>
      <c r="F1657" s="2" t="s">
        <v>150</v>
      </c>
    </row>
    <row r="1658" ht="15.75" customHeight="1">
      <c r="A1658" s="4" t="s">
        <v>3065</v>
      </c>
      <c r="B1658" s="2" t="s">
        <v>3066</v>
      </c>
      <c r="C1658" s="2">
        <v>1573.0</v>
      </c>
      <c r="D1658" s="2">
        <v>1623.0</v>
      </c>
      <c r="E1658" s="2">
        <v>29900.0</v>
      </c>
      <c r="F1658" s="2" t="s">
        <v>150</v>
      </c>
    </row>
    <row r="1659" ht="15.75" customHeight="1">
      <c r="A1659" s="4" t="s">
        <v>5335</v>
      </c>
      <c r="B1659" s="2" t="s">
        <v>5336</v>
      </c>
      <c r="C1659" s="2">
        <v>165.0</v>
      </c>
      <c r="D1659" s="2">
        <v>176.0</v>
      </c>
      <c r="E1659" s="2">
        <v>22770.0</v>
      </c>
      <c r="F1659" s="2" t="s">
        <v>150</v>
      </c>
    </row>
    <row r="1660" ht="15.75" customHeight="1">
      <c r="A1660" s="4" t="s">
        <v>5339</v>
      </c>
      <c r="B1660" s="2" t="s">
        <v>5342</v>
      </c>
      <c r="C1660" s="2">
        <v>505.0</v>
      </c>
      <c r="D1660" s="2">
        <v>507.0</v>
      </c>
      <c r="E1660" s="2">
        <v>25330.0</v>
      </c>
      <c r="F1660" s="2" t="s">
        <v>150</v>
      </c>
    </row>
    <row r="1661" ht="15.75" customHeight="1">
      <c r="A1661" s="4" t="s">
        <v>3067</v>
      </c>
      <c r="B1661" s="2" t="s">
        <v>3068</v>
      </c>
      <c r="C1661" s="2">
        <v>720.0</v>
      </c>
      <c r="D1661" s="2">
        <v>732.0</v>
      </c>
      <c r="E1661" s="2">
        <v>21530.0</v>
      </c>
      <c r="F1661" s="2" t="s">
        <v>150</v>
      </c>
    </row>
    <row r="1662" ht="15.75" customHeight="1">
      <c r="A1662" s="4" t="s">
        <v>3069</v>
      </c>
      <c r="B1662" s="2" t="s">
        <v>3070</v>
      </c>
      <c r="C1662" s="2">
        <v>560.0</v>
      </c>
      <c r="D1662" s="2">
        <v>505.0</v>
      </c>
      <c r="E1662" s="2">
        <v>28140.0</v>
      </c>
      <c r="F1662" s="2" t="s">
        <v>150</v>
      </c>
    </row>
    <row r="1663" ht="15.75" hidden="1" customHeight="1">
      <c r="A1663" s="4" t="s">
        <v>3071</v>
      </c>
      <c r="B1663" s="2" t="s">
        <v>3072</v>
      </c>
      <c r="C1663" s="2">
        <v>3752.0</v>
      </c>
      <c r="D1663" s="2">
        <v>3664.0</v>
      </c>
      <c r="E1663" s="2">
        <v>25890.0</v>
      </c>
      <c r="F1663" s="2">
        <v>9.0</v>
      </c>
    </row>
    <row r="1664" ht="15.75" customHeight="1">
      <c r="A1664" s="4" t="s">
        <v>5353</v>
      </c>
      <c r="B1664" s="2" t="s">
        <v>5354</v>
      </c>
      <c r="C1664" s="2">
        <v>152.0</v>
      </c>
      <c r="D1664" s="2">
        <v>180.0</v>
      </c>
      <c r="E1664" s="2">
        <v>24740.0</v>
      </c>
      <c r="F1664" s="2" t="s">
        <v>150</v>
      </c>
    </row>
    <row r="1665" ht="15.75" customHeight="1">
      <c r="A1665" s="4" t="s">
        <v>3655</v>
      </c>
      <c r="B1665" s="2" t="s">
        <v>3656</v>
      </c>
      <c r="C1665" s="2">
        <v>774.0</v>
      </c>
      <c r="D1665" s="2">
        <v>844.0</v>
      </c>
      <c r="E1665" s="2">
        <v>28000.0</v>
      </c>
      <c r="F1665" s="2" t="s">
        <v>150</v>
      </c>
    </row>
    <row r="1666" ht="15.75" customHeight="1">
      <c r="A1666" s="4" t="s">
        <v>5359</v>
      </c>
      <c r="B1666" s="2" t="s">
        <v>5360</v>
      </c>
      <c r="C1666" s="2">
        <v>421.0</v>
      </c>
      <c r="D1666" s="2">
        <v>411.0</v>
      </c>
      <c r="E1666" s="2">
        <v>30510.0</v>
      </c>
      <c r="F1666" s="2" t="s">
        <v>150</v>
      </c>
    </row>
    <row r="1667" ht="15.75" customHeight="1">
      <c r="A1667" s="4" t="s">
        <v>5363</v>
      </c>
      <c r="B1667" s="2" t="s">
        <v>5365</v>
      </c>
      <c r="C1667" s="2">
        <v>224.0</v>
      </c>
      <c r="D1667" s="2">
        <v>209.0</v>
      </c>
      <c r="E1667" s="2">
        <v>24710.0</v>
      </c>
      <c r="F1667" s="2" t="s">
        <v>150</v>
      </c>
    </row>
    <row r="1668" ht="15.75" customHeight="1">
      <c r="A1668" s="4" t="s">
        <v>5367</v>
      </c>
      <c r="B1668" s="2" t="s">
        <v>5369</v>
      </c>
      <c r="C1668" s="2">
        <v>471.0</v>
      </c>
      <c r="D1668" s="2">
        <v>473.0</v>
      </c>
      <c r="E1668" s="2">
        <v>30970.0</v>
      </c>
      <c r="F1668" s="2" t="s">
        <v>150</v>
      </c>
    </row>
    <row r="1669" ht="15.75" customHeight="1">
      <c r="A1669" s="4" t="s">
        <v>5371</v>
      </c>
      <c r="B1669" s="2" t="s">
        <v>5374</v>
      </c>
      <c r="C1669" s="2">
        <v>220.0</v>
      </c>
      <c r="D1669" s="2">
        <v>233.0</v>
      </c>
      <c r="E1669" s="2">
        <v>29760.0</v>
      </c>
      <c r="F1669" s="2" t="s">
        <v>150</v>
      </c>
    </row>
    <row r="1670" ht="15.75" customHeight="1">
      <c r="A1670" s="4" t="s">
        <v>3219</v>
      </c>
      <c r="B1670" s="2" t="s">
        <v>3220</v>
      </c>
      <c r="C1670" s="2">
        <v>522.0</v>
      </c>
      <c r="D1670" s="2">
        <v>531.0</v>
      </c>
      <c r="E1670" s="2">
        <v>28250.0</v>
      </c>
      <c r="F1670" s="2" t="s">
        <v>150</v>
      </c>
    </row>
    <row r="1671" ht="15.75" customHeight="1">
      <c r="A1671" s="4" t="s">
        <v>5375</v>
      </c>
      <c r="B1671" s="2" t="s">
        <v>5376</v>
      </c>
      <c r="C1671" s="2">
        <v>427.0</v>
      </c>
      <c r="D1671" s="2">
        <v>465.0</v>
      </c>
      <c r="E1671" s="2">
        <v>30590.0</v>
      </c>
      <c r="F1671" s="2" t="s">
        <v>150</v>
      </c>
    </row>
    <row r="1672" ht="15.75" customHeight="1">
      <c r="A1672" s="4" t="s">
        <v>5377</v>
      </c>
      <c r="B1672" s="2" t="s">
        <v>5378</v>
      </c>
      <c r="C1672" s="2">
        <v>480.0</v>
      </c>
      <c r="D1672" s="2">
        <v>435.0</v>
      </c>
      <c r="E1672" s="2">
        <v>24560.0</v>
      </c>
      <c r="F1672" s="2" t="s">
        <v>150</v>
      </c>
    </row>
    <row r="1673" ht="15.75" customHeight="1">
      <c r="A1673" s="4" t="s">
        <v>3073</v>
      </c>
      <c r="B1673" s="2" t="s">
        <v>3074</v>
      </c>
      <c r="C1673" s="2">
        <v>1404.0</v>
      </c>
      <c r="D1673" s="2">
        <v>1437.0</v>
      </c>
      <c r="E1673" s="2">
        <v>20730.0</v>
      </c>
      <c r="F1673" s="2" t="s">
        <v>150</v>
      </c>
    </row>
    <row r="1674" ht="15.75" hidden="1" customHeight="1">
      <c r="A1674" s="4" t="s">
        <v>3075</v>
      </c>
      <c r="B1674" s="2" t="s">
        <v>3076</v>
      </c>
      <c r="C1674" s="2">
        <v>2515.0</v>
      </c>
      <c r="D1674" s="2">
        <v>2514.0</v>
      </c>
      <c r="E1674" s="2">
        <v>27280.0</v>
      </c>
      <c r="F1674" s="2">
        <v>9.0</v>
      </c>
    </row>
    <row r="1675" ht="15.75" customHeight="1">
      <c r="A1675" s="4" t="s">
        <v>3077</v>
      </c>
      <c r="B1675" s="2" t="s">
        <v>3078</v>
      </c>
      <c r="C1675" s="2">
        <v>659.0</v>
      </c>
      <c r="D1675" s="2">
        <v>684.0</v>
      </c>
      <c r="E1675" s="2">
        <v>26500.0</v>
      </c>
      <c r="F1675" s="2" t="s">
        <v>150</v>
      </c>
    </row>
    <row r="1676" ht="15.75" customHeight="1">
      <c r="A1676" s="4" t="s">
        <v>5379</v>
      </c>
      <c r="B1676" s="2" t="s">
        <v>5380</v>
      </c>
      <c r="C1676" s="2">
        <v>213.0</v>
      </c>
      <c r="D1676" s="2">
        <v>225.0</v>
      </c>
      <c r="E1676" s="2">
        <v>23360.0</v>
      </c>
      <c r="F1676" s="2" t="s">
        <v>150</v>
      </c>
    </row>
    <row r="1677" ht="15.75" customHeight="1">
      <c r="A1677" s="4" t="s">
        <v>5381</v>
      </c>
      <c r="B1677" s="2" t="s">
        <v>5382</v>
      </c>
      <c r="C1677" s="2">
        <v>95.0</v>
      </c>
      <c r="D1677" s="2">
        <v>84.0</v>
      </c>
      <c r="E1677" s="2" t="s">
        <v>150</v>
      </c>
      <c r="F1677" s="2" t="s">
        <v>150</v>
      </c>
    </row>
    <row r="1678" ht="15.75" customHeight="1">
      <c r="A1678" s="4" t="s">
        <v>3079</v>
      </c>
      <c r="B1678" s="2" t="s">
        <v>3080</v>
      </c>
      <c r="C1678" s="2">
        <v>1907.0</v>
      </c>
      <c r="D1678" s="2">
        <v>1910.0</v>
      </c>
      <c r="E1678" s="2">
        <v>32660.0</v>
      </c>
      <c r="F1678" s="2" t="s">
        <v>150</v>
      </c>
    </row>
    <row r="1679" ht="15.75" customHeight="1">
      <c r="A1679" s="4" t="s">
        <v>3081</v>
      </c>
      <c r="B1679" s="2" t="s">
        <v>1260</v>
      </c>
      <c r="C1679" s="2">
        <v>553.0</v>
      </c>
      <c r="D1679" s="2">
        <v>592.0</v>
      </c>
      <c r="E1679" s="2">
        <v>27540.0</v>
      </c>
      <c r="F1679" s="2" t="s">
        <v>150</v>
      </c>
    </row>
    <row r="1680" ht="15.75" customHeight="1">
      <c r="A1680" s="4" t="s">
        <v>3082</v>
      </c>
      <c r="B1680" s="2" t="s">
        <v>3083</v>
      </c>
      <c r="C1680" s="2">
        <v>244.0</v>
      </c>
      <c r="D1680" s="2">
        <v>236.0</v>
      </c>
      <c r="E1680" s="2">
        <v>24350.0</v>
      </c>
      <c r="F1680" s="2" t="s">
        <v>150</v>
      </c>
    </row>
    <row r="1681" ht="15.75" customHeight="1">
      <c r="A1681" s="4" t="s">
        <v>5383</v>
      </c>
      <c r="B1681" s="2" t="s">
        <v>5384</v>
      </c>
      <c r="C1681" s="2">
        <v>347.0</v>
      </c>
      <c r="D1681" s="2">
        <v>318.0</v>
      </c>
      <c r="E1681" s="2">
        <v>45570.0</v>
      </c>
      <c r="F1681" s="2" t="s">
        <v>150</v>
      </c>
    </row>
    <row r="1682" ht="15.75" customHeight="1">
      <c r="A1682" s="4" t="s">
        <v>5385</v>
      </c>
      <c r="B1682" s="2" t="s">
        <v>5386</v>
      </c>
      <c r="C1682" s="2">
        <v>507.0</v>
      </c>
      <c r="D1682" s="2">
        <v>502.0</v>
      </c>
      <c r="E1682" s="2">
        <v>26480.0</v>
      </c>
      <c r="F1682" s="2" t="s">
        <v>150</v>
      </c>
    </row>
    <row r="1683" ht="15.75" customHeight="1">
      <c r="A1683" s="4" t="s">
        <v>5387</v>
      </c>
      <c r="B1683" s="2" t="s">
        <v>5388</v>
      </c>
      <c r="C1683" s="2">
        <v>168.0</v>
      </c>
      <c r="D1683" s="2">
        <v>176.0</v>
      </c>
      <c r="E1683" s="2">
        <v>29770.0</v>
      </c>
      <c r="F1683" s="2" t="s">
        <v>150</v>
      </c>
    </row>
    <row r="1684" ht="15.75" customHeight="1">
      <c r="A1684" s="4" t="s">
        <v>5389</v>
      </c>
      <c r="B1684" s="2" t="s">
        <v>5390</v>
      </c>
      <c r="C1684" s="2">
        <v>124.0</v>
      </c>
      <c r="D1684" s="2">
        <v>143.0</v>
      </c>
      <c r="E1684" s="2">
        <v>26340.0</v>
      </c>
      <c r="F1684" s="2" t="s">
        <v>150</v>
      </c>
    </row>
    <row r="1685" ht="15.75" hidden="1" customHeight="1">
      <c r="A1685" s="4" t="s">
        <v>3084</v>
      </c>
      <c r="B1685" s="2" t="s">
        <v>3085</v>
      </c>
      <c r="C1685" s="2">
        <v>2131.0</v>
      </c>
      <c r="D1685" s="2">
        <v>2097.0</v>
      </c>
      <c r="E1685" s="2">
        <v>21260.0</v>
      </c>
      <c r="F1685" s="2">
        <v>24.0</v>
      </c>
    </row>
    <row r="1686" ht="15.75" customHeight="1">
      <c r="A1686" s="4" t="s">
        <v>5391</v>
      </c>
      <c r="B1686" s="2" t="s">
        <v>5392</v>
      </c>
      <c r="C1686" s="2">
        <v>140.0</v>
      </c>
      <c r="D1686" s="2">
        <v>143.0</v>
      </c>
      <c r="E1686" s="2">
        <v>28290.0</v>
      </c>
      <c r="F1686" s="2" t="s">
        <v>150</v>
      </c>
    </row>
    <row r="1687" ht="15.75" customHeight="1">
      <c r="A1687" s="4" t="s">
        <v>5393</v>
      </c>
      <c r="B1687" s="2" t="s">
        <v>4945</v>
      </c>
      <c r="C1687" s="2">
        <v>200.0</v>
      </c>
      <c r="D1687" s="2">
        <v>210.0</v>
      </c>
      <c r="E1687" s="2">
        <v>23070.0</v>
      </c>
      <c r="F1687" s="2" t="s">
        <v>150</v>
      </c>
    </row>
    <row r="1688" ht="15.75" customHeight="1">
      <c r="A1688" s="4" t="s">
        <v>5394</v>
      </c>
      <c r="B1688" s="2" t="s">
        <v>5395</v>
      </c>
      <c r="C1688" s="2">
        <v>198.0</v>
      </c>
      <c r="D1688" s="2">
        <v>193.0</v>
      </c>
      <c r="E1688" s="2">
        <v>29630.0</v>
      </c>
      <c r="F1688" s="2" t="s">
        <v>150</v>
      </c>
    </row>
    <row r="1689" ht="15.75" customHeight="1">
      <c r="A1689" s="4" t="s">
        <v>5396</v>
      </c>
      <c r="B1689" s="2" t="s">
        <v>5397</v>
      </c>
      <c r="C1689" s="2">
        <v>430.0</v>
      </c>
      <c r="D1689" s="2">
        <v>406.0</v>
      </c>
      <c r="E1689" s="2">
        <v>28540.0</v>
      </c>
      <c r="F1689" s="2" t="s">
        <v>150</v>
      </c>
    </row>
    <row r="1690" ht="15.75" customHeight="1">
      <c r="A1690" s="4" t="s">
        <v>5398</v>
      </c>
      <c r="B1690" s="2" t="s">
        <v>5399</v>
      </c>
      <c r="C1690" s="2">
        <v>281.0</v>
      </c>
      <c r="D1690" s="2">
        <v>305.0</v>
      </c>
      <c r="E1690" s="2">
        <v>28360.0</v>
      </c>
      <c r="F1690" s="2" t="s">
        <v>150</v>
      </c>
    </row>
    <row r="1691" ht="15.75" customHeight="1">
      <c r="A1691" s="4" t="s">
        <v>5400</v>
      </c>
      <c r="B1691" s="2" t="s">
        <v>5401</v>
      </c>
      <c r="C1691" s="2">
        <v>518.0</v>
      </c>
      <c r="D1691" s="2">
        <v>519.0</v>
      </c>
      <c r="E1691" s="2">
        <v>27050.0</v>
      </c>
      <c r="F1691" s="2" t="s">
        <v>150</v>
      </c>
    </row>
    <row r="1692" ht="15.75" customHeight="1">
      <c r="A1692" s="4" t="s">
        <v>3086</v>
      </c>
      <c r="B1692" s="2" t="s">
        <v>3087</v>
      </c>
      <c r="C1692" s="2">
        <v>479.0</v>
      </c>
      <c r="D1692" s="2">
        <v>497.0</v>
      </c>
      <c r="E1692" s="2">
        <v>26410.0</v>
      </c>
      <c r="F1692" s="2" t="s">
        <v>150</v>
      </c>
    </row>
    <row r="1693" ht="15.75" customHeight="1">
      <c r="A1693" s="4" t="s">
        <v>5404</v>
      </c>
      <c r="B1693" s="2" t="s">
        <v>5405</v>
      </c>
      <c r="C1693" s="2">
        <v>547.0</v>
      </c>
      <c r="D1693" s="2">
        <v>543.0</v>
      </c>
      <c r="E1693" s="2">
        <v>28760.0</v>
      </c>
      <c r="F1693" s="2" t="s">
        <v>150</v>
      </c>
    </row>
    <row r="1694" ht="15.75" customHeight="1">
      <c r="A1694" s="4" t="s">
        <v>5407</v>
      </c>
      <c r="B1694" s="2" t="s">
        <v>5408</v>
      </c>
      <c r="C1694" s="2">
        <v>349.0</v>
      </c>
      <c r="D1694" s="2">
        <v>323.0</v>
      </c>
      <c r="E1694" s="2">
        <v>25600.0</v>
      </c>
      <c r="F1694" s="2" t="s">
        <v>150</v>
      </c>
    </row>
    <row r="1695" ht="15.75" customHeight="1">
      <c r="A1695" s="4" t="s">
        <v>3319</v>
      </c>
      <c r="B1695" s="2" t="s">
        <v>3320</v>
      </c>
      <c r="C1695" s="2">
        <v>1283.0</v>
      </c>
      <c r="D1695" s="2">
        <v>1326.0</v>
      </c>
      <c r="E1695" s="2">
        <v>28450.0</v>
      </c>
      <c r="F1695" s="2" t="s">
        <v>150</v>
      </c>
    </row>
    <row r="1696" ht="15.75" customHeight="1">
      <c r="A1696" s="4" t="s">
        <v>3088</v>
      </c>
      <c r="B1696" s="2" t="s">
        <v>3089</v>
      </c>
      <c r="C1696" s="2">
        <v>438.0</v>
      </c>
      <c r="D1696" s="2">
        <v>440.0</v>
      </c>
      <c r="E1696" s="2">
        <v>27590.0</v>
      </c>
      <c r="F1696" s="2" t="s">
        <v>150</v>
      </c>
    </row>
    <row r="1697" ht="15.75" customHeight="1">
      <c r="A1697" s="4" t="s">
        <v>5414</v>
      </c>
      <c r="B1697" s="2" t="s">
        <v>5415</v>
      </c>
      <c r="C1697" s="2">
        <v>164.0</v>
      </c>
      <c r="D1697" s="2">
        <v>154.0</v>
      </c>
      <c r="E1697" s="2">
        <v>26800.0</v>
      </c>
      <c r="F1697" s="2" t="s">
        <v>150</v>
      </c>
    </row>
    <row r="1698" ht="15.75" customHeight="1">
      <c r="A1698" s="4" t="s">
        <v>3090</v>
      </c>
      <c r="B1698" s="2" t="s">
        <v>3091</v>
      </c>
      <c r="C1698" s="2">
        <v>915.0</v>
      </c>
      <c r="D1698" s="2">
        <v>871.0</v>
      </c>
      <c r="E1698" s="2">
        <v>29970.0</v>
      </c>
      <c r="F1698" s="2" t="s">
        <v>150</v>
      </c>
    </row>
    <row r="1699" ht="15.75" customHeight="1">
      <c r="A1699" s="4" t="s">
        <v>3092</v>
      </c>
      <c r="B1699" s="2" t="s">
        <v>3093</v>
      </c>
      <c r="C1699" s="2">
        <v>651.0</v>
      </c>
      <c r="D1699" s="2">
        <v>670.0</v>
      </c>
      <c r="E1699" s="2">
        <v>30000.0</v>
      </c>
      <c r="F1699" s="2" t="s">
        <v>150</v>
      </c>
    </row>
    <row r="1700" ht="15.75" customHeight="1">
      <c r="A1700" s="4" t="s">
        <v>3094</v>
      </c>
      <c r="B1700" s="2" t="s">
        <v>3095</v>
      </c>
      <c r="C1700" s="2">
        <v>503.0</v>
      </c>
      <c r="D1700" s="2">
        <v>551.0</v>
      </c>
      <c r="E1700" s="2">
        <v>34140.0</v>
      </c>
      <c r="F1700" s="2" t="s">
        <v>150</v>
      </c>
    </row>
    <row r="1701" ht="15.75" customHeight="1">
      <c r="A1701" s="4" t="s">
        <v>5416</v>
      </c>
      <c r="B1701" s="2" t="s">
        <v>5417</v>
      </c>
      <c r="C1701" s="2">
        <v>249.0</v>
      </c>
      <c r="D1701" s="2">
        <v>224.0</v>
      </c>
      <c r="E1701" s="2">
        <v>25400.0</v>
      </c>
      <c r="F1701" s="2" t="s">
        <v>150</v>
      </c>
    </row>
    <row r="1702" ht="15.75" customHeight="1">
      <c r="A1702" s="4" t="s">
        <v>5418</v>
      </c>
      <c r="B1702" s="2" t="s">
        <v>5419</v>
      </c>
      <c r="C1702" s="2">
        <v>256.0</v>
      </c>
      <c r="D1702" s="2">
        <v>264.0</v>
      </c>
      <c r="E1702" s="2">
        <v>23680.0</v>
      </c>
      <c r="F1702" s="2" t="s">
        <v>150</v>
      </c>
    </row>
    <row r="1703" ht="15.75" customHeight="1">
      <c r="A1703" s="4" t="s">
        <v>3096</v>
      </c>
      <c r="B1703" s="2" t="s">
        <v>3097</v>
      </c>
      <c r="C1703" s="2">
        <v>523.0</v>
      </c>
      <c r="D1703" s="2">
        <v>528.0</v>
      </c>
      <c r="E1703" s="2">
        <v>29040.0</v>
      </c>
      <c r="F1703" s="2" t="s">
        <v>150</v>
      </c>
    </row>
    <row r="1704" ht="15.75" customHeight="1">
      <c r="A1704" s="4" t="s">
        <v>5420</v>
      </c>
      <c r="B1704" s="2" t="s">
        <v>5421</v>
      </c>
      <c r="C1704" s="2">
        <v>887.0</v>
      </c>
      <c r="D1704" s="2">
        <v>962.0</v>
      </c>
      <c r="E1704" s="2">
        <v>23840.0</v>
      </c>
      <c r="F1704" s="2" t="s">
        <v>150</v>
      </c>
    </row>
    <row r="1705" ht="15.75" customHeight="1">
      <c r="A1705" s="4" t="s">
        <v>5422</v>
      </c>
      <c r="B1705" s="2" t="s">
        <v>5423</v>
      </c>
      <c r="C1705" s="2">
        <v>173.0</v>
      </c>
      <c r="D1705" s="2">
        <v>154.0</v>
      </c>
      <c r="E1705" s="2">
        <v>26800.0</v>
      </c>
      <c r="F1705" s="2" t="s">
        <v>150</v>
      </c>
    </row>
    <row r="1706" ht="15.75" customHeight="1">
      <c r="A1706" s="4" t="s">
        <v>5424</v>
      </c>
      <c r="B1706" s="2" t="s">
        <v>5425</v>
      </c>
      <c r="C1706" s="2">
        <v>340.0</v>
      </c>
      <c r="D1706" s="2">
        <v>365.0</v>
      </c>
      <c r="E1706" s="2">
        <v>27030.0</v>
      </c>
      <c r="F1706" s="2" t="s">
        <v>150</v>
      </c>
    </row>
    <row r="1707" ht="15.75" customHeight="1">
      <c r="A1707" s="4" t="s">
        <v>3098</v>
      </c>
      <c r="B1707" s="2" t="s">
        <v>3099</v>
      </c>
      <c r="C1707" s="2">
        <v>361.0</v>
      </c>
      <c r="D1707" s="2">
        <v>347.0</v>
      </c>
      <c r="E1707" s="2">
        <v>25690.0</v>
      </c>
      <c r="F1707" s="2" t="s">
        <v>150</v>
      </c>
    </row>
    <row r="1708" ht="15.75" customHeight="1">
      <c r="A1708" s="4" t="s">
        <v>5426</v>
      </c>
      <c r="B1708" s="2" t="s">
        <v>5427</v>
      </c>
      <c r="C1708" s="2">
        <v>322.0</v>
      </c>
      <c r="D1708" s="2">
        <v>317.0</v>
      </c>
      <c r="E1708" s="2">
        <v>27020.0</v>
      </c>
      <c r="F1708" s="2" t="s">
        <v>150</v>
      </c>
    </row>
    <row r="1709" ht="15.75" customHeight="1">
      <c r="A1709" s="4" t="s">
        <v>5428</v>
      </c>
      <c r="B1709" s="2" t="s">
        <v>5429</v>
      </c>
      <c r="C1709" s="2">
        <v>90.0</v>
      </c>
      <c r="D1709" s="2">
        <v>82.0</v>
      </c>
      <c r="E1709" s="2" t="s">
        <v>150</v>
      </c>
      <c r="F1709" s="2" t="s">
        <v>150</v>
      </c>
    </row>
    <row r="1710" ht="15.75" customHeight="1">
      <c r="A1710" s="4" t="s">
        <v>5430</v>
      </c>
      <c r="B1710" s="2" t="s">
        <v>5431</v>
      </c>
      <c r="C1710" s="2">
        <v>654.0</v>
      </c>
      <c r="D1710" s="2">
        <v>626.0</v>
      </c>
      <c r="E1710" s="2">
        <v>29530.0</v>
      </c>
      <c r="F1710" s="2" t="s">
        <v>150</v>
      </c>
    </row>
    <row r="1711" ht="15.75" customHeight="1">
      <c r="A1711" s="4" t="s">
        <v>5432</v>
      </c>
      <c r="B1711" s="2" t="s">
        <v>5433</v>
      </c>
      <c r="C1711" s="2">
        <v>539.0</v>
      </c>
      <c r="D1711" s="2">
        <v>518.0</v>
      </c>
      <c r="E1711" s="2">
        <v>30370.0</v>
      </c>
      <c r="F1711" s="2" t="s">
        <v>150</v>
      </c>
    </row>
    <row r="1712" ht="15.75" customHeight="1">
      <c r="A1712" s="4" t="s">
        <v>5434</v>
      </c>
      <c r="B1712" s="2" t="s">
        <v>5435</v>
      </c>
      <c r="C1712" s="2">
        <v>372.0</v>
      </c>
      <c r="D1712" s="2">
        <v>356.0</v>
      </c>
      <c r="E1712" s="2">
        <v>31130.0</v>
      </c>
      <c r="F1712" s="2" t="s">
        <v>150</v>
      </c>
    </row>
    <row r="1713" ht="15.75" customHeight="1">
      <c r="A1713" s="4" t="s">
        <v>5436</v>
      </c>
      <c r="B1713" s="2" t="s">
        <v>5437</v>
      </c>
      <c r="C1713" s="2">
        <v>228.0</v>
      </c>
      <c r="D1713" s="2">
        <v>216.0</v>
      </c>
      <c r="E1713" s="2">
        <v>27220.0</v>
      </c>
      <c r="F1713" s="2" t="s">
        <v>150</v>
      </c>
    </row>
    <row r="1714" ht="15.75" customHeight="1">
      <c r="A1714" s="4" t="s">
        <v>5438</v>
      </c>
      <c r="B1714" s="2" t="s">
        <v>5439</v>
      </c>
      <c r="C1714" s="2">
        <v>228.0</v>
      </c>
      <c r="D1714" s="2">
        <v>196.0</v>
      </c>
      <c r="E1714" s="2">
        <v>28060.0</v>
      </c>
      <c r="F1714" s="2" t="s">
        <v>150</v>
      </c>
    </row>
    <row r="1715" ht="15.75" customHeight="1">
      <c r="A1715" s="4" t="s">
        <v>3100</v>
      </c>
      <c r="B1715" s="2" t="s">
        <v>3101</v>
      </c>
      <c r="C1715" s="2">
        <v>1390.0</v>
      </c>
      <c r="D1715" s="2">
        <v>1552.0</v>
      </c>
      <c r="E1715" s="2">
        <v>26800.0</v>
      </c>
      <c r="F1715" s="2" t="s">
        <v>150</v>
      </c>
    </row>
    <row r="1716" ht="15.75" customHeight="1">
      <c r="A1716" s="4" t="s">
        <v>3102</v>
      </c>
      <c r="B1716" s="2" t="s">
        <v>3103</v>
      </c>
      <c r="C1716" s="2">
        <v>391.0</v>
      </c>
      <c r="D1716" s="2">
        <v>409.0</v>
      </c>
      <c r="E1716" s="2">
        <v>26130.0</v>
      </c>
      <c r="F1716" s="2" t="s">
        <v>150</v>
      </c>
    </row>
    <row r="1717" ht="15.75" customHeight="1">
      <c r="A1717" s="4" t="s">
        <v>5440</v>
      </c>
      <c r="B1717" s="2" t="s">
        <v>5441</v>
      </c>
      <c r="C1717" s="2">
        <v>206.0</v>
      </c>
      <c r="D1717" s="2">
        <v>233.0</v>
      </c>
      <c r="E1717" s="2">
        <v>28580.0</v>
      </c>
      <c r="F1717" s="2" t="s">
        <v>150</v>
      </c>
    </row>
    <row r="1718" ht="15.75" customHeight="1">
      <c r="A1718" s="4" t="s">
        <v>5442</v>
      </c>
      <c r="B1718" s="2" t="s">
        <v>5443</v>
      </c>
      <c r="C1718" s="2">
        <v>121.0</v>
      </c>
      <c r="D1718" s="2">
        <v>102.0</v>
      </c>
      <c r="E1718" s="2" t="s">
        <v>150</v>
      </c>
      <c r="F1718" s="2" t="s">
        <v>150</v>
      </c>
    </row>
    <row r="1719" ht="15.75" customHeight="1">
      <c r="A1719" s="4" t="s">
        <v>3104</v>
      </c>
      <c r="B1719" s="2" t="s">
        <v>3105</v>
      </c>
      <c r="C1719" s="2">
        <v>573.0</v>
      </c>
      <c r="D1719" s="2">
        <v>515.0</v>
      </c>
      <c r="E1719" s="2">
        <v>28100.0</v>
      </c>
      <c r="F1719" s="2" t="s">
        <v>150</v>
      </c>
    </row>
    <row r="1720" ht="15.75" hidden="1" customHeight="1">
      <c r="A1720" s="4" t="s">
        <v>3106</v>
      </c>
      <c r="B1720" s="2" t="s">
        <v>3107</v>
      </c>
      <c r="C1720" s="2">
        <v>9069.0</v>
      </c>
      <c r="D1720" s="2">
        <v>8867.0</v>
      </c>
      <c r="E1720" s="2">
        <v>35830.0</v>
      </c>
      <c r="F1720" s="2">
        <v>7.0</v>
      </c>
    </row>
    <row r="1721" ht="15.75" customHeight="1">
      <c r="A1721" s="4" t="s">
        <v>5444</v>
      </c>
      <c r="B1721" s="2" t="s">
        <v>5445</v>
      </c>
      <c r="C1721" s="2">
        <v>27.0</v>
      </c>
      <c r="D1721" s="2">
        <v>15.0</v>
      </c>
      <c r="E1721" s="2" t="s">
        <v>150</v>
      </c>
      <c r="F1721" s="2" t="s">
        <v>150</v>
      </c>
    </row>
    <row r="1722" ht="15.75" customHeight="1">
      <c r="A1722" s="4" t="s">
        <v>3108</v>
      </c>
      <c r="B1722" s="2" t="s">
        <v>3109</v>
      </c>
      <c r="C1722" s="2">
        <v>1773.0</v>
      </c>
      <c r="D1722" s="2">
        <v>1829.0</v>
      </c>
      <c r="E1722" s="2">
        <v>29010.0</v>
      </c>
      <c r="F1722" s="2" t="s">
        <v>150</v>
      </c>
    </row>
    <row r="1723" ht="15.75" customHeight="1">
      <c r="A1723" s="4" t="s">
        <v>5446</v>
      </c>
      <c r="B1723" s="2" t="s">
        <v>5447</v>
      </c>
      <c r="C1723" s="2">
        <v>313.0</v>
      </c>
      <c r="D1723" s="2">
        <v>297.0</v>
      </c>
      <c r="E1723" s="2">
        <v>27630.0</v>
      </c>
      <c r="F1723" s="2" t="s">
        <v>150</v>
      </c>
    </row>
    <row r="1724" ht="15.75" hidden="1" customHeight="1">
      <c r="A1724" s="4" t="s">
        <v>3110</v>
      </c>
      <c r="B1724" s="2" t="s">
        <v>3111</v>
      </c>
      <c r="C1724" s="2">
        <v>2940.0</v>
      </c>
      <c r="D1724" s="2">
        <v>2786.0</v>
      </c>
      <c r="E1724" s="2">
        <v>22190.0</v>
      </c>
      <c r="F1724" s="2">
        <v>22.0</v>
      </c>
    </row>
    <row r="1725" ht="15.75" customHeight="1">
      <c r="A1725" s="4" t="s">
        <v>5448</v>
      </c>
      <c r="B1725" s="2" t="s">
        <v>5449</v>
      </c>
      <c r="C1725" s="2">
        <v>348.0</v>
      </c>
      <c r="D1725" s="2">
        <v>371.0</v>
      </c>
      <c r="E1725" s="2">
        <v>26510.0</v>
      </c>
      <c r="F1725" s="2" t="s">
        <v>150</v>
      </c>
    </row>
    <row r="1726" ht="15.75" customHeight="1">
      <c r="A1726" s="4" t="s">
        <v>3112</v>
      </c>
      <c r="B1726" s="2" t="s">
        <v>3113</v>
      </c>
      <c r="C1726" s="2">
        <v>458.0</v>
      </c>
      <c r="D1726" s="2">
        <v>478.0</v>
      </c>
      <c r="E1726" s="2">
        <v>26420.0</v>
      </c>
      <c r="F1726" s="2" t="s">
        <v>150</v>
      </c>
    </row>
    <row r="1727" ht="15.75" customHeight="1">
      <c r="A1727" s="4" t="s">
        <v>5450</v>
      </c>
      <c r="B1727" s="2" t="s">
        <v>5451</v>
      </c>
      <c r="C1727" s="2">
        <v>270.0</v>
      </c>
      <c r="D1727" s="2">
        <v>272.0</v>
      </c>
      <c r="E1727" s="2">
        <v>24950.0</v>
      </c>
      <c r="F1727" s="2" t="s">
        <v>150</v>
      </c>
    </row>
    <row r="1728" ht="15.75" customHeight="1">
      <c r="A1728" s="4" t="s">
        <v>5452</v>
      </c>
      <c r="B1728" s="2" t="s">
        <v>5453</v>
      </c>
      <c r="C1728" s="2">
        <v>381.0</v>
      </c>
      <c r="D1728" s="2">
        <v>385.0</v>
      </c>
      <c r="E1728" s="2">
        <v>28470.0</v>
      </c>
      <c r="F1728" s="2" t="s">
        <v>150</v>
      </c>
    </row>
    <row r="1729" ht="15.75" customHeight="1">
      <c r="A1729" s="4" t="s">
        <v>3114</v>
      </c>
      <c r="B1729" s="2" t="s">
        <v>3115</v>
      </c>
      <c r="C1729" s="2">
        <v>1803.0</v>
      </c>
      <c r="D1729" s="2">
        <v>1749.0</v>
      </c>
      <c r="E1729" s="2">
        <v>21830.0</v>
      </c>
      <c r="F1729" s="2" t="s">
        <v>150</v>
      </c>
    </row>
    <row r="1730" ht="15.75" customHeight="1">
      <c r="A1730" s="4" t="s">
        <v>5454</v>
      </c>
      <c r="B1730" s="2" t="s">
        <v>5455</v>
      </c>
      <c r="C1730" s="2">
        <v>242.0</v>
      </c>
      <c r="D1730" s="2">
        <v>232.0</v>
      </c>
      <c r="E1730" s="2">
        <v>28520.0</v>
      </c>
      <c r="F1730" s="2" t="s">
        <v>150</v>
      </c>
    </row>
    <row r="1731" ht="15.75" customHeight="1">
      <c r="A1731" s="4" t="s">
        <v>5456</v>
      </c>
      <c r="B1731" s="2" t="s">
        <v>5457</v>
      </c>
      <c r="C1731" s="2">
        <v>366.0</v>
      </c>
      <c r="D1731" s="2">
        <v>376.0</v>
      </c>
      <c r="E1731" s="2">
        <v>32690.0</v>
      </c>
      <c r="F1731" s="2" t="s">
        <v>150</v>
      </c>
    </row>
    <row r="1732" ht="15.75" customHeight="1">
      <c r="A1732" s="4" t="s">
        <v>5458</v>
      </c>
      <c r="B1732" s="2" t="s">
        <v>5459</v>
      </c>
      <c r="C1732" s="2">
        <v>80.0</v>
      </c>
      <c r="D1732" s="2">
        <v>82.0</v>
      </c>
      <c r="E1732" s="2" t="s">
        <v>150</v>
      </c>
      <c r="F1732" s="2" t="s">
        <v>150</v>
      </c>
    </row>
    <row r="1733" ht="15.75" customHeight="1">
      <c r="A1733" s="4" t="s">
        <v>5460</v>
      </c>
      <c r="B1733" s="2" t="s">
        <v>5461</v>
      </c>
      <c r="C1733" s="2">
        <v>452.0</v>
      </c>
      <c r="D1733" s="2">
        <v>438.0</v>
      </c>
      <c r="E1733" s="2">
        <v>26130.0</v>
      </c>
      <c r="F1733" s="2" t="s">
        <v>150</v>
      </c>
    </row>
    <row r="1734" ht="15.75" customHeight="1">
      <c r="A1734" s="4" t="s">
        <v>5462</v>
      </c>
      <c r="B1734" s="2" t="s">
        <v>5463</v>
      </c>
      <c r="C1734" s="2">
        <v>141.0</v>
      </c>
      <c r="D1734" s="2">
        <v>132.0</v>
      </c>
      <c r="E1734" s="2">
        <v>26150.0</v>
      </c>
      <c r="F1734" s="2" t="s">
        <v>150</v>
      </c>
    </row>
    <row r="1735" ht="15.75" customHeight="1">
      <c r="A1735" s="4" t="s">
        <v>3221</v>
      </c>
      <c r="B1735" s="2" t="s">
        <v>3222</v>
      </c>
      <c r="C1735" s="2">
        <v>183.0</v>
      </c>
      <c r="D1735" s="2">
        <v>180.0</v>
      </c>
      <c r="E1735" s="2">
        <v>26010.0</v>
      </c>
      <c r="F1735" s="2" t="s">
        <v>150</v>
      </c>
    </row>
    <row r="1736" ht="15.75" customHeight="1">
      <c r="A1736" s="4" t="s">
        <v>3116</v>
      </c>
      <c r="B1736" s="2" t="s">
        <v>3117</v>
      </c>
      <c r="C1736" s="2">
        <v>617.0</v>
      </c>
      <c r="D1736" s="2">
        <v>654.0</v>
      </c>
      <c r="E1736" s="2">
        <v>26060.0</v>
      </c>
      <c r="F1736" s="2" t="s">
        <v>150</v>
      </c>
    </row>
    <row r="1737" ht="15.75" customHeight="1">
      <c r="A1737" s="4" t="s">
        <v>3118</v>
      </c>
      <c r="B1737" s="2" t="s">
        <v>3119</v>
      </c>
      <c r="C1737" s="2">
        <v>540.0</v>
      </c>
      <c r="D1737" s="2">
        <v>548.0</v>
      </c>
      <c r="E1737" s="2">
        <v>23820.0</v>
      </c>
      <c r="F1737" s="2" t="s">
        <v>150</v>
      </c>
    </row>
    <row r="1738" ht="15.75" customHeight="1">
      <c r="A1738" s="4" t="s">
        <v>5464</v>
      </c>
      <c r="B1738" s="2" t="s">
        <v>4128</v>
      </c>
      <c r="C1738" s="2">
        <v>138.0</v>
      </c>
      <c r="D1738" s="2">
        <v>133.0</v>
      </c>
      <c r="E1738" s="2">
        <v>27700.0</v>
      </c>
      <c r="F1738" s="2" t="s">
        <v>150</v>
      </c>
    </row>
    <row r="1739" ht="15.75" customHeight="1">
      <c r="A1739" s="4" t="s">
        <v>3120</v>
      </c>
      <c r="B1739" s="2" t="s">
        <v>3121</v>
      </c>
      <c r="C1739" s="2">
        <v>812.0</v>
      </c>
      <c r="D1739" s="2">
        <v>773.0</v>
      </c>
      <c r="E1739" s="2">
        <v>28490.0</v>
      </c>
      <c r="F1739" s="2" t="s">
        <v>150</v>
      </c>
    </row>
    <row r="1740" ht="15.75" customHeight="1">
      <c r="A1740" s="4" t="s">
        <v>5465</v>
      </c>
      <c r="B1740" s="2" t="s">
        <v>5466</v>
      </c>
      <c r="C1740" s="2">
        <v>193.0</v>
      </c>
      <c r="D1740" s="2">
        <v>187.0</v>
      </c>
      <c r="E1740" s="2">
        <v>25260.0</v>
      </c>
      <c r="F1740" s="2" t="s">
        <v>150</v>
      </c>
    </row>
    <row r="1741" ht="15.75" customHeight="1">
      <c r="A1741" s="4" t="s">
        <v>5467</v>
      </c>
      <c r="B1741" s="2" t="s">
        <v>5468</v>
      </c>
      <c r="C1741" s="2">
        <v>272.0</v>
      </c>
      <c r="D1741" s="2">
        <v>253.0</v>
      </c>
      <c r="E1741" s="2">
        <v>27540.0</v>
      </c>
      <c r="F1741" s="2" t="s">
        <v>150</v>
      </c>
    </row>
    <row r="1742" ht="15.75" customHeight="1">
      <c r="A1742" s="4" t="s">
        <v>5469</v>
      </c>
      <c r="B1742" s="2" t="s">
        <v>5470</v>
      </c>
      <c r="C1742" s="2">
        <v>335.0</v>
      </c>
      <c r="D1742" s="2">
        <v>345.0</v>
      </c>
      <c r="E1742" s="2">
        <v>26420.0</v>
      </c>
      <c r="F1742" s="2" t="s">
        <v>150</v>
      </c>
    </row>
    <row r="1743" ht="15.75" customHeight="1">
      <c r="A1743" s="4" t="s">
        <v>5471</v>
      </c>
      <c r="B1743" s="2" t="s">
        <v>5472</v>
      </c>
      <c r="C1743" s="2">
        <v>155.0</v>
      </c>
      <c r="D1743" s="2">
        <v>149.0</v>
      </c>
      <c r="E1743" s="2">
        <v>27460.0</v>
      </c>
      <c r="F1743" s="2" t="s">
        <v>150</v>
      </c>
    </row>
    <row r="1744" ht="15.75" customHeight="1">
      <c r="A1744" s="4" t="s">
        <v>3122</v>
      </c>
      <c r="B1744" s="2" t="s">
        <v>3123</v>
      </c>
      <c r="C1744" s="2">
        <v>623.0</v>
      </c>
      <c r="D1744" s="2">
        <v>644.0</v>
      </c>
      <c r="E1744" s="2">
        <v>29310.0</v>
      </c>
      <c r="F1744" s="2" t="s">
        <v>150</v>
      </c>
    </row>
    <row r="1745" ht="15.75" customHeight="1">
      <c r="A1745" s="4" t="s">
        <v>5473</v>
      </c>
      <c r="B1745" s="2" t="s">
        <v>5474</v>
      </c>
      <c r="C1745" s="2">
        <v>462.0</v>
      </c>
      <c r="D1745" s="2">
        <v>463.0</v>
      </c>
      <c r="E1745" s="2">
        <v>28900.0</v>
      </c>
      <c r="F1745" s="2" t="s">
        <v>150</v>
      </c>
    </row>
    <row r="1746" ht="15.75" customHeight="1">
      <c r="A1746" s="4" t="s">
        <v>3132</v>
      </c>
      <c r="B1746" s="2" t="s">
        <v>3133</v>
      </c>
      <c r="C1746" s="2">
        <v>827.0</v>
      </c>
      <c r="D1746" s="2">
        <v>925.0</v>
      </c>
      <c r="E1746" s="2">
        <v>29070.0</v>
      </c>
      <c r="F1746" s="2" t="s">
        <v>150</v>
      </c>
    </row>
    <row r="1747" ht="15.75" customHeight="1">
      <c r="A1747" s="4" t="s">
        <v>3124</v>
      </c>
      <c r="B1747" s="2" t="s">
        <v>3125</v>
      </c>
      <c r="C1747" s="2">
        <v>642.0</v>
      </c>
      <c r="D1747" s="2">
        <v>582.0</v>
      </c>
      <c r="E1747" s="2">
        <v>27690.0</v>
      </c>
      <c r="F1747" s="2" t="s">
        <v>150</v>
      </c>
    </row>
    <row r="1748" ht="15.75" customHeight="1">
      <c r="A1748" s="4" t="s">
        <v>3162</v>
      </c>
      <c r="B1748" s="2" t="s">
        <v>3165</v>
      </c>
      <c r="C1748" s="2">
        <v>243.0</v>
      </c>
      <c r="D1748" s="2">
        <v>237.0</v>
      </c>
      <c r="E1748" s="2">
        <v>23620.0</v>
      </c>
      <c r="F1748" s="2" t="s">
        <v>150</v>
      </c>
    </row>
    <row r="1749" ht="15.75" customHeight="1">
      <c r="A1749" s="4" t="s">
        <v>5475</v>
      </c>
      <c r="B1749" s="2" t="s">
        <v>5476</v>
      </c>
      <c r="C1749" s="2">
        <v>126.0</v>
      </c>
      <c r="D1749" s="2">
        <v>113.0</v>
      </c>
      <c r="E1749" s="2">
        <v>26170.0</v>
      </c>
      <c r="F1749" s="2" t="s">
        <v>150</v>
      </c>
    </row>
    <row r="1750" ht="15.75" hidden="1" customHeight="1">
      <c r="A1750" s="4" t="s">
        <v>3126</v>
      </c>
      <c r="B1750" s="2" t="s">
        <v>3127</v>
      </c>
      <c r="C1750" s="2">
        <v>2498.0</v>
      </c>
      <c r="D1750" s="2">
        <v>2466.0</v>
      </c>
      <c r="E1750" s="2">
        <v>24700.0</v>
      </c>
      <c r="F1750" s="2">
        <v>13.0</v>
      </c>
    </row>
    <row r="1751" ht="15.75" customHeight="1">
      <c r="A1751" s="4" t="s">
        <v>5477</v>
      </c>
      <c r="B1751" s="2" t="s">
        <v>5478</v>
      </c>
      <c r="C1751" s="2">
        <v>312.0</v>
      </c>
      <c r="D1751" s="2">
        <v>309.0</v>
      </c>
      <c r="E1751" s="2">
        <v>25490.0</v>
      </c>
      <c r="F1751" s="2" t="s">
        <v>150</v>
      </c>
    </row>
    <row r="1752" ht="15.75" customHeight="1">
      <c r="A1752" s="4" t="s">
        <v>5479</v>
      </c>
      <c r="B1752" s="2" t="s">
        <v>5480</v>
      </c>
      <c r="C1752" s="2">
        <v>490.0</v>
      </c>
      <c r="D1752" s="2">
        <v>478.0</v>
      </c>
      <c r="E1752" s="2">
        <v>29260.0</v>
      </c>
      <c r="F1752" s="2" t="s">
        <v>150</v>
      </c>
    </row>
    <row r="1753" ht="15.75" customHeight="1">
      <c r="A1753" s="4" t="s">
        <v>5481</v>
      </c>
      <c r="B1753" s="2" t="s">
        <v>5482</v>
      </c>
      <c r="C1753" s="2">
        <v>248.0</v>
      </c>
      <c r="D1753" s="2">
        <v>238.0</v>
      </c>
      <c r="E1753" s="2">
        <v>30250.0</v>
      </c>
      <c r="F1753" s="2" t="s">
        <v>150</v>
      </c>
    </row>
    <row r="1754" ht="15.75" customHeight="1">
      <c r="A1754" s="4" t="s">
        <v>3129</v>
      </c>
      <c r="B1754" s="2" t="s">
        <v>3131</v>
      </c>
      <c r="C1754" s="2">
        <v>708.0</v>
      </c>
      <c r="D1754" s="2">
        <v>704.0</v>
      </c>
      <c r="E1754" s="2">
        <v>29350.0</v>
      </c>
      <c r="F1754" s="2" t="s">
        <v>150</v>
      </c>
    </row>
    <row r="1755" ht="15.75" customHeight="1">
      <c r="A1755" s="4" t="s">
        <v>5483</v>
      </c>
      <c r="B1755" s="2" t="s">
        <v>5484</v>
      </c>
      <c r="C1755" s="2">
        <v>671.0</v>
      </c>
      <c r="D1755" s="2">
        <v>680.0</v>
      </c>
      <c r="E1755" s="2">
        <v>29220.0</v>
      </c>
      <c r="F1755" s="2" t="s">
        <v>150</v>
      </c>
    </row>
    <row r="1756" ht="15.75" customHeight="1">
      <c r="A1756" s="4" t="s">
        <v>3160</v>
      </c>
      <c r="B1756" s="2" t="s">
        <v>3161</v>
      </c>
      <c r="C1756" s="2">
        <v>612.0</v>
      </c>
      <c r="D1756" s="2">
        <v>591.0</v>
      </c>
      <c r="E1756" s="2">
        <v>24850.0</v>
      </c>
      <c r="F1756" s="2" t="s">
        <v>150</v>
      </c>
    </row>
    <row r="1757" ht="15.75" customHeight="1">
      <c r="A1757" s="4" t="s">
        <v>5485</v>
      </c>
      <c r="B1757" s="2" t="s">
        <v>5486</v>
      </c>
      <c r="C1757" s="2">
        <v>259.0</v>
      </c>
      <c r="D1757" s="2">
        <v>250.0</v>
      </c>
      <c r="E1757" s="2">
        <v>28200.0</v>
      </c>
      <c r="F1757" s="2" t="s">
        <v>150</v>
      </c>
    </row>
    <row r="1758" ht="15.75" customHeight="1">
      <c r="A1758" s="4" t="s">
        <v>3134</v>
      </c>
      <c r="B1758" s="2" t="s">
        <v>3135</v>
      </c>
      <c r="C1758" s="2">
        <v>776.0</v>
      </c>
      <c r="D1758" s="2">
        <v>878.0</v>
      </c>
      <c r="E1758" s="2">
        <v>27480.0</v>
      </c>
      <c r="F1758" s="2" t="s">
        <v>150</v>
      </c>
    </row>
    <row r="1759" ht="15.75" customHeight="1">
      <c r="A1759" s="4" t="s">
        <v>3138</v>
      </c>
      <c r="B1759" s="2" t="s">
        <v>3139</v>
      </c>
      <c r="C1759" s="2">
        <v>322.0</v>
      </c>
      <c r="D1759" s="2">
        <v>302.0</v>
      </c>
      <c r="E1759" s="2">
        <v>29070.0</v>
      </c>
      <c r="F1759" s="2" t="s">
        <v>150</v>
      </c>
    </row>
    <row r="1760" ht="15.75" customHeight="1">
      <c r="A1760" s="4" t="s">
        <v>3140</v>
      </c>
      <c r="B1760" s="2" t="s">
        <v>3141</v>
      </c>
      <c r="C1760" s="2">
        <v>681.0</v>
      </c>
      <c r="D1760" s="2">
        <v>640.0</v>
      </c>
      <c r="E1760" s="2">
        <v>25300.0</v>
      </c>
      <c r="F1760" s="2" t="s">
        <v>150</v>
      </c>
    </row>
    <row r="1761" ht="15.75" customHeight="1">
      <c r="A1761" s="4" t="s">
        <v>3144</v>
      </c>
      <c r="B1761" s="2" t="s">
        <v>3145</v>
      </c>
      <c r="C1761" s="2">
        <v>903.0</v>
      </c>
      <c r="D1761" s="2">
        <v>851.0</v>
      </c>
      <c r="E1761" s="2">
        <v>23560.0</v>
      </c>
      <c r="F1761" s="2" t="s">
        <v>150</v>
      </c>
    </row>
    <row r="1762" ht="15.75" hidden="1" customHeight="1">
      <c r="A1762" s="4" t="s">
        <v>3148</v>
      </c>
      <c r="B1762" s="2" t="s">
        <v>3149</v>
      </c>
      <c r="C1762" s="2">
        <v>2411.0</v>
      </c>
      <c r="D1762" s="2">
        <v>2243.0</v>
      </c>
      <c r="E1762" s="2">
        <v>31260.0</v>
      </c>
      <c r="F1762" s="2">
        <v>9.0</v>
      </c>
    </row>
    <row r="1763" ht="15.75" customHeight="1">
      <c r="A1763" s="4" t="s">
        <v>3150</v>
      </c>
      <c r="B1763" s="2" t="s">
        <v>3151</v>
      </c>
      <c r="C1763" s="2">
        <v>609.0</v>
      </c>
      <c r="D1763" s="2">
        <v>588.0</v>
      </c>
      <c r="E1763" s="2">
        <v>34710.0</v>
      </c>
      <c r="F1763" s="2" t="s">
        <v>150</v>
      </c>
    </row>
    <row r="1764" ht="15.75" customHeight="1">
      <c r="A1764" s="4" t="s">
        <v>3152</v>
      </c>
      <c r="B1764" s="2" t="s">
        <v>3153</v>
      </c>
      <c r="C1764" s="2">
        <v>1028.0</v>
      </c>
      <c r="D1764" s="2">
        <v>1071.0</v>
      </c>
      <c r="E1764" s="2">
        <v>26170.0</v>
      </c>
      <c r="F1764" s="2" t="s">
        <v>150</v>
      </c>
    </row>
    <row r="1765" ht="15.75" customHeight="1">
      <c r="A1765" s="4" t="s">
        <v>5487</v>
      </c>
      <c r="B1765" s="2" t="s">
        <v>5488</v>
      </c>
      <c r="C1765" s="2">
        <v>322.0</v>
      </c>
      <c r="D1765" s="2">
        <v>294.0</v>
      </c>
      <c r="E1765" s="2">
        <v>26320.0</v>
      </c>
      <c r="F1765" s="2" t="s">
        <v>150</v>
      </c>
    </row>
    <row r="1766" ht="15.75" customHeight="1">
      <c r="A1766" s="4" t="s">
        <v>5489</v>
      </c>
      <c r="B1766" s="2" t="s">
        <v>5490</v>
      </c>
      <c r="C1766" s="2">
        <v>197.0</v>
      </c>
      <c r="D1766" s="2">
        <v>196.0</v>
      </c>
      <c r="E1766" s="2">
        <v>25200.0</v>
      </c>
      <c r="F1766" s="2" t="s">
        <v>150</v>
      </c>
    </row>
    <row r="1767" ht="15.75" customHeight="1">
      <c r="A1767" s="4" t="s">
        <v>3178</v>
      </c>
      <c r="B1767" s="2" t="s">
        <v>3179</v>
      </c>
      <c r="C1767" s="2">
        <v>1347.0</v>
      </c>
      <c r="D1767" s="2">
        <v>1326.0</v>
      </c>
      <c r="E1767" s="2">
        <v>27970.0</v>
      </c>
      <c r="F1767" s="2" t="s">
        <v>150</v>
      </c>
    </row>
    <row r="1768" ht="15.75" customHeight="1">
      <c r="A1768" s="4" t="s">
        <v>5491</v>
      </c>
      <c r="B1768" s="2" t="s">
        <v>5492</v>
      </c>
      <c r="C1768" s="2">
        <v>443.0</v>
      </c>
      <c r="D1768" s="2">
        <v>456.0</v>
      </c>
      <c r="E1768" s="2">
        <v>28030.0</v>
      </c>
      <c r="F1768" s="2" t="s">
        <v>150</v>
      </c>
    </row>
    <row r="1769" ht="15.75" customHeight="1">
      <c r="A1769" s="4" t="s">
        <v>5493</v>
      </c>
      <c r="B1769" s="2" t="s">
        <v>5494</v>
      </c>
      <c r="C1769" s="2">
        <v>691.0</v>
      </c>
      <c r="D1769" s="2">
        <v>687.0</v>
      </c>
      <c r="E1769" s="2">
        <v>28410.0</v>
      </c>
      <c r="F1769" s="2" t="s">
        <v>150</v>
      </c>
    </row>
    <row r="1770" ht="15.75" customHeight="1">
      <c r="A1770" s="4" t="s">
        <v>3183</v>
      </c>
      <c r="B1770" s="2" t="s">
        <v>3184</v>
      </c>
      <c r="C1770" s="2">
        <v>1620.0</v>
      </c>
      <c r="D1770" s="2">
        <v>1512.0</v>
      </c>
      <c r="E1770" s="2">
        <v>25700.0</v>
      </c>
      <c r="F1770" s="2" t="s">
        <v>150</v>
      </c>
    </row>
    <row r="1771" ht="15.75" customHeight="1">
      <c r="A1771" s="4" t="s">
        <v>3181</v>
      </c>
      <c r="B1771" s="2" t="s">
        <v>3182</v>
      </c>
      <c r="C1771" s="2">
        <v>919.0</v>
      </c>
      <c r="D1771" s="2">
        <v>827.0</v>
      </c>
      <c r="E1771" s="2">
        <v>29440.0</v>
      </c>
      <c r="F1771" s="2" t="s">
        <v>150</v>
      </c>
    </row>
    <row r="1772" ht="15.75" customHeight="1">
      <c r="A1772" s="4" t="s">
        <v>5495</v>
      </c>
      <c r="B1772" s="2" t="s">
        <v>5496</v>
      </c>
      <c r="C1772" s="2">
        <v>148.0</v>
      </c>
      <c r="D1772" s="2">
        <v>165.0</v>
      </c>
      <c r="E1772" s="2">
        <v>28180.0</v>
      </c>
      <c r="F1772" s="2" t="s">
        <v>150</v>
      </c>
    </row>
    <row r="1773" ht="15.75" customHeight="1">
      <c r="A1773" s="4" t="s">
        <v>5497</v>
      </c>
      <c r="B1773" s="2" t="s">
        <v>5498</v>
      </c>
      <c r="C1773" s="2">
        <v>203.0</v>
      </c>
      <c r="D1773" s="2">
        <v>182.0</v>
      </c>
      <c r="E1773" s="2">
        <v>29070.0</v>
      </c>
      <c r="F1773" s="2" t="s">
        <v>150</v>
      </c>
    </row>
    <row r="1774" ht="15.75" customHeight="1">
      <c r="A1774" s="4" t="s">
        <v>3185</v>
      </c>
      <c r="B1774" s="2" t="s">
        <v>3186</v>
      </c>
      <c r="C1774" s="2">
        <v>651.0</v>
      </c>
      <c r="D1774" s="2">
        <v>805.0</v>
      </c>
      <c r="E1774" s="2">
        <v>32800.0</v>
      </c>
      <c r="F1774" s="2" t="s">
        <v>150</v>
      </c>
    </row>
    <row r="1775" ht="15.75" hidden="1" customHeight="1">
      <c r="A1775" s="4" t="s">
        <v>3187</v>
      </c>
      <c r="B1775" s="2" t="s">
        <v>3188</v>
      </c>
      <c r="C1775" s="2">
        <v>4708.0</v>
      </c>
      <c r="D1775" s="2">
        <v>5415.0</v>
      </c>
      <c r="E1775" s="2">
        <v>27760.0</v>
      </c>
      <c r="F1775" s="2">
        <v>8.0</v>
      </c>
    </row>
    <row r="1776" ht="15.75" customHeight="1">
      <c r="A1776" s="4" t="s">
        <v>5499</v>
      </c>
      <c r="B1776" s="2" t="s">
        <v>5500</v>
      </c>
      <c r="C1776" s="2">
        <v>368.0</v>
      </c>
      <c r="D1776" s="2">
        <v>342.0</v>
      </c>
      <c r="E1776" s="2">
        <v>28240.0</v>
      </c>
      <c r="F1776" s="2" t="s">
        <v>150</v>
      </c>
    </row>
    <row r="1777" ht="15.75" customHeight="1">
      <c r="A1777" s="4" t="s">
        <v>3191</v>
      </c>
      <c r="B1777" s="2" t="s">
        <v>3192</v>
      </c>
      <c r="C1777" s="2">
        <v>527.0</v>
      </c>
      <c r="D1777" s="2">
        <v>524.0</v>
      </c>
      <c r="E1777" s="2">
        <v>27130.0</v>
      </c>
      <c r="F1777" s="2" t="s">
        <v>150</v>
      </c>
    </row>
    <row r="1778" ht="15.75" hidden="1" customHeight="1">
      <c r="A1778" s="4" t="s">
        <v>3193</v>
      </c>
      <c r="B1778" s="2" t="s">
        <v>3194</v>
      </c>
      <c r="C1778" s="2">
        <v>2062.0</v>
      </c>
      <c r="D1778" s="2">
        <v>2043.0</v>
      </c>
      <c r="E1778" s="2">
        <v>31690.0</v>
      </c>
      <c r="F1778" s="2">
        <v>3.0</v>
      </c>
    </row>
    <row r="1779" ht="15.75" hidden="1" customHeight="1">
      <c r="A1779" s="4" t="s">
        <v>3195</v>
      </c>
      <c r="B1779" s="2" t="s">
        <v>3196</v>
      </c>
      <c r="C1779" s="2">
        <v>4719.0</v>
      </c>
      <c r="D1779" s="2">
        <v>4926.0</v>
      </c>
      <c r="E1779" s="2">
        <v>25190.0</v>
      </c>
      <c r="F1779" s="2">
        <v>13.0</v>
      </c>
    </row>
    <row r="1780" ht="15.75" customHeight="1">
      <c r="A1780" s="4" t="s">
        <v>3197</v>
      </c>
      <c r="B1780" s="2" t="s">
        <v>3198</v>
      </c>
      <c r="C1780" s="2">
        <v>653.0</v>
      </c>
      <c r="D1780" s="2">
        <v>606.0</v>
      </c>
      <c r="E1780" s="2">
        <v>24430.0</v>
      </c>
      <c r="F1780" s="2" t="s">
        <v>150</v>
      </c>
    </row>
    <row r="1781" ht="15.75" customHeight="1">
      <c r="A1781" s="4" t="s">
        <v>5501</v>
      </c>
      <c r="B1781" s="2" t="s">
        <v>5502</v>
      </c>
      <c r="C1781" s="2">
        <v>480.0</v>
      </c>
      <c r="D1781" s="2">
        <v>504.0</v>
      </c>
      <c r="E1781" s="2">
        <v>25240.0</v>
      </c>
      <c r="F1781" s="2" t="s">
        <v>150</v>
      </c>
    </row>
    <row r="1782" ht="15.75" customHeight="1">
      <c r="A1782" s="4" t="s">
        <v>5503</v>
      </c>
      <c r="B1782" s="2" t="s">
        <v>5504</v>
      </c>
      <c r="C1782" s="2">
        <v>191.0</v>
      </c>
      <c r="D1782" s="2">
        <v>196.0</v>
      </c>
      <c r="E1782" s="2">
        <v>27680.0</v>
      </c>
      <c r="F1782" s="2" t="s">
        <v>150</v>
      </c>
    </row>
    <row r="1783" ht="15.75" hidden="1" customHeight="1">
      <c r="A1783" s="4" t="s">
        <v>3201</v>
      </c>
      <c r="B1783" s="2" t="s">
        <v>3202</v>
      </c>
      <c r="C1783" s="2">
        <v>8881.0</v>
      </c>
      <c r="D1783" s="2">
        <v>9082.0</v>
      </c>
      <c r="E1783" s="2">
        <v>37350.0</v>
      </c>
      <c r="F1783" s="2">
        <v>7.0</v>
      </c>
    </row>
    <row r="1784" ht="15.75" customHeight="1">
      <c r="A1784" s="4" t="s">
        <v>5505</v>
      </c>
      <c r="B1784" s="2" t="s">
        <v>5506</v>
      </c>
      <c r="C1784" s="2">
        <v>282.0</v>
      </c>
      <c r="D1784" s="2">
        <v>278.0</v>
      </c>
      <c r="E1784" s="2">
        <v>23910.0</v>
      </c>
      <c r="F1784" s="2" t="s">
        <v>150</v>
      </c>
    </row>
    <row r="1785" ht="15.75" customHeight="1">
      <c r="A1785" s="4" t="s">
        <v>3205</v>
      </c>
      <c r="B1785" s="2" t="s">
        <v>3206</v>
      </c>
      <c r="C1785" s="2">
        <v>510.0</v>
      </c>
      <c r="D1785" s="2">
        <v>505.0</v>
      </c>
      <c r="E1785" s="2">
        <v>25090.0</v>
      </c>
      <c r="F1785" s="2" t="s">
        <v>150</v>
      </c>
    </row>
    <row r="1786" ht="15.75" customHeight="1">
      <c r="A1786" s="4" t="s">
        <v>3207</v>
      </c>
      <c r="B1786" s="2" t="s">
        <v>3208</v>
      </c>
      <c r="C1786" s="2">
        <v>1399.0</v>
      </c>
      <c r="D1786" s="2">
        <v>1469.0</v>
      </c>
      <c r="E1786" s="2">
        <v>25020.0</v>
      </c>
      <c r="F1786" s="2" t="s">
        <v>150</v>
      </c>
    </row>
    <row r="1787" ht="15.75" customHeight="1">
      <c r="A1787" s="4" t="s">
        <v>5507</v>
      </c>
      <c r="B1787" s="2" t="s">
        <v>5508</v>
      </c>
      <c r="C1787" s="2">
        <v>117.0</v>
      </c>
      <c r="D1787" s="2">
        <v>115.0</v>
      </c>
      <c r="E1787" s="2">
        <v>28960.0</v>
      </c>
      <c r="F1787" s="2" t="s">
        <v>150</v>
      </c>
    </row>
    <row r="1788" ht="15.75" customHeight="1">
      <c r="A1788" s="4" t="s">
        <v>5509</v>
      </c>
      <c r="B1788" s="2" t="s">
        <v>5510</v>
      </c>
      <c r="C1788" s="2">
        <v>150.0</v>
      </c>
      <c r="D1788" s="2">
        <v>180.0</v>
      </c>
      <c r="E1788" s="2">
        <v>29910.0</v>
      </c>
      <c r="F1788" s="2" t="s">
        <v>150</v>
      </c>
    </row>
    <row r="1789" ht="15.75" customHeight="1">
      <c r="A1789" s="4" t="s">
        <v>5511</v>
      </c>
      <c r="B1789" s="2" t="s">
        <v>5512</v>
      </c>
      <c r="C1789" s="2">
        <v>207.0</v>
      </c>
      <c r="D1789" s="2">
        <v>182.0</v>
      </c>
      <c r="E1789" s="2">
        <v>25070.0</v>
      </c>
      <c r="F1789" s="2" t="s">
        <v>150</v>
      </c>
    </row>
    <row r="1790" ht="15.75" customHeight="1">
      <c r="A1790" s="4" t="s">
        <v>5513</v>
      </c>
      <c r="B1790" s="2" t="s">
        <v>5514</v>
      </c>
      <c r="C1790" s="2">
        <v>38.0</v>
      </c>
      <c r="D1790" s="2">
        <v>32.0</v>
      </c>
      <c r="E1790" s="2" t="s">
        <v>150</v>
      </c>
      <c r="F1790" s="2" t="s">
        <v>150</v>
      </c>
    </row>
    <row r="1791" ht="15.75" customHeight="1">
      <c r="A1791" s="4" t="s">
        <v>3210</v>
      </c>
      <c r="B1791" s="2" t="s">
        <v>3212</v>
      </c>
      <c r="C1791" s="2">
        <v>1168.0</v>
      </c>
      <c r="D1791" s="2">
        <v>1116.0</v>
      </c>
      <c r="E1791" s="2">
        <v>27500.0</v>
      </c>
      <c r="F1791" s="2" t="s">
        <v>150</v>
      </c>
    </row>
    <row r="1792" ht="15.75" customHeight="1">
      <c r="A1792" s="4" t="s">
        <v>3214</v>
      </c>
      <c r="B1792" s="2" t="s">
        <v>3216</v>
      </c>
      <c r="C1792" s="2">
        <v>534.0</v>
      </c>
      <c r="D1792" s="2">
        <v>631.0</v>
      </c>
      <c r="E1792" s="2">
        <v>30970.0</v>
      </c>
      <c r="F1792" s="2" t="s">
        <v>150</v>
      </c>
    </row>
    <row r="1793" ht="15.75" customHeight="1">
      <c r="A1793" s="4" t="s">
        <v>3267</v>
      </c>
      <c r="B1793" s="2" t="s">
        <v>3268</v>
      </c>
      <c r="C1793" s="2">
        <v>551.0</v>
      </c>
      <c r="D1793" s="2">
        <v>548.0</v>
      </c>
      <c r="E1793" s="2">
        <v>25360.0</v>
      </c>
      <c r="F1793" s="2" t="s">
        <v>150</v>
      </c>
    </row>
    <row r="1794" ht="15.75" customHeight="1">
      <c r="A1794" s="4" t="s">
        <v>3271</v>
      </c>
      <c r="B1794" s="2" t="s">
        <v>3272</v>
      </c>
      <c r="C1794" s="2">
        <v>972.0</v>
      </c>
      <c r="D1794" s="2">
        <v>1014.0</v>
      </c>
      <c r="E1794" s="2">
        <v>29630.0</v>
      </c>
      <c r="F1794" s="2" t="s">
        <v>150</v>
      </c>
    </row>
    <row r="1795" ht="15.75" customHeight="1">
      <c r="A1795" s="4" t="s">
        <v>5515</v>
      </c>
      <c r="B1795" s="2" t="s">
        <v>5516</v>
      </c>
      <c r="C1795" s="2">
        <v>189.0</v>
      </c>
      <c r="D1795" s="2">
        <v>203.0</v>
      </c>
      <c r="E1795" s="2">
        <v>27430.0</v>
      </c>
      <c r="F1795" s="2" t="s">
        <v>150</v>
      </c>
    </row>
    <row r="1796" ht="15.75" hidden="1" customHeight="1">
      <c r="A1796" s="4" t="s">
        <v>3251</v>
      </c>
      <c r="B1796" s="2" t="s">
        <v>3252</v>
      </c>
      <c r="C1796" s="2">
        <v>6880.0</v>
      </c>
      <c r="D1796" s="2">
        <v>6785.0</v>
      </c>
      <c r="E1796" s="2">
        <v>23280.0</v>
      </c>
      <c r="F1796" s="2">
        <v>19.0</v>
      </c>
    </row>
    <row r="1797" ht="15.75" customHeight="1">
      <c r="A1797" s="4" t="s">
        <v>3253</v>
      </c>
      <c r="B1797" s="2" t="s">
        <v>3254</v>
      </c>
      <c r="C1797" s="2">
        <v>595.0</v>
      </c>
      <c r="D1797" s="2">
        <v>573.0</v>
      </c>
      <c r="E1797" s="2">
        <v>28870.0</v>
      </c>
      <c r="F1797" s="2" t="s">
        <v>150</v>
      </c>
    </row>
    <row r="1798" ht="15.75" customHeight="1">
      <c r="A1798" s="4" t="s">
        <v>5517</v>
      </c>
      <c r="B1798" s="2" t="s">
        <v>5518</v>
      </c>
      <c r="C1798" s="2">
        <v>182.0</v>
      </c>
      <c r="D1798" s="2">
        <v>181.0</v>
      </c>
      <c r="E1798" s="2">
        <v>23550.0</v>
      </c>
      <c r="F1798" s="2" t="s">
        <v>150</v>
      </c>
    </row>
    <row r="1799" ht="15.75" customHeight="1">
      <c r="A1799" s="4" t="s">
        <v>5519</v>
      </c>
      <c r="B1799" s="2" t="s">
        <v>5520</v>
      </c>
      <c r="C1799" s="2">
        <v>227.0</v>
      </c>
      <c r="D1799" s="2">
        <v>224.0</v>
      </c>
      <c r="E1799" s="2">
        <v>32310.0</v>
      </c>
      <c r="F1799" s="2" t="s">
        <v>150</v>
      </c>
    </row>
    <row r="1800" ht="15.75" customHeight="1">
      <c r="A1800" s="4" t="s">
        <v>3255</v>
      </c>
      <c r="B1800" s="2" t="s">
        <v>3257</v>
      </c>
      <c r="C1800" s="2">
        <v>709.0</v>
      </c>
      <c r="D1800" s="2">
        <v>718.0</v>
      </c>
      <c r="E1800" s="2">
        <v>28220.0</v>
      </c>
      <c r="F1800" s="2" t="s">
        <v>150</v>
      </c>
    </row>
    <row r="1801" ht="15.75" customHeight="1">
      <c r="A1801" s="4" t="s">
        <v>5521</v>
      </c>
      <c r="B1801" s="2" t="s">
        <v>5522</v>
      </c>
      <c r="C1801" s="2">
        <v>410.0</v>
      </c>
      <c r="D1801" s="2">
        <v>423.0</v>
      </c>
      <c r="E1801" s="2">
        <v>26740.0</v>
      </c>
      <c r="F1801" s="2" t="s">
        <v>150</v>
      </c>
    </row>
    <row r="1802" ht="15.75" customHeight="1">
      <c r="A1802" s="4" t="s">
        <v>5523</v>
      </c>
      <c r="B1802" s="2" t="s">
        <v>5524</v>
      </c>
      <c r="C1802" s="2">
        <v>356.0</v>
      </c>
      <c r="D1802" s="2">
        <v>359.0</v>
      </c>
      <c r="E1802" s="2">
        <v>29320.0</v>
      </c>
      <c r="F1802" s="2" t="s">
        <v>150</v>
      </c>
    </row>
    <row r="1803" ht="15.75" customHeight="1">
      <c r="A1803" s="4" t="s">
        <v>5525</v>
      </c>
      <c r="B1803" s="2" t="s">
        <v>5526</v>
      </c>
      <c r="C1803" s="2">
        <v>336.0</v>
      </c>
      <c r="D1803" s="2">
        <v>329.0</v>
      </c>
      <c r="E1803" s="2">
        <v>28170.0</v>
      </c>
      <c r="F1803" s="2" t="s">
        <v>150</v>
      </c>
    </row>
    <row r="1804" ht="15.75" hidden="1" customHeight="1">
      <c r="A1804" s="4" t="s">
        <v>3259</v>
      </c>
      <c r="B1804" s="2" t="s">
        <v>3260</v>
      </c>
      <c r="C1804" s="2">
        <v>2622.0</v>
      </c>
      <c r="D1804" s="2">
        <v>2586.0</v>
      </c>
      <c r="E1804" s="2">
        <v>24160.0</v>
      </c>
      <c r="F1804" s="2">
        <v>16.0</v>
      </c>
    </row>
    <row r="1805" ht="15.75" customHeight="1">
      <c r="A1805" s="4" t="s">
        <v>3261</v>
      </c>
      <c r="B1805" s="2" t="s">
        <v>3262</v>
      </c>
      <c r="C1805" s="2">
        <v>1919.0</v>
      </c>
      <c r="D1805" s="2">
        <v>1895.0</v>
      </c>
      <c r="E1805" s="2">
        <v>29750.0</v>
      </c>
      <c r="F1805" s="2" t="s">
        <v>150</v>
      </c>
    </row>
    <row r="1806" ht="15.75" customHeight="1">
      <c r="A1806" s="4" t="s">
        <v>3263</v>
      </c>
      <c r="B1806" s="2" t="s">
        <v>3264</v>
      </c>
      <c r="C1806" s="2">
        <v>1306.0</v>
      </c>
      <c r="D1806" s="2">
        <v>1247.0</v>
      </c>
      <c r="E1806" s="2">
        <v>27780.0</v>
      </c>
      <c r="F1806" s="2" t="s">
        <v>150</v>
      </c>
    </row>
    <row r="1807" ht="15.75" customHeight="1">
      <c r="A1807" s="4" t="s">
        <v>5527</v>
      </c>
      <c r="B1807" s="2" t="s">
        <v>5528</v>
      </c>
      <c r="C1807" s="2">
        <v>150.0</v>
      </c>
      <c r="D1807" s="2">
        <v>151.0</v>
      </c>
      <c r="E1807" s="2">
        <v>27220.0</v>
      </c>
      <c r="F1807" s="2" t="s">
        <v>150</v>
      </c>
    </row>
    <row r="1808" ht="15.75" customHeight="1">
      <c r="A1808" s="4" t="s">
        <v>3265</v>
      </c>
      <c r="B1808" s="2" t="s">
        <v>3266</v>
      </c>
      <c r="C1808" s="2">
        <v>642.0</v>
      </c>
      <c r="D1808" s="2">
        <v>682.0</v>
      </c>
      <c r="E1808" s="2">
        <v>27760.0</v>
      </c>
      <c r="F1808" s="2" t="s">
        <v>150</v>
      </c>
    </row>
    <row r="1809" ht="15.75" customHeight="1">
      <c r="A1809" s="4" t="s">
        <v>3273</v>
      </c>
      <c r="B1809" s="2" t="s">
        <v>3274</v>
      </c>
      <c r="C1809" s="2">
        <v>718.0</v>
      </c>
      <c r="D1809" s="2">
        <v>830.0</v>
      </c>
      <c r="E1809" s="2">
        <v>27470.0</v>
      </c>
      <c r="F1809" s="2" t="s">
        <v>150</v>
      </c>
    </row>
    <row r="1810" ht="15.75" hidden="1" customHeight="1">
      <c r="A1810" s="4" t="s">
        <v>3275</v>
      </c>
      <c r="B1810" s="2" t="s">
        <v>3276</v>
      </c>
      <c r="C1810" s="2">
        <v>2699.0</v>
      </c>
      <c r="D1810" s="2">
        <v>2473.0</v>
      </c>
      <c r="E1810" s="2">
        <v>23710.0</v>
      </c>
      <c r="F1810" s="2">
        <v>14.0</v>
      </c>
    </row>
    <row r="1811" ht="15.75" customHeight="1">
      <c r="A1811" s="4" t="s">
        <v>3277</v>
      </c>
      <c r="B1811" s="2" t="s">
        <v>3278</v>
      </c>
      <c r="C1811" s="2">
        <v>414.0</v>
      </c>
      <c r="D1811" s="2">
        <v>381.0</v>
      </c>
      <c r="E1811" s="2">
        <v>28370.0</v>
      </c>
      <c r="F1811" s="2" t="s">
        <v>150</v>
      </c>
    </row>
    <row r="1812" ht="15.75" customHeight="1">
      <c r="A1812" s="4" t="s">
        <v>5529</v>
      </c>
      <c r="B1812" s="2" t="s">
        <v>5530</v>
      </c>
      <c r="C1812" s="2">
        <v>161.0</v>
      </c>
      <c r="D1812" s="2">
        <v>178.0</v>
      </c>
      <c r="E1812" s="2">
        <v>29610.0</v>
      </c>
      <c r="F1812" s="2" t="s">
        <v>150</v>
      </c>
    </row>
    <row r="1813" ht="15.75" customHeight="1">
      <c r="A1813" s="4" t="s">
        <v>5531</v>
      </c>
      <c r="B1813" s="2" t="s">
        <v>5532</v>
      </c>
      <c r="C1813" s="2">
        <v>301.0</v>
      </c>
      <c r="D1813" s="2">
        <v>285.0</v>
      </c>
      <c r="E1813" s="2">
        <v>25950.0</v>
      </c>
      <c r="F1813" s="2" t="s">
        <v>150</v>
      </c>
    </row>
    <row r="1814" ht="15.75" customHeight="1">
      <c r="A1814" s="4" t="s">
        <v>5533</v>
      </c>
      <c r="B1814" s="2" t="s">
        <v>5534</v>
      </c>
      <c r="C1814" s="2">
        <v>406.0</v>
      </c>
      <c r="D1814" s="2">
        <v>375.0</v>
      </c>
      <c r="E1814" s="2">
        <v>28740.0</v>
      </c>
      <c r="F1814" s="2" t="s">
        <v>150</v>
      </c>
    </row>
    <row r="1815" ht="15.75" customHeight="1">
      <c r="A1815" s="4" t="s">
        <v>5535</v>
      </c>
      <c r="B1815" s="2" t="s">
        <v>5536</v>
      </c>
      <c r="C1815" s="2">
        <v>641.0</v>
      </c>
      <c r="D1815" s="2">
        <v>616.0</v>
      </c>
      <c r="E1815" s="2">
        <v>26780.0</v>
      </c>
      <c r="F1815" s="2" t="s">
        <v>150</v>
      </c>
    </row>
    <row r="1816" ht="15.75" customHeight="1">
      <c r="A1816" s="4" t="s">
        <v>3281</v>
      </c>
      <c r="B1816" s="2" t="s">
        <v>3282</v>
      </c>
      <c r="C1816" s="2">
        <v>1613.0</v>
      </c>
      <c r="D1816" s="2">
        <v>1581.0</v>
      </c>
      <c r="E1816" s="2">
        <v>26460.0</v>
      </c>
      <c r="F1816" s="2" t="s">
        <v>150</v>
      </c>
    </row>
    <row r="1817" ht="15.75" customHeight="1">
      <c r="A1817" s="4" t="s">
        <v>5537</v>
      </c>
      <c r="B1817" s="2" t="s">
        <v>5538</v>
      </c>
      <c r="C1817" s="2">
        <v>261.0</v>
      </c>
      <c r="D1817" s="2">
        <v>258.0</v>
      </c>
      <c r="E1817" s="2">
        <v>25650.0</v>
      </c>
      <c r="F1817" s="2" t="s">
        <v>150</v>
      </c>
    </row>
    <row r="1818" ht="15.75" hidden="1" customHeight="1">
      <c r="A1818" s="4" t="s">
        <v>3283</v>
      </c>
      <c r="B1818" s="2" t="s">
        <v>3284</v>
      </c>
      <c r="C1818" s="2">
        <v>8370.0</v>
      </c>
      <c r="D1818" s="2">
        <v>8677.0</v>
      </c>
      <c r="E1818" s="2">
        <v>25900.0</v>
      </c>
      <c r="F1818" s="2">
        <v>13.0</v>
      </c>
    </row>
    <row r="1819" ht="15.75" customHeight="1">
      <c r="A1819" s="4" t="s">
        <v>5539</v>
      </c>
      <c r="B1819" s="2" t="s">
        <v>5540</v>
      </c>
      <c r="C1819" s="2">
        <v>536.0</v>
      </c>
      <c r="D1819" s="2">
        <v>531.0</v>
      </c>
      <c r="E1819" s="2">
        <v>29280.0</v>
      </c>
      <c r="F1819" s="2" t="s">
        <v>150</v>
      </c>
    </row>
    <row r="1820" ht="15.75" customHeight="1">
      <c r="A1820" s="4" t="s">
        <v>3285</v>
      </c>
      <c r="B1820" s="2" t="s">
        <v>3286</v>
      </c>
      <c r="C1820" s="2">
        <v>680.0</v>
      </c>
      <c r="D1820" s="2">
        <v>641.0</v>
      </c>
      <c r="E1820" s="2">
        <v>26790.0</v>
      </c>
      <c r="F1820" s="2" t="s">
        <v>150</v>
      </c>
    </row>
    <row r="1821" ht="15.75" customHeight="1">
      <c r="A1821" s="4" t="s">
        <v>3287</v>
      </c>
      <c r="B1821" s="2" t="s">
        <v>3288</v>
      </c>
      <c r="C1821" s="2">
        <v>491.0</v>
      </c>
      <c r="D1821" s="2">
        <v>484.0</v>
      </c>
      <c r="E1821" s="2">
        <v>27000.0</v>
      </c>
      <c r="F1821" s="2" t="s">
        <v>150</v>
      </c>
    </row>
    <row r="1822" ht="15.75" customHeight="1">
      <c r="A1822" s="4" t="s">
        <v>3289</v>
      </c>
      <c r="B1822" s="2" t="s">
        <v>3291</v>
      </c>
      <c r="C1822" s="2">
        <v>1482.0</v>
      </c>
      <c r="D1822" s="2">
        <v>1409.0</v>
      </c>
      <c r="E1822" s="2">
        <v>21300.0</v>
      </c>
      <c r="F1822" s="2" t="s">
        <v>150</v>
      </c>
    </row>
    <row r="1823" ht="15.75" customHeight="1">
      <c r="A1823" s="4" t="s">
        <v>5541</v>
      </c>
      <c r="B1823" s="2" t="s">
        <v>5542</v>
      </c>
      <c r="C1823" s="2">
        <v>128.0</v>
      </c>
      <c r="D1823" s="2">
        <v>136.0</v>
      </c>
      <c r="E1823" s="2">
        <v>29320.0</v>
      </c>
      <c r="F1823" s="2" t="s">
        <v>150</v>
      </c>
    </row>
    <row r="1824" ht="15.75" customHeight="1">
      <c r="A1824" s="4" t="s">
        <v>5543</v>
      </c>
      <c r="B1824" s="2" t="s">
        <v>5544</v>
      </c>
      <c r="C1824" s="2">
        <v>249.0</v>
      </c>
      <c r="D1824" s="2">
        <v>221.0</v>
      </c>
      <c r="E1824" s="2">
        <v>24790.0</v>
      </c>
      <c r="F1824" s="2" t="s">
        <v>150</v>
      </c>
    </row>
    <row r="1825" ht="15.75" customHeight="1">
      <c r="A1825" s="4" t="s">
        <v>5545</v>
      </c>
      <c r="B1825" s="2" t="s">
        <v>5546</v>
      </c>
      <c r="C1825" s="2">
        <v>316.0</v>
      </c>
      <c r="D1825" s="2">
        <v>344.0</v>
      </c>
      <c r="E1825" s="2">
        <v>27220.0</v>
      </c>
      <c r="F1825" s="2" t="s">
        <v>150</v>
      </c>
    </row>
    <row r="1826" ht="15.75" customHeight="1">
      <c r="A1826" s="4" t="s">
        <v>5547</v>
      </c>
      <c r="B1826" s="2" t="s">
        <v>5548</v>
      </c>
      <c r="C1826" s="2">
        <v>249.0</v>
      </c>
      <c r="D1826" s="2">
        <v>211.0</v>
      </c>
      <c r="E1826" s="2">
        <v>29580.0</v>
      </c>
      <c r="F1826" s="2" t="s">
        <v>150</v>
      </c>
    </row>
    <row r="1827" ht="15.75" customHeight="1">
      <c r="A1827" s="4" t="s">
        <v>5549</v>
      </c>
      <c r="B1827" s="2" t="s">
        <v>5550</v>
      </c>
      <c r="C1827" s="2">
        <v>740.0</v>
      </c>
      <c r="D1827" s="2">
        <v>789.0</v>
      </c>
      <c r="E1827" s="2">
        <v>28040.0</v>
      </c>
      <c r="F1827" s="2" t="s">
        <v>150</v>
      </c>
    </row>
    <row r="1828" ht="15.75" customHeight="1">
      <c r="A1828" s="4" t="s">
        <v>5551</v>
      </c>
      <c r="B1828" s="2" t="s">
        <v>5552</v>
      </c>
      <c r="C1828" s="2">
        <v>638.0</v>
      </c>
      <c r="D1828" s="2">
        <v>600.0</v>
      </c>
      <c r="E1828" s="2">
        <v>27740.0</v>
      </c>
      <c r="F1828" s="2" t="s">
        <v>150</v>
      </c>
    </row>
    <row r="1829" ht="15.75" customHeight="1">
      <c r="A1829" s="4" t="s">
        <v>5553</v>
      </c>
      <c r="B1829" s="2" t="s">
        <v>5554</v>
      </c>
      <c r="C1829" s="2">
        <v>104.0</v>
      </c>
      <c r="D1829" s="2">
        <v>103.0</v>
      </c>
      <c r="E1829" s="2">
        <v>28530.0</v>
      </c>
      <c r="F1829" s="2" t="s">
        <v>150</v>
      </c>
    </row>
    <row r="1830" ht="15.75" hidden="1" customHeight="1">
      <c r="A1830" s="4" t="s">
        <v>3342</v>
      </c>
      <c r="B1830" s="2" t="s">
        <v>3343</v>
      </c>
      <c r="C1830" s="2">
        <v>14614.0</v>
      </c>
      <c r="D1830" s="2">
        <v>13897.0</v>
      </c>
      <c r="E1830" s="2">
        <v>22160.0</v>
      </c>
      <c r="F1830" s="2">
        <v>24.0</v>
      </c>
    </row>
    <row r="1831" ht="15.75" customHeight="1">
      <c r="A1831" s="4" t="s">
        <v>5555</v>
      </c>
      <c r="B1831" s="2" t="s">
        <v>5556</v>
      </c>
      <c r="C1831" s="2">
        <v>629.0</v>
      </c>
      <c r="D1831" s="2">
        <v>604.0</v>
      </c>
      <c r="E1831" s="2">
        <v>23700.0</v>
      </c>
      <c r="F1831" s="2" t="s">
        <v>150</v>
      </c>
    </row>
    <row r="1832" ht="15.75" customHeight="1">
      <c r="A1832" s="4" t="s">
        <v>5557</v>
      </c>
      <c r="B1832" s="2" t="s">
        <v>5558</v>
      </c>
      <c r="C1832" s="2">
        <v>84.0</v>
      </c>
      <c r="D1832" s="2">
        <v>66.0</v>
      </c>
      <c r="E1832" s="2" t="s">
        <v>150</v>
      </c>
      <c r="F1832" s="2" t="s">
        <v>150</v>
      </c>
    </row>
    <row r="1833" ht="15.75" hidden="1" customHeight="1">
      <c r="A1833" s="4" t="s">
        <v>3225</v>
      </c>
      <c r="B1833" s="2" t="s">
        <v>3228</v>
      </c>
      <c r="C1833" s="2">
        <v>2229.0</v>
      </c>
      <c r="D1833" s="2">
        <v>2439.0</v>
      </c>
      <c r="E1833" s="2">
        <v>29180.0</v>
      </c>
      <c r="F1833" s="2">
        <v>8.0</v>
      </c>
    </row>
    <row r="1834" ht="15.75" customHeight="1">
      <c r="A1834" s="4" t="s">
        <v>5559</v>
      </c>
      <c r="B1834" s="2" t="s">
        <v>5560</v>
      </c>
      <c r="C1834" s="2">
        <v>204.0</v>
      </c>
      <c r="D1834" s="2">
        <v>248.0</v>
      </c>
      <c r="E1834" s="2">
        <v>26280.0</v>
      </c>
      <c r="F1834" s="2" t="s">
        <v>150</v>
      </c>
    </row>
    <row r="1835" ht="15.75" customHeight="1">
      <c r="A1835" s="4" t="s">
        <v>5561</v>
      </c>
      <c r="B1835" s="2" t="s">
        <v>5562</v>
      </c>
      <c r="C1835" s="2">
        <v>266.0</v>
      </c>
      <c r="D1835" s="2">
        <v>265.0</v>
      </c>
      <c r="E1835" s="2">
        <v>28240.0</v>
      </c>
      <c r="F1835" s="2" t="s">
        <v>150</v>
      </c>
    </row>
    <row r="1836" ht="15.75" customHeight="1">
      <c r="A1836" s="4" t="s">
        <v>3223</v>
      </c>
      <c r="B1836" s="2" t="s">
        <v>3224</v>
      </c>
      <c r="C1836" s="2">
        <v>794.0</v>
      </c>
      <c r="D1836" s="2">
        <v>770.0</v>
      </c>
      <c r="E1836" s="2">
        <v>28310.0</v>
      </c>
      <c r="F1836" s="2" t="s">
        <v>150</v>
      </c>
    </row>
    <row r="1837" ht="15.75" hidden="1" customHeight="1">
      <c r="A1837" s="4" t="s">
        <v>3229</v>
      </c>
      <c r="B1837" s="2" t="s">
        <v>3230</v>
      </c>
      <c r="C1837" s="2">
        <v>2270.0</v>
      </c>
      <c r="D1837" s="2">
        <v>2327.0</v>
      </c>
      <c r="E1837" s="2">
        <v>30170.0</v>
      </c>
      <c r="F1837" s="2">
        <v>6.0</v>
      </c>
    </row>
    <row r="1838" ht="15.75" customHeight="1">
      <c r="A1838" s="4" t="s">
        <v>3293</v>
      </c>
      <c r="B1838" s="2" t="s">
        <v>3294</v>
      </c>
      <c r="C1838" s="2">
        <v>1708.0</v>
      </c>
      <c r="D1838" s="2">
        <v>1922.0</v>
      </c>
      <c r="E1838" s="2">
        <v>25270.0</v>
      </c>
      <c r="F1838" s="2" t="s">
        <v>150</v>
      </c>
    </row>
    <row r="1839" ht="15.75" customHeight="1">
      <c r="A1839" s="4" t="s">
        <v>3295</v>
      </c>
      <c r="B1839" s="2" t="s">
        <v>3296</v>
      </c>
      <c r="C1839" s="2">
        <v>1515.0</v>
      </c>
      <c r="D1839" s="2">
        <v>1487.0</v>
      </c>
      <c r="E1839" s="2">
        <v>26740.0</v>
      </c>
      <c r="F1839" s="2" t="s">
        <v>150</v>
      </c>
    </row>
    <row r="1840" ht="15.75" customHeight="1">
      <c r="A1840" s="4" t="s">
        <v>3297</v>
      </c>
      <c r="B1840" s="2" t="s">
        <v>3298</v>
      </c>
      <c r="C1840" s="2">
        <v>1158.0</v>
      </c>
      <c r="D1840" s="2">
        <v>1117.0</v>
      </c>
      <c r="E1840" s="2">
        <v>22690.0</v>
      </c>
      <c r="F1840" s="2" t="s">
        <v>150</v>
      </c>
    </row>
    <row r="1841" ht="15.75" customHeight="1">
      <c r="A1841" s="4" t="s">
        <v>3299</v>
      </c>
      <c r="B1841" s="2" t="s">
        <v>3300</v>
      </c>
      <c r="C1841" s="2">
        <v>825.0</v>
      </c>
      <c r="D1841" s="2">
        <v>947.0</v>
      </c>
      <c r="E1841" s="2">
        <v>28800.0</v>
      </c>
      <c r="F1841" s="2" t="s">
        <v>150</v>
      </c>
    </row>
    <row r="1842" ht="15.75" customHeight="1">
      <c r="A1842" s="4" t="s">
        <v>5563</v>
      </c>
      <c r="B1842" s="2" t="s">
        <v>5564</v>
      </c>
      <c r="C1842" s="2">
        <v>227.0</v>
      </c>
      <c r="D1842" s="2">
        <v>211.0</v>
      </c>
      <c r="E1842" s="2">
        <v>24350.0</v>
      </c>
      <c r="F1842" s="2" t="s">
        <v>150</v>
      </c>
    </row>
    <row r="1843" ht="15.75" customHeight="1">
      <c r="A1843" s="4" t="s">
        <v>3301</v>
      </c>
      <c r="B1843" s="2" t="s">
        <v>3302</v>
      </c>
      <c r="C1843" s="2">
        <v>769.0</v>
      </c>
      <c r="D1843" s="2">
        <v>772.0</v>
      </c>
      <c r="E1843" s="2">
        <v>29600.0</v>
      </c>
      <c r="F1843" s="2" t="s">
        <v>150</v>
      </c>
    </row>
    <row r="1844" ht="15.75" customHeight="1">
      <c r="A1844" s="4" t="s">
        <v>3303</v>
      </c>
      <c r="B1844" s="2" t="s">
        <v>3304</v>
      </c>
      <c r="C1844" s="2">
        <v>2214.0</v>
      </c>
      <c r="D1844" s="2">
        <v>2155.0</v>
      </c>
      <c r="E1844" s="2">
        <v>27680.0</v>
      </c>
      <c r="F1844" s="2" t="s">
        <v>150</v>
      </c>
    </row>
    <row r="1845" ht="15.75" customHeight="1">
      <c r="A1845" s="4" t="s">
        <v>3305</v>
      </c>
      <c r="B1845" s="2" t="s">
        <v>3306</v>
      </c>
      <c r="C1845" s="2">
        <v>243.0</v>
      </c>
      <c r="D1845" s="2">
        <v>247.0</v>
      </c>
      <c r="E1845" s="2">
        <v>23700.0</v>
      </c>
      <c r="F1845" s="2" t="s">
        <v>150</v>
      </c>
    </row>
    <row r="1846" ht="15.75" customHeight="1">
      <c r="A1846" s="4" t="s">
        <v>3307</v>
      </c>
      <c r="B1846" s="2" t="s">
        <v>3308</v>
      </c>
      <c r="C1846" s="2">
        <v>823.0</v>
      </c>
      <c r="D1846" s="2">
        <v>765.0</v>
      </c>
      <c r="E1846" s="2">
        <v>29890.0</v>
      </c>
      <c r="F1846" s="2" t="s">
        <v>150</v>
      </c>
    </row>
    <row r="1847" ht="15.75" customHeight="1">
      <c r="A1847" s="4" t="s">
        <v>3315</v>
      </c>
      <c r="B1847" s="2" t="s">
        <v>3316</v>
      </c>
      <c r="C1847" s="2">
        <v>669.0</v>
      </c>
      <c r="D1847" s="2">
        <v>672.0</v>
      </c>
      <c r="E1847" s="2">
        <v>30870.0</v>
      </c>
      <c r="F1847" s="2" t="s">
        <v>150</v>
      </c>
    </row>
    <row r="1848" ht="15.75" customHeight="1">
      <c r="A1848" s="4" t="s">
        <v>3313</v>
      </c>
      <c r="B1848" s="2" t="s">
        <v>3314</v>
      </c>
      <c r="C1848" s="2">
        <v>417.0</v>
      </c>
      <c r="D1848" s="2">
        <v>425.0</v>
      </c>
      <c r="E1848" s="2">
        <v>30910.0</v>
      </c>
      <c r="F1848" s="2" t="s">
        <v>150</v>
      </c>
    </row>
    <row r="1849" ht="15.75" hidden="1" customHeight="1">
      <c r="A1849" s="4" t="s">
        <v>3317</v>
      </c>
      <c r="B1849" s="2" t="s">
        <v>3318</v>
      </c>
      <c r="C1849" s="2">
        <v>13263.0</v>
      </c>
      <c r="D1849" s="2">
        <v>14257.0</v>
      </c>
      <c r="E1849" s="2">
        <v>19240.0</v>
      </c>
      <c r="F1849" s="2">
        <v>32.0</v>
      </c>
    </row>
    <row r="1850" ht="15.75" customHeight="1">
      <c r="A1850" s="4" t="s">
        <v>5565</v>
      </c>
      <c r="B1850" s="2" t="s">
        <v>5566</v>
      </c>
      <c r="C1850" s="2">
        <v>138.0</v>
      </c>
      <c r="D1850" s="2">
        <v>159.0</v>
      </c>
      <c r="E1850" s="2">
        <v>39880.0</v>
      </c>
      <c r="F1850" s="2" t="s">
        <v>150</v>
      </c>
    </row>
    <row r="1851" ht="15.75" customHeight="1">
      <c r="A1851" s="4" t="s">
        <v>5567</v>
      </c>
      <c r="B1851" s="2" t="s">
        <v>5568</v>
      </c>
      <c r="C1851" s="2">
        <v>183.0</v>
      </c>
      <c r="D1851" s="2">
        <v>166.0</v>
      </c>
      <c r="E1851" s="2">
        <v>24290.0</v>
      </c>
      <c r="F1851" s="2" t="s">
        <v>150</v>
      </c>
    </row>
    <row r="1852" ht="15.75" customHeight="1">
      <c r="A1852" s="4" t="s">
        <v>5569</v>
      </c>
      <c r="B1852" s="2" t="s">
        <v>5570</v>
      </c>
      <c r="C1852" s="2">
        <v>427.0</v>
      </c>
      <c r="D1852" s="2">
        <v>392.0</v>
      </c>
      <c r="E1852" s="2">
        <v>29370.0</v>
      </c>
      <c r="F1852" s="2" t="s">
        <v>150</v>
      </c>
    </row>
    <row r="1853" ht="15.75" customHeight="1">
      <c r="A1853" s="4" t="s">
        <v>3323</v>
      </c>
      <c r="B1853" s="2" t="s">
        <v>3324</v>
      </c>
      <c r="C1853" s="2">
        <v>483.0</v>
      </c>
      <c r="D1853" s="2">
        <v>530.0</v>
      </c>
      <c r="E1853" s="2">
        <v>30330.0</v>
      </c>
      <c r="F1853" s="2" t="s">
        <v>150</v>
      </c>
    </row>
    <row r="1854" ht="15.75" customHeight="1">
      <c r="A1854" s="4" t="s">
        <v>3311</v>
      </c>
      <c r="B1854" s="2" t="s">
        <v>3312</v>
      </c>
      <c r="C1854" s="2">
        <v>397.0</v>
      </c>
      <c r="D1854" s="2">
        <v>416.0</v>
      </c>
      <c r="E1854" s="2">
        <v>32090.0</v>
      </c>
      <c r="F1854" s="2" t="s">
        <v>150</v>
      </c>
    </row>
    <row r="1855" ht="15.75" customHeight="1">
      <c r="A1855" s="4" t="s">
        <v>5571</v>
      </c>
      <c r="B1855" s="2" t="s">
        <v>5572</v>
      </c>
      <c r="C1855" s="2">
        <v>196.0</v>
      </c>
      <c r="D1855" s="2">
        <v>207.0</v>
      </c>
      <c r="E1855" s="2">
        <v>32720.0</v>
      </c>
      <c r="F1855" s="2" t="s">
        <v>150</v>
      </c>
    </row>
    <row r="1856" ht="15.75" customHeight="1">
      <c r="A1856" s="4" t="s">
        <v>3325</v>
      </c>
      <c r="B1856" s="2" t="s">
        <v>3326</v>
      </c>
      <c r="C1856" s="2">
        <v>1082.0</v>
      </c>
      <c r="D1856" s="2">
        <v>1142.0</v>
      </c>
      <c r="E1856" s="2">
        <v>28000.0</v>
      </c>
      <c r="F1856" s="2" t="s">
        <v>150</v>
      </c>
    </row>
    <row r="1857" ht="15.75" customHeight="1">
      <c r="A1857" s="4" t="s">
        <v>5573</v>
      </c>
      <c r="B1857" s="2" t="s">
        <v>5574</v>
      </c>
      <c r="C1857" s="2">
        <v>262.0</v>
      </c>
      <c r="D1857" s="2">
        <v>294.0</v>
      </c>
      <c r="E1857" s="2">
        <v>29650.0</v>
      </c>
      <c r="F1857" s="2" t="s">
        <v>150</v>
      </c>
    </row>
    <row r="1858" ht="15.75" customHeight="1">
      <c r="A1858" s="4" t="s">
        <v>5575</v>
      </c>
      <c r="B1858" s="2" t="s">
        <v>5576</v>
      </c>
      <c r="C1858" s="2">
        <v>488.0</v>
      </c>
      <c r="D1858" s="2">
        <v>497.0</v>
      </c>
      <c r="E1858" s="2">
        <v>26560.0</v>
      </c>
      <c r="F1858" s="2" t="s">
        <v>150</v>
      </c>
    </row>
    <row r="1859" ht="15.75" customHeight="1">
      <c r="A1859" s="4" t="s">
        <v>5577</v>
      </c>
      <c r="B1859" s="2" t="s">
        <v>5578</v>
      </c>
      <c r="C1859" s="2">
        <v>245.0</v>
      </c>
      <c r="D1859" s="2">
        <v>239.0</v>
      </c>
      <c r="E1859" s="2">
        <v>28300.0</v>
      </c>
      <c r="F1859" s="2" t="s">
        <v>150</v>
      </c>
    </row>
    <row r="1860" ht="15.75" customHeight="1">
      <c r="A1860" s="4" t="s">
        <v>5579</v>
      </c>
      <c r="B1860" s="2" t="s">
        <v>5580</v>
      </c>
      <c r="C1860" s="2">
        <v>166.0</v>
      </c>
      <c r="D1860" s="2">
        <v>187.0</v>
      </c>
      <c r="E1860" s="2">
        <v>26210.0</v>
      </c>
      <c r="F1860" s="2" t="s">
        <v>150</v>
      </c>
    </row>
    <row r="1861" ht="15.75" customHeight="1">
      <c r="A1861" s="4" t="s">
        <v>3232</v>
      </c>
      <c r="B1861" s="2" t="s">
        <v>3234</v>
      </c>
      <c r="C1861" s="2">
        <v>647.0</v>
      </c>
      <c r="D1861" s="2">
        <v>652.0</v>
      </c>
      <c r="E1861" s="2">
        <v>34140.0</v>
      </c>
      <c r="F1861" s="2" t="s">
        <v>150</v>
      </c>
    </row>
    <row r="1862" ht="15.75" customHeight="1">
      <c r="A1862" s="4" t="s">
        <v>5581</v>
      </c>
      <c r="B1862" s="2" t="s">
        <v>5582</v>
      </c>
      <c r="C1862" s="2">
        <v>392.0</v>
      </c>
      <c r="D1862" s="2">
        <v>412.0</v>
      </c>
      <c r="E1862" s="2">
        <v>27870.0</v>
      </c>
      <c r="F1862" s="2" t="s">
        <v>150</v>
      </c>
    </row>
    <row r="1863" ht="15.75" customHeight="1">
      <c r="A1863" s="4" t="s">
        <v>3329</v>
      </c>
      <c r="B1863" s="2" t="s">
        <v>3330</v>
      </c>
      <c r="C1863" s="2">
        <v>1078.0</v>
      </c>
      <c r="D1863" s="2">
        <v>1035.0</v>
      </c>
      <c r="E1863" s="2">
        <v>28090.0</v>
      </c>
      <c r="F1863" s="2" t="s">
        <v>150</v>
      </c>
    </row>
    <row r="1864" ht="15.75" customHeight="1">
      <c r="A1864" s="4" t="s">
        <v>5583</v>
      </c>
      <c r="B1864" s="2" t="s">
        <v>5584</v>
      </c>
      <c r="C1864" s="2">
        <v>538.0</v>
      </c>
      <c r="D1864" s="2">
        <v>500.0</v>
      </c>
      <c r="E1864" s="2">
        <v>25620.0</v>
      </c>
      <c r="F1864" s="2" t="s">
        <v>150</v>
      </c>
    </row>
    <row r="1865" ht="15.75" customHeight="1">
      <c r="A1865" s="4" t="s">
        <v>3331</v>
      </c>
      <c r="B1865" s="2" t="s">
        <v>1979</v>
      </c>
      <c r="C1865" s="2">
        <v>854.0</v>
      </c>
      <c r="D1865" s="2">
        <v>834.0</v>
      </c>
      <c r="E1865" s="2">
        <v>33400.0</v>
      </c>
      <c r="F1865" s="2" t="s">
        <v>150</v>
      </c>
    </row>
    <row r="1866" ht="15.75" customHeight="1">
      <c r="A1866" s="4" t="s">
        <v>3332</v>
      </c>
      <c r="B1866" s="2" t="s">
        <v>3333</v>
      </c>
      <c r="C1866" s="2">
        <v>913.0</v>
      </c>
      <c r="D1866" s="2">
        <v>958.0</v>
      </c>
      <c r="E1866" s="2">
        <v>30110.0</v>
      </c>
      <c r="F1866" s="2" t="s">
        <v>150</v>
      </c>
    </row>
    <row r="1867" ht="15.75" customHeight="1">
      <c r="A1867" s="4" t="s">
        <v>5585</v>
      </c>
      <c r="B1867" s="2" t="s">
        <v>5586</v>
      </c>
      <c r="C1867" s="2">
        <v>224.0</v>
      </c>
      <c r="D1867" s="2">
        <v>220.0</v>
      </c>
      <c r="E1867" s="2">
        <v>27220.0</v>
      </c>
      <c r="F1867" s="2" t="s">
        <v>150</v>
      </c>
    </row>
    <row r="1868" ht="15.75" customHeight="1">
      <c r="A1868" s="4" t="s">
        <v>5587</v>
      </c>
      <c r="B1868" s="2" t="s">
        <v>5588</v>
      </c>
      <c r="C1868" s="2">
        <v>476.0</v>
      </c>
      <c r="D1868" s="2">
        <v>506.0</v>
      </c>
      <c r="E1868" s="2">
        <v>25320.0</v>
      </c>
      <c r="F1868" s="2" t="s">
        <v>150</v>
      </c>
    </row>
    <row r="1869" ht="15.75" customHeight="1">
      <c r="A1869" s="4" t="s">
        <v>5589</v>
      </c>
      <c r="B1869" s="2" t="s">
        <v>5590</v>
      </c>
      <c r="C1869" s="2">
        <v>83.0</v>
      </c>
      <c r="D1869" s="2">
        <v>84.0</v>
      </c>
      <c r="E1869" s="2" t="s">
        <v>150</v>
      </c>
      <c r="F1869" s="2" t="s">
        <v>150</v>
      </c>
    </row>
    <row r="1870" ht="15.75" customHeight="1">
      <c r="A1870" s="4" t="s">
        <v>5591</v>
      </c>
      <c r="B1870" s="2" t="s">
        <v>5592</v>
      </c>
      <c r="C1870" s="2">
        <v>82.0</v>
      </c>
      <c r="D1870" s="2">
        <v>72.0</v>
      </c>
      <c r="E1870" s="2" t="s">
        <v>150</v>
      </c>
      <c r="F1870" s="2" t="s">
        <v>150</v>
      </c>
    </row>
    <row r="1871" ht="15.75" customHeight="1">
      <c r="A1871" s="4" t="s">
        <v>5593</v>
      </c>
      <c r="B1871" s="2" t="s">
        <v>5594</v>
      </c>
      <c r="C1871" s="2">
        <v>213.0</v>
      </c>
      <c r="D1871" s="2">
        <v>185.0</v>
      </c>
      <c r="E1871" s="2">
        <v>26030.0</v>
      </c>
      <c r="F1871" s="2" t="s">
        <v>150</v>
      </c>
    </row>
    <row r="1872" ht="15.75" hidden="1" customHeight="1">
      <c r="A1872" s="4" t="s">
        <v>3334</v>
      </c>
      <c r="B1872" s="2" t="s">
        <v>3335</v>
      </c>
      <c r="C1872" s="2">
        <v>5288.0</v>
      </c>
      <c r="D1872" s="2">
        <v>5319.0</v>
      </c>
      <c r="E1872" s="2">
        <v>23600.0</v>
      </c>
      <c r="F1872" s="2">
        <v>17.0</v>
      </c>
    </row>
    <row r="1873" ht="15.75" customHeight="1">
      <c r="A1873" s="4" t="s">
        <v>3336</v>
      </c>
      <c r="B1873" s="2" t="s">
        <v>3337</v>
      </c>
      <c r="C1873" s="2">
        <v>630.0</v>
      </c>
      <c r="D1873" s="2">
        <v>575.0</v>
      </c>
      <c r="E1873" s="2">
        <v>27780.0</v>
      </c>
      <c r="F1873" s="2" t="s">
        <v>150</v>
      </c>
    </row>
    <row r="1874" ht="15.75" customHeight="1">
      <c r="A1874" s="4" t="s">
        <v>3338</v>
      </c>
      <c r="B1874" s="2" t="s">
        <v>3339</v>
      </c>
      <c r="C1874" s="2">
        <v>679.0</v>
      </c>
      <c r="D1874" s="2">
        <v>647.0</v>
      </c>
      <c r="E1874" s="2">
        <v>31020.0</v>
      </c>
      <c r="F1874" s="2" t="s">
        <v>150</v>
      </c>
    </row>
    <row r="1875" ht="15.75" customHeight="1">
      <c r="A1875" s="4" t="s">
        <v>5595</v>
      </c>
      <c r="B1875" s="2" t="s">
        <v>5596</v>
      </c>
      <c r="C1875" s="2">
        <v>141.0</v>
      </c>
      <c r="D1875" s="2">
        <v>133.0</v>
      </c>
      <c r="E1875" s="2">
        <v>25870.0</v>
      </c>
      <c r="F1875" s="2" t="s">
        <v>150</v>
      </c>
    </row>
    <row r="1876" ht="15.75" customHeight="1">
      <c r="A1876" s="4" t="s">
        <v>3340</v>
      </c>
      <c r="B1876" s="2" t="s">
        <v>3341</v>
      </c>
      <c r="C1876" s="2">
        <v>571.0</v>
      </c>
      <c r="D1876" s="2">
        <v>587.0</v>
      </c>
      <c r="E1876" s="2">
        <v>23650.0</v>
      </c>
      <c r="F1876" s="2" t="s">
        <v>150</v>
      </c>
    </row>
    <row r="1877" ht="15.75" customHeight="1">
      <c r="A1877" s="4" t="s">
        <v>5597</v>
      </c>
      <c r="B1877" s="2" t="s">
        <v>5598</v>
      </c>
      <c r="C1877" s="2">
        <v>153.0</v>
      </c>
      <c r="D1877" s="2">
        <v>141.0</v>
      </c>
      <c r="E1877" s="2">
        <v>24990.0</v>
      </c>
      <c r="F1877" s="2" t="s">
        <v>150</v>
      </c>
    </row>
    <row r="1878" ht="15.75" customHeight="1">
      <c r="A1878" s="4" t="s">
        <v>5599</v>
      </c>
      <c r="B1878" s="2" t="s">
        <v>5600</v>
      </c>
      <c r="C1878" s="2">
        <v>317.0</v>
      </c>
      <c r="D1878" s="2">
        <v>293.0</v>
      </c>
      <c r="E1878" s="2">
        <v>24110.0</v>
      </c>
      <c r="F1878" s="2" t="s">
        <v>150</v>
      </c>
    </row>
    <row r="1879" ht="15.75" hidden="1" customHeight="1">
      <c r="A1879" s="4" t="s">
        <v>3344</v>
      </c>
      <c r="B1879" s="2" t="s">
        <v>3345</v>
      </c>
      <c r="C1879" s="2">
        <v>4296.0</v>
      </c>
      <c r="D1879" s="2">
        <v>4258.0</v>
      </c>
      <c r="E1879" s="2">
        <v>26870.0</v>
      </c>
      <c r="F1879" s="2">
        <v>11.0</v>
      </c>
    </row>
    <row r="1880" ht="15.75" customHeight="1">
      <c r="A1880" s="4" t="s">
        <v>5601</v>
      </c>
      <c r="B1880" s="2" t="s">
        <v>5602</v>
      </c>
      <c r="C1880" s="2">
        <v>661.0</v>
      </c>
      <c r="D1880" s="2">
        <v>670.0</v>
      </c>
      <c r="E1880" s="2">
        <v>31460.0</v>
      </c>
      <c r="F1880" s="2" t="s">
        <v>150</v>
      </c>
    </row>
    <row r="1881" ht="15.75" customHeight="1">
      <c r="A1881" s="4" t="s">
        <v>3346</v>
      </c>
      <c r="B1881" s="2" t="s">
        <v>3347</v>
      </c>
      <c r="C1881" s="2">
        <v>377.0</v>
      </c>
      <c r="D1881" s="2">
        <v>386.0</v>
      </c>
      <c r="E1881" s="2">
        <v>26360.0</v>
      </c>
      <c r="F1881" s="2" t="s">
        <v>150</v>
      </c>
    </row>
    <row r="1882" ht="15.75" customHeight="1">
      <c r="A1882" s="4" t="s">
        <v>5603</v>
      </c>
      <c r="B1882" s="2" t="s">
        <v>5604</v>
      </c>
      <c r="C1882" s="2">
        <v>279.0</v>
      </c>
      <c r="D1882" s="2">
        <v>280.0</v>
      </c>
      <c r="E1882" s="2">
        <v>30140.0</v>
      </c>
      <c r="F1882" s="2" t="s">
        <v>150</v>
      </c>
    </row>
    <row r="1883" ht="15.75" hidden="1" customHeight="1">
      <c r="A1883" s="4" t="s">
        <v>3348</v>
      </c>
      <c r="B1883" s="2" t="s">
        <v>3349</v>
      </c>
      <c r="C1883" s="2">
        <v>3655.0</v>
      </c>
      <c r="D1883" s="2">
        <v>4127.0</v>
      </c>
      <c r="E1883" s="2">
        <v>27300.0</v>
      </c>
      <c r="F1883" s="2">
        <v>7.0</v>
      </c>
    </row>
    <row r="1884" ht="15.75" customHeight="1">
      <c r="A1884" s="4" t="s">
        <v>3351</v>
      </c>
      <c r="B1884" s="2" t="s">
        <v>3353</v>
      </c>
      <c r="C1884" s="2">
        <v>1673.0</v>
      </c>
      <c r="D1884" s="2">
        <v>1571.0</v>
      </c>
      <c r="E1884" s="2">
        <v>28220.0</v>
      </c>
      <c r="F1884" s="2" t="s">
        <v>150</v>
      </c>
    </row>
    <row r="1885" ht="15.75" customHeight="1">
      <c r="A1885" s="4" t="s">
        <v>3354</v>
      </c>
      <c r="B1885" s="2" t="s">
        <v>3355</v>
      </c>
      <c r="C1885" s="2">
        <v>510.0</v>
      </c>
      <c r="D1885" s="2">
        <v>472.0</v>
      </c>
      <c r="E1885" s="2">
        <v>32640.0</v>
      </c>
      <c r="F1885" s="2" t="s">
        <v>150</v>
      </c>
    </row>
    <row r="1886" ht="15.75" customHeight="1">
      <c r="A1886" s="4" t="s">
        <v>3170</v>
      </c>
      <c r="B1886" s="2" t="s">
        <v>3171</v>
      </c>
      <c r="C1886" s="2">
        <v>972.0</v>
      </c>
      <c r="D1886" s="2">
        <v>961.0</v>
      </c>
      <c r="E1886" s="2">
        <v>28960.0</v>
      </c>
      <c r="F1886" s="2" t="s">
        <v>150</v>
      </c>
    </row>
    <row r="1887" ht="15.75" customHeight="1">
      <c r="A1887" s="4" t="s">
        <v>3166</v>
      </c>
      <c r="B1887" s="2" t="s">
        <v>3167</v>
      </c>
      <c r="C1887" s="2">
        <v>952.0</v>
      </c>
      <c r="D1887" s="2">
        <v>897.0</v>
      </c>
      <c r="E1887" s="2">
        <v>27550.0</v>
      </c>
      <c r="F1887" s="2" t="s">
        <v>150</v>
      </c>
    </row>
    <row r="1888" ht="15.75" customHeight="1">
      <c r="A1888" s="4" t="s">
        <v>5605</v>
      </c>
      <c r="B1888" s="2" t="s">
        <v>5606</v>
      </c>
      <c r="C1888" s="2">
        <v>158.0</v>
      </c>
      <c r="D1888" s="2">
        <v>162.0</v>
      </c>
      <c r="E1888" s="2">
        <v>26080.0</v>
      </c>
      <c r="F1888" s="2" t="s">
        <v>150</v>
      </c>
    </row>
    <row r="1889" ht="15.75" customHeight="1">
      <c r="A1889" s="4" t="s">
        <v>5607</v>
      </c>
      <c r="B1889" s="2" t="s">
        <v>5608</v>
      </c>
      <c r="C1889" s="2">
        <v>326.0</v>
      </c>
      <c r="D1889" s="2">
        <v>301.0</v>
      </c>
      <c r="E1889" s="2">
        <v>27600.0</v>
      </c>
      <c r="F1889" s="2" t="s">
        <v>150</v>
      </c>
    </row>
    <row r="1890" ht="15.75" customHeight="1">
      <c r="A1890" s="4" t="s">
        <v>5609</v>
      </c>
      <c r="B1890" s="2" t="s">
        <v>5610</v>
      </c>
      <c r="C1890" s="2">
        <v>212.0</v>
      </c>
      <c r="D1890" s="2">
        <v>200.0</v>
      </c>
      <c r="E1890" s="2">
        <v>28830.0</v>
      </c>
      <c r="F1890" s="2" t="s">
        <v>150</v>
      </c>
    </row>
    <row r="1891" ht="15.75" customHeight="1">
      <c r="A1891" s="4" t="s">
        <v>5611</v>
      </c>
      <c r="B1891" s="2" t="s">
        <v>5612</v>
      </c>
      <c r="C1891" s="2">
        <v>191.0</v>
      </c>
      <c r="D1891" s="2">
        <v>213.0</v>
      </c>
      <c r="E1891" s="2">
        <v>30490.0</v>
      </c>
      <c r="F1891" s="2" t="s">
        <v>150</v>
      </c>
    </row>
    <row r="1892" ht="15.75" customHeight="1">
      <c r="A1892" s="4" t="s">
        <v>5613</v>
      </c>
      <c r="B1892" s="2" t="s">
        <v>5614</v>
      </c>
      <c r="C1892" s="2">
        <v>188.0</v>
      </c>
      <c r="D1892" s="2">
        <v>213.0</v>
      </c>
      <c r="E1892" s="2">
        <v>30080.0</v>
      </c>
      <c r="F1892" s="2" t="s">
        <v>150</v>
      </c>
    </row>
    <row r="1893" ht="15.75" hidden="1" customHeight="1">
      <c r="A1893" s="4" t="s">
        <v>3356</v>
      </c>
      <c r="B1893" s="2" t="s">
        <v>3357</v>
      </c>
      <c r="C1893" s="2">
        <v>2826.0</v>
      </c>
      <c r="D1893" s="2">
        <v>2877.0</v>
      </c>
      <c r="E1893" s="2">
        <v>25060.0</v>
      </c>
      <c r="F1893" s="2">
        <v>13.0</v>
      </c>
    </row>
    <row r="1894" ht="15.75" hidden="1" customHeight="1">
      <c r="A1894" s="4" t="s">
        <v>3358</v>
      </c>
      <c r="B1894" s="2" t="s">
        <v>3359</v>
      </c>
      <c r="C1894" s="2">
        <v>20033.0</v>
      </c>
      <c r="D1894" s="2">
        <v>21907.0</v>
      </c>
      <c r="E1894" s="2">
        <v>19370.0</v>
      </c>
      <c r="F1894" s="2">
        <v>32.6</v>
      </c>
    </row>
    <row r="1895" ht="15.75" customHeight="1">
      <c r="A1895" s="4" t="s">
        <v>3360</v>
      </c>
      <c r="B1895" s="2" t="s">
        <v>3362</v>
      </c>
      <c r="C1895" s="2">
        <v>1029.0</v>
      </c>
      <c r="D1895" s="2">
        <v>1170.0</v>
      </c>
      <c r="E1895" s="2">
        <v>28300.0</v>
      </c>
      <c r="F1895" s="2" t="s">
        <v>150</v>
      </c>
    </row>
    <row r="1896" ht="15.75" customHeight="1">
      <c r="A1896" s="4" t="s">
        <v>5615</v>
      </c>
      <c r="B1896" s="2" t="s">
        <v>5616</v>
      </c>
      <c r="C1896" s="2">
        <v>179.0</v>
      </c>
      <c r="D1896" s="2">
        <v>194.0</v>
      </c>
      <c r="E1896" s="2">
        <v>27690.0</v>
      </c>
      <c r="F1896" s="2" t="s">
        <v>150</v>
      </c>
    </row>
    <row r="1897" ht="15.75" customHeight="1">
      <c r="A1897" s="4" t="s">
        <v>5617</v>
      </c>
      <c r="B1897" s="2" t="s">
        <v>5618</v>
      </c>
      <c r="C1897" s="2">
        <v>234.0</v>
      </c>
      <c r="D1897" s="2">
        <v>247.0</v>
      </c>
      <c r="E1897" s="2">
        <v>29530.0</v>
      </c>
      <c r="F1897" s="2" t="s">
        <v>150</v>
      </c>
    </row>
    <row r="1898" ht="15.75" customHeight="1">
      <c r="A1898" s="4" t="s">
        <v>5619</v>
      </c>
      <c r="B1898" s="2" t="s">
        <v>5620</v>
      </c>
      <c r="C1898" s="2">
        <v>339.0</v>
      </c>
      <c r="D1898" s="2">
        <v>301.0</v>
      </c>
      <c r="E1898" s="2">
        <v>25200.0</v>
      </c>
      <c r="F1898" s="2" t="s">
        <v>150</v>
      </c>
    </row>
    <row r="1899" ht="15.75" customHeight="1">
      <c r="A1899" s="4" t="s">
        <v>5621</v>
      </c>
      <c r="B1899" s="2" t="s">
        <v>5622</v>
      </c>
      <c r="C1899" s="2">
        <v>364.0</v>
      </c>
      <c r="D1899" s="2">
        <v>392.0</v>
      </c>
      <c r="E1899" s="2">
        <v>29940.0</v>
      </c>
      <c r="F1899" s="2" t="s">
        <v>150</v>
      </c>
    </row>
    <row r="1900" ht="15.75" customHeight="1">
      <c r="A1900" s="4" t="s">
        <v>3364</v>
      </c>
      <c r="B1900" s="2" t="s">
        <v>3365</v>
      </c>
      <c r="C1900" s="2">
        <v>863.0</v>
      </c>
      <c r="D1900" s="2">
        <v>887.0</v>
      </c>
      <c r="E1900" s="2">
        <v>25280.0</v>
      </c>
      <c r="F1900" s="2" t="s">
        <v>150</v>
      </c>
    </row>
    <row r="1901" ht="15.75" hidden="1" customHeight="1">
      <c r="A1901" s="4" t="s">
        <v>3366</v>
      </c>
      <c r="B1901" s="2" t="s">
        <v>3368</v>
      </c>
      <c r="C1901" s="2">
        <v>13519.0</v>
      </c>
      <c r="D1901" s="2">
        <v>12971.0</v>
      </c>
      <c r="E1901" s="2">
        <v>19080.0</v>
      </c>
      <c r="F1901" s="2">
        <v>34.0</v>
      </c>
    </row>
    <row r="1902" ht="15.75" customHeight="1">
      <c r="A1902" s="4" t="s">
        <v>5623</v>
      </c>
      <c r="B1902" s="2" t="s">
        <v>5624</v>
      </c>
      <c r="C1902" s="2">
        <v>117.0</v>
      </c>
      <c r="D1902" s="2">
        <v>109.0</v>
      </c>
      <c r="E1902" s="2">
        <v>25870.0</v>
      </c>
      <c r="F1902" s="2" t="s">
        <v>150</v>
      </c>
    </row>
    <row r="1903" ht="15.75" customHeight="1">
      <c r="A1903" s="4" t="s">
        <v>5625</v>
      </c>
      <c r="B1903" s="2" t="s">
        <v>610</v>
      </c>
      <c r="C1903" s="2">
        <v>294.0</v>
      </c>
      <c r="D1903" s="2">
        <v>346.0</v>
      </c>
      <c r="E1903" s="2">
        <v>31980.0</v>
      </c>
      <c r="F1903" s="2" t="s">
        <v>150</v>
      </c>
    </row>
    <row r="1904" ht="15.75" customHeight="1">
      <c r="A1904" s="4" t="s">
        <v>5626</v>
      </c>
      <c r="B1904" s="2" t="s">
        <v>5627</v>
      </c>
      <c r="C1904" s="2">
        <v>287.0</v>
      </c>
      <c r="D1904" s="2">
        <v>285.0</v>
      </c>
      <c r="E1904" s="2">
        <v>23640.0</v>
      </c>
      <c r="F1904" s="2" t="s">
        <v>150</v>
      </c>
    </row>
    <row r="1905" ht="15.75" customHeight="1">
      <c r="A1905" s="4" t="s">
        <v>5628</v>
      </c>
      <c r="B1905" s="2" t="s">
        <v>5629</v>
      </c>
      <c r="C1905" s="2">
        <v>198.0</v>
      </c>
      <c r="D1905" s="2">
        <v>201.0</v>
      </c>
      <c r="E1905" s="2">
        <v>27600.0</v>
      </c>
      <c r="F1905" s="2" t="s">
        <v>150</v>
      </c>
    </row>
    <row r="1906" ht="15.75" customHeight="1">
      <c r="A1906" s="4" t="s">
        <v>3371</v>
      </c>
      <c r="B1906" s="2" t="s">
        <v>3373</v>
      </c>
      <c r="C1906" s="2">
        <v>1399.0</v>
      </c>
      <c r="D1906" s="2">
        <v>1367.0</v>
      </c>
      <c r="E1906" s="2">
        <v>25790.0</v>
      </c>
      <c r="F1906" s="2" t="s">
        <v>150</v>
      </c>
    </row>
    <row r="1907" ht="15.75" customHeight="1">
      <c r="A1907" s="4" t="s">
        <v>5630</v>
      </c>
      <c r="B1907" s="2" t="s">
        <v>5631</v>
      </c>
      <c r="C1907" s="2">
        <v>343.0</v>
      </c>
      <c r="D1907" s="2">
        <v>375.0</v>
      </c>
      <c r="E1907" s="2">
        <v>31000.0</v>
      </c>
      <c r="F1907" s="2" t="s">
        <v>150</v>
      </c>
    </row>
    <row r="1908" ht="15.75" customHeight="1">
      <c r="A1908" s="4" t="s">
        <v>3374</v>
      </c>
      <c r="B1908" s="2" t="s">
        <v>3375</v>
      </c>
      <c r="C1908" s="2">
        <v>644.0</v>
      </c>
      <c r="D1908" s="2">
        <v>805.0</v>
      </c>
      <c r="E1908" s="2">
        <v>28180.0</v>
      </c>
      <c r="F1908" s="2" t="s">
        <v>150</v>
      </c>
    </row>
    <row r="1909" ht="15.75" customHeight="1">
      <c r="A1909" s="4" t="s">
        <v>5632</v>
      </c>
      <c r="B1909" s="2" t="s">
        <v>5633</v>
      </c>
      <c r="C1909" s="2">
        <v>556.0</v>
      </c>
      <c r="D1909" s="2">
        <v>537.0</v>
      </c>
      <c r="E1909" s="2">
        <v>29670.0</v>
      </c>
      <c r="F1909" s="2" t="s">
        <v>150</v>
      </c>
    </row>
    <row r="1910" ht="15.75" customHeight="1">
      <c r="A1910" s="4" t="s">
        <v>3376</v>
      </c>
      <c r="B1910" s="2" t="s">
        <v>3377</v>
      </c>
      <c r="C1910" s="2">
        <v>595.0</v>
      </c>
      <c r="D1910" s="2">
        <v>572.0</v>
      </c>
      <c r="E1910" s="2">
        <v>29110.0</v>
      </c>
      <c r="F1910" s="2" t="s">
        <v>150</v>
      </c>
    </row>
    <row r="1911" ht="15.75" hidden="1" customHeight="1">
      <c r="A1911" s="4" t="s">
        <v>3378</v>
      </c>
      <c r="B1911" s="2" t="s">
        <v>3379</v>
      </c>
      <c r="C1911" s="2">
        <v>3345.0</v>
      </c>
      <c r="D1911" s="2">
        <v>3583.0</v>
      </c>
      <c r="E1911" s="2">
        <v>34990.0</v>
      </c>
      <c r="F1911" s="2">
        <v>4.0</v>
      </c>
    </row>
    <row r="1912" ht="15.75" customHeight="1">
      <c r="A1912" s="4" t="s">
        <v>3380</v>
      </c>
      <c r="B1912" s="2" t="s">
        <v>3381</v>
      </c>
      <c r="C1912" s="2">
        <v>519.0</v>
      </c>
      <c r="D1912" s="2">
        <v>513.0</v>
      </c>
      <c r="E1912" s="2">
        <v>27340.0</v>
      </c>
      <c r="F1912" s="2" t="s">
        <v>150</v>
      </c>
    </row>
    <row r="1913" ht="15.75" customHeight="1">
      <c r="A1913" s="4" t="s">
        <v>5634</v>
      </c>
      <c r="B1913" s="2" t="s">
        <v>5635</v>
      </c>
      <c r="C1913" s="2">
        <v>263.0</v>
      </c>
      <c r="D1913" s="2">
        <v>293.0</v>
      </c>
      <c r="E1913" s="2">
        <v>27460.0</v>
      </c>
      <c r="F1913" s="2" t="s">
        <v>150</v>
      </c>
    </row>
    <row r="1914" ht="15.75" customHeight="1">
      <c r="A1914" s="4" t="s">
        <v>5636</v>
      </c>
      <c r="B1914" s="2" t="s">
        <v>5637</v>
      </c>
      <c r="C1914" s="2">
        <v>240.0</v>
      </c>
      <c r="D1914" s="2">
        <v>248.0</v>
      </c>
      <c r="E1914" s="2">
        <v>24460.0</v>
      </c>
      <c r="F1914" s="2" t="s">
        <v>150</v>
      </c>
    </row>
    <row r="1915" ht="15.75" customHeight="1">
      <c r="A1915" s="4" t="s">
        <v>3382</v>
      </c>
      <c r="B1915" s="2" t="s">
        <v>3383</v>
      </c>
      <c r="C1915" s="2">
        <v>580.0</v>
      </c>
      <c r="D1915" s="2">
        <v>576.0</v>
      </c>
      <c r="E1915" s="2">
        <v>24540.0</v>
      </c>
      <c r="F1915" s="2" t="s">
        <v>150</v>
      </c>
    </row>
    <row r="1916" ht="15.75" customHeight="1">
      <c r="A1916" s="4" t="s">
        <v>3384</v>
      </c>
      <c r="B1916" s="2" t="s">
        <v>3385</v>
      </c>
      <c r="C1916" s="2">
        <v>341.0</v>
      </c>
      <c r="D1916" s="2">
        <v>313.0</v>
      </c>
      <c r="E1916" s="2">
        <v>30430.0</v>
      </c>
      <c r="F1916" s="2" t="s">
        <v>150</v>
      </c>
    </row>
    <row r="1917" ht="15.75" customHeight="1">
      <c r="A1917" s="4" t="s">
        <v>5638</v>
      </c>
      <c r="B1917" s="2" t="s">
        <v>5639</v>
      </c>
      <c r="C1917" s="2">
        <v>282.0</v>
      </c>
      <c r="D1917" s="2">
        <v>271.0</v>
      </c>
      <c r="E1917" s="2">
        <v>26260.0</v>
      </c>
      <c r="F1917" s="2" t="s">
        <v>150</v>
      </c>
    </row>
    <row r="1918" ht="15.75" customHeight="1">
      <c r="A1918" s="4" t="s">
        <v>3418</v>
      </c>
      <c r="B1918" s="2" t="s">
        <v>3419</v>
      </c>
      <c r="C1918" s="2">
        <v>1137.0</v>
      </c>
      <c r="D1918" s="2">
        <v>1224.0</v>
      </c>
      <c r="E1918" s="2">
        <v>29980.0</v>
      </c>
      <c r="F1918" s="2" t="s">
        <v>150</v>
      </c>
    </row>
    <row r="1919" ht="15.75" customHeight="1">
      <c r="A1919" s="4" t="s">
        <v>5640</v>
      </c>
      <c r="B1919" s="2" t="s">
        <v>5641</v>
      </c>
      <c r="C1919" s="2">
        <v>365.0</v>
      </c>
      <c r="D1919" s="2">
        <v>365.0</v>
      </c>
      <c r="E1919" s="2">
        <v>30240.0</v>
      </c>
      <c r="F1919" s="2" t="s">
        <v>150</v>
      </c>
    </row>
    <row r="1920" ht="15.75" customHeight="1">
      <c r="A1920" s="4" t="s">
        <v>3386</v>
      </c>
      <c r="B1920" s="2" t="s">
        <v>3387</v>
      </c>
      <c r="C1920" s="2">
        <v>1808.0</v>
      </c>
      <c r="D1920" s="2">
        <v>1877.0</v>
      </c>
      <c r="E1920" s="2">
        <v>29320.0</v>
      </c>
      <c r="F1920" s="2" t="s">
        <v>150</v>
      </c>
    </row>
    <row r="1921" ht="15.75" customHeight="1">
      <c r="A1921" s="4" t="s">
        <v>3388</v>
      </c>
      <c r="B1921" s="2" t="s">
        <v>3389</v>
      </c>
      <c r="C1921" s="2">
        <v>868.0</v>
      </c>
      <c r="D1921" s="2">
        <v>848.0</v>
      </c>
      <c r="E1921" s="2">
        <v>26580.0</v>
      </c>
      <c r="F1921" s="2" t="s">
        <v>150</v>
      </c>
    </row>
    <row r="1922" ht="15.75" customHeight="1">
      <c r="A1922" s="4" t="s">
        <v>3390</v>
      </c>
      <c r="B1922" s="2" t="s">
        <v>3391</v>
      </c>
      <c r="C1922" s="2">
        <v>500.0</v>
      </c>
      <c r="D1922" s="2">
        <v>519.0</v>
      </c>
      <c r="E1922" s="2">
        <v>26940.0</v>
      </c>
      <c r="F1922" s="2" t="s">
        <v>150</v>
      </c>
    </row>
    <row r="1923" ht="15.75" customHeight="1">
      <c r="A1923" s="4" t="s">
        <v>3392</v>
      </c>
      <c r="B1923" s="2" t="s">
        <v>3393</v>
      </c>
      <c r="C1923" s="2">
        <v>1787.0</v>
      </c>
      <c r="D1923" s="2">
        <v>1786.0</v>
      </c>
      <c r="E1923" s="2">
        <v>34050.0</v>
      </c>
      <c r="F1923" s="2" t="s">
        <v>150</v>
      </c>
    </row>
    <row r="1924" ht="15.75" customHeight="1">
      <c r="A1924" s="4" t="s">
        <v>5642</v>
      </c>
      <c r="B1924" s="2" t="s">
        <v>5643</v>
      </c>
      <c r="C1924" s="2">
        <v>403.0</v>
      </c>
      <c r="D1924" s="2">
        <v>422.0</v>
      </c>
      <c r="E1924" s="2">
        <v>26210.0</v>
      </c>
      <c r="F1924" s="2" t="s">
        <v>150</v>
      </c>
    </row>
    <row r="1925" ht="15.75" customHeight="1">
      <c r="A1925" s="4" t="s">
        <v>5644</v>
      </c>
      <c r="B1925" s="2" t="s">
        <v>5645</v>
      </c>
      <c r="C1925" s="2">
        <v>161.0</v>
      </c>
      <c r="D1925" s="2">
        <v>159.0</v>
      </c>
      <c r="E1925" s="2">
        <v>24790.0</v>
      </c>
      <c r="F1925" s="2" t="s">
        <v>150</v>
      </c>
    </row>
    <row r="1926" ht="15.75" customHeight="1">
      <c r="A1926" s="4" t="s">
        <v>5646</v>
      </c>
      <c r="B1926" s="2" t="s">
        <v>5647</v>
      </c>
      <c r="C1926" s="2">
        <v>214.0</v>
      </c>
      <c r="D1926" s="2">
        <v>213.0</v>
      </c>
      <c r="E1926" s="2">
        <v>26750.0</v>
      </c>
      <c r="F1926" s="2" t="s">
        <v>150</v>
      </c>
    </row>
    <row r="1927" ht="15.75" customHeight="1">
      <c r="A1927" s="4" t="s">
        <v>3235</v>
      </c>
      <c r="B1927" s="2" t="s">
        <v>3236</v>
      </c>
      <c r="C1927" s="2">
        <v>514.0</v>
      </c>
      <c r="D1927" s="2">
        <v>521.0</v>
      </c>
      <c r="E1927" s="2">
        <v>25310.0</v>
      </c>
      <c r="F1927" s="2" t="s">
        <v>150</v>
      </c>
    </row>
    <row r="1928" ht="15.75" customHeight="1">
      <c r="A1928" s="4" t="s">
        <v>5648</v>
      </c>
      <c r="B1928" s="2" t="s">
        <v>5649</v>
      </c>
      <c r="C1928" s="2">
        <v>233.0</v>
      </c>
      <c r="D1928" s="2">
        <v>245.0</v>
      </c>
      <c r="E1928" s="2">
        <v>26700.0</v>
      </c>
      <c r="F1928" s="2" t="s">
        <v>150</v>
      </c>
    </row>
    <row r="1929" ht="15.75" hidden="1" customHeight="1">
      <c r="A1929" s="4" t="s">
        <v>3239</v>
      </c>
      <c r="B1929" s="2" t="s">
        <v>3240</v>
      </c>
      <c r="C1929" s="2">
        <v>3408.0</v>
      </c>
      <c r="D1929" s="2">
        <v>4009.0</v>
      </c>
      <c r="E1929" s="2">
        <v>27400.0</v>
      </c>
      <c r="F1929" s="2">
        <v>8.0</v>
      </c>
    </row>
    <row r="1930" ht="15.75" customHeight="1">
      <c r="A1930" s="4" t="s">
        <v>3241</v>
      </c>
      <c r="B1930" s="2" t="s">
        <v>3242</v>
      </c>
      <c r="C1930" s="2">
        <v>1365.0</v>
      </c>
      <c r="D1930" s="2">
        <v>1298.0</v>
      </c>
      <c r="E1930" s="2">
        <v>28750.0</v>
      </c>
      <c r="F1930" s="2" t="s">
        <v>150</v>
      </c>
    </row>
    <row r="1931" ht="15.75" customHeight="1">
      <c r="A1931" s="4" t="s">
        <v>5650</v>
      </c>
      <c r="B1931" s="2" t="s">
        <v>5651</v>
      </c>
      <c r="C1931" s="2">
        <v>102.0</v>
      </c>
      <c r="D1931" s="2">
        <v>113.0</v>
      </c>
      <c r="E1931" s="2">
        <v>24060.0</v>
      </c>
      <c r="F1931" s="2" t="s">
        <v>150</v>
      </c>
    </row>
    <row r="1932" ht="15.75" customHeight="1">
      <c r="A1932" s="4" t="s">
        <v>3243</v>
      </c>
      <c r="B1932" s="2" t="s">
        <v>3244</v>
      </c>
      <c r="C1932" s="2">
        <v>113.0</v>
      </c>
      <c r="D1932" s="2">
        <v>112.0</v>
      </c>
      <c r="E1932" s="2">
        <v>25240.0</v>
      </c>
      <c r="F1932" s="2" t="s">
        <v>150</v>
      </c>
    </row>
    <row r="1933" ht="15.75" customHeight="1">
      <c r="A1933" s="4" t="s">
        <v>3394</v>
      </c>
      <c r="B1933" s="2" t="s">
        <v>3395</v>
      </c>
      <c r="C1933" s="2">
        <v>1113.0</v>
      </c>
      <c r="D1933" s="2">
        <v>1163.0</v>
      </c>
      <c r="E1933" s="2">
        <v>28450.0</v>
      </c>
      <c r="F1933" s="2" t="s">
        <v>150</v>
      </c>
    </row>
    <row r="1934" ht="15.75" customHeight="1">
      <c r="A1934" s="4" t="s">
        <v>3402</v>
      </c>
      <c r="B1934" s="2" t="s">
        <v>3403</v>
      </c>
      <c r="C1934" s="2">
        <v>817.0</v>
      </c>
      <c r="D1934" s="2">
        <v>905.0</v>
      </c>
      <c r="E1934" s="2">
        <v>32750.0</v>
      </c>
      <c r="F1934" s="2" t="s">
        <v>150</v>
      </c>
    </row>
    <row r="1935" ht="15.75" customHeight="1">
      <c r="A1935" s="4" t="s">
        <v>3400</v>
      </c>
      <c r="B1935" s="2" t="s">
        <v>3401</v>
      </c>
      <c r="C1935" s="2">
        <v>672.0</v>
      </c>
      <c r="D1935" s="2">
        <v>648.0</v>
      </c>
      <c r="E1935" s="2">
        <v>22550.0</v>
      </c>
      <c r="F1935" s="2" t="s">
        <v>150</v>
      </c>
    </row>
    <row r="1936" ht="15.75" customHeight="1">
      <c r="A1936" s="4" t="s">
        <v>3404</v>
      </c>
      <c r="B1936" s="2" t="s">
        <v>3405</v>
      </c>
      <c r="C1936" s="2">
        <v>459.0</v>
      </c>
      <c r="D1936" s="2">
        <v>427.0</v>
      </c>
      <c r="E1936" s="2">
        <v>26180.0</v>
      </c>
      <c r="F1936" s="2" t="s">
        <v>150</v>
      </c>
    </row>
    <row r="1937" ht="15.75" hidden="1" customHeight="1">
      <c r="A1937" s="4" t="s">
        <v>3406</v>
      </c>
      <c r="B1937" s="2" t="s">
        <v>3407</v>
      </c>
      <c r="C1937" s="2">
        <v>3268.0</v>
      </c>
      <c r="D1937" s="2">
        <v>3275.0</v>
      </c>
      <c r="E1937" s="2">
        <v>29750.0</v>
      </c>
      <c r="F1937" s="2">
        <v>7.0</v>
      </c>
    </row>
    <row r="1938" ht="15.75" hidden="1" customHeight="1">
      <c r="A1938" s="4" t="s">
        <v>3396</v>
      </c>
      <c r="B1938" s="2" t="s">
        <v>3398</v>
      </c>
      <c r="C1938" s="2">
        <v>12209.0</v>
      </c>
      <c r="D1938" s="2">
        <v>12361.0</v>
      </c>
      <c r="E1938" s="2">
        <v>22980.0</v>
      </c>
      <c r="F1938" s="2">
        <v>21.0</v>
      </c>
    </row>
    <row r="1939" ht="15.75" customHeight="1">
      <c r="A1939" s="4" t="s">
        <v>5652</v>
      </c>
      <c r="B1939" s="2" t="s">
        <v>5653</v>
      </c>
      <c r="C1939" s="2">
        <v>609.0</v>
      </c>
      <c r="D1939" s="2">
        <v>677.0</v>
      </c>
      <c r="E1939" s="2">
        <v>27510.0</v>
      </c>
      <c r="F1939" s="2" t="s">
        <v>150</v>
      </c>
    </row>
    <row r="1940" ht="15.75" customHeight="1">
      <c r="A1940" s="4" t="s">
        <v>5654</v>
      </c>
      <c r="B1940" s="2" t="s">
        <v>5655</v>
      </c>
      <c r="C1940" s="2">
        <v>393.0</v>
      </c>
      <c r="D1940" s="2">
        <v>416.0</v>
      </c>
      <c r="E1940" s="2">
        <v>25670.0</v>
      </c>
      <c r="F1940" s="2" t="s">
        <v>150</v>
      </c>
    </row>
    <row r="1941" ht="15.75" customHeight="1">
      <c r="A1941" s="4" t="s">
        <v>5656</v>
      </c>
      <c r="B1941" s="2" t="s">
        <v>5657</v>
      </c>
      <c r="C1941" s="2">
        <v>156.0</v>
      </c>
      <c r="D1941" s="2">
        <v>148.0</v>
      </c>
      <c r="E1941" s="2">
        <v>26730.0</v>
      </c>
      <c r="F1941" s="2" t="s">
        <v>150</v>
      </c>
    </row>
    <row r="1942" ht="15.75" hidden="1" customHeight="1">
      <c r="A1942" s="4" t="s">
        <v>3410</v>
      </c>
      <c r="B1942" s="2" t="s">
        <v>3411</v>
      </c>
      <c r="C1942" s="2">
        <v>3205.0</v>
      </c>
      <c r="D1942" s="2">
        <v>3332.0</v>
      </c>
      <c r="E1942" s="2">
        <v>31530.0</v>
      </c>
      <c r="F1942" s="2">
        <v>7.0</v>
      </c>
    </row>
    <row r="1943" ht="15.75" customHeight="1">
      <c r="A1943" s="4" t="s">
        <v>5658</v>
      </c>
      <c r="B1943" s="2" t="s">
        <v>5659</v>
      </c>
      <c r="C1943" s="2">
        <v>232.0</v>
      </c>
      <c r="D1943" s="2">
        <v>251.0</v>
      </c>
      <c r="E1943" s="2">
        <v>25130.0</v>
      </c>
      <c r="F1943" s="2" t="s">
        <v>150</v>
      </c>
    </row>
    <row r="1944" ht="15.75" customHeight="1">
      <c r="A1944" s="4" t="s">
        <v>5660</v>
      </c>
      <c r="B1944" s="2" t="s">
        <v>5661</v>
      </c>
      <c r="C1944" s="2">
        <v>382.0</v>
      </c>
      <c r="D1944" s="2">
        <v>365.0</v>
      </c>
      <c r="E1944" s="2">
        <v>27780.0</v>
      </c>
      <c r="F1944" s="2" t="s">
        <v>150</v>
      </c>
    </row>
    <row r="1945" ht="15.75" customHeight="1">
      <c r="A1945" s="4" t="s">
        <v>3412</v>
      </c>
      <c r="B1945" s="2" t="s">
        <v>3413</v>
      </c>
      <c r="C1945" s="2">
        <v>420.0</v>
      </c>
      <c r="D1945" s="2">
        <v>398.0</v>
      </c>
      <c r="E1945" s="2">
        <v>23970.0</v>
      </c>
      <c r="F1945" s="2" t="s">
        <v>150</v>
      </c>
    </row>
    <row r="1946" ht="15.75" customHeight="1">
      <c r="A1946" s="4" t="s">
        <v>3414</v>
      </c>
      <c r="B1946" s="2" t="s">
        <v>3417</v>
      </c>
      <c r="C1946" s="2">
        <v>851.0</v>
      </c>
      <c r="D1946" s="2">
        <v>877.0</v>
      </c>
      <c r="E1946" s="2">
        <v>29490.0</v>
      </c>
      <c r="F1946" s="2" t="s">
        <v>150</v>
      </c>
    </row>
    <row r="1947" ht="15.75" customHeight="1">
      <c r="A1947" s="4" t="s">
        <v>5662</v>
      </c>
      <c r="B1947" s="2" t="s">
        <v>5663</v>
      </c>
      <c r="C1947" s="2">
        <v>203.0</v>
      </c>
      <c r="D1947" s="2">
        <v>203.0</v>
      </c>
      <c r="E1947" s="2">
        <v>26520.0</v>
      </c>
      <c r="F1947" s="2" t="s">
        <v>150</v>
      </c>
    </row>
    <row r="1948" ht="15.75" customHeight="1">
      <c r="A1948" s="4" t="s">
        <v>5664</v>
      </c>
      <c r="B1948" s="2" t="s">
        <v>5665</v>
      </c>
      <c r="C1948" s="2">
        <v>181.0</v>
      </c>
      <c r="D1948" s="2">
        <v>171.0</v>
      </c>
      <c r="E1948" s="2">
        <v>24000.0</v>
      </c>
      <c r="F1948" s="2" t="s">
        <v>150</v>
      </c>
    </row>
    <row r="1949" ht="15.75" customHeight="1">
      <c r="A1949" s="4" t="s">
        <v>5666</v>
      </c>
      <c r="B1949" s="2" t="s">
        <v>5667</v>
      </c>
      <c r="C1949" s="2">
        <v>213.0</v>
      </c>
      <c r="D1949" s="2">
        <v>217.0</v>
      </c>
      <c r="E1949" s="2">
        <v>27160.0</v>
      </c>
      <c r="F1949" s="2" t="s">
        <v>150</v>
      </c>
    </row>
    <row r="1950" ht="15.75" customHeight="1">
      <c r="A1950" s="4" t="s">
        <v>5668</v>
      </c>
      <c r="B1950" s="2" t="s">
        <v>5669</v>
      </c>
      <c r="C1950" s="2">
        <v>396.0</v>
      </c>
      <c r="D1950" s="2">
        <v>410.0</v>
      </c>
      <c r="E1950" s="2">
        <v>24940.0</v>
      </c>
      <c r="F1950" s="2" t="s">
        <v>150</v>
      </c>
    </row>
    <row r="1951" ht="15.75" customHeight="1">
      <c r="A1951" s="4" t="s">
        <v>5670</v>
      </c>
      <c r="B1951" s="2" t="s">
        <v>5671</v>
      </c>
      <c r="C1951" s="2">
        <v>322.0</v>
      </c>
      <c r="D1951" s="2">
        <v>320.0</v>
      </c>
      <c r="E1951" s="2">
        <v>23570.0</v>
      </c>
      <c r="F1951" s="2" t="s">
        <v>150</v>
      </c>
    </row>
    <row r="1952" ht="15.75" customHeight="1">
      <c r="A1952" s="4" t="s">
        <v>3422</v>
      </c>
      <c r="B1952" s="2" t="s">
        <v>3423</v>
      </c>
      <c r="C1952" s="2">
        <v>927.0</v>
      </c>
      <c r="D1952" s="2">
        <v>895.0</v>
      </c>
      <c r="E1952" s="2">
        <v>28090.0</v>
      </c>
      <c r="F1952" s="2" t="s">
        <v>150</v>
      </c>
    </row>
    <row r="1953" ht="15.75" hidden="1" customHeight="1">
      <c r="A1953" s="4" t="s">
        <v>3424</v>
      </c>
      <c r="B1953" s="2" t="s">
        <v>3427</v>
      </c>
      <c r="C1953" s="2">
        <v>2506.0</v>
      </c>
      <c r="D1953" s="2">
        <v>2524.0</v>
      </c>
      <c r="E1953" s="2">
        <v>24500.0</v>
      </c>
      <c r="F1953" s="2">
        <v>15.0</v>
      </c>
    </row>
    <row r="1954" ht="15.75" customHeight="1">
      <c r="A1954" s="4" t="s">
        <v>5672</v>
      </c>
      <c r="B1954" s="2" t="s">
        <v>5673</v>
      </c>
      <c r="C1954" s="2">
        <v>144.0</v>
      </c>
      <c r="D1954" s="2">
        <v>127.0</v>
      </c>
      <c r="E1954" s="2">
        <v>37530.0</v>
      </c>
      <c r="F1954" s="2" t="s">
        <v>150</v>
      </c>
    </row>
    <row r="1955" ht="15.75" customHeight="1">
      <c r="A1955" s="4" t="s">
        <v>3428</v>
      </c>
      <c r="B1955" s="2" t="s">
        <v>3429</v>
      </c>
      <c r="C1955" s="2">
        <v>1098.0</v>
      </c>
      <c r="D1955" s="2">
        <v>1041.0</v>
      </c>
      <c r="E1955" s="2">
        <v>26600.0</v>
      </c>
      <c r="F1955" s="2" t="s">
        <v>150</v>
      </c>
    </row>
    <row r="1956" ht="15.75" customHeight="1">
      <c r="A1956" s="4" t="s">
        <v>5674</v>
      </c>
      <c r="B1956" s="2" t="s">
        <v>5675</v>
      </c>
      <c r="C1956" s="2">
        <v>149.0</v>
      </c>
      <c r="D1956" s="2">
        <v>140.0</v>
      </c>
      <c r="E1956" s="2">
        <v>28430.0</v>
      </c>
      <c r="F1956" s="2" t="s">
        <v>150</v>
      </c>
    </row>
    <row r="1957" ht="15.75" customHeight="1">
      <c r="A1957" s="4" t="s">
        <v>5676</v>
      </c>
      <c r="B1957" s="2" t="s">
        <v>5677</v>
      </c>
      <c r="C1957" s="2">
        <v>126.0</v>
      </c>
      <c r="D1957" s="2">
        <v>115.0</v>
      </c>
      <c r="E1957" s="2">
        <v>31150.0</v>
      </c>
      <c r="F1957" s="2" t="s">
        <v>150</v>
      </c>
    </row>
    <row r="1958" ht="15.75" customHeight="1">
      <c r="A1958" s="4" t="s">
        <v>5678</v>
      </c>
      <c r="B1958" s="2" t="s">
        <v>5679</v>
      </c>
      <c r="C1958" s="2">
        <v>79.0</v>
      </c>
      <c r="D1958" s="2">
        <v>78.0</v>
      </c>
      <c r="E1958" s="2" t="s">
        <v>150</v>
      </c>
      <c r="F1958" s="2" t="s">
        <v>150</v>
      </c>
    </row>
    <row r="1959" ht="15.75" customHeight="1">
      <c r="A1959" s="4" t="s">
        <v>5680</v>
      </c>
      <c r="B1959" s="2" t="s">
        <v>5681</v>
      </c>
      <c r="C1959" s="2">
        <v>216.0</v>
      </c>
      <c r="D1959" s="2">
        <v>210.0</v>
      </c>
      <c r="E1959" s="2">
        <v>30130.0</v>
      </c>
      <c r="F1959" s="2" t="s">
        <v>150</v>
      </c>
    </row>
    <row r="1960" ht="15.75" customHeight="1">
      <c r="A1960" s="4" t="s">
        <v>3430</v>
      </c>
      <c r="B1960" s="2" t="s">
        <v>3431</v>
      </c>
      <c r="C1960" s="2">
        <v>1836.0</v>
      </c>
      <c r="D1960" s="2">
        <v>1928.0</v>
      </c>
      <c r="E1960" s="2">
        <v>28730.0</v>
      </c>
      <c r="F1960" s="2" t="s">
        <v>150</v>
      </c>
    </row>
    <row r="1961" ht="15.75" customHeight="1">
      <c r="A1961" s="4" t="s">
        <v>3434</v>
      </c>
      <c r="B1961" s="2" t="s">
        <v>3435</v>
      </c>
      <c r="C1961" s="2">
        <v>1687.0</v>
      </c>
      <c r="D1961" s="2">
        <v>1727.0</v>
      </c>
      <c r="E1961" s="2">
        <v>23460.0</v>
      </c>
      <c r="F1961" s="2" t="s">
        <v>150</v>
      </c>
    </row>
    <row r="1962" ht="15.75" customHeight="1">
      <c r="A1962" s="4" t="s">
        <v>5682</v>
      </c>
      <c r="B1962" s="2" t="s">
        <v>5683</v>
      </c>
      <c r="C1962" s="2">
        <v>656.0</v>
      </c>
      <c r="D1962" s="2">
        <v>647.0</v>
      </c>
      <c r="E1962" s="2">
        <v>31480.0</v>
      </c>
      <c r="F1962" s="2" t="s">
        <v>150</v>
      </c>
    </row>
    <row r="1963" ht="15.75" customHeight="1">
      <c r="A1963" s="4" t="s">
        <v>5684</v>
      </c>
      <c r="B1963" s="2" t="s">
        <v>5685</v>
      </c>
      <c r="C1963" s="2">
        <v>329.0</v>
      </c>
      <c r="D1963" s="2">
        <v>329.0</v>
      </c>
      <c r="E1963" s="2">
        <v>26630.0</v>
      </c>
      <c r="F1963" s="2" t="s">
        <v>150</v>
      </c>
    </row>
    <row r="1964" ht="15.75" customHeight="1">
      <c r="A1964" s="4" t="s">
        <v>5686</v>
      </c>
      <c r="B1964" s="2" t="s">
        <v>5687</v>
      </c>
      <c r="C1964" s="2">
        <v>140.0</v>
      </c>
      <c r="D1964" s="2">
        <v>134.0</v>
      </c>
      <c r="E1964" s="2">
        <v>36700.0</v>
      </c>
      <c r="F1964" s="2" t="s">
        <v>150</v>
      </c>
    </row>
    <row r="1965" ht="15.75" hidden="1" customHeight="1">
      <c r="A1965" s="4" t="s">
        <v>3438</v>
      </c>
      <c r="B1965" s="2" t="s">
        <v>3439</v>
      </c>
      <c r="C1965" s="2">
        <v>3748.0</v>
      </c>
      <c r="D1965" s="2">
        <v>3871.0</v>
      </c>
      <c r="E1965" s="2">
        <v>23600.0</v>
      </c>
      <c r="F1965" s="2">
        <v>17.0</v>
      </c>
    </row>
    <row r="1966" ht="15.75" customHeight="1">
      <c r="A1966" s="4" t="s">
        <v>5688</v>
      </c>
      <c r="B1966" s="2" t="s">
        <v>5689</v>
      </c>
      <c r="C1966" s="2">
        <v>285.0</v>
      </c>
      <c r="D1966" s="2">
        <v>298.0</v>
      </c>
      <c r="E1966" s="2">
        <v>27960.0</v>
      </c>
      <c r="F1966" s="2" t="s">
        <v>150</v>
      </c>
    </row>
    <row r="1967" ht="15.75" customHeight="1">
      <c r="A1967" s="4" t="s">
        <v>3440</v>
      </c>
      <c r="B1967" s="2" t="s">
        <v>3441</v>
      </c>
      <c r="C1967" s="2">
        <v>1567.0</v>
      </c>
      <c r="D1967" s="2">
        <v>1559.0</v>
      </c>
      <c r="E1967" s="2">
        <v>28040.0</v>
      </c>
      <c r="F1967" s="2" t="s">
        <v>150</v>
      </c>
    </row>
    <row r="1968" ht="15.75" customHeight="1">
      <c r="A1968" s="4" t="s">
        <v>5690</v>
      </c>
      <c r="B1968" s="2" t="s">
        <v>5691</v>
      </c>
      <c r="C1968" s="2">
        <v>595.0</v>
      </c>
      <c r="D1968" s="2">
        <v>639.0</v>
      </c>
      <c r="E1968" s="2">
        <v>27890.0</v>
      </c>
      <c r="F1968" s="2" t="s">
        <v>150</v>
      </c>
    </row>
    <row r="1969" ht="15.75" customHeight="1">
      <c r="A1969" s="4" t="s">
        <v>5692</v>
      </c>
      <c r="B1969" s="2" t="s">
        <v>5693</v>
      </c>
      <c r="C1969" s="2">
        <v>367.0</v>
      </c>
      <c r="D1969" s="2">
        <v>350.0</v>
      </c>
      <c r="E1969" s="2">
        <v>27640.0</v>
      </c>
      <c r="F1969" s="2" t="s">
        <v>150</v>
      </c>
    </row>
    <row r="1970" ht="15.75" customHeight="1">
      <c r="A1970" s="4" t="s">
        <v>3442</v>
      </c>
      <c r="B1970" s="2" t="s">
        <v>3443</v>
      </c>
      <c r="C1970" s="2">
        <v>990.0</v>
      </c>
      <c r="D1970" s="2">
        <v>995.0</v>
      </c>
      <c r="E1970" s="2">
        <v>26420.0</v>
      </c>
      <c r="F1970" s="2" t="s">
        <v>150</v>
      </c>
    </row>
    <row r="1971" ht="15.75" customHeight="1">
      <c r="A1971" s="4" t="s">
        <v>5694</v>
      </c>
      <c r="B1971" s="2" t="s">
        <v>5695</v>
      </c>
      <c r="C1971" s="2">
        <v>121.0</v>
      </c>
      <c r="D1971" s="2">
        <v>117.0</v>
      </c>
      <c r="E1971" s="2">
        <v>29670.0</v>
      </c>
      <c r="F1971" s="2" t="s">
        <v>150</v>
      </c>
    </row>
    <row r="1972" ht="15.75" customHeight="1">
      <c r="A1972" s="4" t="s">
        <v>5696</v>
      </c>
      <c r="B1972" s="2" t="s">
        <v>5697</v>
      </c>
      <c r="C1972" s="2">
        <v>197.0</v>
      </c>
      <c r="D1972" s="2">
        <v>184.0</v>
      </c>
      <c r="E1972" s="2">
        <v>26660.0</v>
      </c>
      <c r="F1972" s="2" t="s">
        <v>150</v>
      </c>
    </row>
    <row r="1973" ht="15.75" customHeight="1">
      <c r="A1973" s="4" t="s">
        <v>3444</v>
      </c>
      <c r="B1973" s="2" t="s">
        <v>3445</v>
      </c>
      <c r="C1973" s="2">
        <v>547.0</v>
      </c>
      <c r="D1973" s="2">
        <v>560.0</v>
      </c>
      <c r="E1973" s="2">
        <v>21620.0</v>
      </c>
      <c r="F1973" s="2" t="s">
        <v>150</v>
      </c>
    </row>
    <row r="1974" ht="15.75" customHeight="1">
      <c r="A1974" s="4" t="s">
        <v>5698</v>
      </c>
      <c r="B1974" s="2" t="s">
        <v>5699</v>
      </c>
      <c r="C1974" s="2">
        <v>137.0</v>
      </c>
      <c r="D1974" s="2">
        <v>139.0</v>
      </c>
      <c r="E1974" s="2">
        <v>33430.0</v>
      </c>
      <c r="F1974" s="2" t="s">
        <v>150</v>
      </c>
    </row>
    <row r="1975" ht="15.75" customHeight="1">
      <c r="A1975" s="4" t="s">
        <v>5700</v>
      </c>
      <c r="B1975" s="2" t="s">
        <v>5701</v>
      </c>
      <c r="C1975" s="2">
        <v>632.0</v>
      </c>
      <c r="D1975" s="2">
        <v>622.0</v>
      </c>
      <c r="E1975" s="2">
        <v>31360.0</v>
      </c>
      <c r="F1975" s="2" t="s">
        <v>150</v>
      </c>
    </row>
    <row r="1976" ht="15.75" customHeight="1">
      <c r="A1976" s="4" t="s">
        <v>3446</v>
      </c>
      <c r="B1976" s="2" t="s">
        <v>3447</v>
      </c>
      <c r="C1976" s="2">
        <v>567.0</v>
      </c>
      <c r="D1976" s="2">
        <v>604.0</v>
      </c>
      <c r="E1976" s="2">
        <v>28660.0</v>
      </c>
      <c r="F1976" s="2" t="s">
        <v>150</v>
      </c>
    </row>
    <row r="1977" ht="15.75" customHeight="1">
      <c r="A1977" s="4" t="s">
        <v>5702</v>
      </c>
      <c r="B1977" s="2" t="s">
        <v>5703</v>
      </c>
      <c r="C1977" s="2">
        <v>213.0</v>
      </c>
      <c r="D1977" s="2">
        <v>235.0</v>
      </c>
      <c r="E1977" s="2">
        <v>28430.0</v>
      </c>
      <c r="F1977" s="2" t="s">
        <v>150</v>
      </c>
    </row>
    <row r="1978" ht="15.75" customHeight="1">
      <c r="A1978" s="4" t="s">
        <v>5704</v>
      </c>
      <c r="B1978" s="2" t="s">
        <v>5705</v>
      </c>
      <c r="C1978" s="2">
        <v>226.0</v>
      </c>
      <c r="D1978" s="2">
        <v>227.0</v>
      </c>
      <c r="E1978" s="2">
        <v>25220.0</v>
      </c>
      <c r="F1978" s="2" t="s">
        <v>150</v>
      </c>
    </row>
    <row r="1979" ht="15.75" customHeight="1">
      <c r="A1979" s="4" t="s">
        <v>5706</v>
      </c>
      <c r="B1979" s="2" t="s">
        <v>5707</v>
      </c>
      <c r="C1979" s="2">
        <v>314.0</v>
      </c>
      <c r="D1979" s="2">
        <v>277.0</v>
      </c>
      <c r="E1979" s="2">
        <v>28220.0</v>
      </c>
      <c r="F1979" s="2" t="s">
        <v>150</v>
      </c>
    </row>
    <row r="1980" ht="15.75" customHeight="1">
      <c r="A1980" s="4" t="s">
        <v>5708</v>
      </c>
      <c r="B1980" s="2" t="s">
        <v>5709</v>
      </c>
      <c r="C1980" s="2">
        <v>254.0</v>
      </c>
      <c r="D1980" s="2">
        <v>254.0</v>
      </c>
      <c r="E1980" s="2">
        <v>33680.0</v>
      </c>
      <c r="F1980" s="2" t="s">
        <v>150</v>
      </c>
    </row>
    <row r="1981" ht="15.75" customHeight="1">
      <c r="A1981" s="4" t="s">
        <v>5710</v>
      </c>
      <c r="B1981" s="2" t="s">
        <v>5711</v>
      </c>
      <c r="C1981" s="2">
        <v>276.0</v>
      </c>
      <c r="D1981" s="2">
        <v>277.0</v>
      </c>
      <c r="E1981" s="2">
        <v>28980.0</v>
      </c>
      <c r="F1981" s="2" t="s">
        <v>150</v>
      </c>
    </row>
    <row r="1982" ht="15.75" customHeight="1">
      <c r="A1982" s="4" t="s">
        <v>3448</v>
      </c>
      <c r="B1982" s="2" t="s">
        <v>3449</v>
      </c>
      <c r="C1982" s="2">
        <v>465.0</v>
      </c>
      <c r="D1982" s="2">
        <v>471.0</v>
      </c>
      <c r="E1982" s="2">
        <v>27320.0</v>
      </c>
      <c r="F1982" s="2" t="s">
        <v>150</v>
      </c>
    </row>
    <row r="1983" ht="15.75" customHeight="1">
      <c r="A1983" s="4" t="s">
        <v>5712</v>
      </c>
      <c r="B1983" s="2" t="s">
        <v>5713</v>
      </c>
      <c r="C1983" s="2">
        <v>54.0</v>
      </c>
      <c r="D1983" s="2">
        <v>71.0</v>
      </c>
      <c r="E1983" s="2" t="s">
        <v>150</v>
      </c>
      <c r="F1983" s="2" t="s">
        <v>150</v>
      </c>
    </row>
    <row r="1984" ht="15.75" customHeight="1">
      <c r="A1984" s="4" t="s">
        <v>5714</v>
      </c>
      <c r="B1984" s="2" t="s">
        <v>5715</v>
      </c>
      <c r="C1984" s="2">
        <v>209.0</v>
      </c>
      <c r="D1984" s="2">
        <v>215.0</v>
      </c>
      <c r="E1984" s="2">
        <v>26190.0</v>
      </c>
      <c r="F1984" s="2" t="s">
        <v>150</v>
      </c>
    </row>
    <row r="1985" ht="15.75" customHeight="1">
      <c r="A1985" s="4" t="s">
        <v>5716</v>
      </c>
      <c r="B1985" s="2" t="s">
        <v>5717</v>
      </c>
      <c r="C1985" s="2">
        <v>318.0</v>
      </c>
      <c r="D1985" s="2">
        <v>328.0</v>
      </c>
      <c r="E1985" s="2">
        <v>28790.0</v>
      </c>
      <c r="F1985" s="2" t="s">
        <v>150</v>
      </c>
    </row>
    <row r="1986" ht="15.75" customHeight="1">
      <c r="A1986" s="4" t="s">
        <v>3452</v>
      </c>
      <c r="B1986" s="2" t="s">
        <v>3453</v>
      </c>
      <c r="C1986" s="2">
        <v>466.0</v>
      </c>
      <c r="D1986" s="2">
        <v>448.0</v>
      </c>
      <c r="E1986" s="2">
        <v>26850.0</v>
      </c>
      <c r="F1986" s="2" t="s">
        <v>150</v>
      </c>
    </row>
    <row r="1987" ht="15.75" customHeight="1">
      <c r="A1987" s="4" t="s">
        <v>3174</v>
      </c>
      <c r="B1987" s="2" t="s">
        <v>3175</v>
      </c>
      <c r="C1987" s="2">
        <v>809.0</v>
      </c>
      <c r="D1987" s="2">
        <v>855.0</v>
      </c>
      <c r="E1987" s="2">
        <v>28330.0</v>
      </c>
      <c r="F1987" s="2" t="s">
        <v>150</v>
      </c>
    </row>
    <row r="1988" ht="15.75" customHeight="1">
      <c r="A1988" s="4" t="s">
        <v>3454</v>
      </c>
      <c r="B1988" s="2" t="s">
        <v>3455</v>
      </c>
      <c r="C1988" s="2">
        <v>720.0</v>
      </c>
      <c r="D1988" s="2">
        <v>757.0</v>
      </c>
      <c r="E1988" s="2">
        <v>35530.0</v>
      </c>
      <c r="F1988" s="2" t="s">
        <v>150</v>
      </c>
    </row>
    <row r="1989" ht="15.75" customHeight="1">
      <c r="A1989" s="4" t="s">
        <v>5718</v>
      </c>
      <c r="B1989" s="2" t="s">
        <v>5719</v>
      </c>
      <c r="C1989" s="2">
        <v>200.0</v>
      </c>
      <c r="D1989" s="2">
        <v>247.0</v>
      </c>
      <c r="E1989" s="2">
        <v>28480.0</v>
      </c>
      <c r="F1989" s="2" t="s">
        <v>150</v>
      </c>
    </row>
    <row r="1990" ht="15.75" customHeight="1">
      <c r="A1990" s="4" t="s">
        <v>3456</v>
      </c>
      <c r="B1990" s="2" t="s">
        <v>3457</v>
      </c>
      <c r="C1990" s="2">
        <v>1542.0</v>
      </c>
      <c r="D1990" s="2">
        <v>1573.0</v>
      </c>
      <c r="E1990" s="2">
        <v>29710.0</v>
      </c>
      <c r="F1990" s="2" t="s">
        <v>150</v>
      </c>
    </row>
    <row r="1991" ht="15.75" customHeight="1">
      <c r="A1991" s="4" t="s">
        <v>3458</v>
      </c>
      <c r="B1991" s="2" t="s">
        <v>3459</v>
      </c>
      <c r="C1991" s="2">
        <v>552.0</v>
      </c>
      <c r="D1991" s="2">
        <v>638.0</v>
      </c>
      <c r="E1991" s="2">
        <v>27810.0</v>
      </c>
      <c r="F1991" s="2" t="s">
        <v>150</v>
      </c>
    </row>
    <row r="1992" ht="15.75" customHeight="1">
      <c r="A1992" s="4" t="s">
        <v>5720</v>
      </c>
      <c r="B1992" s="2" t="s">
        <v>5721</v>
      </c>
      <c r="C1992" s="2">
        <v>273.0</v>
      </c>
      <c r="D1992" s="2">
        <v>272.0</v>
      </c>
      <c r="E1992" s="2">
        <v>25430.0</v>
      </c>
      <c r="F1992" s="2" t="s">
        <v>150</v>
      </c>
    </row>
    <row r="1993" ht="15.75" customHeight="1">
      <c r="A1993" s="4" t="s">
        <v>3462</v>
      </c>
      <c r="B1993" s="2" t="s">
        <v>3463</v>
      </c>
      <c r="C1993" s="2">
        <v>514.0</v>
      </c>
      <c r="D1993" s="2">
        <v>514.0</v>
      </c>
      <c r="E1993" s="2">
        <v>26690.0</v>
      </c>
      <c r="F1993" s="2" t="s">
        <v>150</v>
      </c>
    </row>
    <row r="1994" ht="15.75" customHeight="1">
      <c r="A1994" s="4" t="s">
        <v>5722</v>
      </c>
      <c r="B1994" s="2" t="s">
        <v>5723</v>
      </c>
      <c r="C1994" s="2">
        <v>217.0</v>
      </c>
      <c r="D1994" s="2">
        <v>202.0</v>
      </c>
      <c r="E1994" s="2">
        <v>25050.0</v>
      </c>
      <c r="F1994" s="2" t="s">
        <v>150</v>
      </c>
    </row>
    <row r="1995" ht="15.75" customHeight="1">
      <c r="A1995" s="4" t="s">
        <v>3466</v>
      </c>
      <c r="B1995" s="2" t="s">
        <v>3467</v>
      </c>
      <c r="C1995" s="2">
        <v>1140.0</v>
      </c>
      <c r="D1995" s="2">
        <v>1174.0</v>
      </c>
      <c r="E1995" s="2">
        <v>24480.0</v>
      </c>
      <c r="F1995" s="2" t="s">
        <v>150</v>
      </c>
    </row>
    <row r="1996" ht="15.75" customHeight="1">
      <c r="A1996" s="4" t="s">
        <v>5724</v>
      </c>
      <c r="B1996" s="2" t="s">
        <v>5725</v>
      </c>
      <c r="C1996" s="2">
        <v>336.0</v>
      </c>
      <c r="D1996" s="2">
        <v>349.0</v>
      </c>
      <c r="E1996" s="2">
        <v>29810.0</v>
      </c>
      <c r="F1996" s="2" t="s">
        <v>150</v>
      </c>
    </row>
    <row r="1997" ht="15.75" customHeight="1">
      <c r="A1997" s="4" t="s">
        <v>5726</v>
      </c>
      <c r="B1997" s="2" t="s">
        <v>5727</v>
      </c>
      <c r="C1997" s="2">
        <v>215.0</v>
      </c>
      <c r="D1997" s="2">
        <v>189.0</v>
      </c>
      <c r="E1997" s="2">
        <v>34720.0</v>
      </c>
      <c r="F1997" s="2" t="s">
        <v>150</v>
      </c>
    </row>
    <row r="1998" ht="15.75" customHeight="1">
      <c r="A1998" s="4" t="s">
        <v>3470</v>
      </c>
      <c r="B1998" s="2" t="s">
        <v>3471</v>
      </c>
      <c r="C1998" s="2">
        <v>1533.0</v>
      </c>
      <c r="D1998" s="2">
        <v>1637.0</v>
      </c>
      <c r="E1998" s="2">
        <v>28080.0</v>
      </c>
      <c r="F1998" s="2" t="s">
        <v>150</v>
      </c>
    </row>
    <row r="1999" ht="15.75" customHeight="1">
      <c r="A1999" s="4" t="s">
        <v>5728</v>
      </c>
      <c r="B1999" s="2" t="s">
        <v>5729</v>
      </c>
      <c r="C1999" s="2">
        <v>86.0</v>
      </c>
      <c r="D1999" s="2">
        <v>80.0</v>
      </c>
      <c r="E1999" s="2" t="s">
        <v>150</v>
      </c>
      <c r="F1999" s="2" t="s">
        <v>150</v>
      </c>
    </row>
    <row r="2000" ht="15.75" customHeight="1">
      <c r="A2000" s="4" t="s">
        <v>5730</v>
      </c>
      <c r="B2000" s="2" t="s">
        <v>5731</v>
      </c>
      <c r="C2000" s="2">
        <v>310.0</v>
      </c>
      <c r="D2000" s="2">
        <v>301.0</v>
      </c>
      <c r="E2000" s="2">
        <v>28720.0</v>
      </c>
      <c r="F2000" s="2" t="s">
        <v>150</v>
      </c>
    </row>
    <row r="2001" ht="15.75" customHeight="1">
      <c r="A2001" s="4" t="s">
        <v>5732</v>
      </c>
      <c r="B2001" s="2" t="s">
        <v>5733</v>
      </c>
      <c r="C2001" s="2">
        <v>321.0</v>
      </c>
      <c r="D2001" s="2">
        <v>331.0</v>
      </c>
      <c r="E2001" s="2">
        <v>27020.0</v>
      </c>
      <c r="F2001" s="2" t="s">
        <v>150</v>
      </c>
    </row>
    <row r="2002" ht="15.75" customHeight="1">
      <c r="A2002" s="4" t="s">
        <v>3472</v>
      </c>
      <c r="B2002" s="2" t="s">
        <v>3473</v>
      </c>
      <c r="C2002" s="2">
        <v>631.0</v>
      </c>
      <c r="D2002" s="2">
        <v>618.0</v>
      </c>
      <c r="E2002" s="2">
        <v>26910.0</v>
      </c>
      <c r="F2002" s="2" t="s">
        <v>150</v>
      </c>
    </row>
    <row r="2003" ht="15.75" hidden="1" customHeight="1">
      <c r="A2003" s="4" t="s">
        <v>3514</v>
      </c>
      <c r="B2003" s="2" t="s">
        <v>2534</v>
      </c>
      <c r="C2003" s="2">
        <v>3230.0</v>
      </c>
      <c r="D2003" s="2">
        <v>3505.0</v>
      </c>
      <c r="E2003" s="2">
        <v>25780.0</v>
      </c>
      <c r="F2003" s="2">
        <v>12.0</v>
      </c>
    </row>
    <row r="2004" ht="15.75" customHeight="1">
      <c r="A2004" s="4" t="s">
        <v>3474</v>
      </c>
      <c r="B2004" s="2" t="s">
        <v>3475</v>
      </c>
      <c r="C2004" s="2">
        <v>477.0</v>
      </c>
      <c r="D2004" s="2">
        <v>439.0</v>
      </c>
      <c r="E2004" s="2">
        <v>28150.0</v>
      </c>
      <c r="F2004" s="2" t="s">
        <v>150</v>
      </c>
    </row>
    <row r="2005" ht="15.75" customHeight="1">
      <c r="A2005" s="4" t="s">
        <v>3476</v>
      </c>
      <c r="B2005" s="2" t="s">
        <v>3477</v>
      </c>
      <c r="C2005" s="2">
        <v>1712.0</v>
      </c>
      <c r="D2005" s="2">
        <v>1662.0</v>
      </c>
      <c r="E2005" s="2">
        <v>25760.0</v>
      </c>
      <c r="F2005" s="2" t="s">
        <v>150</v>
      </c>
    </row>
    <row r="2006" ht="15.75" customHeight="1">
      <c r="A2006" s="4" t="s">
        <v>3517</v>
      </c>
      <c r="B2006" s="2" t="s">
        <v>3518</v>
      </c>
      <c r="C2006" s="2">
        <v>1077.0</v>
      </c>
      <c r="D2006" s="2">
        <v>1060.0</v>
      </c>
      <c r="E2006" s="2">
        <v>27460.0</v>
      </c>
      <c r="F2006" s="2" t="s">
        <v>150</v>
      </c>
    </row>
    <row r="2007" ht="15.75" customHeight="1">
      <c r="A2007" s="4" t="s">
        <v>3478</v>
      </c>
      <c r="B2007" s="2" t="s">
        <v>3479</v>
      </c>
      <c r="C2007" s="2">
        <v>315.0</v>
      </c>
      <c r="D2007" s="2">
        <v>345.0</v>
      </c>
      <c r="E2007" s="2">
        <v>38720.0</v>
      </c>
      <c r="F2007" s="2" t="s">
        <v>150</v>
      </c>
    </row>
    <row r="2008" ht="15.75" hidden="1" customHeight="1">
      <c r="A2008" s="4" t="s">
        <v>3480</v>
      </c>
      <c r="B2008" s="2" t="s">
        <v>3481</v>
      </c>
      <c r="C2008" s="2">
        <v>6013.0</v>
      </c>
      <c r="D2008" s="2">
        <v>5810.0</v>
      </c>
      <c r="E2008" s="2">
        <v>22100.0</v>
      </c>
      <c r="F2008" s="2">
        <v>22.0</v>
      </c>
    </row>
    <row r="2009" ht="15.75" customHeight="1">
      <c r="A2009" s="4" t="s">
        <v>3484</v>
      </c>
      <c r="B2009" s="2" t="s">
        <v>3485</v>
      </c>
      <c r="C2009" s="2">
        <v>795.0</v>
      </c>
      <c r="D2009" s="2">
        <v>735.0</v>
      </c>
      <c r="E2009" s="2">
        <v>28310.0</v>
      </c>
      <c r="F2009" s="2" t="s">
        <v>150</v>
      </c>
    </row>
    <row r="2010" ht="15.75" customHeight="1">
      <c r="A2010" s="4" t="s">
        <v>5734</v>
      </c>
      <c r="B2010" s="2" t="s">
        <v>5735</v>
      </c>
      <c r="C2010" s="2">
        <v>349.0</v>
      </c>
      <c r="D2010" s="2">
        <v>378.0</v>
      </c>
      <c r="E2010" s="2">
        <v>27760.0</v>
      </c>
      <c r="F2010" s="2" t="s">
        <v>150</v>
      </c>
    </row>
    <row r="2011" ht="15.75" hidden="1" customHeight="1">
      <c r="A2011" s="4" t="s">
        <v>3482</v>
      </c>
      <c r="B2011" s="2" t="s">
        <v>3483</v>
      </c>
      <c r="C2011" s="2">
        <v>4688.0</v>
      </c>
      <c r="D2011" s="2">
        <v>4638.0</v>
      </c>
      <c r="E2011" s="2">
        <v>26590.0</v>
      </c>
      <c r="F2011" s="2">
        <v>11.0</v>
      </c>
    </row>
    <row r="2012" ht="15.75" customHeight="1">
      <c r="A2012" s="4" t="s">
        <v>5736</v>
      </c>
      <c r="B2012" s="2" t="s">
        <v>5737</v>
      </c>
      <c r="C2012" s="2">
        <v>287.0</v>
      </c>
      <c r="D2012" s="2">
        <v>263.0</v>
      </c>
      <c r="E2012" s="2">
        <v>25180.0</v>
      </c>
      <c r="F2012" s="2" t="s">
        <v>150</v>
      </c>
    </row>
    <row r="2013" ht="15.75" customHeight="1">
      <c r="A2013" s="4" t="s">
        <v>3491</v>
      </c>
      <c r="B2013" s="2" t="s">
        <v>3493</v>
      </c>
      <c r="C2013" s="2">
        <v>1040.0</v>
      </c>
      <c r="D2013" s="2">
        <v>1108.0</v>
      </c>
      <c r="E2013" s="2">
        <v>29330.0</v>
      </c>
      <c r="F2013" s="2" t="s">
        <v>150</v>
      </c>
    </row>
    <row r="2014" ht="15.75" customHeight="1">
      <c r="A2014" s="4" t="s">
        <v>3486</v>
      </c>
      <c r="B2014" s="2" t="s">
        <v>3488</v>
      </c>
      <c r="C2014" s="2">
        <v>1492.0</v>
      </c>
      <c r="D2014" s="2">
        <v>1449.0</v>
      </c>
      <c r="E2014" s="2">
        <v>28500.0</v>
      </c>
      <c r="F2014" s="2" t="s">
        <v>150</v>
      </c>
    </row>
    <row r="2015" ht="15.75" customHeight="1">
      <c r="A2015" s="4" t="s">
        <v>5738</v>
      </c>
      <c r="B2015" s="2" t="s">
        <v>5739</v>
      </c>
      <c r="C2015" s="2">
        <v>383.0</v>
      </c>
      <c r="D2015" s="2">
        <v>397.0</v>
      </c>
      <c r="E2015" s="2">
        <v>22320.0</v>
      </c>
      <c r="F2015" s="2" t="s">
        <v>150</v>
      </c>
    </row>
    <row r="2016" ht="15.75" hidden="1" customHeight="1">
      <c r="A2016" s="4" t="s">
        <v>3495</v>
      </c>
      <c r="B2016" s="2" t="s">
        <v>3497</v>
      </c>
      <c r="C2016" s="2">
        <v>2938.0</v>
      </c>
      <c r="D2016" s="2">
        <v>3335.0</v>
      </c>
      <c r="E2016" s="2">
        <v>23510.0</v>
      </c>
      <c r="F2016" s="2">
        <v>18.0</v>
      </c>
    </row>
    <row r="2017" ht="15.75" customHeight="1">
      <c r="A2017" s="4" t="s">
        <v>3500</v>
      </c>
      <c r="B2017" s="2" t="s">
        <v>3501</v>
      </c>
      <c r="C2017" s="2">
        <v>1249.0</v>
      </c>
      <c r="D2017" s="2">
        <v>1172.0</v>
      </c>
      <c r="E2017" s="2">
        <v>24700.0</v>
      </c>
      <c r="F2017" s="2" t="s">
        <v>150</v>
      </c>
    </row>
    <row r="2018" ht="15.75" customHeight="1">
      <c r="A2018" s="4" t="s">
        <v>3502</v>
      </c>
      <c r="B2018" s="2" t="s">
        <v>3503</v>
      </c>
      <c r="C2018" s="2">
        <v>1531.0</v>
      </c>
      <c r="D2018" s="2">
        <v>1633.0</v>
      </c>
      <c r="E2018" s="2">
        <v>30800.0</v>
      </c>
      <c r="F2018" s="2" t="s">
        <v>150</v>
      </c>
    </row>
    <row r="2019" ht="15.75" customHeight="1">
      <c r="A2019" s="4" t="s">
        <v>5740</v>
      </c>
      <c r="B2019" s="2" t="s">
        <v>5741</v>
      </c>
      <c r="C2019" s="2">
        <v>712.0</v>
      </c>
      <c r="D2019" s="2">
        <v>672.0</v>
      </c>
      <c r="E2019" s="2">
        <v>24640.0</v>
      </c>
      <c r="F2019" s="2" t="s">
        <v>150</v>
      </c>
    </row>
    <row r="2020" ht="15.75" customHeight="1">
      <c r="A2020" s="4" t="s">
        <v>5742</v>
      </c>
      <c r="B2020" s="2" t="s">
        <v>5743</v>
      </c>
      <c r="C2020" s="2">
        <v>147.0</v>
      </c>
      <c r="D2020" s="2">
        <v>153.0</v>
      </c>
      <c r="E2020" s="2">
        <v>25110.0</v>
      </c>
      <c r="F2020" s="2" t="s">
        <v>150</v>
      </c>
    </row>
    <row r="2021" ht="15.75" customHeight="1">
      <c r="A2021" s="4" t="s">
        <v>5744</v>
      </c>
      <c r="B2021" s="2" t="s">
        <v>5745</v>
      </c>
      <c r="C2021" s="2">
        <v>283.0</v>
      </c>
      <c r="D2021" s="2">
        <v>285.0</v>
      </c>
      <c r="E2021" s="2">
        <v>27300.0</v>
      </c>
      <c r="F2021" s="2" t="s">
        <v>150</v>
      </c>
    </row>
    <row r="2022" ht="15.75" customHeight="1">
      <c r="A2022" s="4" t="s">
        <v>3504</v>
      </c>
      <c r="B2022" s="2" t="s">
        <v>3505</v>
      </c>
      <c r="C2022" s="2">
        <v>416.0</v>
      </c>
      <c r="D2022" s="2">
        <v>431.0</v>
      </c>
      <c r="E2022" s="2">
        <v>28040.0</v>
      </c>
      <c r="F2022" s="2" t="s">
        <v>150</v>
      </c>
    </row>
    <row r="2023" ht="15.75" customHeight="1">
      <c r="A2023" s="4" t="s">
        <v>5746</v>
      </c>
      <c r="B2023" s="2" t="s">
        <v>5747</v>
      </c>
      <c r="C2023" s="2">
        <v>250.0</v>
      </c>
      <c r="D2023" s="2">
        <v>225.0</v>
      </c>
      <c r="E2023" s="2">
        <v>25110.0</v>
      </c>
      <c r="F2023" s="2" t="s">
        <v>150</v>
      </c>
    </row>
    <row r="2024" ht="15.75" customHeight="1">
      <c r="A2024" s="4" t="s">
        <v>3508</v>
      </c>
      <c r="B2024" s="2" t="s">
        <v>3509</v>
      </c>
      <c r="C2024" s="2">
        <v>1734.0</v>
      </c>
      <c r="D2024" s="2">
        <v>1751.0</v>
      </c>
      <c r="E2024" s="2">
        <v>27010.0</v>
      </c>
      <c r="F2024" s="2" t="s">
        <v>150</v>
      </c>
    </row>
    <row r="2025" ht="15.75" customHeight="1">
      <c r="A2025" s="4" t="s">
        <v>3510</v>
      </c>
      <c r="B2025" s="2" t="s">
        <v>3511</v>
      </c>
      <c r="C2025" s="2">
        <v>1020.0</v>
      </c>
      <c r="D2025" s="2">
        <v>1079.0</v>
      </c>
      <c r="E2025" s="2">
        <v>27330.0</v>
      </c>
      <c r="F2025" s="2" t="s">
        <v>150</v>
      </c>
    </row>
    <row r="2026" ht="15.75" customHeight="1">
      <c r="A2026" s="4" t="s">
        <v>5748</v>
      </c>
      <c r="B2026" s="2" t="s">
        <v>5749</v>
      </c>
      <c r="C2026" s="2">
        <v>298.0</v>
      </c>
      <c r="D2026" s="2">
        <v>281.0</v>
      </c>
      <c r="E2026" s="2">
        <v>24020.0</v>
      </c>
      <c r="F2026" s="2" t="s">
        <v>150</v>
      </c>
    </row>
    <row r="2027" ht="15.75" customHeight="1">
      <c r="A2027" s="4" t="s">
        <v>5750</v>
      </c>
      <c r="B2027" s="2" t="s">
        <v>5751</v>
      </c>
      <c r="C2027" s="2">
        <v>647.0</v>
      </c>
      <c r="D2027" s="2">
        <v>654.0</v>
      </c>
      <c r="E2027" s="2">
        <v>32160.0</v>
      </c>
      <c r="F2027" s="2" t="s">
        <v>150</v>
      </c>
    </row>
    <row r="2028" ht="15.75" customHeight="1">
      <c r="A2028" s="4" t="s">
        <v>3512</v>
      </c>
      <c r="B2028" s="2" t="s">
        <v>3513</v>
      </c>
      <c r="C2028" s="2">
        <v>1074.0</v>
      </c>
      <c r="D2028" s="2">
        <v>984.0</v>
      </c>
      <c r="E2028" s="2">
        <v>26090.0</v>
      </c>
      <c r="F2028" s="2" t="s">
        <v>150</v>
      </c>
    </row>
    <row r="2029" ht="15.75" customHeight="1">
      <c r="A2029" s="4" t="s">
        <v>5752</v>
      </c>
      <c r="B2029" s="2" t="s">
        <v>5753</v>
      </c>
      <c r="C2029" s="2">
        <v>65.0</v>
      </c>
      <c r="D2029" s="2">
        <v>53.0</v>
      </c>
      <c r="E2029" s="2" t="s">
        <v>150</v>
      </c>
      <c r="F2029" s="2" t="s">
        <v>150</v>
      </c>
    </row>
    <row r="2030" ht="15.75" customHeight="1">
      <c r="A2030" s="4" t="s">
        <v>3519</v>
      </c>
      <c r="B2030" s="2" t="s">
        <v>3520</v>
      </c>
      <c r="C2030" s="2">
        <v>890.0</v>
      </c>
      <c r="D2030" s="2">
        <v>897.0</v>
      </c>
      <c r="E2030" s="2">
        <v>25940.0</v>
      </c>
      <c r="F2030" s="2" t="s">
        <v>150</v>
      </c>
    </row>
    <row r="2031" ht="15.75" customHeight="1">
      <c r="A2031" s="4" t="s">
        <v>5754</v>
      </c>
      <c r="B2031" s="2" t="s">
        <v>5755</v>
      </c>
      <c r="C2031" s="2">
        <v>265.0</v>
      </c>
      <c r="D2031" s="2">
        <v>262.0</v>
      </c>
      <c r="E2031" s="2">
        <v>24250.0</v>
      </c>
      <c r="F2031" s="2" t="s">
        <v>150</v>
      </c>
    </row>
    <row r="2032" ht="15.75" customHeight="1">
      <c r="A2032" s="4" t="s">
        <v>5756</v>
      </c>
      <c r="B2032" s="2" t="s">
        <v>5757</v>
      </c>
      <c r="C2032" s="2">
        <v>348.0</v>
      </c>
      <c r="D2032" s="2">
        <v>351.0</v>
      </c>
      <c r="E2032" s="2">
        <v>25510.0</v>
      </c>
      <c r="F2032" s="2" t="s">
        <v>150</v>
      </c>
    </row>
    <row r="2033" ht="15.75" customHeight="1">
      <c r="A2033" s="4" t="s">
        <v>5758</v>
      </c>
      <c r="B2033" s="2" t="s">
        <v>5759</v>
      </c>
      <c r="C2033" s="2">
        <v>100.0</v>
      </c>
      <c r="D2033" s="2">
        <v>105.0</v>
      </c>
      <c r="E2033" s="2">
        <v>24810.0</v>
      </c>
      <c r="F2033" s="2" t="s">
        <v>150</v>
      </c>
    </row>
    <row r="2034" ht="15.75" customHeight="1">
      <c r="A2034" s="4" t="s">
        <v>3522</v>
      </c>
      <c r="B2034" s="2" t="s">
        <v>3524</v>
      </c>
      <c r="C2034" s="2">
        <v>844.0</v>
      </c>
      <c r="D2034" s="2">
        <v>933.0</v>
      </c>
      <c r="E2034" s="2">
        <v>28540.0</v>
      </c>
      <c r="F2034" s="2" t="s">
        <v>150</v>
      </c>
    </row>
    <row r="2035" ht="15.75" customHeight="1">
      <c r="A2035" s="4" t="s">
        <v>3527</v>
      </c>
      <c r="B2035" s="2" t="s">
        <v>3528</v>
      </c>
      <c r="C2035" s="2">
        <v>789.0</v>
      </c>
      <c r="D2035" s="2">
        <v>760.0</v>
      </c>
      <c r="E2035" s="2">
        <v>25630.0</v>
      </c>
      <c r="F2035" s="2" t="s">
        <v>150</v>
      </c>
    </row>
    <row r="2036" ht="15.75" customHeight="1">
      <c r="A2036" s="4" t="s">
        <v>3529</v>
      </c>
      <c r="B2036" s="2" t="s">
        <v>3530</v>
      </c>
      <c r="C2036" s="2">
        <v>621.0</v>
      </c>
      <c r="D2036" s="2">
        <v>577.0</v>
      </c>
      <c r="E2036" s="2">
        <v>27360.0</v>
      </c>
      <c r="F2036" s="2" t="s">
        <v>150</v>
      </c>
    </row>
    <row r="2037" ht="15.75" hidden="1" customHeight="1">
      <c r="A2037" s="4" t="s">
        <v>3533</v>
      </c>
      <c r="B2037" s="2" t="s">
        <v>3534</v>
      </c>
      <c r="C2037" s="2">
        <v>14277.0</v>
      </c>
      <c r="D2037" s="2">
        <v>15157.0</v>
      </c>
      <c r="E2037" s="2">
        <v>29500.0</v>
      </c>
      <c r="F2037" s="2">
        <v>12.0</v>
      </c>
    </row>
    <row r="2038" ht="15.75" customHeight="1">
      <c r="A2038" s="4" t="s">
        <v>5760</v>
      </c>
      <c r="B2038" s="2" t="s">
        <v>5761</v>
      </c>
      <c r="C2038" s="2">
        <v>347.0</v>
      </c>
      <c r="D2038" s="2">
        <v>331.0</v>
      </c>
      <c r="E2038" s="2">
        <v>30290.0</v>
      </c>
      <c r="F2038" s="2" t="s">
        <v>150</v>
      </c>
    </row>
    <row r="2039" ht="15.75" customHeight="1">
      <c r="A2039" s="4" t="s">
        <v>5762</v>
      </c>
      <c r="B2039" s="2" t="s">
        <v>5763</v>
      </c>
      <c r="C2039" s="2">
        <v>222.0</v>
      </c>
      <c r="D2039" s="2">
        <v>184.0</v>
      </c>
      <c r="E2039" s="2">
        <v>28000.0</v>
      </c>
      <c r="F2039" s="2" t="s">
        <v>150</v>
      </c>
    </row>
    <row r="2040" ht="15.75" customHeight="1">
      <c r="A2040" s="4" t="s">
        <v>5764</v>
      </c>
      <c r="B2040" s="2" t="s">
        <v>5765</v>
      </c>
      <c r="C2040" s="2">
        <v>136.0</v>
      </c>
      <c r="D2040" s="2">
        <v>132.0</v>
      </c>
      <c r="E2040" s="2">
        <v>20740.0</v>
      </c>
      <c r="F2040" s="2" t="s">
        <v>150</v>
      </c>
    </row>
    <row r="2041" ht="15.75" hidden="1" customHeight="1">
      <c r="A2041" s="4" t="s">
        <v>3547</v>
      </c>
      <c r="B2041" s="2" t="s">
        <v>3548</v>
      </c>
      <c r="C2041" s="2">
        <v>2755.0</v>
      </c>
      <c r="D2041" s="2">
        <v>2784.0</v>
      </c>
      <c r="E2041" s="2">
        <v>23910.0</v>
      </c>
      <c r="F2041" s="2">
        <v>18.0</v>
      </c>
    </row>
    <row r="2042" ht="15.75" customHeight="1">
      <c r="A2042" s="4" t="s">
        <v>5766</v>
      </c>
      <c r="B2042" s="2" t="s">
        <v>5767</v>
      </c>
      <c r="C2042" s="2">
        <v>257.0</v>
      </c>
      <c r="D2042" s="2">
        <v>271.0</v>
      </c>
      <c r="E2042" s="2">
        <v>24070.0</v>
      </c>
      <c r="F2042" s="2" t="s">
        <v>150</v>
      </c>
    </row>
    <row r="2043" ht="15.75" customHeight="1">
      <c r="A2043" s="4" t="s">
        <v>5768</v>
      </c>
      <c r="B2043" s="2" t="s">
        <v>5769</v>
      </c>
      <c r="C2043" s="2">
        <v>282.0</v>
      </c>
      <c r="D2043" s="2">
        <v>269.0</v>
      </c>
      <c r="E2043" s="2">
        <v>29670.0</v>
      </c>
      <c r="F2043" s="2" t="s">
        <v>150</v>
      </c>
    </row>
    <row r="2044" ht="15.75" customHeight="1">
      <c r="A2044" s="4" t="s">
        <v>3537</v>
      </c>
      <c r="B2044" s="2" t="s">
        <v>3538</v>
      </c>
      <c r="C2044" s="2">
        <v>1160.0</v>
      </c>
      <c r="D2044" s="2">
        <v>1217.0</v>
      </c>
      <c r="E2044" s="2">
        <v>30680.0</v>
      </c>
      <c r="F2044" s="2" t="s">
        <v>150</v>
      </c>
    </row>
    <row r="2045" ht="15.75" customHeight="1">
      <c r="A2045" s="4" t="s">
        <v>3535</v>
      </c>
      <c r="B2045" s="2" t="s">
        <v>3536</v>
      </c>
      <c r="C2045" s="2">
        <v>440.0</v>
      </c>
      <c r="D2045" s="2">
        <v>450.0</v>
      </c>
      <c r="E2045" s="2">
        <v>31190.0</v>
      </c>
      <c r="F2045" s="2" t="s">
        <v>150</v>
      </c>
    </row>
    <row r="2046" ht="15.75" customHeight="1">
      <c r="A2046" s="4" t="s">
        <v>5770</v>
      </c>
      <c r="B2046" s="2" t="s">
        <v>5771</v>
      </c>
      <c r="C2046" s="2">
        <v>138.0</v>
      </c>
      <c r="D2046" s="2">
        <v>130.0</v>
      </c>
      <c r="E2046" s="2">
        <v>23770.0</v>
      </c>
      <c r="F2046" s="2" t="s">
        <v>150</v>
      </c>
    </row>
    <row r="2047" ht="15.75" customHeight="1">
      <c r="A2047" s="4" t="s">
        <v>3540</v>
      </c>
      <c r="B2047" s="2" t="s">
        <v>3542</v>
      </c>
      <c r="C2047" s="2">
        <v>482.0</v>
      </c>
      <c r="D2047" s="2">
        <v>481.0</v>
      </c>
      <c r="E2047" s="2">
        <v>25130.0</v>
      </c>
      <c r="F2047" s="2" t="s">
        <v>150</v>
      </c>
    </row>
    <row r="2048" ht="15.75" customHeight="1">
      <c r="A2048" s="4" t="s">
        <v>3543</v>
      </c>
      <c r="B2048" s="2" t="s">
        <v>3544</v>
      </c>
      <c r="C2048" s="2">
        <v>1073.0</v>
      </c>
      <c r="D2048" s="2">
        <v>926.0</v>
      </c>
      <c r="E2048" s="2">
        <v>24140.0</v>
      </c>
      <c r="F2048" s="2" t="s">
        <v>150</v>
      </c>
    </row>
    <row r="2049" ht="15.75" customHeight="1">
      <c r="A2049" s="4" t="s">
        <v>3545</v>
      </c>
      <c r="B2049" s="2" t="s">
        <v>3546</v>
      </c>
      <c r="C2049" s="2">
        <v>170.0</v>
      </c>
      <c r="D2049" s="2">
        <v>165.0</v>
      </c>
      <c r="E2049" s="2">
        <v>23140.0</v>
      </c>
      <c r="F2049" s="2" t="s">
        <v>150</v>
      </c>
    </row>
    <row r="2050" ht="15.75" customHeight="1">
      <c r="A2050" s="4" t="s">
        <v>5772</v>
      </c>
      <c r="B2050" s="2" t="s">
        <v>5773</v>
      </c>
      <c r="C2050" s="2">
        <v>568.0</v>
      </c>
      <c r="D2050" s="2">
        <v>518.0</v>
      </c>
      <c r="E2050" s="2">
        <v>26170.0</v>
      </c>
      <c r="F2050" s="2" t="s">
        <v>150</v>
      </c>
    </row>
    <row r="2051" ht="15.75" customHeight="1">
      <c r="A2051" s="4" t="s">
        <v>3549</v>
      </c>
      <c r="B2051" s="2" t="s">
        <v>3550</v>
      </c>
      <c r="C2051" s="2">
        <v>683.0</v>
      </c>
      <c r="D2051" s="2">
        <v>643.0</v>
      </c>
      <c r="E2051" s="2">
        <v>26610.0</v>
      </c>
      <c r="F2051" s="2" t="s">
        <v>150</v>
      </c>
    </row>
    <row r="2052" ht="15.75" customHeight="1">
      <c r="A2052" s="4" t="s">
        <v>5774</v>
      </c>
      <c r="B2052" s="2" t="s">
        <v>5775</v>
      </c>
      <c r="C2052" s="2">
        <v>274.0</v>
      </c>
      <c r="D2052" s="2">
        <v>250.0</v>
      </c>
      <c r="E2052" s="2">
        <v>25360.0</v>
      </c>
      <c r="F2052" s="2" t="s">
        <v>150</v>
      </c>
    </row>
    <row r="2053" ht="15.75" customHeight="1">
      <c r="A2053" s="4" t="s">
        <v>3553</v>
      </c>
      <c r="B2053" s="2" t="s">
        <v>3554</v>
      </c>
      <c r="C2053" s="2">
        <v>1063.0</v>
      </c>
      <c r="D2053" s="2">
        <v>1225.0</v>
      </c>
      <c r="E2053" s="2">
        <v>27420.0</v>
      </c>
      <c r="F2053" s="2" t="s">
        <v>150</v>
      </c>
    </row>
    <row r="2054" ht="15.75" customHeight="1">
      <c r="A2054" s="4" t="s">
        <v>5776</v>
      </c>
      <c r="B2054" s="2" t="s">
        <v>5777</v>
      </c>
      <c r="C2054" s="2">
        <v>202.0</v>
      </c>
      <c r="D2054" s="2">
        <v>196.0</v>
      </c>
      <c r="E2054" s="2">
        <v>26790.0</v>
      </c>
      <c r="F2054" s="2" t="s">
        <v>150</v>
      </c>
    </row>
    <row r="2055" ht="15.75" customHeight="1">
      <c r="A2055" s="4" t="s">
        <v>5778</v>
      </c>
      <c r="B2055" s="2" t="s">
        <v>5779</v>
      </c>
      <c r="C2055" s="2">
        <v>165.0</v>
      </c>
      <c r="D2055" s="2">
        <v>217.0</v>
      </c>
      <c r="E2055" s="2">
        <v>29020.0</v>
      </c>
      <c r="F2055" s="2" t="s">
        <v>150</v>
      </c>
    </row>
    <row r="2056" ht="15.75" customHeight="1">
      <c r="A2056" s="4" t="s">
        <v>3555</v>
      </c>
      <c r="B2056" s="2" t="s">
        <v>3556</v>
      </c>
      <c r="C2056" s="2">
        <v>1059.0</v>
      </c>
      <c r="D2056" s="2">
        <v>1090.0</v>
      </c>
      <c r="E2056" s="2">
        <v>32830.0</v>
      </c>
      <c r="F2056" s="2" t="s">
        <v>150</v>
      </c>
    </row>
    <row r="2057" ht="15.75" customHeight="1">
      <c r="A2057" s="4" t="s">
        <v>3557</v>
      </c>
      <c r="B2057" s="2" t="s">
        <v>3558</v>
      </c>
      <c r="C2057" s="2">
        <v>754.0</v>
      </c>
      <c r="D2057" s="2">
        <v>750.0</v>
      </c>
      <c r="E2057" s="2">
        <v>28040.0</v>
      </c>
      <c r="F2057" s="2" t="s">
        <v>150</v>
      </c>
    </row>
    <row r="2058" ht="15.75" customHeight="1">
      <c r="A2058" s="4" t="s">
        <v>3559</v>
      </c>
      <c r="B2058" s="2" t="s">
        <v>3560</v>
      </c>
      <c r="C2058" s="2">
        <v>410.0</v>
      </c>
      <c r="D2058" s="2">
        <v>379.0</v>
      </c>
      <c r="E2058" s="2">
        <v>24780.0</v>
      </c>
      <c r="F2058" s="2" t="s">
        <v>150</v>
      </c>
    </row>
    <row r="2059" ht="15.75" customHeight="1">
      <c r="A2059" s="4" t="s">
        <v>5780</v>
      </c>
      <c r="B2059" s="2" t="s">
        <v>5781</v>
      </c>
      <c r="C2059" s="2">
        <v>439.0</v>
      </c>
      <c r="D2059" s="2">
        <v>438.0</v>
      </c>
      <c r="E2059" s="2">
        <v>24710.0</v>
      </c>
      <c r="F2059" s="2" t="s">
        <v>150</v>
      </c>
    </row>
    <row r="2060" ht="15.75" customHeight="1">
      <c r="A2060" s="4" t="s">
        <v>3561</v>
      </c>
      <c r="B2060" s="2" t="s">
        <v>3562</v>
      </c>
      <c r="C2060" s="2">
        <v>1065.0</v>
      </c>
      <c r="D2060" s="2">
        <v>1041.0</v>
      </c>
      <c r="E2060" s="2">
        <v>22790.0</v>
      </c>
      <c r="F2060" s="2" t="s">
        <v>150</v>
      </c>
    </row>
    <row r="2061" ht="15.75" hidden="1" customHeight="1">
      <c r="A2061" s="4" t="s">
        <v>3565</v>
      </c>
      <c r="B2061" s="2" t="s">
        <v>3566</v>
      </c>
      <c r="C2061" s="2">
        <v>4558.0</v>
      </c>
      <c r="D2061" s="2">
        <v>4463.0</v>
      </c>
      <c r="E2061" s="2">
        <v>23840.0</v>
      </c>
      <c r="F2061" s="2">
        <v>18.0</v>
      </c>
    </row>
    <row r="2062" ht="15.75" customHeight="1">
      <c r="A2062" s="4" t="s">
        <v>5782</v>
      </c>
      <c r="B2062" s="2" t="s">
        <v>5783</v>
      </c>
      <c r="C2062" s="2">
        <v>493.0</v>
      </c>
      <c r="D2062" s="2">
        <v>462.0</v>
      </c>
      <c r="E2062" s="2">
        <v>28450.0</v>
      </c>
      <c r="F2062" s="2" t="s">
        <v>150</v>
      </c>
    </row>
    <row r="2063" ht="15.75" customHeight="1">
      <c r="A2063" s="4" t="s">
        <v>5784</v>
      </c>
      <c r="B2063" s="2" t="s">
        <v>5785</v>
      </c>
      <c r="C2063" s="2">
        <v>679.0</v>
      </c>
      <c r="D2063" s="2">
        <v>667.0</v>
      </c>
      <c r="E2063" s="2">
        <v>28280.0</v>
      </c>
      <c r="F2063" s="2" t="s">
        <v>150</v>
      </c>
    </row>
    <row r="2064" ht="15.75" customHeight="1">
      <c r="A2064" s="4" t="s">
        <v>3567</v>
      </c>
      <c r="B2064" s="2" t="s">
        <v>3568</v>
      </c>
      <c r="C2064" s="2">
        <v>1169.0</v>
      </c>
      <c r="D2064" s="2">
        <v>1258.0</v>
      </c>
      <c r="E2064" s="2">
        <v>25600.0</v>
      </c>
      <c r="F2064" s="2" t="s">
        <v>150</v>
      </c>
    </row>
    <row r="2065" ht="15.75" customHeight="1">
      <c r="A2065" s="4" t="s">
        <v>5786</v>
      </c>
      <c r="B2065" s="2" t="s">
        <v>5787</v>
      </c>
      <c r="C2065" s="2">
        <v>175.0</v>
      </c>
      <c r="D2065" s="2">
        <v>161.0</v>
      </c>
      <c r="E2065" s="2">
        <v>35530.0</v>
      </c>
      <c r="F2065" s="2" t="s">
        <v>150</v>
      </c>
    </row>
    <row r="2066" ht="15.75" customHeight="1">
      <c r="A2066" s="4" t="s">
        <v>3569</v>
      </c>
      <c r="B2066" s="2" t="s">
        <v>3570</v>
      </c>
      <c r="C2066" s="2">
        <v>1735.0</v>
      </c>
      <c r="D2066" s="2">
        <v>1686.0</v>
      </c>
      <c r="E2066" s="2">
        <v>28110.0</v>
      </c>
      <c r="F2066" s="2" t="s">
        <v>150</v>
      </c>
    </row>
    <row r="2067" ht="15.75" customHeight="1">
      <c r="A2067" s="4" t="s">
        <v>3571</v>
      </c>
      <c r="B2067" s="2" t="s">
        <v>3572</v>
      </c>
      <c r="C2067" s="2">
        <v>1095.0</v>
      </c>
      <c r="D2067" s="2">
        <v>1037.0</v>
      </c>
      <c r="E2067" s="2">
        <v>29610.0</v>
      </c>
      <c r="F2067" s="2" t="s">
        <v>150</v>
      </c>
    </row>
    <row r="2068" ht="15.75" customHeight="1">
      <c r="A2068" s="4" t="s">
        <v>3574</v>
      </c>
      <c r="B2068" s="2" t="s">
        <v>3576</v>
      </c>
      <c r="C2068" s="2">
        <v>1422.0</v>
      </c>
      <c r="D2068" s="2">
        <v>1392.0</v>
      </c>
      <c r="E2068" s="2">
        <v>22840.0</v>
      </c>
      <c r="F2068" s="2" t="s">
        <v>150</v>
      </c>
    </row>
    <row r="2069" ht="15.75" customHeight="1">
      <c r="A2069" s="4" t="s">
        <v>3577</v>
      </c>
      <c r="B2069" s="2" t="s">
        <v>3578</v>
      </c>
      <c r="C2069" s="2">
        <v>1943.0</v>
      </c>
      <c r="D2069" s="2">
        <v>1875.0</v>
      </c>
      <c r="E2069" s="2">
        <v>27900.0</v>
      </c>
      <c r="F2069" s="2" t="s">
        <v>150</v>
      </c>
    </row>
    <row r="2070" ht="15.75" customHeight="1">
      <c r="A2070" s="4" t="s">
        <v>5788</v>
      </c>
      <c r="B2070" s="2" t="s">
        <v>5789</v>
      </c>
      <c r="C2070" s="2">
        <v>310.0</v>
      </c>
      <c r="D2070" s="2">
        <v>303.0</v>
      </c>
      <c r="E2070" s="2">
        <v>26500.0</v>
      </c>
      <c r="F2070" s="2" t="s">
        <v>150</v>
      </c>
    </row>
    <row r="2071" ht="15.75" customHeight="1">
      <c r="A2071" s="4" t="s">
        <v>3579</v>
      </c>
      <c r="B2071" s="2" t="s">
        <v>3580</v>
      </c>
      <c r="C2071" s="2">
        <v>1232.0</v>
      </c>
      <c r="D2071" s="2">
        <v>1374.0</v>
      </c>
      <c r="E2071" s="2">
        <v>26960.0</v>
      </c>
      <c r="F2071" s="2" t="s">
        <v>150</v>
      </c>
    </row>
    <row r="2072" ht="15.75" hidden="1" customHeight="1">
      <c r="A2072" s="4" t="s">
        <v>3581</v>
      </c>
      <c r="B2072" s="2" t="s">
        <v>3582</v>
      </c>
      <c r="C2072" s="2">
        <v>2081.0</v>
      </c>
      <c r="D2072" s="2">
        <v>2077.0</v>
      </c>
      <c r="E2072" s="2">
        <v>26870.0</v>
      </c>
      <c r="F2072" s="2">
        <v>11.0</v>
      </c>
    </row>
    <row r="2073" ht="15.75" customHeight="1">
      <c r="A2073" s="4" t="s">
        <v>5790</v>
      </c>
      <c r="B2073" s="2" t="s">
        <v>5791</v>
      </c>
      <c r="C2073" s="2">
        <v>332.0</v>
      </c>
      <c r="D2073" s="2">
        <v>314.0</v>
      </c>
      <c r="E2073" s="2">
        <v>26200.0</v>
      </c>
      <c r="F2073" s="2" t="s">
        <v>150</v>
      </c>
    </row>
    <row r="2074" ht="15.75" customHeight="1">
      <c r="A2074" s="4" t="s">
        <v>5792</v>
      </c>
      <c r="B2074" s="2" t="s">
        <v>5793</v>
      </c>
      <c r="C2074" s="2">
        <v>528.0</v>
      </c>
      <c r="D2074" s="2">
        <v>522.0</v>
      </c>
      <c r="E2074" s="2">
        <v>32890.0</v>
      </c>
      <c r="F2074" s="2" t="s">
        <v>150</v>
      </c>
    </row>
    <row r="2075" ht="15.75" customHeight="1">
      <c r="A2075" s="4" t="s">
        <v>3583</v>
      </c>
      <c r="B2075" s="2" t="s">
        <v>3584</v>
      </c>
      <c r="C2075" s="2">
        <v>1869.0</v>
      </c>
      <c r="D2075" s="2">
        <v>1941.0</v>
      </c>
      <c r="E2075" s="2">
        <v>28740.0</v>
      </c>
      <c r="F2075" s="2" t="s">
        <v>150</v>
      </c>
    </row>
    <row r="2076" ht="15.75" customHeight="1">
      <c r="A2076" s="4" t="s">
        <v>3585</v>
      </c>
      <c r="B2076" s="2" t="s">
        <v>3586</v>
      </c>
      <c r="C2076" s="2">
        <v>936.0</v>
      </c>
      <c r="D2076" s="2">
        <v>941.0</v>
      </c>
      <c r="E2076" s="2">
        <v>27510.0</v>
      </c>
      <c r="F2076" s="2" t="s">
        <v>150</v>
      </c>
    </row>
    <row r="2077" ht="15.75" customHeight="1">
      <c r="A2077" s="4" t="s">
        <v>3587</v>
      </c>
      <c r="B2077" s="2" t="s">
        <v>3588</v>
      </c>
      <c r="C2077" s="2">
        <v>291.0</v>
      </c>
      <c r="D2077" s="2">
        <v>295.0</v>
      </c>
      <c r="E2077" s="2">
        <v>26000.0</v>
      </c>
      <c r="F2077" s="2" t="s">
        <v>150</v>
      </c>
    </row>
    <row r="2078" ht="15.75" customHeight="1">
      <c r="A2078" s="4" t="s">
        <v>5794</v>
      </c>
      <c r="B2078" s="2" t="s">
        <v>5795</v>
      </c>
      <c r="C2078" s="2">
        <v>276.0</v>
      </c>
      <c r="D2078" s="2">
        <v>254.0</v>
      </c>
      <c r="E2078" s="2">
        <v>27570.0</v>
      </c>
      <c r="F2078" s="2" t="s">
        <v>150</v>
      </c>
    </row>
    <row r="2079" ht="15.75" customHeight="1">
      <c r="A2079" s="4" t="s">
        <v>3589</v>
      </c>
      <c r="B2079" s="2" t="s">
        <v>3590</v>
      </c>
      <c r="C2079" s="2">
        <v>368.0</v>
      </c>
      <c r="D2079" s="2">
        <v>367.0</v>
      </c>
      <c r="E2079" s="2">
        <v>26070.0</v>
      </c>
      <c r="F2079" s="2" t="s">
        <v>150</v>
      </c>
    </row>
    <row r="2080" ht="15.75" customHeight="1">
      <c r="A2080" s="4" t="s">
        <v>3593</v>
      </c>
      <c r="B2080" s="2" t="s">
        <v>3594</v>
      </c>
      <c r="C2080" s="2">
        <v>290.0</v>
      </c>
      <c r="D2080" s="2">
        <v>265.0</v>
      </c>
      <c r="E2080" s="2">
        <v>28500.0</v>
      </c>
      <c r="F2080" s="2" t="s">
        <v>150</v>
      </c>
    </row>
    <row r="2081" ht="15.75" customHeight="1">
      <c r="A2081" s="4" t="s">
        <v>5796</v>
      </c>
      <c r="B2081" s="2" t="s">
        <v>5797</v>
      </c>
      <c r="C2081" s="2">
        <v>265.0</v>
      </c>
      <c r="D2081" s="2">
        <v>246.0</v>
      </c>
      <c r="E2081" s="2">
        <v>25530.0</v>
      </c>
      <c r="F2081" s="2" t="s">
        <v>150</v>
      </c>
    </row>
    <row r="2082" ht="15.75" customHeight="1">
      <c r="A2082" s="4" t="s">
        <v>3595</v>
      </c>
      <c r="B2082" s="2" t="s">
        <v>3596</v>
      </c>
      <c r="C2082" s="2">
        <v>682.0</v>
      </c>
      <c r="D2082" s="2">
        <v>701.0</v>
      </c>
      <c r="E2082" s="2">
        <v>27930.0</v>
      </c>
      <c r="F2082" s="2" t="s">
        <v>150</v>
      </c>
    </row>
    <row r="2083" ht="15.75" customHeight="1">
      <c r="A2083" s="4" t="s">
        <v>5798</v>
      </c>
      <c r="B2083" s="2" t="s">
        <v>5799</v>
      </c>
      <c r="C2083" s="2">
        <v>170.0</v>
      </c>
      <c r="D2083" s="2">
        <v>159.0</v>
      </c>
      <c r="E2083" s="2">
        <v>30210.0</v>
      </c>
      <c r="F2083" s="2" t="s">
        <v>150</v>
      </c>
    </row>
    <row r="2084" ht="15.75" customHeight="1">
      <c r="A2084" s="4" t="s">
        <v>5800</v>
      </c>
      <c r="B2084" s="2" t="s">
        <v>5801</v>
      </c>
      <c r="C2084" s="2">
        <v>372.0</v>
      </c>
      <c r="D2084" s="2">
        <v>401.0</v>
      </c>
      <c r="E2084" s="2">
        <v>28480.0</v>
      </c>
      <c r="F2084" s="2" t="s">
        <v>150</v>
      </c>
    </row>
    <row r="2085" ht="15.75" customHeight="1">
      <c r="A2085" s="4" t="s">
        <v>3597</v>
      </c>
      <c r="B2085" s="2" t="s">
        <v>3598</v>
      </c>
      <c r="C2085" s="2">
        <v>985.0</v>
      </c>
      <c r="D2085" s="2">
        <v>998.0</v>
      </c>
      <c r="E2085" s="2">
        <v>25940.0</v>
      </c>
      <c r="F2085" s="2" t="s">
        <v>150</v>
      </c>
    </row>
    <row r="2086" ht="15.75" customHeight="1">
      <c r="A2086" s="4" t="s">
        <v>3245</v>
      </c>
      <c r="B2086" s="2" t="s">
        <v>3246</v>
      </c>
      <c r="C2086" s="2">
        <v>504.0</v>
      </c>
      <c r="D2086" s="2">
        <v>495.0</v>
      </c>
      <c r="E2086" s="2">
        <v>27310.0</v>
      </c>
      <c r="F2086" s="2" t="s">
        <v>150</v>
      </c>
    </row>
    <row r="2087" ht="15.75" customHeight="1">
      <c r="A2087" s="4" t="s">
        <v>5802</v>
      </c>
      <c r="B2087" s="2" t="s">
        <v>5803</v>
      </c>
      <c r="C2087" s="2">
        <v>241.0</v>
      </c>
      <c r="D2087" s="2">
        <v>227.0</v>
      </c>
      <c r="E2087" s="2">
        <v>27970.0</v>
      </c>
      <c r="F2087" s="2" t="s">
        <v>150</v>
      </c>
    </row>
    <row r="2088" ht="15.75" customHeight="1">
      <c r="A2088" s="4" t="s">
        <v>3599</v>
      </c>
      <c r="B2088" s="2" t="s">
        <v>3600</v>
      </c>
      <c r="C2088" s="2">
        <v>470.0</v>
      </c>
      <c r="D2088" s="2">
        <v>447.0</v>
      </c>
      <c r="E2088" s="2">
        <v>25930.0</v>
      </c>
      <c r="F2088" s="2" t="s">
        <v>150</v>
      </c>
    </row>
    <row r="2089" ht="15.75" hidden="1" customHeight="1">
      <c r="A2089" s="4" t="s">
        <v>3603</v>
      </c>
      <c r="B2089" s="2" t="s">
        <v>3604</v>
      </c>
      <c r="C2089" s="2">
        <v>2857.0</v>
      </c>
      <c r="D2089" s="2">
        <v>2758.0</v>
      </c>
      <c r="E2089" s="2">
        <v>25580.0</v>
      </c>
      <c r="F2089" s="2">
        <v>13.0</v>
      </c>
    </row>
    <row r="2090" ht="15.75" customHeight="1">
      <c r="A2090" s="4" t="s">
        <v>3605</v>
      </c>
      <c r="B2090" s="2" t="s">
        <v>3606</v>
      </c>
      <c r="C2090" s="2">
        <v>1159.0</v>
      </c>
      <c r="D2090" s="2">
        <v>1130.0</v>
      </c>
      <c r="E2090" s="2">
        <v>31930.0</v>
      </c>
      <c r="F2090" s="2" t="s">
        <v>150</v>
      </c>
    </row>
    <row r="2091" ht="15.75" hidden="1" customHeight="1">
      <c r="A2091" s="4" t="s">
        <v>3607</v>
      </c>
      <c r="B2091" s="2" t="s">
        <v>3608</v>
      </c>
      <c r="C2091" s="2">
        <v>3848.0</v>
      </c>
      <c r="D2091" s="2">
        <v>3898.0</v>
      </c>
      <c r="E2091" s="2">
        <v>26030.0</v>
      </c>
      <c r="F2091" s="2">
        <v>11.0</v>
      </c>
    </row>
    <row r="2092" ht="15.75" customHeight="1">
      <c r="A2092" s="4" t="s">
        <v>5804</v>
      </c>
      <c r="B2092" s="2" t="s">
        <v>5805</v>
      </c>
      <c r="C2092" s="2">
        <v>736.0</v>
      </c>
      <c r="D2092" s="2">
        <v>721.0</v>
      </c>
      <c r="E2092" s="2">
        <v>29480.0</v>
      </c>
      <c r="F2092" s="2" t="s">
        <v>150</v>
      </c>
    </row>
    <row r="2093" ht="15.75" customHeight="1">
      <c r="A2093" s="4" t="s">
        <v>3609</v>
      </c>
      <c r="B2093" s="2" t="s">
        <v>3611</v>
      </c>
      <c r="C2093" s="2">
        <v>486.0</v>
      </c>
      <c r="D2093" s="2">
        <v>483.0</v>
      </c>
      <c r="E2093" s="2">
        <v>30870.0</v>
      </c>
      <c r="F2093" s="2" t="s">
        <v>150</v>
      </c>
    </row>
    <row r="2094" ht="15.75" hidden="1" customHeight="1">
      <c r="A2094" s="4" t="s">
        <v>3613</v>
      </c>
      <c r="B2094" s="2" t="s">
        <v>3614</v>
      </c>
      <c r="C2094" s="2">
        <v>4650.0</v>
      </c>
      <c r="D2094" s="2">
        <v>4775.0</v>
      </c>
      <c r="E2094" s="2">
        <v>30060.0</v>
      </c>
      <c r="F2094" s="2">
        <v>6.0</v>
      </c>
    </row>
    <row r="2095" ht="15.75" customHeight="1">
      <c r="A2095" s="4" t="s">
        <v>5806</v>
      </c>
      <c r="B2095" s="2" t="s">
        <v>838</v>
      </c>
      <c r="C2095" s="2">
        <v>380.0</v>
      </c>
      <c r="D2095" s="2">
        <v>349.0</v>
      </c>
      <c r="E2095" s="2">
        <v>33490.0</v>
      </c>
      <c r="F2095" s="2" t="s">
        <v>150</v>
      </c>
    </row>
    <row r="2096" ht="15.75" customHeight="1">
      <c r="A2096" s="4" t="s">
        <v>5807</v>
      </c>
      <c r="B2096" s="2" t="s">
        <v>5808</v>
      </c>
      <c r="C2096" s="2">
        <v>283.0</v>
      </c>
      <c r="D2096" s="2">
        <v>285.0</v>
      </c>
      <c r="E2096" s="2">
        <v>26680.0</v>
      </c>
      <c r="F2096" s="2" t="s">
        <v>150</v>
      </c>
    </row>
    <row r="2097" ht="15.75" customHeight="1">
      <c r="A2097" s="4" t="s">
        <v>5809</v>
      </c>
      <c r="B2097" s="2" t="s">
        <v>5810</v>
      </c>
      <c r="C2097" s="2">
        <v>193.0</v>
      </c>
      <c r="D2097" s="2">
        <v>211.0</v>
      </c>
      <c r="E2097" s="2">
        <v>26820.0</v>
      </c>
      <c r="F2097" s="2" t="s">
        <v>150</v>
      </c>
    </row>
    <row r="2098" ht="15.75" customHeight="1">
      <c r="A2098" s="4" t="s">
        <v>5811</v>
      </c>
      <c r="B2098" s="2" t="s">
        <v>5812</v>
      </c>
      <c r="C2098" s="2">
        <v>644.0</v>
      </c>
      <c r="D2098" s="2">
        <v>593.0</v>
      </c>
      <c r="E2098" s="2">
        <v>35280.0</v>
      </c>
      <c r="F2098" s="2" t="s">
        <v>150</v>
      </c>
    </row>
    <row r="2099" ht="15.75" customHeight="1">
      <c r="A2099" s="4" t="s">
        <v>5813</v>
      </c>
      <c r="B2099" s="2" t="s">
        <v>5814</v>
      </c>
      <c r="C2099" s="2">
        <v>434.0</v>
      </c>
      <c r="D2099" s="2">
        <v>417.0</v>
      </c>
      <c r="E2099" s="2">
        <v>29510.0</v>
      </c>
      <c r="F2099" s="2" t="s">
        <v>150</v>
      </c>
    </row>
    <row r="2100" ht="15.75" customHeight="1">
      <c r="A2100" s="4" t="s">
        <v>3615</v>
      </c>
      <c r="B2100" s="2" t="s">
        <v>3616</v>
      </c>
      <c r="C2100" s="2">
        <v>762.0</v>
      </c>
      <c r="D2100" s="2">
        <v>741.0</v>
      </c>
      <c r="E2100" s="2">
        <v>26790.0</v>
      </c>
      <c r="F2100" s="2" t="s">
        <v>150</v>
      </c>
    </row>
    <row r="2101" ht="15.75" customHeight="1">
      <c r="A2101" s="4" t="s">
        <v>3617</v>
      </c>
      <c r="B2101" s="2" t="s">
        <v>3618</v>
      </c>
      <c r="C2101" s="2">
        <v>256.0</v>
      </c>
      <c r="D2101" s="2">
        <v>247.0</v>
      </c>
      <c r="E2101" s="2">
        <v>28320.0</v>
      </c>
      <c r="F2101" s="2" t="s">
        <v>150</v>
      </c>
    </row>
    <row r="2102" ht="15.75" customHeight="1">
      <c r="A2102" s="4" t="s">
        <v>3619</v>
      </c>
      <c r="B2102" s="2" t="s">
        <v>3620</v>
      </c>
      <c r="C2102" s="2">
        <v>1188.0</v>
      </c>
      <c r="D2102" s="2">
        <v>1196.0</v>
      </c>
      <c r="E2102" s="2">
        <v>28810.0</v>
      </c>
      <c r="F2102" s="2" t="s">
        <v>150</v>
      </c>
    </row>
    <row r="2103" ht="15.75" customHeight="1">
      <c r="A2103" s="4" t="s">
        <v>5815</v>
      </c>
      <c r="B2103" s="2" t="s">
        <v>5816</v>
      </c>
      <c r="C2103" s="2">
        <v>164.0</v>
      </c>
      <c r="D2103" s="2">
        <v>140.0</v>
      </c>
      <c r="E2103" s="2">
        <v>28730.0</v>
      </c>
      <c r="F2103" s="2" t="s">
        <v>150</v>
      </c>
    </row>
    <row r="2104" ht="15.75" customHeight="1">
      <c r="A2104" s="4" t="s">
        <v>3621</v>
      </c>
      <c r="B2104" s="2" t="s">
        <v>3622</v>
      </c>
      <c r="C2104" s="2">
        <v>636.0</v>
      </c>
      <c r="D2104" s="2">
        <v>724.0</v>
      </c>
      <c r="E2104" s="2">
        <v>29890.0</v>
      </c>
      <c r="F2104" s="2" t="s">
        <v>150</v>
      </c>
    </row>
    <row r="2105" ht="15.75" customHeight="1">
      <c r="A2105" s="4" t="s">
        <v>3623</v>
      </c>
      <c r="B2105" s="2" t="s">
        <v>3624</v>
      </c>
      <c r="C2105" s="2">
        <v>480.0</v>
      </c>
      <c r="D2105" s="2">
        <v>474.0</v>
      </c>
      <c r="E2105" s="2">
        <v>29970.0</v>
      </c>
      <c r="F2105" s="2" t="s">
        <v>150</v>
      </c>
    </row>
    <row r="2106" ht="15.75" customHeight="1">
      <c r="A2106" s="4" t="s">
        <v>3625</v>
      </c>
      <c r="B2106" s="2" t="s">
        <v>3626</v>
      </c>
      <c r="C2106" s="2">
        <v>714.0</v>
      </c>
      <c r="D2106" s="2">
        <v>726.0</v>
      </c>
      <c r="E2106" s="2">
        <v>37640.0</v>
      </c>
      <c r="F2106" s="2" t="s">
        <v>150</v>
      </c>
    </row>
    <row r="2107" ht="15.75" customHeight="1">
      <c r="A2107" s="4" t="s">
        <v>3629</v>
      </c>
      <c r="B2107" s="2" t="s">
        <v>3630</v>
      </c>
      <c r="C2107" s="2">
        <v>389.0</v>
      </c>
      <c r="D2107" s="2">
        <v>386.0</v>
      </c>
      <c r="E2107" s="2">
        <v>30270.0</v>
      </c>
      <c r="F2107" s="2" t="s">
        <v>150</v>
      </c>
    </row>
    <row r="2108" ht="15.75" hidden="1" customHeight="1">
      <c r="A2108" s="4" t="s">
        <v>3631</v>
      </c>
      <c r="B2108" s="2" t="s">
        <v>3632</v>
      </c>
      <c r="C2108" s="2">
        <v>6422.0</v>
      </c>
      <c r="D2108" s="2">
        <v>6480.0</v>
      </c>
      <c r="E2108" s="2">
        <v>21920.0</v>
      </c>
      <c r="F2108" s="2">
        <v>25.0</v>
      </c>
    </row>
    <row r="2109" ht="15.75" customHeight="1">
      <c r="A2109" s="4" t="s">
        <v>3633</v>
      </c>
      <c r="B2109" s="2" t="s">
        <v>3634</v>
      </c>
      <c r="C2109" s="2">
        <v>1002.0</v>
      </c>
      <c r="D2109" s="2">
        <v>951.0</v>
      </c>
      <c r="E2109" s="2">
        <v>26970.0</v>
      </c>
      <c r="F2109" s="2" t="s">
        <v>150</v>
      </c>
    </row>
    <row r="2110" ht="15.75" hidden="1" customHeight="1">
      <c r="A2110" s="4" t="s">
        <v>3635</v>
      </c>
      <c r="B2110" s="2" t="s">
        <v>3636</v>
      </c>
      <c r="C2110" s="2">
        <v>2335.0</v>
      </c>
      <c r="D2110" s="2">
        <v>2284.0</v>
      </c>
      <c r="E2110" s="2">
        <v>31560.0</v>
      </c>
      <c r="F2110" s="2">
        <v>3.0</v>
      </c>
    </row>
    <row r="2111" ht="15.75" customHeight="1">
      <c r="A2111" s="4" t="s">
        <v>5817</v>
      </c>
      <c r="B2111" s="2" t="s">
        <v>5818</v>
      </c>
      <c r="C2111" s="2">
        <v>374.0</v>
      </c>
      <c r="D2111" s="2">
        <v>370.0</v>
      </c>
      <c r="E2111" s="2">
        <v>26000.0</v>
      </c>
      <c r="F2111" s="2" t="s">
        <v>150</v>
      </c>
    </row>
    <row r="2112" ht="15.75" customHeight="1">
      <c r="A2112" s="4" t="s">
        <v>5819</v>
      </c>
      <c r="B2112" s="2" t="s">
        <v>5820</v>
      </c>
      <c r="C2112" s="2">
        <v>164.0</v>
      </c>
      <c r="D2112" s="2">
        <v>130.0</v>
      </c>
      <c r="E2112" s="2">
        <v>29240.0</v>
      </c>
      <c r="F2112" s="2" t="s">
        <v>150</v>
      </c>
    </row>
    <row r="2113" ht="15.75" customHeight="1">
      <c r="A2113" s="4" t="s">
        <v>3637</v>
      </c>
      <c r="B2113" s="2" t="s">
        <v>3638</v>
      </c>
      <c r="C2113" s="2">
        <v>1407.0</v>
      </c>
      <c r="D2113" s="2">
        <v>1421.0</v>
      </c>
      <c r="E2113" s="2">
        <v>34490.0</v>
      </c>
      <c r="F2113" s="2" t="s">
        <v>150</v>
      </c>
    </row>
    <row r="2114" ht="15.75" customHeight="1">
      <c r="A2114" s="4" t="s">
        <v>5821</v>
      </c>
      <c r="B2114" s="2" t="s">
        <v>5822</v>
      </c>
      <c r="C2114" s="2">
        <v>124.0</v>
      </c>
      <c r="D2114" s="2">
        <v>123.0</v>
      </c>
      <c r="E2114" s="2">
        <v>25480.0</v>
      </c>
      <c r="F2114" s="2" t="s">
        <v>150</v>
      </c>
    </row>
    <row r="2115" ht="15.75" customHeight="1">
      <c r="A2115" s="4" t="s">
        <v>5823</v>
      </c>
      <c r="B2115" s="2" t="s">
        <v>5824</v>
      </c>
      <c r="C2115" s="2">
        <v>151.0</v>
      </c>
      <c r="D2115" s="2">
        <v>162.0</v>
      </c>
      <c r="E2115" s="2">
        <v>25650.0</v>
      </c>
      <c r="F2115" s="2" t="s">
        <v>150</v>
      </c>
    </row>
    <row r="2116" ht="15.75" customHeight="1">
      <c r="A2116" s="4" t="s">
        <v>5825</v>
      </c>
      <c r="B2116" s="2" t="s">
        <v>5826</v>
      </c>
      <c r="C2116" s="2">
        <v>421.0</v>
      </c>
      <c r="D2116" s="2">
        <v>379.0</v>
      </c>
      <c r="E2116" s="2">
        <v>25040.0</v>
      </c>
      <c r="F2116" s="2" t="s">
        <v>150</v>
      </c>
    </row>
    <row r="2117" ht="15.75" customHeight="1">
      <c r="A2117" s="4" t="s">
        <v>5827</v>
      </c>
      <c r="B2117" s="2" t="s">
        <v>5828</v>
      </c>
      <c r="C2117" s="2">
        <v>532.0</v>
      </c>
      <c r="D2117" s="2">
        <v>542.0</v>
      </c>
      <c r="E2117" s="2">
        <v>27690.0</v>
      </c>
      <c r="F2117" s="2" t="s">
        <v>150</v>
      </c>
    </row>
    <row r="2118" ht="15.75" customHeight="1">
      <c r="A2118" s="4" t="s">
        <v>3639</v>
      </c>
      <c r="B2118" s="2" t="s">
        <v>3640</v>
      </c>
      <c r="C2118" s="2">
        <v>1413.0</v>
      </c>
      <c r="D2118" s="2">
        <v>1380.0</v>
      </c>
      <c r="E2118" s="2">
        <v>39220.0</v>
      </c>
      <c r="F2118" s="2" t="s">
        <v>150</v>
      </c>
    </row>
    <row r="2119" ht="15.75" customHeight="1">
      <c r="A2119" s="4" t="s">
        <v>5829</v>
      </c>
      <c r="B2119" s="2" t="s">
        <v>5830</v>
      </c>
      <c r="C2119" s="2">
        <v>33.0</v>
      </c>
      <c r="D2119" s="2">
        <v>33.0</v>
      </c>
      <c r="E2119" s="2" t="s">
        <v>150</v>
      </c>
      <c r="F2119" s="2" t="s">
        <v>150</v>
      </c>
    </row>
    <row r="2120" ht="15.75" customHeight="1">
      <c r="A2120" s="4" t="s">
        <v>5831</v>
      </c>
      <c r="B2120" s="2" t="s">
        <v>5832</v>
      </c>
      <c r="C2120" s="2">
        <v>300.0</v>
      </c>
      <c r="D2120" s="2">
        <v>283.0</v>
      </c>
      <c r="E2120" s="2">
        <v>25600.0</v>
      </c>
      <c r="F2120" s="2" t="s">
        <v>150</v>
      </c>
    </row>
    <row r="2121" ht="15.75" customHeight="1">
      <c r="A2121" s="4" t="s">
        <v>5833</v>
      </c>
      <c r="B2121" s="2" t="s">
        <v>5834</v>
      </c>
      <c r="C2121" s="2">
        <v>164.0</v>
      </c>
      <c r="D2121" s="2">
        <v>158.0</v>
      </c>
      <c r="E2121" s="2">
        <v>28200.0</v>
      </c>
      <c r="F2121" s="2" t="s">
        <v>150</v>
      </c>
    </row>
    <row r="2122" ht="15.75" customHeight="1">
      <c r="A2122" s="4" t="s">
        <v>3642</v>
      </c>
      <c r="B2122" s="2" t="s">
        <v>3644</v>
      </c>
      <c r="C2122" s="2">
        <v>1157.0</v>
      </c>
      <c r="D2122" s="2">
        <v>1218.0</v>
      </c>
      <c r="E2122" s="2">
        <v>28590.0</v>
      </c>
      <c r="F2122" s="2" t="s">
        <v>150</v>
      </c>
    </row>
    <row r="2123" ht="15.75" customHeight="1">
      <c r="A2123" s="4" t="s">
        <v>3647</v>
      </c>
      <c r="B2123" s="2" t="s">
        <v>3648</v>
      </c>
      <c r="C2123" s="2">
        <v>1212.0</v>
      </c>
      <c r="D2123" s="2">
        <v>1341.0</v>
      </c>
      <c r="E2123" s="2">
        <v>24560.0</v>
      </c>
      <c r="F2123" s="2" t="s">
        <v>150</v>
      </c>
    </row>
    <row r="2124" ht="15.75" customHeight="1">
      <c r="A2124" s="4" t="s">
        <v>5835</v>
      </c>
      <c r="B2124" s="2" t="s">
        <v>5836</v>
      </c>
      <c r="C2124" s="2">
        <v>255.0</v>
      </c>
      <c r="D2124" s="2">
        <v>233.0</v>
      </c>
      <c r="E2124" s="2">
        <v>24030.0</v>
      </c>
      <c r="F2124" s="2" t="s">
        <v>150</v>
      </c>
    </row>
    <row r="2125" ht="15.75" customHeight="1">
      <c r="A2125" s="4" t="s">
        <v>2766</v>
      </c>
      <c r="B2125" s="2" t="s">
        <v>2767</v>
      </c>
      <c r="C2125" s="2">
        <v>847.0</v>
      </c>
      <c r="D2125" s="2">
        <v>921.0</v>
      </c>
      <c r="E2125" s="2">
        <v>28220.0</v>
      </c>
      <c r="F2125" s="2" t="s">
        <v>150</v>
      </c>
    </row>
    <row r="2126" ht="15.75" customHeight="1">
      <c r="A2126" s="4" t="s">
        <v>3657</v>
      </c>
      <c r="B2126" s="2" t="s">
        <v>3658</v>
      </c>
      <c r="C2126" s="2">
        <v>1772.0</v>
      </c>
      <c r="D2126" s="2">
        <v>1994.0</v>
      </c>
      <c r="E2126" s="2">
        <v>29020.0</v>
      </c>
      <c r="F2126" s="2" t="s">
        <v>150</v>
      </c>
    </row>
    <row r="2127" ht="15.75" customHeight="1">
      <c r="A2127" s="4" t="s">
        <v>5837</v>
      </c>
      <c r="B2127" s="2" t="s">
        <v>5838</v>
      </c>
      <c r="C2127" s="2">
        <v>222.0</v>
      </c>
      <c r="D2127" s="2">
        <v>208.0</v>
      </c>
      <c r="E2127" s="2">
        <v>26610.0</v>
      </c>
      <c r="F2127" s="2" t="s">
        <v>150</v>
      </c>
    </row>
    <row r="2128" ht="15.75" customHeight="1">
      <c r="A2128" s="4" t="s">
        <v>3660</v>
      </c>
      <c r="B2128" s="2" t="s">
        <v>3661</v>
      </c>
      <c r="C2128" s="2">
        <v>627.0</v>
      </c>
      <c r="D2128" s="2">
        <v>576.0</v>
      </c>
      <c r="E2128" s="2">
        <v>31120.0</v>
      </c>
      <c r="F2128" s="2" t="s">
        <v>150</v>
      </c>
    </row>
    <row r="2129" ht="15.75" hidden="1" customHeight="1">
      <c r="A2129" s="4" t="s">
        <v>3662</v>
      </c>
      <c r="B2129" s="2" t="s">
        <v>3663</v>
      </c>
      <c r="C2129" s="2">
        <v>7799.0</v>
      </c>
      <c r="D2129" s="2">
        <v>7873.0</v>
      </c>
      <c r="E2129" s="2">
        <v>24710.0</v>
      </c>
      <c r="F2129" s="2">
        <v>17.0</v>
      </c>
    </row>
    <row r="2130" ht="15.75" customHeight="1">
      <c r="A2130" s="4" t="s">
        <v>3664</v>
      </c>
      <c r="B2130" s="2" t="s">
        <v>3667</v>
      </c>
      <c r="C2130" s="2">
        <v>988.0</v>
      </c>
      <c r="D2130" s="2">
        <v>974.0</v>
      </c>
      <c r="E2130" s="2">
        <v>23220.0</v>
      </c>
      <c r="F2130" s="2" t="s">
        <v>150</v>
      </c>
    </row>
    <row r="2131" ht="15.75" customHeight="1">
      <c r="A2131" s="4" t="s">
        <v>3668</v>
      </c>
      <c r="B2131" s="2" t="s">
        <v>3669</v>
      </c>
      <c r="C2131" s="2">
        <v>303.0</v>
      </c>
      <c r="D2131" s="2">
        <v>320.0</v>
      </c>
      <c r="E2131" s="2">
        <v>25450.0</v>
      </c>
      <c r="F2131" s="2" t="s">
        <v>150</v>
      </c>
    </row>
    <row r="2132" ht="15.75" customHeight="1">
      <c r="A2132" s="4" t="s">
        <v>3670</v>
      </c>
      <c r="B2132" s="2" t="s">
        <v>3671</v>
      </c>
      <c r="C2132" s="2">
        <v>769.0</v>
      </c>
      <c r="D2132" s="2">
        <v>783.0</v>
      </c>
      <c r="E2132" s="2">
        <v>30020.0</v>
      </c>
      <c r="F2132" s="2" t="s">
        <v>150</v>
      </c>
    </row>
    <row r="2133" ht="15.75" customHeight="1">
      <c r="A2133" s="4" t="s">
        <v>3672</v>
      </c>
      <c r="B2133" s="2" t="s">
        <v>3673</v>
      </c>
      <c r="C2133" s="2">
        <v>833.0</v>
      </c>
      <c r="D2133" s="2">
        <v>802.0</v>
      </c>
      <c r="E2133" s="2">
        <v>25100.0</v>
      </c>
      <c r="F2133" s="2" t="s">
        <v>150</v>
      </c>
    </row>
    <row r="2134" ht="15.75" customHeight="1">
      <c r="A2134" s="4" t="s">
        <v>5839</v>
      </c>
      <c r="B2134" s="2" t="s">
        <v>5840</v>
      </c>
      <c r="C2134" s="2">
        <v>259.0</v>
      </c>
      <c r="D2134" s="2">
        <v>287.0</v>
      </c>
      <c r="E2134" s="2">
        <v>26690.0</v>
      </c>
      <c r="F2134" s="2" t="s">
        <v>150</v>
      </c>
    </row>
    <row r="2135" ht="15.75" customHeight="1">
      <c r="A2135" s="4" t="s">
        <v>5841</v>
      </c>
      <c r="B2135" s="2" t="s">
        <v>5842</v>
      </c>
      <c r="C2135" s="2">
        <v>239.0</v>
      </c>
      <c r="D2135" s="2">
        <v>254.0</v>
      </c>
      <c r="E2135" s="2">
        <v>26730.0</v>
      </c>
      <c r="F2135" s="2" t="s">
        <v>150</v>
      </c>
    </row>
    <row r="2136" ht="15.75" customHeight="1">
      <c r="A2136" s="4" t="s">
        <v>3676</v>
      </c>
      <c r="B2136" s="2" t="s">
        <v>3677</v>
      </c>
      <c r="C2136" s="2">
        <v>653.0</v>
      </c>
      <c r="D2136" s="2">
        <v>621.0</v>
      </c>
      <c r="E2136" s="2">
        <v>30630.0</v>
      </c>
      <c r="F2136" s="2" t="s">
        <v>150</v>
      </c>
    </row>
    <row r="2137" ht="15.75" customHeight="1">
      <c r="A2137" s="4" t="s">
        <v>5843</v>
      </c>
      <c r="B2137" s="2" t="s">
        <v>5844</v>
      </c>
      <c r="C2137" s="2">
        <v>249.0</v>
      </c>
      <c r="D2137" s="2">
        <v>255.0</v>
      </c>
      <c r="E2137" s="2">
        <v>28030.0</v>
      </c>
      <c r="F2137" s="2" t="s">
        <v>150</v>
      </c>
    </row>
    <row r="2138" ht="15.75" customHeight="1">
      <c r="A2138" s="4" t="s">
        <v>3678</v>
      </c>
      <c r="B2138" s="2" t="s">
        <v>3679</v>
      </c>
      <c r="C2138" s="2">
        <v>1929.0</v>
      </c>
      <c r="D2138" s="2">
        <v>1871.0</v>
      </c>
      <c r="E2138" s="2">
        <v>27360.0</v>
      </c>
      <c r="F2138" s="2" t="s">
        <v>150</v>
      </c>
    </row>
    <row r="2139" ht="15.75" hidden="1" customHeight="1">
      <c r="A2139" s="4" t="s">
        <v>3680</v>
      </c>
      <c r="B2139" s="2" t="s">
        <v>3681</v>
      </c>
      <c r="C2139" s="2">
        <v>9871.0</v>
      </c>
      <c r="D2139" s="2">
        <v>9598.0</v>
      </c>
      <c r="E2139" s="2">
        <v>23150.0</v>
      </c>
      <c r="F2139" s="2">
        <v>20.0</v>
      </c>
    </row>
    <row r="2140" ht="15.75" customHeight="1">
      <c r="A2140" s="4" t="s">
        <v>3682</v>
      </c>
      <c r="B2140" s="2" t="s">
        <v>3683</v>
      </c>
      <c r="C2140" s="2">
        <v>223.0</v>
      </c>
      <c r="D2140" s="2">
        <v>261.0</v>
      </c>
      <c r="E2140" s="2">
        <v>28050.0</v>
      </c>
      <c r="F2140" s="2" t="s">
        <v>150</v>
      </c>
    </row>
    <row r="2141" ht="15.75" customHeight="1">
      <c r="A2141" s="4" t="s">
        <v>5845</v>
      </c>
      <c r="B2141" s="2" t="s">
        <v>5846</v>
      </c>
      <c r="C2141" s="2">
        <v>186.0</v>
      </c>
      <c r="D2141" s="2">
        <v>185.0</v>
      </c>
      <c r="E2141" s="2">
        <v>27200.0</v>
      </c>
      <c r="F2141" s="2" t="s">
        <v>150</v>
      </c>
    </row>
    <row r="2142" ht="15.75" customHeight="1">
      <c r="A2142" s="4" t="s">
        <v>5847</v>
      </c>
      <c r="B2142" s="2" t="s">
        <v>5848</v>
      </c>
      <c r="C2142" s="2">
        <v>189.0</v>
      </c>
      <c r="D2142" s="2">
        <v>194.0</v>
      </c>
      <c r="E2142" s="2">
        <v>19870.0</v>
      </c>
      <c r="F2142" s="2" t="s">
        <v>150</v>
      </c>
    </row>
    <row r="2143" ht="15.75" customHeight="1">
      <c r="A2143" s="4" t="s">
        <v>5849</v>
      </c>
      <c r="B2143" s="2" t="s">
        <v>5850</v>
      </c>
      <c r="C2143" s="2">
        <v>263.0</v>
      </c>
      <c r="D2143" s="2">
        <v>264.0</v>
      </c>
      <c r="E2143" s="2">
        <v>25990.0</v>
      </c>
      <c r="F2143" s="2" t="s">
        <v>150</v>
      </c>
    </row>
    <row r="2144" ht="15.75" hidden="1" customHeight="1">
      <c r="A2144" s="4" t="s">
        <v>3684</v>
      </c>
      <c r="B2144" s="2" t="s">
        <v>3685</v>
      </c>
      <c r="C2144" s="2">
        <v>3906.0</v>
      </c>
      <c r="D2144" s="2">
        <v>3902.0</v>
      </c>
      <c r="E2144" s="2">
        <v>25960.0</v>
      </c>
      <c r="F2144" s="2">
        <v>12.0</v>
      </c>
    </row>
    <row r="2145" ht="15.75" customHeight="1">
      <c r="A2145" s="4" t="s">
        <v>5851</v>
      </c>
      <c r="B2145" s="2" t="s">
        <v>5852</v>
      </c>
      <c r="C2145" s="2">
        <v>630.0</v>
      </c>
      <c r="D2145" s="2">
        <v>624.0</v>
      </c>
      <c r="E2145" s="2">
        <v>23520.0</v>
      </c>
      <c r="F2145" s="2" t="s">
        <v>150</v>
      </c>
    </row>
    <row r="2146" ht="15.75" customHeight="1">
      <c r="A2146" s="4" t="s">
        <v>5853</v>
      </c>
      <c r="B2146" s="2" t="s">
        <v>5854</v>
      </c>
      <c r="C2146" s="2">
        <v>386.0</v>
      </c>
      <c r="D2146" s="2">
        <v>365.0</v>
      </c>
      <c r="E2146" s="2">
        <v>23770.0</v>
      </c>
      <c r="F2146" s="2" t="s">
        <v>150</v>
      </c>
    </row>
    <row r="2147" ht="15.75" customHeight="1">
      <c r="A2147" s="4" t="s">
        <v>5855</v>
      </c>
      <c r="B2147" s="2" t="s">
        <v>5856</v>
      </c>
      <c r="C2147" s="2">
        <v>330.0</v>
      </c>
      <c r="D2147" s="2">
        <v>291.0</v>
      </c>
      <c r="E2147" s="2">
        <v>23690.0</v>
      </c>
      <c r="F2147" s="2" t="s">
        <v>150</v>
      </c>
    </row>
    <row r="2148" ht="15.75" hidden="1" customHeight="1">
      <c r="A2148" s="4" t="s">
        <v>3686</v>
      </c>
      <c r="B2148" s="2" t="s">
        <v>3687</v>
      </c>
      <c r="C2148" s="2">
        <v>2925.0</v>
      </c>
      <c r="D2148" s="2">
        <v>2823.0</v>
      </c>
      <c r="E2148" s="2">
        <v>24620.0</v>
      </c>
      <c r="F2148" s="2">
        <v>12.0</v>
      </c>
    </row>
    <row r="2149" ht="15.75" customHeight="1">
      <c r="A2149" s="4" t="s">
        <v>3688</v>
      </c>
      <c r="B2149" s="2" t="s">
        <v>3689</v>
      </c>
      <c r="C2149" s="2">
        <v>999.0</v>
      </c>
      <c r="D2149" s="2">
        <v>973.0</v>
      </c>
      <c r="E2149" s="2">
        <v>23300.0</v>
      </c>
      <c r="F2149" s="2" t="s">
        <v>150</v>
      </c>
    </row>
    <row r="2150" ht="15.75" customHeight="1">
      <c r="A2150" s="4" t="s">
        <v>3692</v>
      </c>
      <c r="B2150" s="2" t="s">
        <v>3693</v>
      </c>
      <c r="C2150" s="2">
        <v>1843.0</v>
      </c>
      <c r="D2150" s="2">
        <v>2033.0</v>
      </c>
      <c r="E2150" s="2">
        <v>25080.0</v>
      </c>
      <c r="F2150" s="2" t="s">
        <v>150</v>
      </c>
    </row>
    <row r="2151" ht="15.75" customHeight="1">
      <c r="A2151" s="4" t="s">
        <v>5857</v>
      </c>
      <c r="B2151" s="2" t="s">
        <v>5858</v>
      </c>
      <c r="C2151" s="2">
        <v>112.0</v>
      </c>
      <c r="D2151" s="2">
        <v>118.0</v>
      </c>
      <c r="E2151" s="2">
        <v>25700.0</v>
      </c>
      <c r="F2151" s="2" t="s">
        <v>150</v>
      </c>
    </row>
    <row r="2152" ht="15.75" customHeight="1">
      <c r="A2152" s="4" t="s">
        <v>5859</v>
      </c>
      <c r="B2152" s="2" t="s">
        <v>5860</v>
      </c>
      <c r="C2152" s="2">
        <v>239.0</v>
      </c>
      <c r="D2152" s="2">
        <v>211.0</v>
      </c>
      <c r="E2152" s="2">
        <v>22220.0</v>
      </c>
      <c r="F2152" s="2" t="s">
        <v>150</v>
      </c>
    </row>
    <row r="2153" ht="15.75" customHeight="1">
      <c r="A2153" s="4" t="s">
        <v>5861</v>
      </c>
      <c r="B2153" s="2" t="s">
        <v>5862</v>
      </c>
      <c r="C2153" s="2">
        <v>636.0</v>
      </c>
      <c r="D2153" s="2">
        <v>676.0</v>
      </c>
      <c r="E2153" s="2">
        <v>23650.0</v>
      </c>
      <c r="F2153" s="2" t="s">
        <v>150</v>
      </c>
    </row>
    <row r="2154" ht="15.75" customHeight="1">
      <c r="A2154" s="4" t="s">
        <v>3694</v>
      </c>
      <c r="B2154" s="2" t="s">
        <v>3695</v>
      </c>
      <c r="C2154" s="2">
        <v>475.0</v>
      </c>
      <c r="D2154" s="2">
        <v>469.0</v>
      </c>
      <c r="E2154" s="2">
        <v>24910.0</v>
      </c>
      <c r="F2154" s="2" t="s">
        <v>150</v>
      </c>
    </row>
    <row r="2155" ht="15.75" customHeight="1">
      <c r="A2155" s="4" t="s">
        <v>5863</v>
      </c>
      <c r="B2155" s="2" t="s">
        <v>5864</v>
      </c>
      <c r="C2155" s="2">
        <v>302.0</v>
      </c>
      <c r="D2155" s="2">
        <v>297.0</v>
      </c>
      <c r="E2155" s="2">
        <v>25280.0</v>
      </c>
      <c r="F2155" s="2" t="s">
        <v>150</v>
      </c>
    </row>
    <row r="2156" ht="15.75" customHeight="1">
      <c r="A2156" s="4" t="s">
        <v>3696</v>
      </c>
      <c r="B2156" s="2" t="s">
        <v>3697</v>
      </c>
      <c r="C2156" s="2">
        <v>1564.0</v>
      </c>
      <c r="D2156" s="2">
        <v>1523.0</v>
      </c>
      <c r="E2156" s="2">
        <v>24670.0</v>
      </c>
      <c r="F2156" s="2" t="s">
        <v>150</v>
      </c>
    </row>
    <row r="2157" ht="15.75" hidden="1" customHeight="1">
      <c r="A2157" s="4" t="s">
        <v>3698</v>
      </c>
      <c r="B2157" s="2" t="s">
        <v>3699</v>
      </c>
      <c r="C2157" s="2">
        <v>4526.0</v>
      </c>
      <c r="D2157" s="2">
        <v>4641.0</v>
      </c>
      <c r="E2157" s="2">
        <v>23190.0</v>
      </c>
      <c r="F2157" s="2">
        <v>18.0</v>
      </c>
    </row>
    <row r="2158" ht="15.75" hidden="1" customHeight="1">
      <c r="A2158" s="4" t="s">
        <v>3700</v>
      </c>
      <c r="B2158" s="2" t="s">
        <v>3701</v>
      </c>
      <c r="C2158" s="2">
        <v>4337.0</v>
      </c>
      <c r="D2158" s="2">
        <v>4571.0</v>
      </c>
      <c r="E2158" s="2">
        <v>23530.0</v>
      </c>
      <c r="F2158" s="2">
        <v>16.0</v>
      </c>
    </row>
    <row r="2159" ht="15.75" hidden="1" customHeight="1">
      <c r="A2159" s="4" t="s">
        <v>3702</v>
      </c>
      <c r="B2159" s="2" t="s">
        <v>3703</v>
      </c>
      <c r="C2159" s="2">
        <v>2201.0</v>
      </c>
      <c r="D2159" s="2">
        <v>2133.0</v>
      </c>
      <c r="E2159" s="2">
        <v>22220.0</v>
      </c>
      <c r="F2159" s="2">
        <v>18.0</v>
      </c>
    </row>
    <row r="2160" ht="15.75" hidden="1" customHeight="1">
      <c r="A2160" s="4" t="s">
        <v>3704</v>
      </c>
      <c r="B2160" s="2" t="s">
        <v>3705</v>
      </c>
      <c r="C2160" s="2">
        <v>5898.0</v>
      </c>
      <c r="D2160" s="2">
        <v>5825.0</v>
      </c>
      <c r="E2160" s="2">
        <v>23880.0</v>
      </c>
      <c r="F2160" s="2">
        <v>16.0</v>
      </c>
    </row>
    <row r="2161" ht="15.75" customHeight="1">
      <c r="A2161" s="4" t="s">
        <v>3706</v>
      </c>
      <c r="B2161" s="2" t="s">
        <v>3707</v>
      </c>
      <c r="C2161" s="2">
        <v>772.0</v>
      </c>
      <c r="D2161" s="2">
        <v>700.0</v>
      </c>
      <c r="E2161" s="2">
        <v>22000.0</v>
      </c>
      <c r="F2161" s="2" t="s">
        <v>150</v>
      </c>
    </row>
    <row r="2162" ht="15.75" hidden="1" customHeight="1">
      <c r="A2162" s="4" t="s">
        <v>3708</v>
      </c>
      <c r="B2162" s="2" t="s">
        <v>3709</v>
      </c>
      <c r="C2162" s="2">
        <v>2742.0</v>
      </c>
      <c r="D2162" s="2">
        <v>2833.0</v>
      </c>
      <c r="E2162" s="2">
        <v>32660.0</v>
      </c>
      <c r="F2162" s="2">
        <v>5.0</v>
      </c>
    </row>
    <row r="2163" ht="15.75" hidden="1" customHeight="1">
      <c r="A2163" s="4" t="s">
        <v>3712</v>
      </c>
      <c r="B2163" s="2" t="s">
        <v>3713</v>
      </c>
      <c r="C2163" s="2">
        <v>4405.0</v>
      </c>
      <c r="D2163" s="2">
        <v>4389.0</v>
      </c>
      <c r="E2163" s="2">
        <v>24410.0</v>
      </c>
      <c r="F2163" s="2">
        <v>15.0</v>
      </c>
    </row>
    <row r="2164" ht="15.75" customHeight="1">
      <c r="A2164" s="4" t="s">
        <v>3714</v>
      </c>
      <c r="B2164" s="2" t="s">
        <v>3716</v>
      </c>
      <c r="C2164" s="2">
        <v>856.0</v>
      </c>
      <c r="D2164" s="2">
        <v>960.0</v>
      </c>
      <c r="E2164" s="2">
        <v>28630.0</v>
      </c>
      <c r="F2164" s="2" t="s">
        <v>150</v>
      </c>
    </row>
    <row r="2165" ht="15.75" hidden="1" customHeight="1">
      <c r="A2165" s="4" t="s">
        <v>3718</v>
      </c>
      <c r="B2165" s="2" t="s">
        <v>3719</v>
      </c>
      <c r="C2165" s="2">
        <v>9753.0</v>
      </c>
      <c r="D2165" s="2">
        <v>9431.0</v>
      </c>
      <c r="E2165" s="2">
        <v>21840.0</v>
      </c>
      <c r="F2165" s="2">
        <v>22.0</v>
      </c>
    </row>
    <row r="2166" ht="15.75" hidden="1" customHeight="1">
      <c r="A2166" s="4" t="s">
        <v>3720</v>
      </c>
      <c r="B2166" s="2" t="s">
        <v>3721</v>
      </c>
      <c r="C2166" s="2">
        <v>41019.0</v>
      </c>
      <c r="D2166" s="2">
        <v>42875.0</v>
      </c>
      <c r="E2166" s="2">
        <v>22410.0</v>
      </c>
      <c r="F2166" s="2">
        <v>26.1</v>
      </c>
    </row>
    <row r="2167" ht="15.75" customHeight="1">
      <c r="A2167" s="4" t="s">
        <v>3722</v>
      </c>
      <c r="B2167" s="2" t="s">
        <v>3723</v>
      </c>
      <c r="C2167" s="2">
        <v>1014.0</v>
      </c>
      <c r="D2167" s="2">
        <v>1038.0</v>
      </c>
      <c r="E2167" s="2">
        <v>29100.0</v>
      </c>
      <c r="F2167" s="2" t="s">
        <v>150</v>
      </c>
    </row>
    <row r="2168" ht="15.75" hidden="1" customHeight="1">
      <c r="A2168" s="4" t="s">
        <v>4224</v>
      </c>
      <c r="B2168" s="2" t="s">
        <v>4225</v>
      </c>
      <c r="C2168" s="2">
        <v>1978.0</v>
      </c>
      <c r="D2168" s="2">
        <v>2064.0</v>
      </c>
      <c r="E2168" s="2">
        <v>24960.0</v>
      </c>
      <c r="F2168" s="2">
        <v>12.0</v>
      </c>
    </row>
    <row r="2169" ht="15.75" customHeight="1">
      <c r="A2169" s="4" t="s">
        <v>3724</v>
      </c>
      <c r="B2169" s="2" t="s">
        <v>3725</v>
      </c>
      <c r="C2169" s="2">
        <v>729.0</v>
      </c>
      <c r="D2169" s="2">
        <v>885.0</v>
      </c>
      <c r="E2169" s="2">
        <v>24510.0</v>
      </c>
      <c r="F2169" s="2" t="s">
        <v>150</v>
      </c>
    </row>
    <row r="2170" ht="15.75" customHeight="1">
      <c r="A2170" s="4" t="s">
        <v>3726</v>
      </c>
      <c r="B2170" s="2" t="s">
        <v>3727</v>
      </c>
      <c r="C2170" s="2">
        <v>1459.0</v>
      </c>
      <c r="D2170" s="2">
        <v>1489.0</v>
      </c>
      <c r="E2170" s="2">
        <v>24810.0</v>
      </c>
      <c r="F2170" s="2" t="s">
        <v>150</v>
      </c>
    </row>
    <row r="2171" ht="15.75" customHeight="1">
      <c r="A2171" s="4" t="s">
        <v>3728</v>
      </c>
      <c r="B2171" s="2" t="s">
        <v>3729</v>
      </c>
      <c r="C2171" s="2">
        <v>759.0</v>
      </c>
      <c r="D2171" s="2">
        <v>733.0</v>
      </c>
      <c r="E2171" s="2">
        <v>21920.0</v>
      </c>
      <c r="F2171" s="2" t="s">
        <v>150</v>
      </c>
    </row>
    <row r="2172" ht="15.75" customHeight="1">
      <c r="A2172" s="4" t="s">
        <v>5865</v>
      </c>
      <c r="B2172" s="2" t="s">
        <v>5866</v>
      </c>
      <c r="C2172" s="2">
        <v>152.0</v>
      </c>
      <c r="D2172" s="2">
        <v>141.0</v>
      </c>
      <c r="E2172" s="2">
        <v>25340.0</v>
      </c>
      <c r="F2172" s="2" t="s">
        <v>150</v>
      </c>
    </row>
    <row r="2173" ht="15.75" hidden="1" customHeight="1">
      <c r="A2173" s="4" t="s">
        <v>3731</v>
      </c>
      <c r="B2173" s="2" t="s">
        <v>3732</v>
      </c>
      <c r="C2173" s="2">
        <v>10291.0</v>
      </c>
      <c r="D2173" s="2">
        <v>10051.0</v>
      </c>
      <c r="E2173" s="2">
        <v>19120.0</v>
      </c>
      <c r="F2173" s="2">
        <v>32.0</v>
      </c>
    </row>
    <row r="2174" ht="15.75" customHeight="1">
      <c r="A2174" s="4" t="s">
        <v>3733</v>
      </c>
      <c r="B2174" s="2" t="s">
        <v>3734</v>
      </c>
      <c r="C2174" s="2">
        <v>504.0</v>
      </c>
      <c r="D2174" s="2">
        <v>548.0</v>
      </c>
      <c r="E2174" s="2">
        <v>26060.0</v>
      </c>
      <c r="F2174" s="2" t="s">
        <v>150</v>
      </c>
    </row>
    <row r="2175" ht="15.75" customHeight="1">
      <c r="A2175" s="4" t="s">
        <v>3737</v>
      </c>
      <c r="B2175" s="2" t="s">
        <v>3738</v>
      </c>
      <c r="C2175" s="2">
        <v>1571.0</v>
      </c>
      <c r="D2175" s="2">
        <v>1513.0</v>
      </c>
      <c r="E2175" s="2">
        <v>20480.0</v>
      </c>
      <c r="F2175" s="2" t="s">
        <v>150</v>
      </c>
    </row>
    <row r="2176" ht="15.75" hidden="1" customHeight="1">
      <c r="A2176" s="4" t="s">
        <v>3735</v>
      </c>
      <c r="B2176" s="2" t="s">
        <v>3736</v>
      </c>
      <c r="C2176" s="2">
        <v>4726.0</v>
      </c>
      <c r="D2176" s="2">
        <v>4625.0</v>
      </c>
      <c r="E2176" s="2">
        <v>22890.0</v>
      </c>
      <c r="F2176" s="2">
        <v>18.0</v>
      </c>
    </row>
    <row r="2177" ht="15.75" customHeight="1">
      <c r="A2177" s="4" t="s">
        <v>5867</v>
      </c>
      <c r="B2177" s="2" t="s">
        <v>5868</v>
      </c>
      <c r="C2177" s="2">
        <v>432.0</v>
      </c>
      <c r="D2177" s="2">
        <v>424.0</v>
      </c>
      <c r="E2177" s="2">
        <v>29380.0</v>
      </c>
      <c r="F2177" s="2" t="s">
        <v>150</v>
      </c>
    </row>
    <row r="2178" ht="15.75" customHeight="1">
      <c r="A2178" s="4" t="s">
        <v>3739</v>
      </c>
      <c r="B2178" s="2" t="s">
        <v>3740</v>
      </c>
      <c r="C2178" s="2">
        <v>664.0</v>
      </c>
      <c r="D2178" s="2">
        <v>684.0</v>
      </c>
      <c r="E2178" s="2">
        <v>24970.0</v>
      </c>
      <c r="F2178" s="2" t="s">
        <v>150</v>
      </c>
    </row>
    <row r="2179" ht="15.75" customHeight="1">
      <c r="A2179" s="4" t="s">
        <v>3741</v>
      </c>
      <c r="B2179" s="2" t="s">
        <v>3742</v>
      </c>
      <c r="C2179" s="2">
        <v>582.0</v>
      </c>
      <c r="D2179" s="2">
        <v>617.0</v>
      </c>
      <c r="E2179" s="2">
        <v>23840.0</v>
      </c>
      <c r="F2179" s="2" t="s">
        <v>150</v>
      </c>
    </row>
    <row r="2180" ht="15.75" customHeight="1">
      <c r="A2180" s="4" t="s">
        <v>3743</v>
      </c>
      <c r="B2180" s="2" t="s">
        <v>3744</v>
      </c>
      <c r="C2180" s="2">
        <v>562.0</v>
      </c>
      <c r="D2180" s="2">
        <v>521.0</v>
      </c>
      <c r="E2180" s="2">
        <v>24310.0</v>
      </c>
      <c r="F2180" s="2" t="s">
        <v>150</v>
      </c>
    </row>
    <row r="2181" ht="15.75" customHeight="1">
      <c r="A2181" s="4" t="s">
        <v>3747</v>
      </c>
      <c r="B2181" s="2" t="s">
        <v>3748</v>
      </c>
      <c r="C2181" s="2">
        <v>649.0</v>
      </c>
      <c r="D2181" s="2">
        <v>608.0</v>
      </c>
      <c r="E2181" s="2">
        <v>25410.0</v>
      </c>
      <c r="F2181" s="2" t="s">
        <v>150</v>
      </c>
    </row>
    <row r="2182" ht="15.75" hidden="1" customHeight="1">
      <c r="A2182" s="4" t="s">
        <v>3749</v>
      </c>
      <c r="B2182" s="2" t="s">
        <v>3750</v>
      </c>
      <c r="C2182" s="2">
        <v>5412.0</v>
      </c>
      <c r="D2182" s="2">
        <v>5309.0</v>
      </c>
      <c r="E2182" s="2">
        <v>24360.0</v>
      </c>
      <c r="F2182" s="2">
        <v>15.0</v>
      </c>
    </row>
    <row r="2183" ht="15.75" customHeight="1">
      <c r="A2183" s="4" t="s">
        <v>5869</v>
      </c>
      <c r="B2183" s="2" t="s">
        <v>5870</v>
      </c>
      <c r="C2183" s="2">
        <v>198.0</v>
      </c>
      <c r="D2183" s="2">
        <v>189.0</v>
      </c>
      <c r="E2183" s="2">
        <v>25580.0</v>
      </c>
      <c r="F2183" s="2" t="s">
        <v>150</v>
      </c>
    </row>
    <row r="2184" ht="15.75" customHeight="1">
      <c r="A2184" s="4" t="s">
        <v>5871</v>
      </c>
      <c r="B2184" s="2" t="s">
        <v>5872</v>
      </c>
      <c r="C2184" s="2">
        <v>291.0</v>
      </c>
      <c r="D2184" s="2">
        <v>293.0</v>
      </c>
      <c r="E2184" s="2">
        <v>31950.0</v>
      </c>
      <c r="F2184" s="2" t="s">
        <v>150</v>
      </c>
    </row>
    <row r="2185" ht="15.75" hidden="1" customHeight="1">
      <c r="A2185" s="4" t="s">
        <v>3751</v>
      </c>
      <c r="B2185" s="2" t="s">
        <v>3752</v>
      </c>
      <c r="C2185" s="2">
        <v>2639.0</v>
      </c>
      <c r="D2185" s="2">
        <v>2547.0</v>
      </c>
      <c r="E2185" s="2">
        <v>20430.0</v>
      </c>
      <c r="F2185" s="2">
        <v>29.0</v>
      </c>
    </row>
    <row r="2186" ht="15.75" customHeight="1">
      <c r="A2186" s="4" t="s">
        <v>5873</v>
      </c>
      <c r="B2186" s="2" t="s">
        <v>5874</v>
      </c>
      <c r="C2186" s="2">
        <v>293.0</v>
      </c>
      <c r="D2186" s="2">
        <v>295.0</v>
      </c>
      <c r="E2186" s="2">
        <v>27090.0</v>
      </c>
      <c r="F2186" s="2" t="s">
        <v>150</v>
      </c>
    </row>
    <row r="2187" ht="15.75" customHeight="1">
      <c r="A2187" s="4" t="s">
        <v>5875</v>
      </c>
      <c r="B2187" s="2" t="s">
        <v>5876</v>
      </c>
      <c r="C2187" s="2">
        <v>52.0</v>
      </c>
      <c r="D2187" s="2">
        <v>46.0</v>
      </c>
      <c r="E2187" s="2" t="s">
        <v>150</v>
      </c>
      <c r="F2187" s="2" t="s">
        <v>150</v>
      </c>
    </row>
    <row r="2188" ht="15.75" customHeight="1">
      <c r="A2188" s="4" t="s">
        <v>3753</v>
      </c>
      <c r="B2188" s="2" t="s">
        <v>3754</v>
      </c>
      <c r="C2188" s="2">
        <v>1902.0</v>
      </c>
      <c r="D2188" s="2">
        <v>1840.0</v>
      </c>
      <c r="E2188" s="2">
        <v>22210.0</v>
      </c>
      <c r="F2188" s="2" t="s">
        <v>150</v>
      </c>
    </row>
    <row r="2189" ht="15.75" customHeight="1">
      <c r="A2189" s="4" t="s">
        <v>5877</v>
      </c>
      <c r="B2189" s="2" t="s">
        <v>5878</v>
      </c>
      <c r="C2189" s="2">
        <v>162.0</v>
      </c>
      <c r="D2189" s="2">
        <v>174.0</v>
      </c>
      <c r="E2189" s="2">
        <v>24900.0</v>
      </c>
      <c r="F2189" s="2" t="s">
        <v>150</v>
      </c>
    </row>
    <row r="2190" ht="15.75" hidden="1" customHeight="1">
      <c r="A2190" s="4" t="s">
        <v>3757</v>
      </c>
      <c r="B2190" s="2" t="s">
        <v>3758</v>
      </c>
      <c r="C2190" s="2">
        <v>17622.0</v>
      </c>
      <c r="D2190" s="2">
        <v>17435.0</v>
      </c>
      <c r="E2190" s="2">
        <v>19900.0</v>
      </c>
      <c r="F2190" s="2">
        <v>29.0</v>
      </c>
    </row>
    <row r="2191" ht="15.75" customHeight="1">
      <c r="A2191" s="4" t="s">
        <v>5879</v>
      </c>
      <c r="B2191" s="2" t="s">
        <v>5880</v>
      </c>
      <c r="C2191" s="2">
        <v>38.0</v>
      </c>
      <c r="D2191" s="2">
        <v>33.0</v>
      </c>
      <c r="E2191" s="2" t="s">
        <v>150</v>
      </c>
      <c r="F2191" s="2" t="s">
        <v>150</v>
      </c>
    </row>
    <row r="2192" ht="15.75" customHeight="1">
      <c r="A2192" s="4" t="s">
        <v>5881</v>
      </c>
      <c r="B2192" s="2" t="s">
        <v>5882</v>
      </c>
      <c r="C2192" s="2">
        <v>607.0</v>
      </c>
      <c r="D2192" s="2">
        <v>536.0</v>
      </c>
      <c r="E2192" s="2">
        <v>24740.0</v>
      </c>
      <c r="F2192" s="2" t="s">
        <v>150</v>
      </c>
    </row>
    <row r="2193" ht="15.75" customHeight="1">
      <c r="A2193" s="4" t="s">
        <v>5883</v>
      </c>
      <c r="B2193" s="2" t="s">
        <v>5884</v>
      </c>
      <c r="C2193" s="2">
        <v>324.0</v>
      </c>
      <c r="D2193" s="2">
        <v>330.0</v>
      </c>
      <c r="E2193" s="2">
        <v>26250.0</v>
      </c>
      <c r="F2193" s="2" t="s">
        <v>150</v>
      </c>
    </row>
    <row r="2194" ht="15.75" customHeight="1">
      <c r="A2194" s="4" t="s">
        <v>5885</v>
      </c>
      <c r="B2194" s="2" t="s">
        <v>5886</v>
      </c>
      <c r="C2194" s="2">
        <v>307.0</v>
      </c>
      <c r="D2194" s="2">
        <v>302.0</v>
      </c>
      <c r="E2194" s="2">
        <v>22370.0</v>
      </c>
      <c r="F2194" s="2" t="s">
        <v>150</v>
      </c>
    </row>
    <row r="2195" ht="15.75" customHeight="1">
      <c r="A2195" s="4" t="s">
        <v>5887</v>
      </c>
      <c r="B2195" s="2" t="s">
        <v>5888</v>
      </c>
      <c r="C2195" s="2">
        <v>263.0</v>
      </c>
      <c r="D2195" s="2">
        <v>264.0</v>
      </c>
      <c r="E2195" s="2">
        <v>24490.0</v>
      </c>
      <c r="F2195" s="2" t="s">
        <v>150</v>
      </c>
    </row>
    <row r="2196" ht="15.75" customHeight="1">
      <c r="A2196" s="4" t="s">
        <v>5889</v>
      </c>
      <c r="B2196" s="2" t="s">
        <v>5890</v>
      </c>
      <c r="C2196" s="2">
        <v>422.0</v>
      </c>
      <c r="D2196" s="2">
        <v>408.0</v>
      </c>
      <c r="E2196" s="2">
        <v>25510.0</v>
      </c>
      <c r="F2196" s="2" t="s">
        <v>150</v>
      </c>
    </row>
    <row r="2197" ht="15.75" customHeight="1">
      <c r="A2197" s="4" t="s">
        <v>5891</v>
      </c>
      <c r="B2197" s="2" t="s">
        <v>5892</v>
      </c>
      <c r="C2197" s="2">
        <v>240.0</v>
      </c>
      <c r="D2197" s="2">
        <v>213.0</v>
      </c>
      <c r="E2197" s="2">
        <v>25840.0</v>
      </c>
      <c r="F2197" s="2" t="s">
        <v>150</v>
      </c>
    </row>
    <row r="2198" ht="15.75" customHeight="1">
      <c r="A2198" s="4" t="s">
        <v>3759</v>
      </c>
      <c r="B2198" s="2" t="s">
        <v>3760</v>
      </c>
      <c r="C2198" s="2">
        <v>1412.0</v>
      </c>
      <c r="D2198" s="2">
        <v>1429.0</v>
      </c>
      <c r="E2198" s="2">
        <v>29370.0</v>
      </c>
      <c r="F2198" s="2" t="s">
        <v>150</v>
      </c>
    </row>
    <row r="2199" ht="15.75" customHeight="1">
      <c r="A2199" s="4" t="s">
        <v>5893</v>
      </c>
      <c r="B2199" s="2" t="s">
        <v>5894</v>
      </c>
      <c r="C2199" s="2">
        <v>240.0</v>
      </c>
      <c r="D2199" s="2">
        <v>237.0</v>
      </c>
      <c r="E2199" s="2">
        <v>27440.0</v>
      </c>
      <c r="F2199" s="2" t="s">
        <v>150</v>
      </c>
    </row>
    <row r="2200" ht="15.75" customHeight="1">
      <c r="A2200" s="4" t="s">
        <v>3761</v>
      </c>
      <c r="B2200" s="2" t="s">
        <v>3762</v>
      </c>
      <c r="C2200" s="2">
        <v>1291.0</v>
      </c>
      <c r="D2200" s="2">
        <v>1324.0</v>
      </c>
      <c r="E2200" s="2">
        <v>28290.0</v>
      </c>
      <c r="F2200" s="2" t="s">
        <v>150</v>
      </c>
    </row>
    <row r="2201" ht="15.75" customHeight="1">
      <c r="A2201" s="4" t="s">
        <v>5895</v>
      </c>
      <c r="B2201" s="2" t="s">
        <v>5896</v>
      </c>
      <c r="C2201" s="2">
        <v>227.0</v>
      </c>
      <c r="D2201" s="2">
        <v>208.0</v>
      </c>
      <c r="E2201" s="2">
        <v>27560.0</v>
      </c>
      <c r="F2201" s="2" t="s">
        <v>150</v>
      </c>
    </row>
    <row r="2202" ht="15.75" customHeight="1">
      <c r="A2202" s="4" t="s">
        <v>5897</v>
      </c>
      <c r="B2202" s="2" t="s">
        <v>5898</v>
      </c>
      <c r="C2202" s="2">
        <v>365.0</v>
      </c>
      <c r="D2202" s="2">
        <v>355.0</v>
      </c>
      <c r="E2202" s="2">
        <v>27840.0</v>
      </c>
      <c r="F2202" s="2" t="s">
        <v>150</v>
      </c>
    </row>
    <row r="2203" ht="15.75" customHeight="1">
      <c r="A2203" s="4" t="s">
        <v>3763</v>
      </c>
      <c r="B2203" s="2" t="s">
        <v>3764</v>
      </c>
      <c r="C2203" s="2">
        <v>1169.0</v>
      </c>
      <c r="D2203" s="2">
        <v>1220.0</v>
      </c>
      <c r="E2203" s="2">
        <v>25240.0</v>
      </c>
      <c r="F2203" s="2" t="s">
        <v>150</v>
      </c>
    </row>
    <row r="2204" ht="15.75" customHeight="1">
      <c r="A2204" s="4" t="s">
        <v>5899</v>
      </c>
      <c r="B2204" s="2" t="s">
        <v>5900</v>
      </c>
      <c r="C2204" s="2">
        <v>87.0</v>
      </c>
      <c r="D2204" s="2">
        <v>83.0</v>
      </c>
      <c r="E2204" s="2" t="s">
        <v>150</v>
      </c>
      <c r="F2204" s="2" t="s">
        <v>150</v>
      </c>
    </row>
    <row r="2205" ht="15.75" hidden="1" customHeight="1">
      <c r="A2205" s="4" t="s">
        <v>3765</v>
      </c>
      <c r="B2205" s="2" t="s">
        <v>3766</v>
      </c>
      <c r="C2205" s="2">
        <v>3887.0</v>
      </c>
      <c r="D2205" s="2">
        <v>3779.0</v>
      </c>
      <c r="E2205" s="2">
        <v>21160.0</v>
      </c>
      <c r="F2205" s="2">
        <v>25.0</v>
      </c>
    </row>
    <row r="2206" ht="15.75" customHeight="1">
      <c r="A2206" s="4" t="s">
        <v>3767</v>
      </c>
      <c r="B2206" s="2" t="s">
        <v>3768</v>
      </c>
      <c r="C2206" s="2">
        <v>480.0</v>
      </c>
      <c r="D2206" s="2">
        <v>434.0</v>
      </c>
      <c r="E2206" s="2">
        <v>24130.0</v>
      </c>
      <c r="F2206" s="2" t="s">
        <v>150</v>
      </c>
    </row>
    <row r="2207" ht="15.75" customHeight="1">
      <c r="A2207" s="4" t="s">
        <v>5901</v>
      </c>
      <c r="B2207" s="2" t="s">
        <v>5902</v>
      </c>
      <c r="C2207" s="2">
        <v>307.0</v>
      </c>
      <c r="D2207" s="2">
        <v>308.0</v>
      </c>
      <c r="E2207" s="2">
        <v>23800.0</v>
      </c>
      <c r="F2207" s="2" t="s">
        <v>150</v>
      </c>
    </row>
    <row r="2208" ht="15.75" hidden="1" customHeight="1">
      <c r="A2208" s="4" t="s">
        <v>3769</v>
      </c>
      <c r="B2208" s="2" t="s">
        <v>3770</v>
      </c>
      <c r="C2208" s="2">
        <v>7661.0</v>
      </c>
      <c r="D2208" s="2">
        <v>7331.0</v>
      </c>
      <c r="E2208" s="2">
        <v>20210.0</v>
      </c>
      <c r="F2208" s="2">
        <v>25.0</v>
      </c>
    </row>
    <row r="2209" ht="15.75" customHeight="1">
      <c r="A2209" s="4" t="s">
        <v>5903</v>
      </c>
      <c r="B2209" s="2" t="s">
        <v>5904</v>
      </c>
      <c r="C2209" s="2">
        <v>221.0</v>
      </c>
      <c r="D2209" s="2">
        <v>199.0</v>
      </c>
      <c r="E2209" s="2">
        <v>26160.0</v>
      </c>
      <c r="F2209" s="2" t="s">
        <v>150</v>
      </c>
    </row>
    <row r="2210" ht="15.75" customHeight="1">
      <c r="A2210" s="4" t="s">
        <v>5905</v>
      </c>
      <c r="B2210" s="2" t="s">
        <v>5906</v>
      </c>
      <c r="C2210" s="2">
        <v>137.0</v>
      </c>
      <c r="D2210" s="2">
        <v>129.0</v>
      </c>
      <c r="E2210" s="2">
        <v>29430.0</v>
      </c>
      <c r="F2210" s="2" t="s">
        <v>150</v>
      </c>
    </row>
    <row r="2211" ht="15.75" customHeight="1">
      <c r="A2211" s="4" t="s">
        <v>3771</v>
      </c>
      <c r="B2211" s="2" t="s">
        <v>3772</v>
      </c>
      <c r="C2211" s="2">
        <v>378.0</v>
      </c>
      <c r="D2211" s="2">
        <v>417.0</v>
      </c>
      <c r="E2211" s="2">
        <v>24670.0</v>
      </c>
      <c r="F2211" s="2" t="s">
        <v>150</v>
      </c>
    </row>
    <row r="2212" ht="15.75" customHeight="1">
      <c r="A2212" s="4" t="s">
        <v>3773</v>
      </c>
      <c r="B2212" s="2" t="s">
        <v>3774</v>
      </c>
      <c r="C2212" s="2">
        <v>1009.0</v>
      </c>
      <c r="D2212" s="2">
        <v>1018.0</v>
      </c>
      <c r="E2212" s="2">
        <v>26370.0</v>
      </c>
      <c r="F2212" s="2" t="s">
        <v>150</v>
      </c>
    </row>
    <row r="2213" ht="15.75" customHeight="1">
      <c r="A2213" s="4" t="s">
        <v>5907</v>
      </c>
      <c r="B2213" s="2" t="s">
        <v>5908</v>
      </c>
      <c r="C2213" s="2">
        <v>324.0</v>
      </c>
      <c r="D2213" s="2">
        <v>354.0</v>
      </c>
      <c r="E2213" s="2">
        <v>27320.0</v>
      </c>
      <c r="F2213" s="2" t="s">
        <v>150</v>
      </c>
    </row>
    <row r="2214" ht="15.75" customHeight="1">
      <c r="A2214" s="4" t="s">
        <v>5909</v>
      </c>
      <c r="B2214" s="2" t="s">
        <v>5910</v>
      </c>
      <c r="C2214" s="2">
        <v>393.0</v>
      </c>
      <c r="D2214" s="2">
        <v>410.0</v>
      </c>
      <c r="E2214" s="2">
        <v>30530.0</v>
      </c>
      <c r="F2214" s="2" t="s">
        <v>150</v>
      </c>
    </row>
    <row r="2215" ht="15.75" customHeight="1">
      <c r="A2215" s="4" t="s">
        <v>5911</v>
      </c>
      <c r="B2215" s="2" t="s">
        <v>5912</v>
      </c>
      <c r="C2215" s="2">
        <v>130.0</v>
      </c>
      <c r="D2215" s="2">
        <v>139.0</v>
      </c>
      <c r="E2215" s="2">
        <v>25080.0</v>
      </c>
      <c r="F2215" s="2" t="s">
        <v>150</v>
      </c>
    </row>
    <row r="2216" ht="15.75" customHeight="1">
      <c r="A2216" s="4" t="s">
        <v>5913</v>
      </c>
      <c r="B2216" s="2" t="s">
        <v>5914</v>
      </c>
      <c r="C2216" s="2">
        <v>90.0</v>
      </c>
      <c r="D2216" s="2">
        <v>98.0</v>
      </c>
      <c r="E2216" s="2" t="s">
        <v>150</v>
      </c>
      <c r="F2216" s="2" t="s">
        <v>150</v>
      </c>
    </row>
    <row r="2217" ht="15.75" customHeight="1">
      <c r="A2217" s="4" t="s">
        <v>5915</v>
      </c>
      <c r="B2217" s="2" t="s">
        <v>5916</v>
      </c>
      <c r="C2217" s="2">
        <v>397.0</v>
      </c>
      <c r="D2217" s="2">
        <v>403.0</v>
      </c>
      <c r="E2217" s="2">
        <v>26160.0</v>
      </c>
      <c r="F2217" s="2" t="s">
        <v>150</v>
      </c>
    </row>
    <row r="2218" ht="15.75" customHeight="1">
      <c r="A2218" s="4" t="s">
        <v>5917</v>
      </c>
      <c r="B2218" s="2" t="s">
        <v>5918</v>
      </c>
      <c r="C2218" s="2">
        <v>235.0</v>
      </c>
      <c r="D2218" s="2">
        <v>241.0</v>
      </c>
      <c r="E2218" s="2">
        <v>21570.0</v>
      </c>
      <c r="F2218" s="2" t="s">
        <v>150</v>
      </c>
    </row>
    <row r="2219" ht="15.75" customHeight="1">
      <c r="A2219" s="4" t="s">
        <v>3775</v>
      </c>
      <c r="B2219" s="2" t="s">
        <v>3776</v>
      </c>
      <c r="C2219" s="2">
        <v>397.0</v>
      </c>
      <c r="D2219" s="2">
        <v>379.0</v>
      </c>
      <c r="E2219" s="2">
        <v>22940.0</v>
      </c>
      <c r="F2219" s="2" t="s">
        <v>150</v>
      </c>
    </row>
    <row r="2220" ht="15.75" customHeight="1">
      <c r="A2220" s="4" t="s">
        <v>5919</v>
      </c>
      <c r="B2220" s="2" t="s">
        <v>5920</v>
      </c>
      <c r="C2220" s="2">
        <v>239.0</v>
      </c>
      <c r="D2220" s="2">
        <v>222.0</v>
      </c>
      <c r="E2220" s="2">
        <v>23200.0</v>
      </c>
      <c r="F2220" s="2" t="s">
        <v>150</v>
      </c>
    </row>
    <row r="2221" ht="15.75" customHeight="1">
      <c r="A2221" s="4" t="s">
        <v>3777</v>
      </c>
      <c r="B2221" s="2" t="s">
        <v>3778</v>
      </c>
      <c r="C2221" s="2">
        <v>581.0</v>
      </c>
      <c r="D2221" s="2">
        <v>528.0</v>
      </c>
      <c r="E2221" s="2">
        <v>24380.0</v>
      </c>
      <c r="F2221" s="2" t="s">
        <v>150</v>
      </c>
    </row>
    <row r="2222" ht="15.75" customHeight="1">
      <c r="A2222" s="4" t="s">
        <v>3779</v>
      </c>
      <c r="B2222" s="2" t="s">
        <v>3780</v>
      </c>
      <c r="C2222" s="2">
        <v>999.0</v>
      </c>
      <c r="D2222" s="2">
        <v>1003.0</v>
      </c>
      <c r="E2222" s="2">
        <v>26350.0</v>
      </c>
      <c r="F2222" s="2" t="s">
        <v>150</v>
      </c>
    </row>
    <row r="2223" ht="15.75" hidden="1" customHeight="1">
      <c r="A2223" s="4" t="s">
        <v>3781</v>
      </c>
      <c r="B2223" s="2" t="s">
        <v>3782</v>
      </c>
      <c r="C2223" s="2">
        <v>5662.0</v>
      </c>
      <c r="D2223" s="2">
        <v>5559.0</v>
      </c>
      <c r="E2223" s="2">
        <v>24440.0</v>
      </c>
      <c r="F2223" s="2">
        <v>16.0</v>
      </c>
    </row>
    <row r="2224" ht="15.75" customHeight="1">
      <c r="A2224" s="4" t="s">
        <v>3783</v>
      </c>
      <c r="B2224" s="2" t="s">
        <v>3784</v>
      </c>
      <c r="C2224" s="2">
        <v>2095.0</v>
      </c>
      <c r="D2224" s="2">
        <v>2014.0</v>
      </c>
      <c r="E2224" s="2">
        <v>22860.0</v>
      </c>
      <c r="F2224" s="2" t="s">
        <v>150</v>
      </c>
    </row>
    <row r="2225" ht="15.75" customHeight="1">
      <c r="A2225" s="4" t="s">
        <v>5921</v>
      </c>
      <c r="B2225" s="2" t="s">
        <v>5922</v>
      </c>
      <c r="C2225" s="2">
        <v>142.0</v>
      </c>
      <c r="D2225" s="2">
        <v>133.0</v>
      </c>
      <c r="E2225" s="2">
        <v>22640.0</v>
      </c>
      <c r="F2225" s="2" t="s">
        <v>150</v>
      </c>
    </row>
    <row r="2226" ht="15.75" customHeight="1">
      <c r="A2226" s="4" t="s">
        <v>5923</v>
      </c>
      <c r="B2226" s="2" t="s">
        <v>5924</v>
      </c>
      <c r="C2226" s="2">
        <v>272.0</v>
      </c>
      <c r="D2226" s="2">
        <v>280.0</v>
      </c>
      <c r="E2226" s="2">
        <v>21090.0</v>
      </c>
      <c r="F2226" s="2" t="s">
        <v>150</v>
      </c>
    </row>
    <row r="2227" ht="15.75" customHeight="1">
      <c r="A2227" s="4" t="s">
        <v>5925</v>
      </c>
      <c r="B2227" s="2" t="s">
        <v>5926</v>
      </c>
      <c r="C2227" s="2">
        <v>126.0</v>
      </c>
      <c r="D2227" s="2">
        <v>114.0</v>
      </c>
      <c r="E2227" s="2">
        <v>25160.0</v>
      </c>
      <c r="F2227" s="2" t="s">
        <v>150</v>
      </c>
    </row>
    <row r="2228" ht="15.75" customHeight="1">
      <c r="A2228" s="4" t="s">
        <v>5927</v>
      </c>
      <c r="B2228" s="2" t="s">
        <v>5928</v>
      </c>
      <c r="C2228" s="2">
        <v>400.0</v>
      </c>
      <c r="D2228" s="2">
        <v>427.0</v>
      </c>
      <c r="E2228" s="2">
        <v>28880.0</v>
      </c>
      <c r="F2228" s="2" t="s">
        <v>150</v>
      </c>
    </row>
    <row r="2229" ht="15.75" customHeight="1">
      <c r="A2229" s="4" t="s">
        <v>5929</v>
      </c>
      <c r="B2229" s="2" t="s">
        <v>5930</v>
      </c>
      <c r="C2229" s="2">
        <v>560.0</v>
      </c>
      <c r="D2229" s="2">
        <v>503.0</v>
      </c>
      <c r="E2229" s="2">
        <v>27700.0</v>
      </c>
      <c r="F2229" s="2" t="s">
        <v>150</v>
      </c>
    </row>
    <row r="2230" ht="15.75" customHeight="1">
      <c r="A2230" s="4" t="s">
        <v>5931</v>
      </c>
      <c r="B2230" s="2" t="s">
        <v>5932</v>
      </c>
      <c r="C2230" s="2">
        <v>211.0</v>
      </c>
      <c r="D2230" s="2">
        <v>212.0</v>
      </c>
      <c r="E2230" s="2">
        <v>29510.0</v>
      </c>
      <c r="F2230" s="2" t="s">
        <v>150</v>
      </c>
    </row>
    <row r="2231" ht="15.75" customHeight="1">
      <c r="A2231" s="4" t="s">
        <v>5933</v>
      </c>
      <c r="B2231" s="2" t="s">
        <v>5934</v>
      </c>
      <c r="C2231" s="2">
        <v>356.0</v>
      </c>
      <c r="D2231" s="2">
        <v>330.0</v>
      </c>
      <c r="E2231" s="2">
        <v>30900.0</v>
      </c>
      <c r="F2231" s="2" t="s">
        <v>150</v>
      </c>
    </row>
    <row r="2232" ht="15.75" hidden="1" customHeight="1">
      <c r="A2232" s="4" t="s">
        <v>3789</v>
      </c>
      <c r="B2232" s="2" t="s">
        <v>3791</v>
      </c>
      <c r="C2232" s="2">
        <v>14189.0</v>
      </c>
      <c r="D2232" s="2">
        <v>12951.0</v>
      </c>
      <c r="E2232" s="2">
        <v>23340.0</v>
      </c>
      <c r="F2232" s="2">
        <v>21.0</v>
      </c>
    </row>
    <row r="2233" ht="15.75" customHeight="1">
      <c r="A2233" s="4" t="s">
        <v>5935</v>
      </c>
      <c r="B2233" s="2" t="s">
        <v>5936</v>
      </c>
      <c r="C2233" s="2">
        <v>218.0</v>
      </c>
      <c r="D2233" s="2">
        <v>213.0</v>
      </c>
      <c r="E2233" s="2">
        <v>22140.0</v>
      </c>
      <c r="F2233" s="2" t="s">
        <v>150</v>
      </c>
    </row>
    <row r="2234" ht="15.75" customHeight="1">
      <c r="A2234" s="4" t="s">
        <v>5937</v>
      </c>
      <c r="B2234" s="2" t="s">
        <v>5938</v>
      </c>
      <c r="C2234" s="2">
        <v>275.0</v>
      </c>
      <c r="D2234" s="2">
        <v>277.0</v>
      </c>
      <c r="E2234" s="2">
        <v>23990.0</v>
      </c>
      <c r="F2234" s="2" t="s">
        <v>150</v>
      </c>
    </row>
    <row r="2235" ht="15.75" customHeight="1">
      <c r="A2235" s="4" t="s">
        <v>5939</v>
      </c>
      <c r="B2235" s="2" t="s">
        <v>5940</v>
      </c>
      <c r="C2235" s="2">
        <v>515.0</v>
      </c>
      <c r="D2235" s="2">
        <v>553.0</v>
      </c>
      <c r="E2235" s="2">
        <v>25700.0</v>
      </c>
      <c r="F2235" s="2" t="s">
        <v>150</v>
      </c>
    </row>
    <row r="2236" ht="15.75" customHeight="1">
      <c r="A2236" s="4" t="s">
        <v>3793</v>
      </c>
      <c r="B2236" s="2" t="s">
        <v>3794</v>
      </c>
      <c r="C2236" s="2">
        <v>488.0</v>
      </c>
      <c r="D2236" s="2">
        <v>482.0</v>
      </c>
      <c r="E2236" s="2">
        <v>26130.0</v>
      </c>
      <c r="F2236" s="2" t="s">
        <v>150</v>
      </c>
    </row>
    <row r="2237" ht="15.75" customHeight="1">
      <c r="A2237" s="4" t="s">
        <v>5941</v>
      </c>
      <c r="B2237" s="2" t="s">
        <v>5942</v>
      </c>
      <c r="C2237" s="2">
        <v>165.0</v>
      </c>
      <c r="D2237" s="2">
        <v>164.0</v>
      </c>
      <c r="E2237" s="2">
        <v>26630.0</v>
      </c>
      <c r="F2237" s="2" t="s">
        <v>150</v>
      </c>
    </row>
    <row r="2238" ht="15.75" customHeight="1">
      <c r="A2238" s="4" t="s">
        <v>3795</v>
      </c>
      <c r="B2238" s="2" t="s">
        <v>3796</v>
      </c>
      <c r="C2238" s="2">
        <v>480.0</v>
      </c>
      <c r="D2238" s="2">
        <v>485.0</v>
      </c>
      <c r="E2238" s="2">
        <v>28500.0</v>
      </c>
      <c r="F2238" s="2" t="s">
        <v>150</v>
      </c>
    </row>
    <row r="2239" ht="15.75" customHeight="1">
      <c r="A2239" s="4" t="s">
        <v>5943</v>
      </c>
      <c r="B2239" s="2" t="s">
        <v>5944</v>
      </c>
      <c r="C2239" s="2">
        <v>184.0</v>
      </c>
      <c r="D2239" s="2">
        <v>162.0</v>
      </c>
      <c r="E2239" s="2">
        <v>27730.0</v>
      </c>
      <c r="F2239" s="2" t="s">
        <v>150</v>
      </c>
    </row>
    <row r="2240" ht="15.75" customHeight="1">
      <c r="A2240" s="4" t="s">
        <v>3797</v>
      </c>
      <c r="B2240" s="2" t="s">
        <v>3798</v>
      </c>
      <c r="C2240" s="2">
        <v>918.0</v>
      </c>
      <c r="D2240" s="2">
        <v>920.0</v>
      </c>
      <c r="E2240" s="2">
        <v>22530.0</v>
      </c>
      <c r="F2240" s="2" t="s">
        <v>150</v>
      </c>
    </row>
    <row r="2241" ht="15.75" customHeight="1">
      <c r="A2241" s="4" t="s">
        <v>5945</v>
      </c>
      <c r="B2241" s="2" t="s">
        <v>5946</v>
      </c>
      <c r="C2241" s="2">
        <v>147.0</v>
      </c>
      <c r="D2241" s="2">
        <v>155.0</v>
      </c>
      <c r="E2241" s="2">
        <v>28700.0</v>
      </c>
      <c r="F2241" s="2" t="s">
        <v>150</v>
      </c>
    </row>
    <row r="2242" ht="15.75" hidden="1" customHeight="1">
      <c r="A2242" s="4" t="s">
        <v>3875</v>
      </c>
      <c r="B2242" s="2" t="s">
        <v>3876</v>
      </c>
      <c r="C2242" s="2">
        <v>24895.0</v>
      </c>
      <c r="D2242" s="2">
        <v>25224.0</v>
      </c>
      <c r="E2242" s="2">
        <v>21370.0</v>
      </c>
      <c r="F2242" s="2">
        <v>28.0</v>
      </c>
    </row>
    <row r="2243" ht="15.75" customHeight="1">
      <c r="A2243" s="4" t="s">
        <v>5947</v>
      </c>
      <c r="B2243" s="2" t="s">
        <v>5948</v>
      </c>
      <c r="C2243" s="2">
        <v>471.0</v>
      </c>
      <c r="D2243" s="2">
        <v>460.0</v>
      </c>
      <c r="E2243" s="2">
        <v>26950.0</v>
      </c>
      <c r="F2243" s="2" t="s">
        <v>150</v>
      </c>
    </row>
    <row r="2244" ht="15.75" customHeight="1">
      <c r="A2244" s="4" t="s">
        <v>5949</v>
      </c>
      <c r="B2244" s="2" t="s">
        <v>5950</v>
      </c>
      <c r="C2244" s="2">
        <v>170.0</v>
      </c>
      <c r="D2244" s="2">
        <v>180.0</v>
      </c>
      <c r="E2244" s="2">
        <v>24960.0</v>
      </c>
      <c r="F2244" s="2" t="s">
        <v>150</v>
      </c>
    </row>
    <row r="2245" ht="15.75" customHeight="1">
      <c r="A2245" s="4" t="s">
        <v>5951</v>
      </c>
      <c r="B2245" s="2" t="s">
        <v>5952</v>
      </c>
      <c r="C2245" s="2">
        <v>376.0</v>
      </c>
      <c r="D2245" s="2">
        <v>351.0</v>
      </c>
      <c r="E2245" s="2">
        <v>25450.0</v>
      </c>
      <c r="F2245" s="2" t="s">
        <v>150</v>
      </c>
    </row>
    <row r="2246" ht="15.75" customHeight="1">
      <c r="A2246" s="4" t="s">
        <v>3799</v>
      </c>
      <c r="B2246" s="2" t="s">
        <v>3800</v>
      </c>
      <c r="C2246" s="2">
        <v>548.0</v>
      </c>
      <c r="D2246" s="2">
        <v>546.0</v>
      </c>
      <c r="E2246" s="2">
        <v>24370.0</v>
      </c>
      <c r="F2246" s="2" t="s">
        <v>150</v>
      </c>
    </row>
    <row r="2247" ht="15.75" customHeight="1">
      <c r="A2247" s="4" t="s">
        <v>5953</v>
      </c>
      <c r="B2247" s="2" t="s">
        <v>5954</v>
      </c>
      <c r="C2247" s="2">
        <v>466.0</v>
      </c>
      <c r="D2247" s="2">
        <v>436.0</v>
      </c>
      <c r="E2247" s="2">
        <v>25220.0</v>
      </c>
      <c r="F2247" s="2" t="s">
        <v>150</v>
      </c>
    </row>
    <row r="2248" ht="15.75" customHeight="1">
      <c r="A2248" s="4" t="s">
        <v>3801</v>
      </c>
      <c r="B2248" s="2" t="s">
        <v>3802</v>
      </c>
      <c r="C2248" s="2">
        <v>457.0</v>
      </c>
      <c r="D2248" s="2">
        <v>458.0</v>
      </c>
      <c r="E2248" s="2">
        <v>28360.0</v>
      </c>
      <c r="F2248" s="2" t="s">
        <v>150</v>
      </c>
    </row>
    <row r="2249" ht="15.75" hidden="1" customHeight="1">
      <c r="A2249" s="4" t="s">
        <v>3803</v>
      </c>
      <c r="B2249" s="2" t="s">
        <v>3804</v>
      </c>
      <c r="C2249" s="2">
        <v>9442.0</v>
      </c>
      <c r="D2249" s="2">
        <v>9189.0</v>
      </c>
      <c r="E2249" s="2">
        <v>23110.0</v>
      </c>
      <c r="F2249" s="2">
        <v>20.0</v>
      </c>
    </row>
    <row r="2250" ht="15.75" customHeight="1">
      <c r="A2250" s="4" t="s">
        <v>5955</v>
      </c>
      <c r="B2250" s="2" t="s">
        <v>5956</v>
      </c>
      <c r="C2250" s="2">
        <v>363.0</v>
      </c>
      <c r="D2250" s="2">
        <v>367.0</v>
      </c>
      <c r="E2250" s="2">
        <v>26180.0</v>
      </c>
      <c r="F2250" s="2" t="s">
        <v>150</v>
      </c>
    </row>
    <row r="2251" ht="15.75" hidden="1" customHeight="1">
      <c r="A2251" s="4" t="s">
        <v>3805</v>
      </c>
      <c r="B2251" s="2" t="s">
        <v>3806</v>
      </c>
      <c r="C2251" s="2">
        <v>4083.0</v>
      </c>
      <c r="D2251" s="2">
        <v>4568.0</v>
      </c>
      <c r="E2251" s="2">
        <v>24380.0</v>
      </c>
      <c r="F2251" s="2">
        <v>11.0</v>
      </c>
    </row>
    <row r="2252" ht="15.75" customHeight="1">
      <c r="A2252" s="4" t="s">
        <v>5957</v>
      </c>
      <c r="B2252" s="2" t="s">
        <v>5958</v>
      </c>
      <c r="C2252" s="2">
        <v>94.0</v>
      </c>
      <c r="D2252" s="2">
        <v>93.0</v>
      </c>
      <c r="E2252" s="2" t="s">
        <v>150</v>
      </c>
      <c r="F2252" s="2" t="s">
        <v>150</v>
      </c>
    </row>
    <row r="2253" ht="15.75" customHeight="1">
      <c r="A2253" s="4" t="s">
        <v>5959</v>
      </c>
      <c r="B2253" s="2" t="s">
        <v>5960</v>
      </c>
      <c r="C2253" s="2">
        <v>643.0</v>
      </c>
      <c r="D2253" s="2">
        <v>671.0</v>
      </c>
      <c r="E2253" s="2">
        <v>24760.0</v>
      </c>
      <c r="F2253" s="2" t="s">
        <v>150</v>
      </c>
    </row>
    <row r="2254" ht="15.75" customHeight="1">
      <c r="A2254" s="4" t="s">
        <v>3807</v>
      </c>
      <c r="B2254" s="2" t="s">
        <v>3808</v>
      </c>
      <c r="C2254" s="2">
        <v>351.0</v>
      </c>
      <c r="D2254" s="2">
        <v>286.0</v>
      </c>
      <c r="E2254" s="2">
        <v>25900.0</v>
      </c>
      <c r="F2254" s="2" t="s">
        <v>150</v>
      </c>
    </row>
    <row r="2255" ht="15.75" hidden="1" customHeight="1">
      <c r="A2255" s="4" t="s">
        <v>3809</v>
      </c>
      <c r="B2255" s="2" t="s">
        <v>3810</v>
      </c>
      <c r="C2255" s="2">
        <v>4624.0</v>
      </c>
      <c r="D2255" s="2">
        <v>5093.0</v>
      </c>
      <c r="E2255" s="2">
        <v>26090.0</v>
      </c>
      <c r="F2255" s="2">
        <v>10.0</v>
      </c>
    </row>
    <row r="2256" ht="15.75" hidden="1" customHeight="1">
      <c r="A2256" s="4" t="s">
        <v>3813</v>
      </c>
      <c r="B2256" s="2" t="s">
        <v>3814</v>
      </c>
      <c r="C2256" s="2">
        <v>8150.0</v>
      </c>
      <c r="D2256" s="2">
        <v>7937.0</v>
      </c>
      <c r="E2256" s="2">
        <v>19530.0</v>
      </c>
      <c r="F2256" s="2">
        <v>31.0</v>
      </c>
    </row>
    <row r="2257" ht="15.75" customHeight="1">
      <c r="A2257" s="4" t="s">
        <v>5961</v>
      </c>
      <c r="B2257" s="2" t="s">
        <v>5962</v>
      </c>
      <c r="C2257" s="2">
        <v>114.0</v>
      </c>
      <c r="D2257" s="2">
        <v>112.0</v>
      </c>
      <c r="E2257" s="2">
        <v>26760.0</v>
      </c>
      <c r="F2257" s="2" t="s">
        <v>150</v>
      </c>
    </row>
    <row r="2258" ht="15.75" customHeight="1">
      <c r="A2258" s="4" t="s">
        <v>5963</v>
      </c>
      <c r="B2258" s="2" t="s">
        <v>5964</v>
      </c>
      <c r="C2258" s="2">
        <v>314.0</v>
      </c>
      <c r="D2258" s="2">
        <v>304.0</v>
      </c>
      <c r="E2258" s="2">
        <v>27940.0</v>
      </c>
      <c r="F2258" s="2" t="s">
        <v>150</v>
      </c>
    </row>
    <row r="2259" ht="15.75" customHeight="1">
      <c r="A2259" s="4" t="s">
        <v>5965</v>
      </c>
      <c r="B2259" s="2" t="s">
        <v>5966</v>
      </c>
      <c r="C2259" s="2">
        <v>106.0</v>
      </c>
      <c r="D2259" s="2">
        <v>95.0</v>
      </c>
      <c r="E2259" s="2" t="s">
        <v>150</v>
      </c>
      <c r="F2259" s="2" t="s">
        <v>150</v>
      </c>
    </row>
    <row r="2260" ht="15.75" customHeight="1">
      <c r="A2260" s="4" t="s">
        <v>3815</v>
      </c>
      <c r="B2260" s="2" t="s">
        <v>3816</v>
      </c>
      <c r="C2260" s="2">
        <v>720.0</v>
      </c>
      <c r="D2260" s="2">
        <v>715.0</v>
      </c>
      <c r="E2260" s="2">
        <v>21930.0</v>
      </c>
      <c r="F2260" s="2" t="s">
        <v>150</v>
      </c>
    </row>
    <row r="2261" ht="15.75" hidden="1" customHeight="1">
      <c r="A2261" s="4" t="s">
        <v>3817</v>
      </c>
      <c r="B2261" s="2" t="s">
        <v>3818</v>
      </c>
      <c r="C2261" s="2">
        <v>5002.0</v>
      </c>
      <c r="D2261" s="2">
        <v>4859.0</v>
      </c>
      <c r="E2261" s="2">
        <v>22620.0</v>
      </c>
      <c r="F2261" s="2">
        <v>19.0</v>
      </c>
    </row>
    <row r="2262" ht="15.75" customHeight="1">
      <c r="A2262" s="4" t="s">
        <v>3821</v>
      </c>
      <c r="B2262" s="2" t="s">
        <v>3822</v>
      </c>
      <c r="C2262" s="2">
        <v>519.0</v>
      </c>
      <c r="D2262" s="2">
        <v>490.0</v>
      </c>
      <c r="E2262" s="2">
        <v>22620.0</v>
      </c>
      <c r="F2262" s="2" t="s">
        <v>150</v>
      </c>
    </row>
    <row r="2263" ht="15.75" customHeight="1">
      <c r="A2263" s="4" t="s">
        <v>3819</v>
      </c>
      <c r="B2263" s="2" t="s">
        <v>3820</v>
      </c>
      <c r="C2263" s="2">
        <v>870.0</v>
      </c>
      <c r="D2263" s="2">
        <v>907.0</v>
      </c>
      <c r="E2263" s="2">
        <v>25430.0</v>
      </c>
      <c r="F2263" s="2" t="s">
        <v>150</v>
      </c>
    </row>
    <row r="2264" ht="15.75" customHeight="1">
      <c r="A2264" s="4" t="s">
        <v>5967</v>
      </c>
      <c r="B2264" s="2" t="s">
        <v>5968</v>
      </c>
      <c r="C2264" s="2">
        <v>166.0</v>
      </c>
      <c r="D2264" s="2">
        <v>160.0</v>
      </c>
      <c r="E2264" s="2">
        <v>24970.0</v>
      </c>
      <c r="F2264" s="2" t="s">
        <v>150</v>
      </c>
    </row>
    <row r="2265" ht="15.75" customHeight="1">
      <c r="A2265" s="4" t="s">
        <v>5969</v>
      </c>
      <c r="B2265" s="2" t="s">
        <v>5970</v>
      </c>
      <c r="C2265" s="2">
        <v>50.0</v>
      </c>
      <c r="D2265" s="2">
        <v>46.0</v>
      </c>
      <c r="E2265" s="2" t="s">
        <v>150</v>
      </c>
      <c r="F2265" s="2" t="s">
        <v>150</v>
      </c>
    </row>
    <row r="2266" ht="15.75" customHeight="1">
      <c r="A2266" s="4" t="s">
        <v>5971</v>
      </c>
      <c r="B2266" s="2" t="s">
        <v>5972</v>
      </c>
      <c r="C2266" s="2">
        <v>447.0</v>
      </c>
      <c r="D2266" s="2">
        <v>478.0</v>
      </c>
      <c r="E2266" s="2">
        <v>28480.0</v>
      </c>
      <c r="F2266" s="2" t="s">
        <v>150</v>
      </c>
    </row>
    <row r="2267" ht="15.75" customHeight="1">
      <c r="A2267" s="4" t="s">
        <v>5973</v>
      </c>
      <c r="B2267" s="2" t="s">
        <v>5974</v>
      </c>
      <c r="C2267" s="2">
        <v>454.0</v>
      </c>
      <c r="D2267" s="2">
        <v>450.0</v>
      </c>
      <c r="E2267" s="2">
        <v>28230.0</v>
      </c>
      <c r="F2267" s="2" t="s">
        <v>150</v>
      </c>
    </row>
    <row r="2268" ht="15.75" customHeight="1">
      <c r="A2268" s="4" t="s">
        <v>3823</v>
      </c>
      <c r="B2268" s="2" t="s">
        <v>3824</v>
      </c>
      <c r="C2268" s="2">
        <v>277.0</v>
      </c>
      <c r="D2268" s="2">
        <v>255.0</v>
      </c>
      <c r="E2268" s="2">
        <v>26260.0</v>
      </c>
      <c r="F2268" s="2" t="s">
        <v>150</v>
      </c>
    </row>
    <row r="2269" ht="15.75" customHeight="1">
      <c r="A2269" s="4" t="s">
        <v>3825</v>
      </c>
      <c r="B2269" s="2" t="s">
        <v>3826</v>
      </c>
      <c r="C2269" s="2">
        <v>406.0</v>
      </c>
      <c r="D2269" s="2">
        <v>389.0</v>
      </c>
      <c r="E2269" s="2">
        <v>25850.0</v>
      </c>
      <c r="F2269" s="2" t="s">
        <v>150</v>
      </c>
    </row>
    <row r="2270" ht="15.75" customHeight="1">
      <c r="A2270" s="4" t="s">
        <v>3827</v>
      </c>
      <c r="B2270" s="2" t="s">
        <v>3828</v>
      </c>
      <c r="C2270" s="2">
        <v>827.0</v>
      </c>
      <c r="D2270" s="2">
        <v>839.0</v>
      </c>
      <c r="E2270" s="2">
        <v>27250.0</v>
      </c>
      <c r="F2270" s="2" t="s">
        <v>150</v>
      </c>
    </row>
    <row r="2271" ht="15.75" customHeight="1">
      <c r="A2271" s="4" t="s">
        <v>3829</v>
      </c>
      <c r="B2271" s="2" t="s">
        <v>3831</v>
      </c>
      <c r="C2271" s="2">
        <v>249.0</v>
      </c>
      <c r="D2271" s="2">
        <v>260.0</v>
      </c>
      <c r="E2271" s="2">
        <v>25180.0</v>
      </c>
      <c r="F2271" s="2" t="s">
        <v>150</v>
      </c>
    </row>
    <row r="2272" ht="15.75" customHeight="1">
      <c r="A2272" s="4" t="s">
        <v>5975</v>
      </c>
      <c r="B2272" s="2" t="s">
        <v>5976</v>
      </c>
      <c r="C2272" s="2">
        <v>505.0</v>
      </c>
      <c r="D2272" s="2">
        <v>529.0</v>
      </c>
      <c r="E2272" s="2">
        <v>26650.0</v>
      </c>
      <c r="F2272" s="2" t="s">
        <v>150</v>
      </c>
    </row>
    <row r="2273" ht="15.75" customHeight="1">
      <c r="A2273" s="4" t="s">
        <v>5977</v>
      </c>
      <c r="B2273" s="2" t="s">
        <v>5978</v>
      </c>
      <c r="C2273" s="2">
        <v>517.0</v>
      </c>
      <c r="D2273" s="2">
        <v>514.0</v>
      </c>
      <c r="E2273" s="2">
        <v>26850.0</v>
      </c>
      <c r="F2273" s="2" t="s">
        <v>150</v>
      </c>
    </row>
    <row r="2274" ht="15.75" customHeight="1">
      <c r="A2274" s="4" t="s">
        <v>5979</v>
      </c>
      <c r="B2274" s="2" t="s">
        <v>5980</v>
      </c>
      <c r="C2274" s="2">
        <v>251.0</v>
      </c>
      <c r="D2274" s="2">
        <v>254.0</v>
      </c>
      <c r="E2274" s="2">
        <v>28670.0</v>
      </c>
      <c r="F2274" s="2" t="s">
        <v>150</v>
      </c>
    </row>
    <row r="2275" ht="15.75" customHeight="1">
      <c r="A2275" s="4" t="s">
        <v>5981</v>
      </c>
      <c r="B2275" s="2" t="s">
        <v>5982</v>
      </c>
      <c r="C2275" s="2">
        <v>631.0</v>
      </c>
      <c r="D2275" s="2">
        <v>615.0</v>
      </c>
      <c r="E2275" s="2">
        <v>22420.0</v>
      </c>
      <c r="F2275" s="2" t="s">
        <v>150</v>
      </c>
    </row>
    <row r="2276" ht="15.75" customHeight="1">
      <c r="A2276" s="4" t="s">
        <v>5983</v>
      </c>
      <c r="B2276" s="2" t="s">
        <v>2839</v>
      </c>
      <c r="C2276" s="2">
        <v>674.0</v>
      </c>
      <c r="D2276" s="2">
        <v>659.0</v>
      </c>
      <c r="E2276" s="2">
        <v>22990.0</v>
      </c>
      <c r="F2276" s="2" t="s">
        <v>150</v>
      </c>
    </row>
    <row r="2277" ht="15.75" customHeight="1">
      <c r="A2277" s="4" t="s">
        <v>5984</v>
      </c>
      <c r="B2277" s="2" t="s">
        <v>5985</v>
      </c>
      <c r="C2277" s="2">
        <v>656.0</v>
      </c>
      <c r="D2277" s="2">
        <v>637.0</v>
      </c>
      <c r="E2277" s="2">
        <v>23100.0</v>
      </c>
      <c r="F2277" s="2" t="s">
        <v>150</v>
      </c>
    </row>
    <row r="2278" ht="15.75" customHeight="1">
      <c r="A2278" s="4" t="s">
        <v>5986</v>
      </c>
      <c r="B2278" s="2" t="s">
        <v>5987</v>
      </c>
      <c r="C2278" s="2">
        <v>565.0</v>
      </c>
      <c r="D2278" s="2">
        <v>597.0</v>
      </c>
      <c r="E2278" s="2">
        <v>30310.0</v>
      </c>
      <c r="F2278" s="2" t="s">
        <v>150</v>
      </c>
    </row>
    <row r="2279" ht="15.75" customHeight="1">
      <c r="A2279" s="4" t="s">
        <v>5988</v>
      </c>
      <c r="B2279" s="2" t="s">
        <v>5989</v>
      </c>
      <c r="C2279" s="2">
        <v>88.0</v>
      </c>
      <c r="D2279" s="2">
        <v>68.0</v>
      </c>
      <c r="E2279" s="2" t="s">
        <v>150</v>
      </c>
      <c r="F2279" s="2" t="s">
        <v>150</v>
      </c>
    </row>
    <row r="2280" ht="15.75" customHeight="1">
      <c r="A2280" s="4" t="s">
        <v>3833</v>
      </c>
      <c r="B2280" s="2" t="s">
        <v>3834</v>
      </c>
      <c r="C2280" s="2">
        <v>589.0</v>
      </c>
      <c r="D2280" s="2">
        <v>578.0</v>
      </c>
      <c r="E2280" s="2">
        <v>21910.0</v>
      </c>
      <c r="F2280" s="2" t="s">
        <v>150</v>
      </c>
    </row>
    <row r="2281" ht="15.75" hidden="1" customHeight="1">
      <c r="A2281" s="4" t="s">
        <v>3837</v>
      </c>
      <c r="B2281" s="2" t="s">
        <v>3838</v>
      </c>
      <c r="C2281" s="2">
        <v>40874.0</v>
      </c>
      <c r="D2281" s="2">
        <v>40539.0</v>
      </c>
      <c r="E2281" s="2">
        <v>19800.0</v>
      </c>
      <c r="F2281" s="2">
        <v>30.5</v>
      </c>
    </row>
    <row r="2282" ht="15.75" customHeight="1">
      <c r="A2282" s="4" t="s">
        <v>3839</v>
      </c>
      <c r="B2282" s="2" t="s">
        <v>3840</v>
      </c>
      <c r="C2282" s="2">
        <v>765.0</v>
      </c>
      <c r="D2282" s="2">
        <v>788.0</v>
      </c>
      <c r="E2282" s="2">
        <v>23100.0</v>
      </c>
      <c r="F2282" s="2" t="s">
        <v>150</v>
      </c>
    </row>
    <row r="2283" ht="15.75" customHeight="1">
      <c r="A2283" s="4" t="s">
        <v>3841</v>
      </c>
      <c r="B2283" s="2" t="s">
        <v>3842</v>
      </c>
      <c r="C2283" s="2">
        <v>639.0</v>
      </c>
      <c r="D2283" s="2">
        <v>568.0</v>
      </c>
      <c r="E2283" s="2">
        <v>23630.0</v>
      </c>
      <c r="F2283" s="2" t="s">
        <v>150</v>
      </c>
    </row>
    <row r="2284" ht="15.75" customHeight="1">
      <c r="A2284" s="4" t="s">
        <v>5990</v>
      </c>
      <c r="B2284" s="2" t="s">
        <v>5991</v>
      </c>
      <c r="C2284" s="2">
        <v>256.0</v>
      </c>
      <c r="D2284" s="2">
        <v>239.0</v>
      </c>
      <c r="E2284" s="2">
        <v>25860.0</v>
      </c>
      <c r="F2284" s="2" t="s">
        <v>150</v>
      </c>
    </row>
    <row r="2285" ht="15.75" customHeight="1">
      <c r="A2285" s="4" t="s">
        <v>3843</v>
      </c>
      <c r="B2285" s="2" t="s">
        <v>3844</v>
      </c>
      <c r="C2285" s="2">
        <v>1156.0</v>
      </c>
      <c r="D2285" s="2">
        <v>1156.0</v>
      </c>
      <c r="E2285" s="2">
        <v>25910.0</v>
      </c>
      <c r="F2285" s="2" t="s">
        <v>150</v>
      </c>
    </row>
    <row r="2286" ht="15.75" customHeight="1">
      <c r="A2286" s="4" t="s">
        <v>5992</v>
      </c>
      <c r="B2286" s="2" t="s">
        <v>5993</v>
      </c>
      <c r="C2286" s="2">
        <v>240.0</v>
      </c>
      <c r="D2286" s="2">
        <v>223.0</v>
      </c>
      <c r="E2286" s="2">
        <v>25460.0</v>
      </c>
      <c r="F2286" s="2" t="s">
        <v>150</v>
      </c>
    </row>
    <row r="2287" ht="15.75" customHeight="1">
      <c r="A2287" s="4" t="s">
        <v>3847</v>
      </c>
      <c r="B2287" s="2" t="s">
        <v>3848</v>
      </c>
      <c r="C2287" s="2">
        <v>617.0</v>
      </c>
      <c r="D2287" s="2">
        <v>582.0</v>
      </c>
      <c r="E2287" s="2">
        <v>24680.0</v>
      </c>
      <c r="F2287" s="2" t="s">
        <v>150</v>
      </c>
    </row>
    <row r="2288" ht="15.75" customHeight="1">
      <c r="A2288" s="4" t="s">
        <v>5994</v>
      </c>
      <c r="B2288" s="2" t="s">
        <v>5995</v>
      </c>
      <c r="C2288" s="2">
        <v>255.0</v>
      </c>
      <c r="D2288" s="2">
        <v>236.0</v>
      </c>
      <c r="E2288" s="2">
        <v>28660.0</v>
      </c>
      <c r="F2288" s="2" t="s">
        <v>150</v>
      </c>
    </row>
    <row r="2289" ht="15.75" customHeight="1">
      <c r="A2289" s="4" t="s">
        <v>3851</v>
      </c>
      <c r="B2289" s="2" t="s">
        <v>3852</v>
      </c>
      <c r="C2289" s="2">
        <v>853.0</v>
      </c>
      <c r="D2289" s="2">
        <v>860.0</v>
      </c>
      <c r="E2289" s="2">
        <v>23780.0</v>
      </c>
      <c r="F2289" s="2" t="s">
        <v>150</v>
      </c>
    </row>
    <row r="2290" ht="15.75" customHeight="1">
      <c r="A2290" s="4" t="s">
        <v>5996</v>
      </c>
      <c r="B2290" s="2" t="s">
        <v>5997</v>
      </c>
      <c r="C2290" s="2">
        <v>219.0</v>
      </c>
      <c r="D2290" s="2">
        <v>260.0</v>
      </c>
      <c r="E2290" s="2">
        <v>24970.0</v>
      </c>
      <c r="F2290" s="2" t="s">
        <v>150</v>
      </c>
    </row>
    <row r="2291" ht="15.75" hidden="1" customHeight="1">
      <c r="A2291" s="4" t="s">
        <v>3853</v>
      </c>
      <c r="B2291" s="2" t="s">
        <v>3854</v>
      </c>
      <c r="C2291" s="2">
        <v>2403.0</v>
      </c>
      <c r="D2291" s="2">
        <v>2398.0</v>
      </c>
      <c r="E2291" s="2">
        <v>27550.0</v>
      </c>
      <c r="F2291" s="2">
        <v>8.0</v>
      </c>
    </row>
    <row r="2292" ht="15.75" customHeight="1">
      <c r="A2292" s="4" t="s">
        <v>5998</v>
      </c>
      <c r="B2292" s="2" t="s">
        <v>5999</v>
      </c>
      <c r="C2292" s="2">
        <v>133.0</v>
      </c>
      <c r="D2292" s="2">
        <v>147.0</v>
      </c>
      <c r="E2292" s="2">
        <v>23770.0</v>
      </c>
      <c r="F2292" s="2" t="s">
        <v>150</v>
      </c>
    </row>
    <row r="2293" ht="15.75" customHeight="1">
      <c r="A2293" s="4" t="s">
        <v>6000</v>
      </c>
      <c r="B2293" s="2" t="s">
        <v>6001</v>
      </c>
      <c r="C2293" s="2">
        <v>358.0</v>
      </c>
      <c r="D2293" s="2">
        <v>366.0</v>
      </c>
      <c r="E2293" s="2">
        <v>27570.0</v>
      </c>
      <c r="F2293" s="2" t="s">
        <v>150</v>
      </c>
    </row>
    <row r="2294" ht="15.75" hidden="1" customHeight="1">
      <c r="A2294" s="4" t="s">
        <v>3855</v>
      </c>
      <c r="B2294" s="2" t="s">
        <v>3856</v>
      </c>
      <c r="C2294" s="2">
        <v>5023.0</v>
      </c>
      <c r="D2294" s="2">
        <v>5283.0</v>
      </c>
      <c r="E2294" s="2">
        <v>25370.0</v>
      </c>
      <c r="F2294" s="2">
        <v>12.0</v>
      </c>
    </row>
    <row r="2295" ht="15.75" customHeight="1">
      <c r="A2295" s="4" t="s">
        <v>3863</v>
      </c>
      <c r="B2295" s="2" t="s">
        <v>3864</v>
      </c>
      <c r="C2295" s="2">
        <v>1290.0</v>
      </c>
      <c r="D2295" s="2">
        <v>1324.0</v>
      </c>
      <c r="E2295" s="2">
        <v>25520.0</v>
      </c>
      <c r="F2295" s="2" t="s">
        <v>150</v>
      </c>
    </row>
    <row r="2296" ht="15.75" customHeight="1">
      <c r="A2296" s="4" t="s">
        <v>6002</v>
      </c>
      <c r="B2296" s="2" t="s">
        <v>6003</v>
      </c>
      <c r="C2296" s="2">
        <v>158.0</v>
      </c>
      <c r="D2296" s="2">
        <v>156.0</v>
      </c>
      <c r="E2296" s="2">
        <v>24450.0</v>
      </c>
      <c r="F2296" s="2" t="s">
        <v>150</v>
      </c>
    </row>
    <row r="2297" ht="15.75" customHeight="1">
      <c r="A2297" s="4" t="s">
        <v>3861</v>
      </c>
      <c r="B2297" s="2" t="s">
        <v>3862</v>
      </c>
      <c r="C2297" s="2">
        <v>681.0</v>
      </c>
      <c r="D2297" s="2">
        <v>634.0</v>
      </c>
      <c r="E2297" s="2">
        <v>25680.0</v>
      </c>
      <c r="F2297" s="2" t="s">
        <v>150</v>
      </c>
    </row>
    <row r="2298" ht="15.75" customHeight="1">
      <c r="A2298" s="4" t="s">
        <v>3857</v>
      </c>
      <c r="B2298" s="2" t="s">
        <v>3858</v>
      </c>
      <c r="C2298" s="2">
        <v>847.0</v>
      </c>
      <c r="D2298" s="2">
        <v>868.0</v>
      </c>
      <c r="E2298" s="2">
        <v>24600.0</v>
      </c>
      <c r="F2298" s="2" t="s">
        <v>150</v>
      </c>
    </row>
    <row r="2299" ht="15.75" hidden="1" customHeight="1">
      <c r="A2299" s="4" t="s">
        <v>3859</v>
      </c>
      <c r="B2299" s="2" t="s">
        <v>3860</v>
      </c>
      <c r="C2299" s="2">
        <v>21831.0</v>
      </c>
      <c r="D2299" s="2">
        <v>21424.0</v>
      </c>
      <c r="E2299" s="2">
        <v>19260.0</v>
      </c>
      <c r="F2299" s="2">
        <v>31.2</v>
      </c>
    </row>
    <row r="2300" ht="15.75" customHeight="1">
      <c r="A2300" s="4" t="s">
        <v>6004</v>
      </c>
      <c r="B2300" s="2" t="s">
        <v>6005</v>
      </c>
      <c r="C2300" s="2">
        <v>418.0</v>
      </c>
      <c r="D2300" s="2">
        <v>387.0</v>
      </c>
      <c r="E2300" s="2">
        <v>25070.0</v>
      </c>
      <c r="F2300" s="2" t="s">
        <v>150</v>
      </c>
    </row>
    <row r="2301" ht="15.75" customHeight="1">
      <c r="A2301" s="4" t="s">
        <v>6006</v>
      </c>
      <c r="B2301" s="2" t="s">
        <v>6007</v>
      </c>
      <c r="C2301" s="2">
        <v>294.0</v>
      </c>
      <c r="D2301" s="2">
        <v>295.0</v>
      </c>
      <c r="E2301" s="2">
        <v>26640.0</v>
      </c>
      <c r="F2301" s="2" t="s">
        <v>150</v>
      </c>
    </row>
    <row r="2302" ht="15.75" customHeight="1">
      <c r="A2302" s="4" t="s">
        <v>3865</v>
      </c>
      <c r="B2302" s="2" t="s">
        <v>3866</v>
      </c>
      <c r="C2302" s="2">
        <v>1461.0</v>
      </c>
      <c r="D2302" s="2">
        <v>1503.0</v>
      </c>
      <c r="E2302" s="2">
        <v>23360.0</v>
      </c>
      <c r="F2302" s="2" t="s">
        <v>150</v>
      </c>
    </row>
    <row r="2303" ht="15.75" customHeight="1">
      <c r="A2303" s="4" t="s">
        <v>6008</v>
      </c>
      <c r="B2303" s="2" t="s">
        <v>6009</v>
      </c>
      <c r="C2303" s="2">
        <v>230.0</v>
      </c>
      <c r="D2303" s="2">
        <v>237.0</v>
      </c>
      <c r="E2303" s="2">
        <v>23210.0</v>
      </c>
      <c r="F2303" s="2" t="s">
        <v>150</v>
      </c>
    </row>
    <row r="2304" ht="15.75" customHeight="1">
      <c r="A2304" s="4" t="s">
        <v>3867</v>
      </c>
      <c r="B2304" s="2" t="s">
        <v>3868</v>
      </c>
      <c r="C2304" s="2">
        <v>777.0</v>
      </c>
      <c r="D2304" s="2">
        <v>753.0</v>
      </c>
      <c r="E2304" s="2">
        <v>21740.0</v>
      </c>
      <c r="F2304" s="2" t="s">
        <v>150</v>
      </c>
    </row>
    <row r="2305" ht="15.75" customHeight="1">
      <c r="A2305" s="4" t="s">
        <v>6010</v>
      </c>
      <c r="B2305" s="2" t="s">
        <v>6011</v>
      </c>
      <c r="C2305" s="2">
        <v>263.0</v>
      </c>
      <c r="D2305" s="2">
        <v>284.0</v>
      </c>
      <c r="E2305" s="2">
        <v>26760.0</v>
      </c>
      <c r="F2305" s="2" t="s">
        <v>150</v>
      </c>
    </row>
    <row r="2306" ht="15.75" customHeight="1">
      <c r="A2306" s="4" t="s">
        <v>6012</v>
      </c>
      <c r="B2306" s="2" t="s">
        <v>6013</v>
      </c>
      <c r="C2306" s="2">
        <v>236.0</v>
      </c>
      <c r="D2306" s="2">
        <v>225.0</v>
      </c>
      <c r="E2306" s="2">
        <v>27240.0</v>
      </c>
      <c r="F2306" s="2" t="s">
        <v>150</v>
      </c>
    </row>
    <row r="2307" ht="15.75" hidden="1" customHeight="1">
      <c r="A2307" s="4" t="s">
        <v>3869</v>
      </c>
      <c r="B2307" s="2" t="s">
        <v>3870</v>
      </c>
      <c r="C2307" s="2">
        <v>12163.0</v>
      </c>
      <c r="D2307" s="2">
        <v>12146.0</v>
      </c>
      <c r="E2307" s="2">
        <v>21580.0</v>
      </c>
      <c r="F2307" s="2">
        <v>23.0</v>
      </c>
    </row>
    <row r="2308" ht="15.75" customHeight="1">
      <c r="A2308" s="4" t="s">
        <v>6014</v>
      </c>
      <c r="B2308" s="2" t="s">
        <v>6015</v>
      </c>
      <c r="C2308" s="2">
        <v>180.0</v>
      </c>
      <c r="D2308" s="2">
        <v>172.0</v>
      </c>
      <c r="E2308" s="2">
        <v>26650.0</v>
      </c>
      <c r="F2308" s="2" t="s">
        <v>150</v>
      </c>
    </row>
    <row r="2309" ht="15.75" hidden="1" customHeight="1">
      <c r="A2309" s="4" t="s">
        <v>3871</v>
      </c>
      <c r="B2309" s="2" t="s">
        <v>3872</v>
      </c>
      <c r="C2309" s="2">
        <v>2865.0</v>
      </c>
      <c r="D2309" s="2">
        <v>2834.0</v>
      </c>
      <c r="E2309" s="2">
        <v>23110.0</v>
      </c>
      <c r="F2309" s="2">
        <v>14.0</v>
      </c>
    </row>
    <row r="2310" ht="15.75" customHeight="1">
      <c r="A2310" s="4" t="s">
        <v>6016</v>
      </c>
      <c r="B2310" s="2" t="s">
        <v>6017</v>
      </c>
      <c r="C2310" s="2">
        <v>126.0</v>
      </c>
      <c r="D2310" s="2">
        <v>132.0</v>
      </c>
      <c r="E2310" s="2">
        <v>25440.0</v>
      </c>
      <c r="F2310" s="2" t="s">
        <v>150</v>
      </c>
    </row>
    <row r="2311" ht="15.75" customHeight="1">
      <c r="A2311" s="4" t="s">
        <v>3873</v>
      </c>
      <c r="B2311" s="2" t="s">
        <v>3874</v>
      </c>
      <c r="C2311" s="2">
        <v>1290.0</v>
      </c>
      <c r="D2311" s="2">
        <v>1243.0</v>
      </c>
      <c r="E2311" s="2">
        <v>26900.0</v>
      </c>
      <c r="F2311" s="2" t="s">
        <v>150</v>
      </c>
    </row>
    <row r="2312" ht="15.75" customHeight="1">
      <c r="A2312" s="4" t="s">
        <v>6018</v>
      </c>
      <c r="B2312" s="2" t="s">
        <v>6019</v>
      </c>
      <c r="C2312" s="2">
        <v>749.0</v>
      </c>
      <c r="D2312" s="2">
        <v>734.0</v>
      </c>
      <c r="E2312" s="2">
        <v>23770.0</v>
      </c>
      <c r="F2312" s="2" t="s">
        <v>150</v>
      </c>
    </row>
    <row r="2313" ht="15.75" customHeight="1">
      <c r="A2313" s="4" t="s">
        <v>6020</v>
      </c>
      <c r="B2313" s="2" t="s">
        <v>6021</v>
      </c>
      <c r="C2313" s="2">
        <v>432.0</v>
      </c>
      <c r="D2313" s="2">
        <v>421.0</v>
      </c>
      <c r="E2313" s="2">
        <v>23990.0</v>
      </c>
      <c r="F2313" s="2" t="s">
        <v>150</v>
      </c>
    </row>
    <row r="2314" ht="15.75" hidden="1" customHeight="1">
      <c r="A2314" s="4" t="s">
        <v>3877</v>
      </c>
      <c r="B2314" s="2" t="s">
        <v>3878</v>
      </c>
      <c r="C2314" s="2">
        <v>73911.0</v>
      </c>
      <c r="D2314" s="2">
        <v>67571.0</v>
      </c>
      <c r="E2314" s="2">
        <v>20270.0</v>
      </c>
      <c r="F2314" s="2">
        <v>28.5</v>
      </c>
    </row>
    <row r="2315" ht="15.75" hidden="1" customHeight="1">
      <c r="A2315" s="4" t="s">
        <v>3879</v>
      </c>
      <c r="B2315" s="2" t="s">
        <v>3880</v>
      </c>
      <c r="C2315" s="2">
        <v>5454.0</v>
      </c>
      <c r="D2315" s="2">
        <v>5369.0</v>
      </c>
      <c r="E2315" s="2">
        <v>19540.0</v>
      </c>
      <c r="F2315" s="2">
        <v>29.0</v>
      </c>
    </row>
    <row r="2316" ht="15.75" customHeight="1">
      <c r="A2316" s="4" t="s">
        <v>3881</v>
      </c>
      <c r="B2316" s="2" t="s">
        <v>3882</v>
      </c>
      <c r="C2316" s="2">
        <v>1545.0</v>
      </c>
      <c r="D2316" s="2">
        <v>1595.0</v>
      </c>
      <c r="E2316" s="2">
        <v>26250.0</v>
      </c>
      <c r="F2316" s="2" t="s">
        <v>150</v>
      </c>
    </row>
    <row r="2317" ht="15.75" customHeight="1">
      <c r="A2317" s="4" t="s">
        <v>6022</v>
      </c>
      <c r="B2317" s="2" t="s">
        <v>6023</v>
      </c>
      <c r="C2317" s="2">
        <v>643.0</v>
      </c>
      <c r="D2317" s="2">
        <v>582.0</v>
      </c>
      <c r="E2317" s="2">
        <v>26000.0</v>
      </c>
      <c r="F2317" s="2" t="s">
        <v>150</v>
      </c>
    </row>
    <row r="2318" ht="15.75" customHeight="1">
      <c r="A2318" s="4" t="s">
        <v>3883</v>
      </c>
      <c r="B2318" s="2" t="s">
        <v>3884</v>
      </c>
      <c r="C2318" s="2">
        <v>1764.0</v>
      </c>
      <c r="D2318" s="2">
        <v>1762.0</v>
      </c>
      <c r="E2318" s="2">
        <v>22220.0</v>
      </c>
      <c r="F2318" s="2" t="s">
        <v>150</v>
      </c>
    </row>
    <row r="2319" ht="15.75" customHeight="1">
      <c r="A2319" s="4" t="s">
        <v>6024</v>
      </c>
      <c r="B2319" s="2" t="s">
        <v>6025</v>
      </c>
      <c r="C2319" s="2">
        <v>337.0</v>
      </c>
      <c r="D2319" s="2">
        <v>352.0</v>
      </c>
      <c r="E2319" s="2">
        <v>28600.0</v>
      </c>
      <c r="F2319" s="2" t="s">
        <v>150</v>
      </c>
    </row>
    <row r="2320" ht="15.75" customHeight="1">
      <c r="A2320" s="4" t="s">
        <v>3885</v>
      </c>
      <c r="B2320" s="2" t="s">
        <v>3886</v>
      </c>
      <c r="C2320" s="2">
        <v>650.0</v>
      </c>
      <c r="D2320" s="2">
        <v>683.0</v>
      </c>
      <c r="E2320" s="2">
        <v>27950.0</v>
      </c>
      <c r="F2320" s="2" t="s">
        <v>150</v>
      </c>
    </row>
    <row r="2321" ht="15.75" customHeight="1">
      <c r="A2321" s="4" t="s">
        <v>3887</v>
      </c>
      <c r="B2321" s="2" t="s">
        <v>3888</v>
      </c>
      <c r="C2321" s="2">
        <v>1244.0</v>
      </c>
      <c r="D2321" s="2">
        <v>1263.0</v>
      </c>
      <c r="E2321" s="2">
        <v>25680.0</v>
      </c>
      <c r="F2321" s="2" t="s">
        <v>150</v>
      </c>
    </row>
    <row r="2322" ht="15.75" hidden="1" customHeight="1">
      <c r="A2322" s="4" t="s">
        <v>3889</v>
      </c>
      <c r="B2322" s="2" t="s">
        <v>3890</v>
      </c>
      <c r="C2322" s="2">
        <v>2717.0</v>
      </c>
      <c r="D2322" s="2">
        <v>2582.0</v>
      </c>
      <c r="E2322" s="2">
        <v>24480.0</v>
      </c>
      <c r="F2322" s="2">
        <v>13.0</v>
      </c>
    </row>
    <row r="2323" ht="15.75" customHeight="1">
      <c r="A2323" s="4" t="s">
        <v>3891</v>
      </c>
      <c r="B2323" s="2" t="s">
        <v>3892</v>
      </c>
      <c r="C2323" s="2">
        <v>634.0</v>
      </c>
      <c r="D2323" s="2">
        <v>669.0</v>
      </c>
      <c r="E2323" s="2">
        <v>23930.0</v>
      </c>
      <c r="F2323" s="2" t="s">
        <v>150</v>
      </c>
    </row>
    <row r="2324" ht="15.75" customHeight="1">
      <c r="A2324" s="4" t="s">
        <v>3893</v>
      </c>
      <c r="B2324" s="2" t="s">
        <v>3894</v>
      </c>
      <c r="C2324" s="2">
        <v>445.0</v>
      </c>
      <c r="D2324" s="2">
        <v>407.0</v>
      </c>
      <c r="E2324" s="2">
        <v>26410.0</v>
      </c>
      <c r="F2324" s="2" t="s">
        <v>150</v>
      </c>
    </row>
    <row r="2325" ht="15.75" customHeight="1">
      <c r="A2325" s="4" t="s">
        <v>3895</v>
      </c>
      <c r="B2325" s="2" t="s">
        <v>3896</v>
      </c>
      <c r="C2325" s="2">
        <v>1920.0</v>
      </c>
      <c r="D2325" s="2">
        <v>1943.0</v>
      </c>
      <c r="E2325" s="2">
        <v>24320.0</v>
      </c>
      <c r="F2325" s="2" t="s">
        <v>150</v>
      </c>
    </row>
    <row r="2326" ht="15.75" customHeight="1">
      <c r="A2326" s="4" t="s">
        <v>3897</v>
      </c>
      <c r="B2326" s="2" t="s">
        <v>3898</v>
      </c>
      <c r="C2326" s="2">
        <v>1243.0</v>
      </c>
      <c r="D2326" s="2">
        <v>1301.0</v>
      </c>
      <c r="E2326" s="2">
        <v>26920.0</v>
      </c>
      <c r="F2326" s="2" t="s">
        <v>150</v>
      </c>
    </row>
    <row r="2327" ht="15.75" customHeight="1">
      <c r="A2327" s="4" t="s">
        <v>6026</v>
      </c>
      <c r="B2327" s="2" t="s">
        <v>6027</v>
      </c>
      <c r="C2327" s="2">
        <v>299.0</v>
      </c>
      <c r="D2327" s="2">
        <v>295.0</v>
      </c>
      <c r="E2327" s="2">
        <v>28070.0</v>
      </c>
      <c r="F2327" s="2" t="s">
        <v>150</v>
      </c>
    </row>
    <row r="2328" ht="15.75" customHeight="1">
      <c r="A2328" s="4" t="s">
        <v>3899</v>
      </c>
      <c r="B2328" s="2" t="s">
        <v>3900</v>
      </c>
      <c r="C2328" s="2">
        <v>552.0</v>
      </c>
      <c r="D2328" s="2">
        <v>521.0</v>
      </c>
      <c r="E2328" s="2">
        <v>28880.0</v>
      </c>
      <c r="F2328" s="2" t="s">
        <v>150</v>
      </c>
    </row>
    <row r="2329" ht="15.75" customHeight="1">
      <c r="A2329" s="4" t="s">
        <v>6028</v>
      </c>
      <c r="B2329" s="2" t="s">
        <v>6029</v>
      </c>
      <c r="C2329" s="2">
        <v>70.0</v>
      </c>
      <c r="D2329" s="2">
        <v>66.0</v>
      </c>
      <c r="E2329" s="2" t="s">
        <v>150</v>
      </c>
      <c r="F2329" s="2" t="s">
        <v>150</v>
      </c>
    </row>
    <row r="2330" ht="15.75" customHeight="1">
      <c r="A2330" s="4" t="s">
        <v>6030</v>
      </c>
      <c r="B2330" s="2" t="s">
        <v>6031</v>
      </c>
      <c r="C2330" s="2">
        <v>159.0</v>
      </c>
      <c r="D2330" s="2">
        <v>168.0</v>
      </c>
      <c r="E2330" s="2">
        <v>23030.0</v>
      </c>
      <c r="F2330" s="2" t="s">
        <v>150</v>
      </c>
    </row>
    <row r="2331" ht="15.75" customHeight="1">
      <c r="A2331" s="4" t="s">
        <v>6032</v>
      </c>
      <c r="B2331" s="2" t="s">
        <v>6033</v>
      </c>
      <c r="C2331" s="2">
        <v>217.0</v>
      </c>
      <c r="D2331" s="2">
        <v>223.0</v>
      </c>
      <c r="E2331" s="2">
        <v>28670.0</v>
      </c>
      <c r="F2331" s="2" t="s">
        <v>150</v>
      </c>
    </row>
    <row r="2332" ht="15.75" customHeight="1">
      <c r="A2332" s="4" t="s">
        <v>3901</v>
      </c>
      <c r="B2332" s="2" t="s">
        <v>3902</v>
      </c>
      <c r="C2332" s="2">
        <v>485.0</v>
      </c>
      <c r="D2332" s="2">
        <v>474.0</v>
      </c>
      <c r="E2332" s="2">
        <v>24530.0</v>
      </c>
      <c r="F2332" s="2" t="s">
        <v>150</v>
      </c>
    </row>
    <row r="2333" ht="15.75" customHeight="1">
      <c r="A2333" s="4" t="s">
        <v>3903</v>
      </c>
      <c r="B2333" s="2" t="s">
        <v>3904</v>
      </c>
      <c r="C2333" s="2">
        <v>750.0</v>
      </c>
      <c r="D2333" s="2">
        <v>819.0</v>
      </c>
      <c r="E2333" s="2">
        <v>30950.0</v>
      </c>
      <c r="F2333" s="2" t="s">
        <v>150</v>
      </c>
    </row>
    <row r="2334" ht="15.75" customHeight="1">
      <c r="A2334" s="4" t="s">
        <v>6034</v>
      </c>
      <c r="B2334" s="2" t="s">
        <v>6035</v>
      </c>
      <c r="C2334" s="2">
        <v>551.0</v>
      </c>
      <c r="D2334" s="2">
        <v>638.0</v>
      </c>
      <c r="E2334" s="2">
        <v>28500.0</v>
      </c>
      <c r="F2334" s="2" t="s">
        <v>150</v>
      </c>
    </row>
    <row r="2335" ht="15.75" hidden="1" customHeight="1">
      <c r="A2335" s="4" t="s">
        <v>3905</v>
      </c>
      <c r="B2335" s="2" t="s">
        <v>3906</v>
      </c>
      <c r="C2335" s="2">
        <v>17124.0</v>
      </c>
      <c r="D2335" s="2">
        <v>17909.0</v>
      </c>
      <c r="E2335" s="2">
        <v>22510.0</v>
      </c>
      <c r="F2335" s="2">
        <v>21.0</v>
      </c>
    </row>
    <row r="2336" ht="15.75" customHeight="1">
      <c r="A2336" s="4" t="s">
        <v>6036</v>
      </c>
      <c r="B2336" s="2" t="s">
        <v>6037</v>
      </c>
      <c r="C2336" s="2">
        <v>211.0</v>
      </c>
      <c r="D2336" s="2">
        <v>211.0</v>
      </c>
      <c r="E2336" s="2">
        <v>25440.0</v>
      </c>
      <c r="F2336" s="2" t="s">
        <v>150</v>
      </c>
    </row>
    <row r="2337" ht="15.75" hidden="1" customHeight="1">
      <c r="A2337" s="4" t="s">
        <v>3907</v>
      </c>
      <c r="B2337" s="2" t="s">
        <v>3908</v>
      </c>
      <c r="C2337" s="2">
        <v>2814.0</v>
      </c>
      <c r="D2337" s="2">
        <v>2593.0</v>
      </c>
      <c r="E2337" s="2">
        <v>21890.0</v>
      </c>
      <c r="F2337" s="2">
        <v>20.0</v>
      </c>
    </row>
    <row r="2338" ht="15.75" customHeight="1">
      <c r="A2338" s="4" t="s">
        <v>6038</v>
      </c>
      <c r="B2338" s="2" t="s">
        <v>6039</v>
      </c>
      <c r="C2338" s="2">
        <v>346.0</v>
      </c>
      <c r="D2338" s="2">
        <v>331.0</v>
      </c>
      <c r="E2338" s="2">
        <v>26440.0</v>
      </c>
      <c r="F2338" s="2" t="s">
        <v>150</v>
      </c>
    </row>
    <row r="2339" ht="15.75" customHeight="1">
      <c r="A2339" s="4" t="s">
        <v>6040</v>
      </c>
      <c r="B2339" s="2" t="s">
        <v>593</v>
      </c>
      <c r="C2339" s="2">
        <v>162.0</v>
      </c>
      <c r="D2339" s="2">
        <v>150.0</v>
      </c>
      <c r="E2339" s="2">
        <v>26700.0</v>
      </c>
      <c r="F2339" s="2" t="s">
        <v>150</v>
      </c>
    </row>
    <row r="2340" ht="15.75" customHeight="1">
      <c r="A2340" s="4" t="s">
        <v>3909</v>
      </c>
      <c r="B2340" s="2" t="s">
        <v>3910</v>
      </c>
      <c r="C2340" s="2">
        <v>457.0</v>
      </c>
      <c r="D2340" s="2">
        <v>423.0</v>
      </c>
      <c r="E2340" s="2">
        <v>23510.0</v>
      </c>
      <c r="F2340" s="2" t="s">
        <v>150</v>
      </c>
    </row>
    <row r="2341" ht="15.75" customHeight="1">
      <c r="A2341" s="4" t="s">
        <v>6041</v>
      </c>
      <c r="B2341" s="2" t="s">
        <v>6042</v>
      </c>
      <c r="C2341" s="2">
        <v>259.0</v>
      </c>
      <c r="D2341" s="2">
        <v>247.0</v>
      </c>
      <c r="E2341" s="2">
        <v>27000.0</v>
      </c>
      <c r="F2341" s="2" t="s">
        <v>150</v>
      </c>
    </row>
    <row r="2342" ht="15.75" customHeight="1">
      <c r="A2342" s="4" t="s">
        <v>6043</v>
      </c>
      <c r="B2342" s="2" t="s">
        <v>6044</v>
      </c>
      <c r="C2342" s="2">
        <v>155.0</v>
      </c>
      <c r="D2342" s="2">
        <v>174.0</v>
      </c>
      <c r="E2342" s="2">
        <v>22970.0</v>
      </c>
      <c r="F2342" s="2" t="s">
        <v>150</v>
      </c>
    </row>
    <row r="2343" ht="15.75" customHeight="1">
      <c r="A2343" s="4" t="s">
        <v>6045</v>
      </c>
      <c r="B2343" s="2" t="s">
        <v>6046</v>
      </c>
      <c r="C2343" s="2">
        <v>293.0</v>
      </c>
      <c r="D2343" s="2">
        <v>293.0</v>
      </c>
      <c r="E2343" s="2">
        <v>29570.0</v>
      </c>
      <c r="F2343" s="2" t="s">
        <v>150</v>
      </c>
    </row>
    <row r="2344" ht="15.75" hidden="1" customHeight="1">
      <c r="A2344" s="4" t="s">
        <v>3913</v>
      </c>
      <c r="B2344" s="2" t="s">
        <v>3914</v>
      </c>
      <c r="C2344" s="2">
        <v>2881.0</v>
      </c>
      <c r="D2344" s="2">
        <v>2785.0</v>
      </c>
      <c r="E2344" s="2">
        <v>22840.0</v>
      </c>
      <c r="F2344" s="2">
        <v>16.0</v>
      </c>
    </row>
    <row r="2345" ht="15.75" customHeight="1">
      <c r="A2345" s="4" t="s">
        <v>3915</v>
      </c>
      <c r="B2345" s="2" t="s">
        <v>3916</v>
      </c>
      <c r="C2345" s="2">
        <v>624.0</v>
      </c>
      <c r="D2345" s="2">
        <v>593.0</v>
      </c>
      <c r="E2345" s="2">
        <v>26410.0</v>
      </c>
      <c r="F2345" s="2" t="s">
        <v>150</v>
      </c>
    </row>
    <row r="2346" ht="15.75" customHeight="1">
      <c r="A2346" s="4" t="s">
        <v>6047</v>
      </c>
      <c r="B2346" s="2" t="s">
        <v>6048</v>
      </c>
      <c r="C2346" s="2">
        <v>195.0</v>
      </c>
      <c r="D2346" s="2">
        <v>186.0</v>
      </c>
      <c r="E2346" s="2">
        <v>26160.0</v>
      </c>
      <c r="F2346" s="2" t="s">
        <v>150</v>
      </c>
    </row>
    <row r="2347" ht="15.75" customHeight="1">
      <c r="A2347" s="4" t="s">
        <v>6049</v>
      </c>
      <c r="B2347" s="2" t="s">
        <v>6050</v>
      </c>
      <c r="C2347" s="2">
        <v>327.0</v>
      </c>
      <c r="D2347" s="2">
        <v>312.0</v>
      </c>
      <c r="E2347" s="2">
        <v>24040.0</v>
      </c>
      <c r="F2347" s="2" t="s">
        <v>150</v>
      </c>
    </row>
    <row r="2348" ht="15.75" customHeight="1">
      <c r="A2348" s="4" t="s">
        <v>3917</v>
      </c>
      <c r="B2348" s="2" t="s">
        <v>3918</v>
      </c>
      <c r="C2348" s="2">
        <v>772.0</v>
      </c>
      <c r="D2348" s="2">
        <v>805.0</v>
      </c>
      <c r="E2348" s="2">
        <v>25740.0</v>
      </c>
      <c r="F2348" s="2" t="s">
        <v>150</v>
      </c>
    </row>
    <row r="2349" ht="15.75" customHeight="1">
      <c r="A2349" s="4" t="s">
        <v>3919</v>
      </c>
      <c r="B2349" s="2" t="s">
        <v>3920</v>
      </c>
      <c r="C2349" s="2">
        <v>942.0</v>
      </c>
      <c r="D2349" s="2">
        <v>907.0</v>
      </c>
      <c r="E2349" s="2">
        <v>26060.0</v>
      </c>
      <c r="F2349" s="2" t="s">
        <v>150</v>
      </c>
    </row>
    <row r="2350" ht="15.75" customHeight="1">
      <c r="A2350" s="4" t="s">
        <v>6051</v>
      </c>
      <c r="B2350" s="2" t="s">
        <v>6052</v>
      </c>
      <c r="C2350" s="2">
        <v>137.0</v>
      </c>
      <c r="D2350" s="2">
        <v>132.0</v>
      </c>
      <c r="E2350" s="2">
        <v>27450.0</v>
      </c>
      <c r="F2350" s="2" t="s">
        <v>150</v>
      </c>
    </row>
    <row r="2351" ht="15.75" customHeight="1">
      <c r="A2351" s="4" t="s">
        <v>4179</v>
      </c>
      <c r="B2351" s="2" t="s">
        <v>4180</v>
      </c>
      <c r="C2351" s="2">
        <v>935.0</v>
      </c>
      <c r="D2351" s="2">
        <v>879.0</v>
      </c>
      <c r="E2351" s="2">
        <v>26350.0</v>
      </c>
      <c r="F2351" s="2" t="s">
        <v>150</v>
      </c>
    </row>
    <row r="2352" ht="15.75" customHeight="1">
      <c r="A2352" s="4" t="s">
        <v>3921</v>
      </c>
      <c r="B2352" s="2" t="s">
        <v>3922</v>
      </c>
      <c r="C2352" s="2">
        <v>1135.0</v>
      </c>
      <c r="D2352" s="2">
        <v>1073.0</v>
      </c>
      <c r="E2352" s="2">
        <v>25680.0</v>
      </c>
      <c r="F2352" s="2" t="s">
        <v>150</v>
      </c>
    </row>
    <row r="2353" ht="15.75" customHeight="1">
      <c r="A2353" s="4" t="s">
        <v>6053</v>
      </c>
      <c r="B2353" s="2" t="s">
        <v>6054</v>
      </c>
      <c r="C2353" s="2">
        <v>216.0</v>
      </c>
      <c r="D2353" s="2">
        <v>222.0</v>
      </c>
      <c r="E2353" s="2">
        <v>24600.0</v>
      </c>
      <c r="F2353" s="2" t="s">
        <v>150</v>
      </c>
    </row>
    <row r="2354" ht="15.75" hidden="1" customHeight="1">
      <c r="A2354" s="4" t="s">
        <v>3923</v>
      </c>
      <c r="B2354" s="2" t="s">
        <v>3924</v>
      </c>
      <c r="C2354" s="2">
        <v>2506.0</v>
      </c>
      <c r="D2354" s="2">
        <v>2443.0</v>
      </c>
      <c r="E2354" s="2">
        <v>31840.0</v>
      </c>
      <c r="F2354" s="2">
        <v>8.0</v>
      </c>
    </row>
    <row r="2355" ht="15.75" customHeight="1">
      <c r="A2355" s="4" t="s">
        <v>3925</v>
      </c>
      <c r="B2355" s="2" t="s">
        <v>3927</v>
      </c>
      <c r="C2355" s="2">
        <v>331.0</v>
      </c>
      <c r="D2355" s="2">
        <v>354.0</v>
      </c>
      <c r="E2355" s="2">
        <v>24610.0</v>
      </c>
      <c r="F2355" s="2" t="s">
        <v>150</v>
      </c>
    </row>
    <row r="2356" ht="15.75" customHeight="1">
      <c r="A2356" s="4" t="s">
        <v>6055</v>
      </c>
      <c r="B2356" s="2" t="s">
        <v>6056</v>
      </c>
      <c r="C2356" s="2">
        <v>478.0</v>
      </c>
      <c r="D2356" s="2">
        <v>572.0</v>
      </c>
      <c r="E2356" s="2">
        <v>28320.0</v>
      </c>
      <c r="F2356" s="2" t="s">
        <v>150</v>
      </c>
    </row>
    <row r="2357" ht="15.75" customHeight="1">
      <c r="A2357" s="4" t="s">
        <v>6057</v>
      </c>
      <c r="B2357" s="2" t="s">
        <v>6058</v>
      </c>
      <c r="C2357" s="2">
        <v>91.0</v>
      </c>
      <c r="D2357" s="2">
        <v>83.0</v>
      </c>
      <c r="E2357" s="2" t="s">
        <v>150</v>
      </c>
      <c r="F2357" s="2" t="s">
        <v>150</v>
      </c>
    </row>
    <row r="2358" ht="15.75" hidden="1" customHeight="1">
      <c r="A2358" s="4" t="s">
        <v>3929</v>
      </c>
      <c r="B2358" s="2" t="s">
        <v>3930</v>
      </c>
      <c r="C2358" s="2">
        <v>2611.0</v>
      </c>
      <c r="D2358" s="2">
        <v>2638.0</v>
      </c>
      <c r="E2358" s="2">
        <v>27340.0</v>
      </c>
      <c r="F2358" s="2">
        <v>11.0</v>
      </c>
    </row>
    <row r="2359" ht="15.75" hidden="1" customHeight="1">
      <c r="A2359" s="4" t="s">
        <v>3931</v>
      </c>
      <c r="B2359" s="2" t="s">
        <v>3932</v>
      </c>
      <c r="C2359" s="2">
        <v>2366.0</v>
      </c>
      <c r="D2359" s="2">
        <v>2258.0</v>
      </c>
      <c r="E2359" s="2">
        <v>24720.0</v>
      </c>
      <c r="F2359" s="2">
        <v>11.0</v>
      </c>
    </row>
    <row r="2360" ht="15.75" customHeight="1">
      <c r="A2360" s="4" t="s">
        <v>6059</v>
      </c>
      <c r="B2360" s="2" t="s">
        <v>6060</v>
      </c>
      <c r="C2360" s="2">
        <v>319.0</v>
      </c>
      <c r="D2360" s="2">
        <v>309.0</v>
      </c>
      <c r="E2360" s="2">
        <v>26700.0</v>
      </c>
      <c r="F2360" s="2" t="s">
        <v>150</v>
      </c>
    </row>
    <row r="2361" ht="15.75" customHeight="1">
      <c r="A2361" s="4" t="s">
        <v>6061</v>
      </c>
      <c r="B2361" s="2" t="s">
        <v>6062</v>
      </c>
      <c r="C2361" s="2">
        <v>113.0</v>
      </c>
      <c r="D2361" s="2">
        <v>76.0</v>
      </c>
      <c r="E2361" s="2" t="s">
        <v>150</v>
      </c>
      <c r="F2361" s="2" t="s">
        <v>150</v>
      </c>
    </row>
    <row r="2362" ht="15.75" customHeight="1">
      <c r="A2362" s="4" t="s">
        <v>6063</v>
      </c>
      <c r="B2362" s="2" t="s">
        <v>6064</v>
      </c>
      <c r="C2362" s="2">
        <v>122.0</v>
      </c>
      <c r="D2362" s="2">
        <v>111.0</v>
      </c>
      <c r="E2362" s="2">
        <v>23890.0</v>
      </c>
      <c r="F2362" s="2" t="s">
        <v>150</v>
      </c>
    </row>
    <row r="2363" ht="15.75" hidden="1" customHeight="1">
      <c r="A2363" s="4" t="s">
        <v>3933</v>
      </c>
      <c r="B2363" s="2" t="s">
        <v>3934</v>
      </c>
      <c r="C2363" s="2">
        <v>5372.0</v>
      </c>
      <c r="D2363" s="2">
        <v>5438.0</v>
      </c>
      <c r="E2363" s="2">
        <v>25180.0</v>
      </c>
      <c r="F2363" s="2">
        <v>11.0</v>
      </c>
    </row>
    <row r="2364" ht="15.75" customHeight="1">
      <c r="A2364" s="4" t="s">
        <v>3937</v>
      </c>
      <c r="B2364" s="2" t="s">
        <v>3938</v>
      </c>
      <c r="C2364" s="2">
        <v>737.0</v>
      </c>
      <c r="D2364" s="2">
        <v>770.0</v>
      </c>
      <c r="E2364" s="2">
        <v>24370.0</v>
      </c>
      <c r="F2364" s="2" t="s">
        <v>150</v>
      </c>
    </row>
    <row r="2365" ht="15.75" customHeight="1">
      <c r="A2365" s="4" t="s">
        <v>6065</v>
      </c>
      <c r="B2365" s="2" t="s">
        <v>6066</v>
      </c>
      <c r="C2365" s="2">
        <v>161.0</v>
      </c>
      <c r="D2365" s="2">
        <v>146.0</v>
      </c>
      <c r="E2365" s="2">
        <v>22640.0</v>
      </c>
      <c r="F2365" s="2" t="s">
        <v>150</v>
      </c>
    </row>
    <row r="2366" ht="15.75" customHeight="1">
      <c r="A2366" s="4" t="s">
        <v>3939</v>
      </c>
      <c r="B2366" s="2" t="s">
        <v>3940</v>
      </c>
      <c r="C2366" s="2">
        <v>601.0</v>
      </c>
      <c r="D2366" s="2">
        <v>550.0</v>
      </c>
      <c r="E2366" s="2">
        <v>24420.0</v>
      </c>
      <c r="F2366" s="2" t="s">
        <v>150</v>
      </c>
    </row>
    <row r="2367" ht="15.75" customHeight="1">
      <c r="A2367" s="4" t="s">
        <v>6067</v>
      </c>
      <c r="B2367" s="2" t="s">
        <v>6068</v>
      </c>
      <c r="C2367" s="2">
        <v>461.0</v>
      </c>
      <c r="D2367" s="2">
        <v>479.0</v>
      </c>
      <c r="E2367" s="2">
        <v>25460.0</v>
      </c>
      <c r="F2367" s="2" t="s">
        <v>150</v>
      </c>
    </row>
    <row r="2368" ht="15.75" hidden="1" customHeight="1">
      <c r="A2368" s="4" t="s">
        <v>3941</v>
      </c>
      <c r="B2368" s="2" t="s">
        <v>3942</v>
      </c>
      <c r="C2368" s="2">
        <v>7774.0</v>
      </c>
      <c r="D2368" s="2">
        <v>7830.0</v>
      </c>
      <c r="E2368" s="2">
        <v>21300.0</v>
      </c>
      <c r="F2368" s="2">
        <v>23.0</v>
      </c>
    </row>
    <row r="2369" ht="15.75" hidden="1" customHeight="1">
      <c r="A2369" s="4" t="s">
        <v>3943</v>
      </c>
      <c r="B2369" s="2" t="s">
        <v>3944</v>
      </c>
      <c r="C2369" s="2">
        <v>10512.0</v>
      </c>
      <c r="D2369" s="2">
        <v>10176.0</v>
      </c>
      <c r="E2369" s="2">
        <v>22980.0</v>
      </c>
      <c r="F2369" s="2">
        <v>19.0</v>
      </c>
    </row>
    <row r="2370" ht="15.75" customHeight="1">
      <c r="A2370" s="4" t="s">
        <v>6069</v>
      </c>
      <c r="B2370" s="2" t="s">
        <v>6070</v>
      </c>
      <c r="C2370" s="2">
        <v>515.0</v>
      </c>
      <c r="D2370" s="2">
        <v>505.0</v>
      </c>
      <c r="E2370" s="2">
        <v>24260.0</v>
      </c>
      <c r="F2370" s="2" t="s">
        <v>150</v>
      </c>
    </row>
    <row r="2371" ht="15.75" hidden="1" customHeight="1">
      <c r="A2371" s="4" t="s">
        <v>4181</v>
      </c>
      <c r="B2371" s="2" t="s">
        <v>4182</v>
      </c>
      <c r="C2371" s="2">
        <v>2764.0</v>
      </c>
      <c r="D2371" s="2">
        <v>2590.0</v>
      </c>
      <c r="E2371" s="2">
        <v>27960.0</v>
      </c>
      <c r="F2371" s="2">
        <v>8.0</v>
      </c>
    </row>
    <row r="2372" ht="15.75" customHeight="1">
      <c r="A2372" s="4" t="s">
        <v>6071</v>
      </c>
      <c r="B2372" s="2" t="s">
        <v>6072</v>
      </c>
      <c r="C2372" s="2">
        <v>65.0</v>
      </c>
      <c r="D2372" s="2">
        <v>76.0</v>
      </c>
      <c r="E2372" s="2" t="s">
        <v>150</v>
      </c>
      <c r="F2372" s="2" t="s">
        <v>150</v>
      </c>
    </row>
    <row r="2373" ht="15.75" customHeight="1">
      <c r="A2373" s="4" t="s">
        <v>3947</v>
      </c>
      <c r="B2373" s="2" t="s">
        <v>3948</v>
      </c>
      <c r="C2373" s="2">
        <v>606.0</v>
      </c>
      <c r="D2373" s="2">
        <v>597.0</v>
      </c>
      <c r="E2373" s="2">
        <v>23310.0</v>
      </c>
      <c r="F2373" s="2" t="s">
        <v>150</v>
      </c>
    </row>
    <row r="2374" ht="15.75" customHeight="1">
      <c r="A2374" s="4" t="s">
        <v>3951</v>
      </c>
      <c r="B2374" s="2" t="s">
        <v>3952</v>
      </c>
      <c r="C2374" s="2">
        <v>786.0</v>
      </c>
      <c r="D2374" s="2">
        <v>815.0</v>
      </c>
      <c r="E2374" s="2">
        <v>26700.0</v>
      </c>
      <c r="F2374" s="2" t="s">
        <v>150</v>
      </c>
    </row>
    <row r="2375" ht="15.75" customHeight="1">
      <c r="A2375" s="4" t="s">
        <v>6073</v>
      </c>
      <c r="B2375" s="2" t="s">
        <v>265</v>
      </c>
      <c r="C2375" s="2">
        <v>149.0</v>
      </c>
      <c r="D2375" s="2">
        <v>159.0</v>
      </c>
      <c r="E2375" s="2">
        <v>23570.0</v>
      </c>
      <c r="F2375" s="2" t="s">
        <v>150</v>
      </c>
    </row>
    <row r="2376" ht="15.75" customHeight="1">
      <c r="A2376" s="4" t="s">
        <v>3953</v>
      </c>
      <c r="B2376" s="2" t="s">
        <v>3954</v>
      </c>
      <c r="C2376" s="2">
        <v>485.0</v>
      </c>
      <c r="D2376" s="2">
        <v>463.0</v>
      </c>
      <c r="E2376" s="2">
        <v>23170.0</v>
      </c>
      <c r="F2376" s="2" t="s">
        <v>150</v>
      </c>
    </row>
    <row r="2377" ht="15.75" customHeight="1">
      <c r="A2377" s="4" t="s">
        <v>6074</v>
      </c>
      <c r="B2377" s="2" t="s">
        <v>6075</v>
      </c>
      <c r="C2377" s="2">
        <v>278.0</v>
      </c>
      <c r="D2377" s="2">
        <v>318.0</v>
      </c>
      <c r="E2377" s="2">
        <v>26550.0</v>
      </c>
      <c r="F2377" s="2" t="s">
        <v>150</v>
      </c>
    </row>
    <row r="2378" ht="15.75" customHeight="1">
      <c r="A2378" s="4" t="s">
        <v>3949</v>
      </c>
      <c r="B2378" s="2" t="s">
        <v>3950</v>
      </c>
      <c r="C2378" s="2">
        <v>1929.0</v>
      </c>
      <c r="D2378" s="2">
        <v>1939.0</v>
      </c>
      <c r="E2378" s="2">
        <v>23940.0</v>
      </c>
      <c r="F2378" s="2" t="s">
        <v>150</v>
      </c>
    </row>
    <row r="2379" ht="15.75" customHeight="1">
      <c r="A2379" s="4" t="s">
        <v>6076</v>
      </c>
      <c r="B2379" s="2" t="s">
        <v>6077</v>
      </c>
      <c r="C2379" s="2">
        <v>322.0</v>
      </c>
      <c r="D2379" s="2">
        <v>333.0</v>
      </c>
      <c r="E2379" s="2">
        <v>24450.0</v>
      </c>
      <c r="F2379" s="2" t="s">
        <v>150</v>
      </c>
    </row>
    <row r="2380" ht="15.75" hidden="1" customHeight="1">
      <c r="A2380" s="4" t="s">
        <v>3955</v>
      </c>
      <c r="B2380" s="2" t="s">
        <v>3956</v>
      </c>
      <c r="C2380" s="2">
        <v>5121.0</v>
      </c>
      <c r="D2380" s="2">
        <v>5129.0</v>
      </c>
      <c r="E2380" s="2">
        <v>27070.0</v>
      </c>
      <c r="F2380" s="2">
        <v>12.0</v>
      </c>
    </row>
    <row r="2381" ht="15.75" customHeight="1">
      <c r="A2381" s="4" t="s">
        <v>3959</v>
      </c>
      <c r="B2381" s="2" t="s">
        <v>3960</v>
      </c>
      <c r="C2381" s="2">
        <v>1741.0</v>
      </c>
      <c r="D2381" s="2">
        <v>1784.0</v>
      </c>
      <c r="E2381" s="2">
        <v>25790.0</v>
      </c>
      <c r="F2381" s="2" t="s">
        <v>150</v>
      </c>
    </row>
    <row r="2382" ht="15.75" hidden="1" customHeight="1">
      <c r="A2382" s="4" t="s">
        <v>3961</v>
      </c>
      <c r="B2382" s="2" t="s">
        <v>3962</v>
      </c>
      <c r="C2382" s="2">
        <v>5646.0</v>
      </c>
      <c r="D2382" s="2">
        <v>5683.0</v>
      </c>
      <c r="E2382" s="2">
        <v>27890.0</v>
      </c>
      <c r="F2382" s="2">
        <v>9.0</v>
      </c>
    </row>
    <row r="2383" ht="15.75" customHeight="1">
      <c r="A2383" s="4" t="s">
        <v>3963</v>
      </c>
      <c r="B2383" s="2" t="s">
        <v>3964</v>
      </c>
      <c r="C2383" s="2">
        <v>1316.0</v>
      </c>
      <c r="D2383" s="2">
        <v>1311.0</v>
      </c>
      <c r="E2383" s="2">
        <v>22350.0</v>
      </c>
      <c r="F2383" s="2" t="s">
        <v>150</v>
      </c>
    </row>
    <row r="2384" ht="15.75" customHeight="1">
      <c r="A2384" s="4" t="s">
        <v>3965</v>
      </c>
      <c r="B2384" s="2" t="s">
        <v>3966</v>
      </c>
      <c r="C2384" s="2">
        <v>1178.0</v>
      </c>
      <c r="D2384" s="2">
        <v>1124.0</v>
      </c>
      <c r="E2384" s="2">
        <v>25090.0</v>
      </c>
      <c r="F2384" s="2" t="s">
        <v>150</v>
      </c>
    </row>
    <row r="2385" ht="15.75" customHeight="1">
      <c r="A2385" s="4" t="s">
        <v>6078</v>
      </c>
      <c r="B2385" s="2" t="s">
        <v>6079</v>
      </c>
      <c r="C2385" s="2">
        <v>86.0</v>
      </c>
      <c r="D2385" s="2">
        <v>94.0</v>
      </c>
      <c r="E2385" s="2" t="s">
        <v>150</v>
      </c>
      <c r="F2385" s="2" t="s">
        <v>150</v>
      </c>
    </row>
    <row r="2386" ht="15.75" customHeight="1">
      <c r="A2386" s="4" t="s">
        <v>6080</v>
      </c>
      <c r="B2386" s="2" t="s">
        <v>6081</v>
      </c>
      <c r="C2386" s="2">
        <v>389.0</v>
      </c>
      <c r="D2386" s="2">
        <v>391.0</v>
      </c>
      <c r="E2386" s="2">
        <v>22980.0</v>
      </c>
      <c r="F2386" s="2" t="s">
        <v>150</v>
      </c>
    </row>
    <row r="2387" ht="15.75" hidden="1" customHeight="1">
      <c r="A2387" s="4" t="s">
        <v>3967</v>
      </c>
      <c r="B2387" s="2" t="s">
        <v>3968</v>
      </c>
      <c r="C2387" s="2">
        <v>4985.0</v>
      </c>
      <c r="D2387" s="2">
        <v>4829.0</v>
      </c>
      <c r="E2387" s="2">
        <v>20700.0</v>
      </c>
      <c r="F2387" s="2">
        <v>25.0</v>
      </c>
    </row>
    <row r="2388" ht="15.75" customHeight="1">
      <c r="A2388" s="4" t="s">
        <v>3971</v>
      </c>
      <c r="B2388" s="2" t="s">
        <v>3972</v>
      </c>
      <c r="C2388" s="2">
        <v>750.0</v>
      </c>
      <c r="D2388" s="2">
        <v>709.0</v>
      </c>
      <c r="E2388" s="2">
        <v>24650.0</v>
      </c>
      <c r="F2388" s="2" t="s">
        <v>150</v>
      </c>
    </row>
    <row r="2389" ht="15.75" hidden="1" customHeight="1">
      <c r="A2389" s="4" t="s">
        <v>3969</v>
      </c>
      <c r="B2389" s="2" t="s">
        <v>3970</v>
      </c>
      <c r="C2389" s="2">
        <v>6978.0</v>
      </c>
      <c r="D2389" s="2">
        <v>6766.0</v>
      </c>
      <c r="E2389" s="2">
        <v>19620.0</v>
      </c>
      <c r="F2389" s="2">
        <v>30.0</v>
      </c>
    </row>
    <row r="2390" ht="15.75" customHeight="1">
      <c r="A2390" s="4" t="s">
        <v>6082</v>
      </c>
      <c r="B2390" s="2" t="s">
        <v>6083</v>
      </c>
      <c r="C2390" s="2">
        <v>828.0</v>
      </c>
      <c r="D2390" s="2">
        <v>826.0</v>
      </c>
      <c r="E2390" s="2">
        <v>25690.0</v>
      </c>
      <c r="F2390" s="2" t="s">
        <v>150</v>
      </c>
    </row>
    <row r="2391" ht="15.75" customHeight="1">
      <c r="A2391" s="4" t="s">
        <v>6084</v>
      </c>
      <c r="B2391" s="2" t="s">
        <v>6085</v>
      </c>
      <c r="C2391" s="2">
        <v>308.0</v>
      </c>
      <c r="D2391" s="2">
        <v>286.0</v>
      </c>
      <c r="E2391" s="2">
        <v>26840.0</v>
      </c>
      <c r="F2391" s="2" t="s">
        <v>150</v>
      </c>
    </row>
    <row r="2392" ht="15.75" customHeight="1">
      <c r="A2392" s="4" t="s">
        <v>3975</v>
      </c>
      <c r="B2392" s="2" t="s">
        <v>3976</v>
      </c>
      <c r="C2392" s="2">
        <v>600.0</v>
      </c>
      <c r="D2392" s="2">
        <v>593.0</v>
      </c>
      <c r="E2392" s="2">
        <v>24760.0</v>
      </c>
      <c r="F2392" s="2" t="s">
        <v>150</v>
      </c>
    </row>
    <row r="2393" ht="15.75" hidden="1" customHeight="1">
      <c r="A2393" s="4" t="s">
        <v>3977</v>
      </c>
      <c r="B2393" s="2" t="s">
        <v>3978</v>
      </c>
      <c r="C2393" s="2">
        <v>5891.0</v>
      </c>
      <c r="D2393" s="2">
        <v>6139.0</v>
      </c>
      <c r="E2393" s="2">
        <v>23290.0</v>
      </c>
      <c r="F2393" s="2">
        <v>17.0</v>
      </c>
    </row>
    <row r="2394" ht="15.75" customHeight="1">
      <c r="A2394" s="4" t="s">
        <v>6086</v>
      </c>
      <c r="B2394" s="2" t="s">
        <v>6087</v>
      </c>
      <c r="C2394" s="2">
        <v>326.0</v>
      </c>
      <c r="D2394" s="2">
        <v>296.0</v>
      </c>
      <c r="E2394" s="2">
        <v>24590.0</v>
      </c>
      <c r="F2394" s="2" t="s">
        <v>150</v>
      </c>
    </row>
    <row r="2395" ht="15.75" hidden="1" customHeight="1">
      <c r="A2395" s="4" t="s">
        <v>3979</v>
      </c>
      <c r="B2395" s="2" t="s">
        <v>3980</v>
      </c>
      <c r="C2395" s="2">
        <v>5407.0</v>
      </c>
      <c r="D2395" s="2">
        <v>5867.0</v>
      </c>
      <c r="E2395" s="2">
        <v>24330.0</v>
      </c>
      <c r="F2395" s="2">
        <v>14.0</v>
      </c>
    </row>
    <row r="2396" ht="15.75" hidden="1" customHeight="1">
      <c r="A2396" s="4" t="s">
        <v>3981</v>
      </c>
      <c r="B2396" s="2" t="s">
        <v>3982</v>
      </c>
      <c r="C2396" s="2">
        <v>2936.0</v>
      </c>
      <c r="D2396" s="2">
        <v>2939.0</v>
      </c>
      <c r="E2396" s="2">
        <v>22970.0</v>
      </c>
      <c r="F2396" s="2">
        <v>17.0</v>
      </c>
    </row>
    <row r="2397" ht="15.75" customHeight="1">
      <c r="A2397" s="4" t="s">
        <v>3985</v>
      </c>
      <c r="B2397" s="2" t="s">
        <v>3986</v>
      </c>
      <c r="C2397" s="2">
        <v>594.0</v>
      </c>
      <c r="D2397" s="2">
        <v>622.0</v>
      </c>
      <c r="E2397" s="2">
        <v>29310.0</v>
      </c>
      <c r="F2397" s="2" t="s">
        <v>150</v>
      </c>
    </row>
    <row r="2398" ht="15.75" customHeight="1">
      <c r="A2398" s="4" t="s">
        <v>6088</v>
      </c>
      <c r="B2398" s="2" t="s">
        <v>6089</v>
      </c>
      <c r="C2398" s="2">
        <v>1309.0</v>
      </c>
      <c r="D2398" s="2">
        <v>1399.0</v>
      </c>
      <c r="E2398" s="2">
        <v>32440.0</v>
      </c>
      <c r="F2398" s="2" t="s">
        <v>150</v>
      </c>
    </row>
    <row r="2399" ht="15.75" customHeight="1">
      <c r="A2399" s="4" t="s">
        <v>6090</v>
      </c>
      <c r="B2399" s="2" t="s">
        <v>1148</v>
      </c>
      <c r="C2399" s="2">
        <v>350.0</v>
      </c>
      <c r="D2399" s="2">
        <v>301.0</v>
      </c>
      <c r="E2399" s="2">
        <v>26620.0</v>
      </c>
      <c r="F2399" s="2" t="s">
        <v>150</v>
      </c>
    </row>
    <row r="2400" ht="15.75" customHeight="1">
      <c r="A2400" s="4" t="s">
        <v>6091</v>
      </c>
      <c r="B2400" s="2" t="s">
        <v>6092</v>
      </c>
      <c r="C2400" s="2">
        <v>390.0</v>
      </c>
      <c r="D2400" s="2">
        <v>378.0</v>
      </c>
      <c r="E2400" s="2">
        <v>31560.0</v>
      </c>
      <c r="F2400" s="2" t="s">
        <v>150</v>
      </c>
    </row>
    <row r="2401" ht="15.75" customHeight="1">
      <c r="A2401" s="4" t="s">
        <v>6093</v>
      </c>
      <c r="B2401" s="2" t="s">
        <v>6094</v>
      </c>
      <c r="C2401" s="2">
        <v>176.0</v>
      </c>
      <c r="D2401" s="2">
        <v>178.0</v>
      </c>
      <c r="E2401" s="2">
        <v>23630.0</v>
      </c>
      <c r="F2401" s="2" t="s">
        <v>150</v>
      </c>
    </row>
    <row r="2402" ht="15.75" customHeight="1">
      <c r="A2402" s="4" t="s">
        <v>6095</v>
      </c>
      <c r="B2402" s="2" t="s">
        <v>6096</v>
      </c>
      <c r="C2402" s="2">
        <v>131.0</v>
      </c>
      <c r="D2402" s="2">
        <v>124.0</v>
      </c>
      <c r="E2402" s="2">
        <v>22790.0</v>
      </c>
      <c r="F2402" s="2" t="s">
        <v>150</v>
      </c>
    </row>
    <row r="2403" ht="15.75" customHeight="1">
      <c r="A2403" s="4" t="s">
        <v>4637</v>
      </c>
      <c r="B2403" s="2" t="s">
        <v>4638</v>
      </c>
      <c r="C2403" s="2">
        <v>1672.0</v>
      </c>
      <c r="D2403" s="2">
        <v>1706.0</v>
      </c>
      <c r="E2403" s="2">
        <v>24360.0</v>
      </c>
      <c r="F2403" s="2" t="s">
        <v>150</v>
      </c>
    </row>
    <row r="2404" ht="15.75" customHeight="1">
      <c r="A2404" s="4" t="s">
        <v>4641</v>
      </c>
      <c r="B2404" s="2" t="s">
        <v>4642</v>
      </c>
      <c r="C2404" s="2">
        <v>491.0</v>
      </c>
      <c r="D2404" s="2">
        <v>485.0</v>
      </c>
      <c r="E2404" s="2">
        <v>27960.0</v>
      </c>
      <c r="F2404" s="2" t="s">
        <v>150</v>
      </c>
    </row>
    <row r="2405" ht="15.75" customHeight="1">
      <c r="A2405" s="4" t="s">
        <v>3989</v>
      </c>
      <c r="B2405" s="2" t="s">
        <v>3990</v>
      </c>
      <c r="C2405" s="2">
        <v>513.0</v>
      </c>
      <c r="D2405" s="2">
        <v>511.0</v>
      </c>
      <c r="E2405" s="2">
        <v>26290.0</v>
      </c>
      <c r="F2405" s="2" t="s">
        <v>150</v>
      </c>
    </row>
    <row r="2406" ht="15.75" hidden="1" customHeight="1">
      <c r="A2406" s="4" t="s">
        <v>3992</v>
      </c>
      <c r="B2406" s="2" t="s">
        <v>3994</v>
      </c>
      <c r="C2406" s="2">
        <v>2139.0</v>
      </c>
      <c r="D2406" s="2">
        <v>2181.0</v>
      </c>
      <c r="E2406" s="2">
        <v>26340.0</v>
      </c>
      <c r="F2406" s="2">
        <v>7.0</v>
      </c>
    </row>
    <row r="2407" ht="15.75" customHeight="1">
      <c r="A2407" s="4" t="s">
        <v>6097</v>
      </c>
      <c r="B2407" s="2" t="s">
        <v>6098</v>
      </c>
      <c r="C2407" s="2">
        <v>717.0</v>
      </c>
      <c r="D2407" s="2">
        <v>682.0</v>
      </c>
      <c r="E2407" s="2">
        <v>25670.0</v>
      </c>
      <c r="F2407" s="2" t="s">
        <v>150</v>
      </c>
    </row>
    <row r="2408" ht="15.75" customHeight="1">
      <c r="A2408" s="4" t="s">
        <v>6099</v>
      </c>
      <c r="B2408" s="2" t="s">
        <v>6100</v>
      </c>
      <c r="C2408" s="2">
        <v>386.0</v>
      </c>
      <c r="D2408" s="2">
        <v>370.0</v>
      </c>
      <c r="E2408" s="2">
        <v>31630.0</v>
      </c>
      <c r="F2408" s="2" t="s">
        <v>150</v>
      </c>
    </row>
    <row r="2409" ht="15.75" hidden="1" customHeight="1">
      <c r="A2409" s="4" t="s">
        <v>4645</v>
      </c>
      <c r="B2409" s="2" t="s">
        <v>4646</v>
      </c>
      <c r="C2409" s="2">
        <v>2920.0</v>
      </c>
      <c r="D2409" s="2">
        <v>2805.0</v>
      </c>
      <c r="E2409" s="2">
        <v>22770.0</v>
      </c>
      <c r="F2409" s="2">
        <v>19.0</v>
      </c>
    </row>
    <row r="2410" ht="15.75" customHeight="1">
      <c r="A2410" s="4" t="s">
        <v>3995</v>
      </c>
      <c r="B2410" s="2" t="s">
        <v>3996</v>
      </c>
      <c r="C2410" s="2">
        <v>914.0</v>
      </c>
      <c r="D2410" s="2">
        <v>836.0</v>
      </c>
      <c r="E2410" s="2">
        <v>23650.0</v>
      </c>
      <c r="F2410" s="2" t="s">
        <v>150</v>
      </c>
    </row>
    <row r="2411" ht="15.75" customHeight="1">
      <c r="A2411" s="4" t="s">
        <v>6101</v>
      </c>
      <c r="B2411" s="2" t="s">
        <v>6102</v>
      </c>
      <c r="C2411" s="2">
        <v>239.0</v>
      </c>
      <c r="D2411" s="2">
        <v>241.0</v>
      </c>
      <c r="E2411" s="2">
        <v>19520.0</v>
      </c>
      <c r="F2411" s="2" t="s">
        <v>150</v>
      </c>
    </row>
    <row r="2412" ht="15.75" customHeight="1">
      <c r="A2412" s="4" t="s">
        <v>3999</v>
      </c>
      <c r="B2412" s="2" t="s">
        <v>4000</v>
      </c>
      <c r="C2412" s="2">
        <v>1616.0</v>
      </c>
      <c r="D2412" s="2">
        <v>1594.0</v>
      </c>
      <c r="E2412" s="2">
        <v>23500.0</v>
      </c>
      <c r="F2412" s="2" t="s">
        <v>150</v>
      </c>
    </row>
    <row r="2413" ht="15.75" customHeight="1">
      <c r="A2413" s="4" t="s">
        <v>4003</v>
      </c>
      <c r="B2413" s="2" t="s">
        <v>4005</v>
      </c>
      <c r="C2413" s="2">
        <v>280.0</v>
      </c>
      <c r="D2413" s="2">
        <v>237.0</v>
      </c>
      <c r="E2413" s="2">
        <v>23980.0</v>
      </c>
      <c r="F2413" s="2" t="s">
        <v>150</v>
      </c>
    </row>
    <row r="2414" ht="15.75" hidden="1" customHeight="1">
      <c r="A2414" s="4" t="s">
        <v>4647</v>
      </c>
      <c r="B2414" s="2" t="s">
        <v>4648</v>
      </c>
      <c r="C2414" s="2">
        <v>3640.0</v>
      </c>
      <c r="D2414" s="2">
        <v>3737.0</v>
      </c>
      <c r="E2414" s="2">
        <v>24080.0</v>
      </c>
      <c r="F2414" s="2">
        <v>14.0</v>
      </c>
    </row>
    <row r="2415" ht="15.75" customHeight="1">
      <c r="A2415" s="4" t="s">
        <v>4649</v>
      </c>
      <c r="B2415" s="2" t="s">
        <v>4650</v>
      </c>
      <c r="C2415" s="2">
        <v>546.0</v>
      </c>
      <c r="D2415" s="2">
        <v>491.0</v>
      </c>
      <c r="E2415" s="2">
        <v>26220.0</v>
      </c>
      <c r="F2415" s="2" t="s">
        <v>150</v>
      </c>
    </row>
    <row r="2416" ht="15.75" customHeight="1">
      <c r="A2416" s="4" t="s">
        <v>6103</v>
      </c>
      <c r="B2416" s="2" t="s">
        <v>6104</v>
      </c>
      <c r="C2416" s="2">
        <v>250.0</v>
      </c>
      <c r="D2416" s="2">
        <v>238.0</v>
      </c>
      <c r="E2416" s="2">
        <v>25920.0</v>
      </c>
      <c r="F2416" s="2" t="s">
        <v>150</v>
      </c>
    </row>
    <row r="2417" ht="15.75" hidden="1" customHeight="1">
      <c r="A2417" s="4" t="s">
        <v>4651</v>
      </c>
      <c r="B2417" s="2" t="s">
        <v>4652</v>
      </c>
      <c r="C2417" s="2">
        <v>2738.0</v>
      </c>
      <c r="D2417" s="2">
        <v>2619.0</v>
      </c>
      <c r="E2417" s="2">
        <v>23250.0</v>
      </c>
      <c r="F2417" s="2">
        <v>18.0</v>
      </c>
    </row>
    <row r="2418" ht="15.75" customHeight="1">
      <c r="A2418" s="4" t="s">
        <v>6105</v>
      </c>
      <c r="B2418" s="2" t="s">
        <v>6106</v>
      </c>
      <c r="C2418" s="2">
        <v>76.0</v>
      </c>
      <c r="D2418" s="2">
        <v>71.0</v>
      </c>
      <c r="E2418" s="2" t="s">
        <v>150</v>
      </c>
      <c r="F2418" s="2" t="s">
        <v>150</v>
      </c>
    </row>
    <row r="2419" ht="15.75" customHeight="1">
      <c r="A2419" s="4" t="s">
        <v>6107</v>
      </c>
      <c r="B2419" s="2" t="s">
        <v>6108</v>
      </c>
      <c r="C2419" s="2">
        <v>233.0</v>
      </c>
      <c r="D2419" s="2">
        <v>230.0</v>
      </c>
      <c r="E2419" s="2">
        <v>22820.0</v>
      </c>
      <c r="F2419" s="2" t="s">
        <v>150</v>
      </c>
    </row>
    <row r="2420" ht="15.75" customHeight="1">
      <c r="A2420" s="4" t="s">
        <v>6109</v>
      </c>
      <c r="B2420" s="2" t="s">
        <v>6110</v>
      </c>
      <c r="C2420" s="2">
        <v>234.0</v>
      </c>
      <c r="D2420" s="2">
        <v>221.0</v>
      </c>
      <c r="E2420" s="2">
        <v>22220.0</v>
      </c>
      <c r="F2420" s="2" t="s">
        <v>150</v>
      </c>
    </row>
    <row r="2421" ht="15.75" customHeight="1">
      <c r="A2421" s="4" t="s">
        <v>6111</v>
      </c>
      <c r="B2421" s="2" t="s">
        <v>6112</v>
      </c>
      <c r="C2421" s="2">
        <v>325.0</v>
      </c>
      <c r="D2421" s="2">
        <v>338.0</v>
      </c>
      <c r="E2421" s="2">
        <v>22540.0</v>
      </c>
      <c r="F2421" s="2" t="s">
        <v>150</v>
      </c>
    </row>
    <row r="2422" ht="15.75" customHeight="1">
      <c r="A2422" s="4" t="s">
        <v>6113</v>
      </c>
      <c r="B2422" s="2" t="s">
        <v>6114</v>
      </c>
      <c r="C2422" s="2">
        <v>399.0</v>
      </c>
      <c r="D2422" s="2">
        <v>396.0</v>
      </c>
      <c r="E2422" s="2">
        <v>26070.0</v>
      </c>
      <c r="F2422" s="2" t="s">
        <v>150</v>
      </c>
    </row>
    <row r="2423" ht="15.75" customHeight="1">
      <c r="A2423" s="4" t="s">
        <v>6115</v>
      </c>
      <c r="B2423" s="2" t="s">
        <v>6116</v>
      </c>
      <c r="C2423" s="2">
        <v>228.0</v>
      </c>
      <c r="D2423" s="2">
        <v>223.0</v>
      </c>
      <c r="E2423" s="2">
        <v>30240.0</v>
      </c>
      <c r="F2423" s="2" t="s">
        <v>150</v>
      </c>
    </row>
    <row r="2424" ht="15.75" customHeight="1">
      <c r="A2424" s="4" t="s">
        <v>6117</v>
      </c>
      <c r="B2424" s="2" t="s">
        <v>6118</v>
      </c>
      <c r="C2424" s="2">
        <v>479.0</v>
      </c>
      <c r="D2424" s="2">
        <v>461.0</v>
      </c>
      <c r="E2424" s="2">
        <v>24430.0</v>
      </c>
      <c r="F2424" s="2" t="s">
        <v>150</v>
      </c>
    </row>
    <row r="2425" ht="15.75" customHeight="1">
      <c r="A2425" s="4" t="s">
        <v>4007</v>
      </c>
      <c r="B2425" s="2" t="s">
        <v>4008</v>
      </c>
      <c r="C2425" s="2">
        <v>1629.0</v>
      </c>
      <c r="D2425" s="2">
        <v>1594.0</v>
      </c>
      <c r="E2425" s="2">
        <v>24650.0</v>
      </c>
      <c r="F2425" s="2" t="s">
        <v>150</v>
      </c>
    </row>
    <row r="2426" ht="15.75" customHeight="1">
      <c r="A2426" s="4" t="s">
        <v>4009</v>
      </c>
      <c r="B2426" s="2" t="s">
        <v>4010</v>
      </c>
      <c r="C2426" s="2">
        <v>1725.0</v>
      </c>
      <c r="D2426" s="2">
        <v>1753.0</v>
      </c>
      <c r="E2426" s="2">
        <v>25860.0</v>
      </c>
      <c r="F2426" s="2" t="s">
        <v>150</v>
      </c>
    </row>
    <row r="2427" ht="15.75" customHeight="1">
      <c r="A2427" s="4" t="s">
        <v>4011</v>
      </c>
      <c r="B2427" s="2" t="s">
        <v>4012</v>
      </c>
      <c r="C2427" s="2">
        <v>2044.0</v>
      </c>
      <c r="D2427" s="2">
        <v>1979.0</v>
      </c>
      <c r="E2427" s="2">
        <v>25600.0</v>
      </c>
      <c r="F2427" s="2" t="s">
        <v>150</v>
      </c>
    </row>
    <row r="2428" ht="15.75" customHeight="1">
      <c r="A2428" s="4" t="s">
        <v>6119</v>
      </c>
      <c r="B2428" s="2" t="s">
        <v>6120</v>
      </c>
      <c r="C2428" s="2">
        <v>290.0</v>
      </c>
      <c r="D2428" s="2">
        <v>304.0</v>
      </c>
      <c r="E2428" s="2">
        <v>26000.0</v>
      </c>
      <c r="F2428" s="2" t="s">
        <v>150</v>
      </c>
    </row>
    <row r="2429" ht="15.75" customHeight="1">
      <c r="A2429" s="4" t="s">
        <v>4013</v>
      </c>
      <c r="B2429" s="2" t="s">
        <v>4014</v>
      </c>
      <c r="C2429" s="2">
        <v>951.0</v>
      </c>
      <c r="D2429" s="2">
        <v>913.0</v>
      </c>
      <c r="E2429" s="2">
        <v>20710.0</v>
      </c>
      <c r="F2429" s="2" t="s">
        <v>150</v>
      </c>
    </row>
    <row r="2430" ht="15.75" customHeight="1">
      <c r="A2430" s="4" t="s">
        <v>6121</v>
      </c>
      <c r="B2430" s="2" t="s">
        <v>6122</v>
      </c>
      <c r="C2430" s="2">
        <v>373.0</v>
      </c>
      <c r="D2430" s="2">
        <v>354.0</v>
      </c>
      <c r="E2430" s="2">
        <v>28920.0</v>
      </c>
      <c r="F2430" s="2" t="s">
        <v>150</v>
      </c>
    </row>
    <row r="2431" ht="15.75" customHeight="1">
      <c r="A2431" s="4" t="s">
        <v>6123</v>
      </c>
      <c r="B2431" s="2" t="s">
        <v>6124</v>
      </c>
      <c r="C2431" s="2">
        <v>352.0</v>
      </c>
      <c r="D2431" s="2">
        <v>342.0</v>
      </c>
      <c r="E2431" s="2">
        <v>26460.0</v>
      </c>
      <c r="F2431" s="2" t="s">
        <v>150</v>
      </c>
    </row>
    <row r="2432" ht="15.75" customHeight="1">
      <c r="A2432" s="4" t="s">
        <v>6125</v>
      </c>
      <c r="B2432" s="2" t="s">
        <v>6126</v>
      </c>
      <c r="C2432" s="2">
        <v>172.0</v>
      </c>
      <c r="D2432" s="2">
        <v>224.0</v>
      </c>
      <c r="E2432" s="2">
        <v>22550.0</v>
      </c>
      <c r="F2432" s="2" t="s">
        <v>150</v>
      </c>
    </row>
    <row r="2433" ht="15.75" customHeight="1">
      <c r="A2433" s="4" t="s">
        <v>6127</v>
      </c>
      <c r="B2433" s="2" t="s">
        <v>6128</v>
      </c>
      <c r="C2433" s="2">
        <v>450.0</v>
      </c>
      <c r="D2433" s="2">
        <v>476.0</v>
      </c>
      <c r="E2433" s="2">
        <v>25840.0</v>
      </c>
      <c r="F2433" s="2" t="s">
        <v>150</v>
      </c>
    </row>
    <row r="2434" ht="15.75" hidden="1" customHeight="1">
      <c r="A2434" s="4" t="s">
        <v>4653</v>
      </c>
      <c r="B2434" s="2" t="s">
        <v>4654</v>
      </c>
      <c r="C2434" s="2">
        <v>10865.0</v>
      </c>
      <c r="D2434" s="2">
        <v>10710.0</v>
      </c>
      <c r="E2434" s="2">
        <v>21560.0</v>
      </c>
      <c r="F2434" s="2">
        <v>21.0</v>
      </c>
    </row>
    <row r="2435" ht="15.75" customHeight="1">
      <c r="A2435" s="4" t="s">
        <v>6129</v>
      </c>
      <c r="B2435" s="2" t="s">
        <v>6130</v>
      </c>
      <c r="C2435" s="2">
        <v>258.0</v>
      </c>
      <c r="D2435" s="2">
        <v>252.0</v>
      </c>
      <c r="E2435" s="2">
        <v>28950.0</v>
      </c>
      <c r="F2435" s="2" t="s">
        <v>150</v>
      </c>
    </row>
    <row r="2436" ht="15.75" customHeight="1">
      <c r="A2436" s="4" t="s">
        <v>6131</v>
      </c>
      <c r="B2436" s="2" t="s">
        <v>6132</v>
      </c>
      <c r="C2436" s="2">
        <v>314.0</v>
      </c>
      <c r="D2436" s="2">
        <v>327.0</v>
      </c>
      <c r="E2436" s="2">
        <v>26820.0</v>
      </c>
      <c r="F2436" s="2" t="s">
        <v>150</v>
      </c>
    </row>
    <row r="2437" ht="15.75" hidden="1" customHeight="1">
      <c r="A2437" s="4" t="s">
        <v>4655</v>
      </c>
      <c r="B2437" s="2" t="s">
        <v>4656</v>
      </c>
      <c r="C2437" s="2">
        <v>4551.0</v>
      </c>
      <c r="D2437" s="2">
        <v>4628.0</v>
      </c>
      <c r="E2437" s="2">
        <v>22210.0</v>
      </c>
      <c r="F2437" s="2">
        <v>22.0</v>
      </c>
    </row>
    <row r="2438" ht="15.75" customHeight="1">
      <c r="A2438" s="4" t="s">
        <v>6133</v>
      </c>
      <c r="B2438" s="2" t="s">
        <v>6134</v>
      </c>
      <c r="C2438" s="2">
        <v>120.0</v>
      </c>
      <c r="D2438" s="2">
        <v>111.0</v>
      </c>
      <c r="E2438" s="2" t="s">
        <v>150</v>
      </c>
      <c r="F2438" s="2" t="s">
        <v>150</v>
      </c>
    </row>
    <row r="2439" ht="15.75" customHeight="1">
      <c r="A2439" s="4" t="s">
        <v>4015</v>
      </c>
      <c r="B2439" s="2" t="s">
        <v>4016</v>
      </c>
      <c r="C2439" s="2">
        <v>1181.0</v>
      </c>
      <c r="D2439" s="2">
        <v>1267.0</v>
      </c>
      <c r="E2439" s="2">
        <v>28320.0</v>
      </c>
      <c r="F2439" s="2" t="s">
        <v>150</v>
      </c>
    </row>
    <row r="2440" ht="15.75" customHeight="1">
      <c r="A2440" s="4" t="s">
        <v>4017</v>
      </c>
      <c r="B2440" s="2" t="s">
        <v>4018</v>
      </c>
      <c r="C2440" s="2">
        <v>557.0</v>
      </c>
      <c r="D2440" s="2">
        <v>629.0</v>
      </c>
      <c r="E2440" s="2">
        <v>28020.0</v>
      </c>
      <c r="F2440" s="2" t="s">
        <v>150</v>
      </c>
    </row>
    <row r="2441" ht="15.75" customHeight="1">
      <c r="A2441" s="4" t="s">
        <v>4020</v>
      </c>
      <c r="B2441" s="2" t="s">
        <v>4022</v>
      </c>
      <c r="C2441" s="2">
        <v>984.0</v>
      </c>
      <c r="D2441" s="2">
        <v>932.0</v>
      </c>
      <c r="E2441" s="2">
        <v>19280.0</v>
      </c>
      <c r="F2441" s="2" t="s">
        <v>150</v>
      </c>
    </row>
    <row r="2442" ht="15.75" customHeight="1">
      <c r="A2442" s="4" t="s">
        <v>6135</v>
      </c>
      <c r="B2442" s="2" t="s">
        <v>6136</v>
      </c>
      <c r="C2442" s="2">
        <v>237.0</v>
      </c>
      <c r="D2442" s="2">
        <v>228.0</v>
      </c>
      <c r="E2442" s="2">
        <v>26000.0</v>
      </c>
      <c r="F2442" s="2" t="s">
        <v>150</v>
      </c>
    </row>
    <row r="2443" ht="15.75" customHeight="1">
      <c r="A2443" s="4" t="s">
        <v>6137</v>
      </c>
      <c r="B2443" s="2" t="s">
        <v>6138</v>
      </c>
      <c r="C2443" s="2">
        <v>600.0</v>
      </c>
      <c r="D2443" s="2">
        <v>604.0</v>
      </c>
      <c r="E2443" s="2">
        <v>23670.0</v>
      </c>
      <c r="F2443" s="2" t="s">
        <v>150</v>
      </c>
    </row>
    <row r="2444" ht="15.75" customHeight="1">
      <c r="A2444" s="4" t="s">
        <v>4023</v>
      </c>
      <c r="B2444" s="2" t="s">
        <v>4024</v>
      </c>
      <c r="C2444" s="2">
        <v>912.0</v>
      </c>
      <c r="D2444" s="2">
        <v>861.0</v>
      </c>
      <c r="E2444" s="2">
        <v>23270.0</v>
      </c>
      <c r="F2444" s="2" t="s">
        <v>150</v>
      </c>
    </row>
    <row r="2445" ht="15.75" customHeight="1">
      <c r="A2445" s="4" t="s">
        <v>4025</v>
      </c>
      <c r="B2445" s="2" t="s">
        <v>4026</v>
      </c>
      <c r="C2445" s="2">
        <v>1802.0</v>
      </c>
      <c r="D2445" s="2">
        <v>1770.0</v>
      </c>
      <c r="E2445" s="2">
        <v>22810.0</v>
      </c>
      <c r="F2445" s="2" t="s">
        <v>150</v>
      </c>
    </row>
    <row r="2446" ht="15.75" customHeight="1">
      <c r="A2446" s="4" t="s">
        <v>4027</v>
      </c>
      <c r="B2446" s="2" t="s">
        <v>4028</v>
      </c>
      <c r="C2446" s="2">
        <v>1313.0</v>
      </c>
      <c r="D2446" s="2">
        <v>1242.0</v>
      </c>
      <c r="E2446" s="2">
        <v>29620.0</v>
      </c>
      <c r="F2446" s="2" t="s">
        <v>150</v>
      </c>
    </row>
    <row r="2447" ht="15.75" customHeight="1">
      <c r="A2447" s="4" t="s">
        <v>4029</v>
      </c>
      <c r="B2447" s="2" t="s">
        <v>4030</v>
      </c>
      <c r="C2447" s="2">
        <v>1028.0</v>
      </c>
      <c r="D2447" s="2">
        <v>991.0</v>
      </c>
      <c r="E2447" s="2">
        <v>25730.0</v>
      </c>
      <c r="F2447" s="2" t="s">
        <v>150</v>
      </c>
    </row>
    <row r="2448" ht="15.75" customHeight="1">
      <c r="A2448" s="4" t="s">
        <v>6139</v>
      </c>
      <c r="B2448" s="2" t="s">
        <v>6140</v>
      </c>
      <c r="C2448" s="2">
        <v>523.0</v>
      </c>
      <c r="D2448" s="2">
        <v>496.0</v>
      </c>
      <c r="E2448" s="2">
        <v>28530.0</v>
      </c>
      <c r="F2448" s="2" t="s">
        <v>150</v>
      </c>
    </row>
    <row r="2449" ht="15.75" customHeight="1">
      <c r="A2449" s="4" t="s">
        <v>6141</v>
      </c>
      <c r="B2449" s="2" t="s">
        <v>6142</v>
      </c>
      <c r="C2449" s="2">
        <v>385.0</v>
      </c>
      <c r="D2449" s="2">
        <v>354.0</v>
      </c>
      <c r="E2449" s="2">
        <v>25290.0</v>
      </c>
      <c r="F2449" s="2" t="s">
        <v>150</v>
      </c>
    </row>
    <row r="2450" ht="15.75" customHeight="1">
      <c r="A2450" s="4" t="s">
        <v>4031</v>
      </c>
      <c r="B2450" s="2" t="s">
        <v>4032</v>
      </c>
      <c r="C2450" s="2">
        <v>891.0</v>
      </c>
      <c r="D2450" s="2">
        <v>850.0</v>
      </c>
      <c r="E2450" s="2">
        <v>23890.0</v>
      </c>
      <c r="F2450" s="2" t="s">
        <v>150</v>
      </c>
    </row>
    <row r="2451" ht="15.75" customHeight="1">
      <c r="A2451" s="4" t="s">
        <v>4033</v>
      </c>
      <c r="B2451" s="2" t="s">
        <v>4034</v>
      </c>
      <c r="C2451" s="2">
        <v>509.0</v>
      </c>
      <c r="D2451" s="2">
        <v>510.0</v>
      </c>
      <c r="E2451" s="2">
        <v>23520.0</v>
      </c>
      <c r="F2451" s="2" t="s">
        <v>150</v>
      </c>
    </row>
    <row r="2452" ht="15.75" customHeight="1">
      <c r="A2452" s="4" t="s">
        <v>6143</v>
      </c>
      <c r="B2452" s="2" t="s">
        <v>6144</v>
      </c>
      <c r="C2452" s="2">
        <v>479.0</v>
      </c>
      <c r="D2452" s="2">
        <v>469.0</v>
      </c>
      <c r="E2452" s="2">
        <v>22860.0</v>
      </c>
      <c r="F2452" s="2" t="s">
        <v>150</v>
      </c>
    </row>
    <row r="2453" ht="15.75" customHeight="1">
      <c r="A2453" s="4" t="s">
        <v>6145</v>
      </c>
      <c r="B2453" s="2" t="s">
        <v>6146</v>
      </c>
      <c r="C2453" s="2">
        <v>225.0</v>
      </c>
      <c r="D2453" s="2">
        <v>227.0</v>
      </c>
      <c r="E2453" s="2">
        <v>24840.0</v>
      </c>
      <c r="F2453" s="2" t="s">
        <v>150</v>
      </c>
    </row>
    <row r="2454" ht="15.75" hidden="1" customHeight="1">
      <c r="A2454" s="4" t="s">
        <v>4035</v>
      </c>
      <c r="B2454" s="2" t="s">
        <v>4036</v>
      </c>
      <c r="C2454" s="2">
        <v>2732.0</v>
      </c>
      <c r="D2454" s="2">
        <v>2947.0</v>
      </c>
      <c r="E2454" s="2">
        <v>33840.0</v>
      </c>
      <c r="F2454" s="2">
        <v>5.0</v>
      </c>
    </row>
    <row r="2455" ht="15.75" customHeight="1">
      <c r="A2455" s="4" t="s">
        <v>6147</v>
      </c>
      <c r="B2455" s="2" t="s">
        <v>1260</v>
      </c>
      <c r="C2455" s="2">
        <v>122.0</v>
      </c>
      <c r="D2455" s="2">
        <v>109.0</v>
      </c>
      <c r="E2455" s="2">
        <v>23520.0</v>
      </c>
      <c r="F2455" s="2" t="s">
        <v>150</v>
      </c>
    </row>
    <row r="2456" ht="15.75" customHeight="1">
      <c r="A2456" s="4" t="s">
        <v>4037</v>
      </c>
      <c r="B2456" s="2" t="s">
        <v>4038</v>
      </c>
      <c r="C2456" s="2">
        <v>898.0</v>
      </c>
      <c r="D2456" s="2">
        <v>877.0</v>
      </c>
      <c r="E2456" s="2">
        <v>24620.0</v>
      </c>
      <c r="F2456" s="2" t="s">
        <v>150</v>
      </c>
    </row>
    <row r="2457" ht="15.75" customHeight="1">
      <c r="A2457" s="4" t="s">
        <v>4039</v>
      </c>
      <c r="B2457" s="2" t="s">
        <v>4040</v>
      </c>
      <c r="C2457" s="2">
        <v>435.0</v>
      </c>
      <c r="D2457" s="2">
        <v>401.0</v>
      </c>
      <c r="E2457" s="2">
        <v>24780.0</v>
      </c>
      <c r="F2457" s="2" t="s">
        <v>150</v>
      </c>
    </row>
    <row r="2458" ht="15.75" customHeight="1">
      <c r="A2458" s="4" t="s">
        <v>6148</v>
      </c>
      <c r="B2458" s="2" t="s">
        <v>6149</v>
      </c>
      <c r="C2458" s="2">
        <v>100.0</v>
      </c>
      <c r="D2458" s="2">
        <v>97.0</v>
      </c>
      <c r="E2458" s="2" t="s">
        <v>150</v>
      </c>
      <c r="F2458" s="2" t="s">
        <v>150</v>
      </c>
    </row>
    <row r="2459" ht="15.75" customHeight="1">
      <c r="A2459" s="4" t="s">
        <v>6150</v>
      </c>
      <c r="B2459" s="2" t="s">
        <v>6151</v>
      </c>
      <c r="C2459" s="2">
        <v>278.0</v>
      </c>
      <c r="D2459" s="2">
        <v>273.0</v>
      </c>
      <c r="E2459" s="2">
        <v>28630.0</v>
      </c>
      <c r="F2459" s="2" t="s">
        <v>150</v>
      </c>
    </row>
    <row r="2460" ht="15.75" customHeight="1">
      <c r="A2460" s="4" t="s">
        <v>6152</v>
      </c>
      <c r="B2460" s="2" t="s">
        <v>6153</v>
      </c>
      <c r="C2460" s="2">
        <v>108.0</v>
      </c>
      <c r="D2460" s="2">
        <v>105.0</v>
      </c>
      <c r="E2460" s="2">
        <v>22790.0</v>
      </c>
      <c r="F2460" s="2" t="s">
        <v>150</v>
      </c>
    </row>
    <row r="2461" ht="15.75" customHeight="1">
      <c r="A2461" s="4" t="s">
        <v>6154</v>
      </c>
      <c r="B2461" s="2" t="s">
        <v>6155</v>
      </c>
      <c r="C2461" s="2">
        <v>102.0</v>
      </c>
      <c r="D2461" s="2">
        <v>92.0</v>
      </c>
      <c r="E2461" s="2" t="s">
        <v>150</v>
      </c>
      <c r="F2461" s="2" t="s">
        <v>150</v>
      </c>
    </row>
    <row r="2462" ht="15.75" customHeight="1">
      <c r="A2462" s="4" t="s">
        <v>6156</v>
      </c>
      <c r="B2462" s="2" t="s">
        <v>6157</v>
      </c>
      <c r="C2462" s="2">
        <v>211.0</v>
      </c>
      <c r="D2462" s="2">
        <v>212.0</v>
      </c>
      <c r="E2462" s="2">
        <v>23520.0</v>
      </c>
      <c r="F2462" s="2" t="s">
        <v>150</v>
      </c>
    </row>
    <row r="2463" ht="15.75" customHeight="1">
      <c r="A2463" s="4" t="s">
        <v>6158</v>
      </c>
      <c r="B2463" s="2" t="s">
        <v>6159</v>
      </c>
      <c r="C2463" s="2">
        <v>136.0</v>
      </c>
      <c r="D2463" s="2">
        <v>119.0</v>
      </c>
      <c r="E2463" s="2">
        <v>22540.0</v>
      </c>
      <c r="F2463" s="2" t="s">
        <v>150</v>
      </c>
    </row>
    <row r="2464" ht="15.75" customHeight="1">
      <c r="A2464" s="4" t="s">
        <v>6160</v>
      </c>
      <c r="B2464" s="2" t="s">
        <v>6161</v>
      </c>
      <c r="C2464" s="2">
        <v>160.0</v>
      </c>
      <c r="D2464" s="2">
        <v>148.0</v>
      </c>
      <c r="E2464" s="2">
        <v>27370.0</v>
      </c>
      <c r="F2464" s="2" t="s">
        <v>150</v>
      </c>
    </row>
    <row r="2465" ht="15.75" customHeight="1">
      <c r="A2465" s="4" t="s">
        <v>4043</v>
      </c>
      <c r="B2465" s="2" t="s">
        <v>4044</v>
      </c>
      <c r="C2465" s="2">
        <v>1570.0</v>
      </c>
      <c r="D2465" s="2">
        <v>1632.0</v>
      </c>
      <c r="E2465" s="2">
        <v>25130.0</v>
      </c>
      <c r="F2465" s="2" t="s">
        <v>150</v>
      </c>
    </row>
    <row r="2466" ht="15.75" customHeight="1">
      <c r="A2466" s="4" t="s">
        <v>4045</v>
      </c>
      <c r="B2466" s="2" t="s">
        <v>4046</v>
      </c>
      <c r="C2466" s="2">
        <v>1060.0</v>
      </c>
      <c r="D2466" s="2">
        <v>1108.0</v>
      </c>
      <c r="E2466" s="2">
        <v>28510.0</v>
      </c>
      <c r="F2466" s="2" t="s">
        <v>150</v>
      </c>
    </row>
    <row r="2467" ht="15.75" hidden="1" customHeight="1">
      <c r="A2467" s="4" t="s">
        <v>4047</v>
      </c>
      <c r="B2467" s="2" t="s">
        <v>4048</v>
      </c>
      <c r="C2467" s="2">
        <v>6362.0</v>
      </c>
      <c r="D2467" s="2">
        <v>6087.0</v>
      </c>
      <c r="E2467" s="2">
        <v>20180.0</v>
      </c>
      <c r="F2467" s="2">
        <v>25.0</v>
      </c>
    </row>
    <row r="2468" ht="15.75" customHeight="1">
      <c r="A2468" s="4" t="s">
        <v>6162</v>
      </c>
      <c r="B2468" s="2" t="s">
        <v>6163</v>
      </c>
      <c r="C2468" s="2">
        <v>105.0</v>
      </c>
      <c r="D2468" s="2">
        <v>116.0</v>
      </c>
      <c r="E2468" s="2">
        <v>28790.0</v>
      </c>
      <c r="F2468" s="2" t="s">
        <v>150</v>
      </c>
    </row>
    <row r="2469" ht="15.75" customHeight="1">
      <c r="A2469" s="4" t="s">
        <v>6164</v>
      </c>
      <c r="B2469" s="2" t="s">
        <v>6165</v>
      </c>
      <c r="C2469" s="2">
        <v>244.0</v>
      </c>
      <c r="D2469" s="2">
        <v>239.0</v>
      </c>
      <c r="E2469" s="2">
        <v>24460.0</v>
      </c>
      <c r="F2469" s="2" t="s">
        <v>150</v>
      </c>
    </row>
    <row r="2470" ht="15.75" customHeight="1">
      <c r="A2470" s="4" t="s">
        <v>4049</v>
      </c>
      <c r="B2470" s="2" t="s">
        <v>4050</v>
      </c>
      <c r="C2470" s="2">
        <v>843.0</v>
      </c>
      <c r="D2470" s="2">
        <v>893.0</v>
      </c>
      <c r="E2470" s="2">
        <v>25100.0</v>
      </c>
      <c r="F2470" s="2" t="s">
        <v>150</v>
      </c>
    </row>
    <row r="2471" ht="15.75" customHeight="1">
      <c r="A2471" s="4" t="s">
        <v>4051</v>
      </c>
      <c r="B2471" s="2" t="s">
        <v>4052</v>
      </c>
      <c r="C2471" s="2">
        <v>572.0</v>
      </c>
      <c r="D2471" s="2">
        <v>604.0</v>
      </c>
      <c r="E2471" s="2">
        <v>28000.0</v>
      </c>
      <c r="F2471" s="2" t="s">
        <v>150</v>
      </c>
    </row>
    <row r="2472" ht="15.75" customHeight="1">
      <c r="A2472" s="4" t="s">
        <v>4053</v>
      </c>
      <c r="B2472" s="2" t="s">
        <v>4054</v>
      </c>
      <c r="C2472" s="2">
        <v>772.0</v>
      </c>
      <c r="D2472" s="2">
        <v>791.0</v>
      </c>
      <c r="E2472" s="2">
        <v>26790.0</v>
      </c>
      <c r="F2472" s="2" t="s">
        <v>150</v>
      </c>
    </row>
    <row r="2473" ht="15.75" customHeight="1">
      <c r="A2473" s="4" t="s">
        <v>6166</v>
      </c>
      <c r="B2473" s="2" t="s">
        <v>6167</v>
      </c>
      <c r="C2473" s="2">
        <v>69.0</v>
      </c>
      <c r="D2473" s="2">
        <v>62.0</v>
      </c>
      <c r="E2473" s="2" t="s">
        <v>150</v>
      </c>
      <c r="F2473" s="2" t="s">
        <v>150</v>
      </c>
    </row>
    <row r="2474" ht="15.75" customHeight="1">
      <c r="A2474" s="4" t="s">
        <v>6168</v>
      </c>
      <c r="B2474" s="2" t="s">
        <v>6169</v>
      </c>
      <c r="C2474" s="2">
        <v>214.0</v>
      </c>
      <c r="D2474" s="2">
        <v>233.0</v>
      </c>
      <c r="E2474" s="2">
        <v>27990.0</v>
      </c>
      <c r="F2474" s="2" t="s">
        <v>150</v>
      </c>
    </row>
    <row r="2475" ht="15.75" customHeight="1">
      <c r="A2475" s="4" t="s">
        <v>4057</v>
      </c>
      <c r="B2475" s="2" t="s">
        <v>4058</v>
      </c>
      <c r="C2475" s="2">
        <v>575.0</v>
      </c>
      <c r="D2475" s="2">
        <v>579.0</v>
      </c>
      <c r="E2475" s="2">
        <v>23940.0</v>
      </c>
      <c r="F2475" s="2" t="s">
        <v>150</v>
      </c>
    </row>
    <row r="2476" ht="15.75" customHeight="1">
      <c r="A2476" s="4" t="s">
        <v>4063</v>
      </c>
      <c r="B2476" s="2" t="s">
        <v>4064</v>
      </c>
      <c r="C2476" s="2">
        <v>1322.0</v>
      </c>
      <c r="D2476" s="2">
        <v>1403.0</v>
      </c>
      <c r="E2476" s="2">
        <v>28250.0</v>
      </c>
      <c r="F2476" s="2" t="s">
        <v>150</v>
      </c>
    </row>
    <row r="2477" ht="15.75" hidden="1" customHeight="1">
      <c r="A2477" s="4" t="s">
        <v>4065</v>
      </c>
      <c r="B2477" s="2" t="s">
        <v>4066</v>
      </c>
      <c r="C2477" s="2">
        <v>3570.0</v>
      </c>
      <c r="D2477" s="2">
        <v>3259.0</v>
      </c>
      <c r="E2477" s="2">
        <v>18410.0</v>
      </c>
      <c r="F2477" s="2">
        <v>36.0</v>
      </c>
    </row>
    <row r="2478" ht="15.75" customHeight="1">
      <c r="A2478" s="4" t="s">
        <v>6170</v>
      </c>
      <c r="B2478" s="2" t="s">
        <v>6171</v>
      </c>
      <c r="C2478" s="2">
        <v>239.0</v>
      </c>
      <c r="D2478" s="2">
        <v>239.0</v>
      </c>
      <c r="E2478" s="2">
        <v>23930.0</v>
      </c>
      <c r="F2478" s="2" t="s">
        <v>150</v>
      </c>
    </row>
    <row r="2479" ht="15.75" customHeight="1">
      <c r="A2479" s="4" t="s">
        <v>6172</v>
      </c>
      <c r="B2479" s="2" t="s">
        <v>6173</v>
      </c>
      <c r="C2479" s="2">
        <v>380.0</v>
      </c>
      <c r="D2479" s="2">
        <v>400.0</v>
      </c>
      <c r="E2479" s="2">
        <v>27510.0</v>
      </c>
      <c r="F2479" s="2" t="s">
        <v>150</v>
      </c>
    </row>
    <row r="2480" ht="15.75" hidden="1" customHeight="1">
      <c r="A2480" s="4" t="s">
        <v>4061</v>
      </c>
      <c r="B2480" s="2" t="s">
        <v>4062</v>
      </c>
      <c r="C2480" s="2">
        <v>2371.0</v>
      </c>
      <c r="D2480" s="2">
        <v>2362.0</v>
      </c>
      <c r="E2480" s="2">
        <v>20450.0</v>
      </c>
      <c r="F2480" s="2">
        <v>26.0</v>
      </c>
    </row>
    <row r="2481" ht="15.75" customHeight="1">
      <c r="A2481" s="4" t="s">
        <v>6174</v>
      </c>
      <c r="B2481" s="2" t="s">
        <v>6175</v>
      </c>
      <c r="C2481" s="2">
        <v>199.0</v>
      </c>
      <c r="D2481" s="2">
        <v>208.0</v>
      </c>
      <c r="E2481" s="2">
        <v>21410.0</v>
      </c>
      <c r="F2481" s="2" t="s">
        <v>150</v>
      </c>
    </row>
    <row r="2482" ht="15.75" customHeight="1">
      <c r="A2482" s="4" t="s">
        <v>4069</v>
      </c>
      <c r="B2482" s="2" t="s">
        <v>4070</v>
      </c>
      <c r="C2482" s="2">
        <v>321.0</v>
      </c>
      <c r="D2482" s="2">
        <v>296.0</v>
      </c>
      <c r="E2482" s="2">
        <v>26200.0</v>
      </c>
      <c r="F2482" s="2" t="s">
        <v>150</v>
      </c>
    </row>
    <row r="2483" ht="15.75" customHeight="1">
      <c r="A2483" s="4" t="s">
        <v>4071</v>
      </c>
      <c r="B2483" s="2" t="s">
        <v>4072</v>
      </c>
      <c r="C2483" s="2">
        <v>838.0</v>
      </c>
      <c r="D2483" s="2">
        <v>774.0</v>
      </c>
      <c r="E2483" s="2">
        <v>24120.0</v>
      </c>
      <c r="F2483" s="2" t="s">
        <v>150</v>
      </c>
    </row>
    <row r="2484" ht="15.75" customHeight="1">
      <c r="A2484" s="4" t="s">
        <v>6176</v>
      </c>
      <c r="B2484" s="2" t="s">
        <v>6177</v>
      </c>
      <c r="C2484" s="2">
        <v>199.0</v>
      </c>
      <c r="D2484" s="2">
        <v>215.0</v>
      </c>
      <c r="E2484" s="2">
        <v>21570.0</v>
      </c>
      <c r="F2484" s="2" t="s">
        <v>150</v>
      </c>
    </row>
    <row r="2485" ht="15.75" customHeight="1">
      <c r="A2485" s="4" t="s">
        <v>4073</v>
      </c>
      <c r="B2485" s="2" t="s">
        <v>4074</v>
      </c>
      <c r="C2485" s="2">
        <v>627.0</v>
      </c>
      <c r="D2485" s="2">
        <v>768.0</v>
      </c>
      <c r="E2485" s="2">
        <v>28580.0</v>
      </c>
      <c r="F2485" s="2" t="s">
        <v>150</v>
      </c>
    </row>
    <row r="2486" ht="15.75" customHeight="1">
      <c r="A2486" s="4" t="s">
        <v>6178</v>
      </c>
      <c r="B2486" s="2" t="s">
        <v>6179</v>
      </c>
      <c r="C2486" s="2">
        <v>128.0</v>
      </c>
      <c r="D2486" s="2">
        <v>122.0</v>
      </c>
      <c r="E2486" s="2">
        <v>23630.0</v>
      </c>
      <c r="F2486" s="2" t="s">
        <v>150</v>
      </c>
    </row>
    <row r="2487" ht="15.75" hidden="1" customHeight="1">
      <c r="A2487" s="4" t="s">
        <v>4075</v>
      </c>
      <c r="B2487" s="2" t="s">
        <v>4076</v>
      </c>
      <c r="C2487" s="2">
        <v>1947.0</v>
      </c>
      <c r="D2487" s="2">
        <v>2072.0</v>
      </c>
      <c r="E2487" s="2">
        <v>28860.0</v>
      </c>
      <c r="F2487" s="2">
        <v>8.0</v>
      </c>
    </row>
    <row r="2488" ht="15.75" customHeight="1">
      <c r="A2488" s="4" t="s">
        <v>6180</v>
      </c>
      <c r="B2488" s="2" t="s">
        <v>6181</v>
      </c>
      <c r="C2488" s="2">
        <v>150.0</v>
      </c>
      <c r="D2488" s="2">
        <v>155.0</v>
      </c>
      <c r="E2488" s="2">
        <v>26450.0</v>
      </c>
      <c r="F2488" s="2" t="s">
        <v>150</v>
      </c>
    </row>
    <row r="2489" ht="15.75" customHeight="1">
      <c r="A2489" s="4" t="s">
        <v>4077</v>
      </c>
      <c r="B2489" s="2" t="s">
        <v>4078</v>
      </c>
      <c r="C2489" s="2">
        <v>1012.0</v>
      </c>
      <c r="D2489" s="2">
        <v>982.0</v>
      </c>
      <c r="E2489" s="2">
        <v>26300.0</v>
      </c>
      <c r="F2489" s="2" t="s">
        <v>150</v>
      </c>
    </row>
    <row r="2490" ht="15.75" customHeight="1">
      <c r="A2490" s="4" t="s">
        <v>6182</v>
      </c>
      <c r="B2490" s="2" t="s">
        <v>6183</v>
      </c>
      <c r="C2490" s="2">
        <v>156.0</v>
      </c>
      <c r="D2490" s="2">
        <v>151.0</v>
      </c>
      <c r="E2490" s="2">
        <v>24100.0</v>
      </c>
      <c r="F2490" s="2" t="s">
        <v>150</v>
      </c>
    </row>
    <row r="2491" ht="15.75" customHeight="1">
      <c r="A2491" s="4" t="s">
        <v>6184</v>
      </c>
      <c r="B2491" s="2" t="s">
        <v>6185</v>
      </c>
      <c r="C2491" s="2">
        <v>96.0</v>
      </c>
      <c r="D2491" s="2">
        <v>86.0</v>
      </c>
      <c r="E2491" s="2">
        <v>22880.0</v>
      </c>
      <c r="F2491" s="2" t="s">
        <v>150</v>
      </c>
    </row>
    <row r="2492" ht="15.75" hidden="1" customHeight="1">
      <c r="A2492" s="4" t="s">
        <v>4079</v>
      </c>
      <c r="B2492" s="2" t="s">
        <v>4080</v>
      </c>
      <c r="C2492" s="2">
        <v>2536.0</v>
      </c>
      <c r="D2492" s="2">
        <v>2525.0</v>
      </c>
      <c r="E2492" s="2">
        <v>28460.0</v>
      </c>
      <c r="F2492" s="2">
        <v>9.0</v>
      </c>
    </row>
    <row r="2493" ht="15.75" customHeight="1">
      <c r="A2493" s="4" t="s">
        <v>4081</v>
      </c>
      <c r="B2493" s="2" t="s">
        <v>4082</v>
      </c>
      <c r="C2493" s="2">
        <v>951.0</v>
      </c>
      <c r="D2493" s="2">
        <v>941.0</v>
      </c>
      <c r="E2493" s="2">
        <v>21980.0</v>
      </c>
      <c r="F2493" s="2" t="s">
        <v>150</v>
      </c>
    </row>
    <row r="2494" ht="15.75" customHeight="1">
      <c r="A2494" s="4" t="s">
        <v>6186</v>
      </c>
      <c r="B2494" s="2" t="s">
        <v>6187</v>
      </c>
      <c r="C2494" s="2">
        <v>197.0</v>
      </c>
      <c r="D2494" s="2">
        <v>195.0</v>
      </c>
      <c r="E2494" s="2">
        <v>29070.0</v>
      </c>
      <c r="F2494" s="2" t="s">
        <v>150</v>
      </c>
    </row>
    <row r="2495" ht="15.75" customHeight="1">
      <c r="A2495" s="4" t="s">
        <v>6188</v>
      </c>
      <c r="B2495" s="2" t="s">
        <v>6189</v>
      </c>
      <c r="C2495" s="2">
        <v>330.0</v>
      </c>
      <c r="D2495" s="2">
        <v>327.0</v>
      </c>
      <c r="E2495" s="2">
        <v>26940.0</v>
      </c>
      <c r="F2495" s="2" t="s">
        <v>150</v>
      </c>
    </row>
    <row r="2496" ht="15.75" customHeight="1">
      <c r="A2496" s="4" t="s">
        <v>6190</v>
      </c>
      <c r="B2496" s="2" t="s">
        <v>6191</v>
      </c>
      <c r="C2496" s="2">
        <v>344.0</v>
      </c>
      <c r="D2496" s="2">
        <v>360.0</v>
      </c>
      <c r="E2496" s="2">
        <v>29480.0</v>
      </c>
      <c r="F2496" s="2" t="s">
        <v>150</v>
      </c>
    </row>
    <row r="2497" ht="15.75" customHeight="1">
      <c r="A2497" s="4" t="s">
        <v>6192</v>
      </c>
      <c r="B2497" s="2" t="s">
        <v>6193</v>
      </c>
      <c r="C2497" s="2">
        <v>133.0</v>
      </c>
      <c r="D2497" s="2">
        <v>127.0</v>
      </c>
      <c r="E2497" s="2">
        <v>26110.0</v>
      </c>
      <c r="F2497" s="2" t="s">
        <v>150</v>
      </c>
    </row>
    <row r="2498" ht="15.75" customHeight="1">
      <c r="A2498" s="4" t="s">
        <v>4083</v>
      </c>
      <c r="B2498" s="2" t="s">
        <v>4084</v>
      </c>
      <c r="C2498" s="2">
        <v>643.0</v>
      </c>
      <c r="D2498" s="2">
        <v>659.0</v>
      </c>
      <c r="E2498" s="2">
        <v>24730.0</v>
      </c>
      <c r="F2498" s="2" t="s">
        <v>150</v>
      </c>
    </row>
    <row r="2499" ht="15.75" customHeight="1">
      <c r="A2499" s="4" t="s">
        <v>4085</v>
      </c>
      <c r="B2499" s="2" t="s">
        <v>4086</v>
      </c>
      <c r="C2499" s="2">
        <v>1368.0</v>
      </c>
      <c r="D2499" s="2">
        <v>1391.0</v>
      </c>
      <c r="E2499" s="2">
        <v>28640.0</v>
      </c>
      <c r="F2499" s="2" t="s">
        <v>150</v>
      </c>
    </row>
    <row r="2500" ht="15.75" customHeight="1">
      <c r="A2500" s="4" t="s">
        <v>4089</v>
      </c>
      <c r="B2500" s="2" t="s">
        <v>4090</v>
      </c>
      <c r="C2500" s="2">
        <v>638.0</v>
      </c>
      <c r="D2500" s="2">
        <v>632.0</v>
      </c>
      <c r="E2500" s="2">
        <v>25730.0</v>
      </c>
      <c r="F2500" s="2" t="s">
        <v>150</v>
      </c>
    </row>
    <row r="2501" ht="15.75" customHeight="1">
      <c r="A2501" s="4" t="s">
        <v>6194</v>
      </c>
      <c r="B2501" s="2" t="s">
        <v>6195</v>
      </c>
      <c r="C2501" s="2">
        <v>410.0</v>
      </c>
      <c r="D2501" s="2">
        <v>383.0</v>
      </c>
      <c r="E2501" s="2">
        <v>25020.0</v>
      </c>
      <c r="F2501" s="2" t="s">
        <v>150</v>
      </c>
    </row>
    <row r="2502" ht="15.75" hidden="1" customHeight="1">
      <c r="A2502" s="4" t="s">
        <v>4091</v>
      </c>
      <c r="B2502" s="2" t="s">
        <v>4092</v>
      </c>
      <c r="C2502" s="2">
        <v>6932.0</v>
      </c>
      <c r="D2502" s="2">
        <v>6644.0</v>
      </c>
      <c r="E2502" s="2">
        <v>19200.0</v>
      </c>
      <c r="F2502" s="2">
        <v>31.0</v>
      </c>
    </row>
    <row r="2503" ht="15.75" customHeight="1">
      <c r="A2503" s="4" t="s">
        <v>4095</v>
      </c>
      <c r="B2503" s="2" t="s">
        <v>4096</v>
      </c>
      <c r="C2503" s="2">
        <v>365.0</v>
      </c>
      <c r="D2503" s="2">
        <v>353.0</v>
      </c>
      <c r="E2503" s="2">
        <v>26000.0</v>
      </c>
      <c r="F2503" s="2" t="s">
        <v>150</v>
      </c>
    </row>
    <row r="2504" ht="15.75" customHeight="1">
      <c r="A2504" s="4" t="s">
        <v>6196</v>
      </c>
      <c r="B2504" s="2" t="s">
        <v>6197</v>
      </c>
      <c r="C2504" s="2">
        <v>296.0</v>
      </c>
      <c r="D2504" s="2">
        <v>290.0</v>
      </c>
      <c r="E2504" s="2">
        <v>22540.0</v>
      </c>
      <c r="F2504" s="2" t="s">
        <v>150</v>
      </c>
    </row>
    <row r="2505" ht="15.75" customHeight="1">
      <c r="A2505" s="4" t="s">
        <v>6198</v>
      </c>
      <c r="B2505" s="2" t="s">
        <v>6199</v>
      </c>
      <c r="C2505" s="2">
        <v>30.0</v>
      </c>
      <c r="D2505" s="2">
        <v>32.0</v>
      </c>
      <c r="E2505" s="2" t="s">
        <v>150</v>
      </c>
      <c r="F2505" s="2" t="s">
        <v>150</v>
      </c>
    </row>
    <row r="2506" ht="15.75" customHeight="1">
      <c r="A2506" s="4" t="s">
        <v>4093</v>
      </c>
      <c r="B2506" s="2" t="s">
        <v>4094</v>
      </c>
      <c r="C2506" s="2">
        <v>1508.0</v>
      </c>
      <c r="D2506" s="2">
        <v>1470.0</v>
      </c>
      <c r="E2506" s="2">
        <v>28320.0</v>
      </c>
      <c r="F2506" s="2" t="s">
        <v>150</v>
      </c>
    </row>
    <row r="2507" ht="15.75" customHeight="1">
      <c r="A2507" s="4" t="s">
        <v>4097</v>
      </c>
      <c r="B2507" s="2" t="s">
        <v>4098</v>
      </c>
      <c r="C2507" s="2">
        <v>1425.0</v>
      </c>
      <c r="D2507" s="2">
        <v>1381.0</v>
      </c>
      <c r="E2507" s="2">
        <v>25250.0</v>
      </c>
      <c r="F2507" s="2" t="s">
        <v>150</v>
      </c>
    </row>
    <row r="2508" ht="15.75" customHeight="1">
      <c r="A2508" s="4" t="s">
        <v>6200</v>
      </c>
      <c r="B2508" s="2" t="s">
        <v>6201</v>
      </c>
      <c r="C2508" s="2">
        <v>336.0</v>
      </c>
      <c r="D2508" s="2">
        <v>408.0</v>
      </c>
      <c r="E2508" s="2">
        <v>28410.0</v>
      </c>
      <c r="F2508" s="2" t="s">
        <v>150</v>
      </c>
    </row>
    <row r="2509" ht="15.75" customHeight="1">
      <c r="A2509" s="4" t="s">
        <v>4099</v>
      </c>
      <c r="B2509" s="2" t="s">
        <v>4100</v>
      </c>
      <c r="C2509" s="2">
        <v>1092.0</v>
      </c>
      <c r="D2509" s="2">
        <v>1067.0</v>
      </c>
      <c r="E2509" s="2">
        <v>24550.0</v>
      </c>
      <c r="F2509" s="2" t="s">
        <v>150</v>
      </c>
    </row>
    <row r="2510" ht="15.75" customHeight="1">
      <c r="A2510" s="4" t="s">
        <v>6202</v>
      </c>
      <c r="B2510" s="2" t="s">
        <v>6203</v>
      </c>
      <c r="C2510" s="2">
        <v>139.0</v>
      </c>
      <c r="D2510" s="2">
        <v>149.0</v>
      </c>
      <c r="E2510" s="2">
        <v>22850.0</v>
      </c>
      <c r="F2510" s="2" t="s">
        <v>150</v>
      </c>
    </row>
    <row r="2511" ht="15.75" customHeight="1">
      <c r="A2511" s="4" t="s">
        <v>6204</v>
      </c>
      <c r="B2511" s="2" t="s">
        <v>6205</v>
      </c>
      <c r="C2511" s="2">
        <v>17.0</v>
      </c>
      <c r="D2511" s="2">
        <v>13.0</v>
      </c>
      <c r="E2511" s="2" t="s">
        <v>150</v>
      </c>
      <c r="F2511" s="2" t="s">
        <v>150</v>
      </c>
    </row>
    <row r="2512" ht="15.75" hidden="1" customHeight="1">
      <c r="A2512" s="4" t="s">
        <v>4103</v>
      </c>
      <c r="B2512" s="2" t="s">
        <v>4104</v>
      </c>
      <c r="C2512" s="2">
        <v>5626.0</v>
      </c>
      <c r="D2512" s="2">
        <v>5479.0</v>
      </c>
      <c r="E2512" s="2">
        <v>21570.0</v>
      </c>
      <c r="F2512" s="2">
        <v>21.0</v>
      </c>
    </row>
    <row r="2513" ht="15.75" customHeight="1">
      <c r="A2513" s="4" t="s">
        <v>6206</v>
      </c>
      <c r="B2513" s="2" t="s">
        <v>6207</v>
      </c>
      <c r="C2513" s="2">
        <v>270.0</v>
      </c>
      <c r="D2513" s="2">
        <v>275.0</v>
      </c>
      <c r="E2513" s="2">
        <v>26210.0</v>
      </c>
      <c r="F2513" s="2" t="s">
        <v>150</v>
      </c>
    </row>
    <row r="2514" ht="15.75" customHeight="1">
      <c r="A2514" s="4" t="s">
        <v>4105</v>
      </c>
      <c r="B2514" s="2" t="s">
        <v>4106</v>
      </c>
      <c r="C2514" s="2">
        <v>676.0</v>
      </c>
      <c r="D2514" s="2">
        <v>676.0</v>
      </c>
      <c r="E2514" s="2">
        <v>29730.0</v>
      </c>
      <c r="F2514" s="2" t="s">
        <v>150</v>
      </c>
    </row>
    <row r="2515" ht="15.75" hidden="1" customHeight="1">
      <c r="A2515" s="4" t="s">
        <v>4107</v>
      </c>
      <c r="B2515" s="2" t="s">
        <v>4108</v>
      </c>
      <c r="C2515" s="2">
        <v>4886.0</v>
      </c>
      <c r="D2515" s="2">
        <v>5064.0</v>
      </c>
      <c r="E2515" s="2">
        <v>20860.0</v>
      </c>
      <c r="F2515" s="2">
        <v>24.0</v>
      </c>
    </row>
    <row r="2516" ht="15.75" hidden="1" customHeight="1">
      <c r="A2516" s="4" t="s">
        <v>4109</v>
      </c>
      <c r="B2516" s="2" t="s">
        <v>4110</v>
      </c>
      <c r="C2516" s="2">
        <v>4337.0</v>
      </c>
      <c r="D2516" s="2">
        <v>4396.0</v>
      </c>
      <c r="E2516" s="2">
        <v>22760.0</v>
      </c>
      <c r="F2516" s="2">
        <v>18.0</v>
      </c>
    </row>
    <row r="2517" ht="15.75" customHeight="1">
      <c r="A2517" s="4" t="s">
        <v>6208</v>
      </c>
      <c r="B2517" s="2" t="s">
        <v>6209</v>
      </c>
      <c r="C2517" s="2">
        <v>325.0</v>
      </c>
      <c r="D2517" s="2">
        <v>308.0</v>
      </c>
      <c r="E2517" s="2">
        <v>26020.0</v>
      </c>
      <c r="F2517" s="2" t="s">
        <v>150</v>
      </c>
    </row>
    <row r="2518" ht="15.75" customHeight="1">
      <c r="A2518" s="4" t="s">
        <v>4111</v>
      </c>
      <c r="B2518" s="2" t="s">
        <v>4112</v>
      </c>
      <c r="C2518" s="2">
        <v>1195.0</v>
      </c>
      <c r="D2518" s="2">
        <v>1196.0</v>
      </c>
      <c r="E2518" s="2">
        <v>22950.0</v>
      </c>
      <c r="F2518" s="2" t="s">
        <v>150</v>
      </c>
    </row>
    <row r="2519" ht="15.75" customHeight="1">
      <c r="A2519" s="4" t="s">
        <v>6210</v>
      </c>
      <c r="B2519" s="2" t="s">
        <v>5461</v>
      </c>
      <c r="C2519" s="2">
        <v>217.0</v>
      </c>
      <c r="D2519" s="2">
        <v>201.0</v>
      </c>
      <c r="E2519" s="2">
        <v>25680.0</v>
      </c>
      <c r="F2519" s="2" t="s">
        <v>150</v>
      </c>
    </row>
    <row r="2520" ht="15.75" customHeight="1">
      <c r="A2520" s="4" t="s">
        <v>6211</v>
      </c>
      <c r="B2520" s="2" t="s">
        <v>6212</v>
      </c>
      <c r="C2520" s="2">
        <v>504.0</v>
      </c>
      <c r="D2520" s="2">
        <v>454.0</v>
      </c>
      <c r="E2520" s="2">
        <v>27580.0</v>
      </c>
      <c r="F2520" s="2" t="s">
        <v>150</v>
      </c>
    </row>
    <row r="2521" ht="15.75" customHeight="1">
      <c r="A2521" s="4" t="s">
        <v>6213</v>
      </c>
      <c r="B2521" s="2" t="s">
        <v>6214</v>
      </c>
      <c r="C2521" s="2">
        <v>255.0</v>
      </c>
      <c r="D2521" s="2">
        <v>260.0</v>
      </c>
      <c r="E2521" s="2">
        <v>28910.0</v>
      </c>
      <c r="F2521" s="2" t="s">
        <v>150</v>
      </c>
    </row>
    <row r="2522" ht="15.75" customHeight="1">
      <c r="A2522" s="4" t="s">
        <v>4113</v>
      </c>
      <c r="B2522" s="2" t="s">
        <v>4114</v>
      </c>
      <c r="C2522" s="2">
        <v>992.0</v>
      </c>
      <c r="D2522" s="2">
        <v>944.0</v>
      </c>
      <c r="E2522" s="2">
        <v>26450.0</v>
      </c>
      <c r="F2522" s="2" t="s">
        <v>150</v>
      </c>
    </row>
    <row r="2523" ht="15.75" customHeight="1">
      <c r="A2523" s="4" t="s">
        <v>4117</v>
      </c>
      <c r="B2523" s="2" t="s">
        <v>4118</v>
      </c>
      <c r="C2523" s="2">
        <v>1469.0</v>
      </c>
      <c r="D2523" s="2">
        <v>1439.0</v>
      </c>
      <c r="E2523" s="2">
        <v>26110.0</v>
      </c>
      <c r="F2523" s="2" t="s">
        <v>150</v>
      </c>
    </row>
    <row r="2524" ht="15.75" customHeight="1">
      <c r="A2524" s="4" t="s">
        <v>6215</v>
      </c>
      <c r="B2524" s="2" t="s">
        <v>6216</v>
      </c>
      <c r="C2524" s="2">
        <v>196.0</v>
      </c>
      <c r="D2524" s="2">
        <v>205.0</v>
      </c>
      <c r="E2524" s="2">
        <v>24940.0</v>
      </c>
      <c r="F2524" s="2" t="s">
        <v>150</v>
      </c>
    </row>
    <row r="2525" ht="15.75" customHeight="1">
      <c r="A2525" s="4" t="s">
        <v>6217</v>
      </c>
      <c r="B2525" s="2" t="s">
        <v>6218</v>
      </c>
      <c r="C2525" s="2">
        <v>184.0</v>
      </c>
      <c r="D2525" s="2">
        <v>191.0</v>
      </c>
      <c r="E2525" s="2">
        <v>23300.0</v>
      </c>
      <c r="F2525" s="2" t="s">
        <v>150</v>
      </c>
    </row>
    <row r="2526" ht="15.75" customHeight="1">
      <c r="A2526" s="4" t="s">
        <v>6219</v>
      </c>
      <c r="B2526" s="2" t="s">
        <v>6220</v>
      </c>
      <c r="C2526" s="2">
        <v>50.0</v>
      </c>
      <c r="D2526" s="2">
        <v>51.0</v>
      </c>
      <c r="E2526" s="2" t="s">
        <v>150</v>
      </c>
      <c r="F2526" s="2" t="s">
        <v>150</v>
      </c>
    </row>
    <row r="2527" ht="15.75" customHeight="1">
      <c r="A2527" s="4" t="s">
        <v>4121</v>
      </c>
      <c r="B2527" s="2" t="s">
        <v>4122</v>
      </c>
      <c r="C2527" s="2">
        <v>1210.0</v>
      </c>
      <c r="D2527" s="2">
        <v>1270.0</v>
      </c>
      <c r="E2527" s="2">
        <v>25730.0</v>
      </c>
      <c r="F2527" s="2" t="s">
        <v>150</v>
      </c>
    </row>
    <row r="2528" ht="15.75" hidden="1" customHeight="1">
      <c r="A2528" s="4" t="s">
        <v>4123</v>
      </c>
      <c r="B2528" s="2" t="s">
        <v>4124</v>
      </c>
      <c r="C2528" s="2">
        <v>12354.0</v>
      </c>
      <c r="D2528" s="2">
        <v>12247.0</v>
      </c>
      <c r="E2528" s="2">
        <v>21070.0</v>
      </c>
      <c r="F2528" s="2">
        <v>27.0</v>
      </c>
    </row>
    <row r="2529" ht="15.75" customHeight="1">
      <c r="A2529" s="4" t="s">
        <v>4127</v>
      </c>
      <c r="B2529" s="2" t="s">
        <v>4128</v>
      </c>
      <c r="C2529" s="2">
        <v>238.0</v>
      </c>
      <c r="D2529" s="2">
        <v>206.0</v>
      </c>
      <c r="E2529" s="2">
        <v>28380.0</v>
      </c>
      <c r="F2529" s="2" t="s">
        <v>150</v>
      </c>
    </row>
    <row r="2530" ht="15.75" customHeight="1">
      <c r="A2530" s="4" t="s">
        <v>4129</v>
      </c>
      <c r="B2530" s="2" t="s">
        <v>4130</v>
      </c>
      <c r="C2530" s="2">
        <v>445.0</v>
      </c>
      <c r="D2530" s="2">
        <v>465.0</v>
      </c>
      <c r="E2530" s="2">
        <v>29330.0</v>
      </c>
      <c r="F2530" s="2" t="s">
        <v>150</v>
      </c>
    </row>
    <row r="2531" ht="15.75" customHeight="1">
      <c r="A2531" s="4" t="s">
        <v>6221</v>
      </c>
      <c r="B2531" s="2" t="s">
        <v>6222</v>
      </c>
      <c r="C2531" s="2">
        <v>218.0</v>
      </c>
      <c r="D2531" s="2">
        <v>214.0</v>
      </c>
      <c r="E2531" s="2">
        <v>25520.0</v>
      </c>
      <c r="F2531" s="2" t="s">
        <v>150</v>
      </c>
    </row>
    <row r="2532" ht="15.75" customHeight="1">
      <c r="A2532" s="4" t="s">
        <v>6223</v>
      </c>
      <c r="B2532" s="2" t="s">
        <v>1431</v>
      </c>
      <c r="C2532" s="2">
        <v>316.0</v>
      </c>
      <c r="D2532" s="2">
        <v>308.0</v>
      </c>
      <c r="E2532" s="2">
        <v>26100.0</v>
      </c>
      <c r="F2532" s="2" t="s">
        <v>150</v>
      </c>
    </row>
    <row r="2533" ht="15.75" customHeight="1">
      <c r="A2533" s="4" t="s">
        <v>6224</v>
      </c>
      <c r="B2533" s="2" t="s">
        <v>6225</v>
      </c>
      <c r="C2533" s="2">
        <v>185.0</v>
      </c>
      <c r="D2533" s="2">
        <v>189.0</v>
      </c>
      <c r="E2533" s="2">
        <v>21840.0</v>
      </c>
      <c r="F2533" s="2" t="s">
        <v>150</v>
      </c>
    </row>
    <row r="2534" ht="15.75" customHeight="1">
      <c r="A2534" s="4" t="s">
        <v>6226</v>
      </c>
      <c r="B2534" s="2" t="s">
        <v>6227</v>
      </c>
      <c r="C2534" s="2">
        <v>403.0</v>
      </c>
      <c r="D2534" s="2">
        <v>351.0</v>
      </c>
      <c r="E2534" s="2">
        <v>24340.0</v>
      </c>
      <c r="F2534" s="2" t="s">
        <v>150</v>
      </c>
    </row>
    <row r="2535" ht="15.75" customHeight="1">
      <c r="A2535" s="4" t="s">
        <v>4162</v>
      </c>
      <c r="B2535" s="2" t="s">
        <v>4164</v>
      </c>
      <c r="C2535" s="2">
        <v>524.0</v>
      </c>
      <c r="D2535" s="2">
        <v>526.0</v>
      </c>
      <c r="E2535" s="2">
        <v>24680.0</v>
      </c>
      <c r="F2535" s="2" t="s">
        <v>150</v>
      </c>
    </row>
    <row r="2536" ht="15.75" customHeight="1">
      <c r="A2536" s="4" t="s">
        <v>4133</v>
      </c>
      <c r="B2536" s="2" t="s">
        <v>4134</v>
      </c>
      <c r="C2536" s="2">
        <v>1697.0</v>
      </c>
      <c r="D2536" s="2">
        <v>1724.0</v>
      </c>
      <c r="E2536" s="2">
        <v>26060.0</v>
      </c>
      <c r="F2536" s="2" t="s">
        <v>150</v>
      </c>
    </row>
    <row r="2537" ht="15.75" customHeight="1">
      <c r="A2537" s="4" t="s">
        <v>6228</v>
      </c>
      <c r="B2537" s="2" t="s">
        <v>6229</v>
      </c>
      <c r="C2537" s="2">
        <v>312.0</v>
      </c>
      <c r="D2537" s="2">
        <v>288.0</v>
      </c>
      <c r="E2537" s="2">
        <v>25170.0</v>
      </c>
      <c r="F2537" s="2" t="s">
        <v>150</v>
      </c>
    </row>
    <row r="2538" ht="15.75" customHeight="1">
      <c r="A2538" s="4" t="s">
        <v>6230</v>
      </c>
      <c r="B2538" s="2" t="s">
        <v>6231</v>
      </c>
      <c r="C2538" s="2">
        <v>135.0</v>
      </c>
      <c r="D2538" s="2">
        <v>143.0</v>
      </c>
      <c r="E2538" s="2">
        <v>24490.0</v>
      </c>
      <c r="F2538" s="2" t="s">
        <v>150</v>
      </c>
    </row>
    <row r="2539" ht="15.75" customHeight="1">
      <c r="A2539" s="4" t="s">
        <v>6232</v>
      </c>
      <c r="B2539" s="2" t="s">
        <v>6233</v>
      </c>
      <c r="C2539" s="2">
        <v>177.0</v>
      </c>
      <c r="D2539" s="2">
        <v>187.0</v>
      </c>
      <c r="E2539" s="2">
        <v>28850.0</v>
      </c>
      <c r="F2539" s="2" t="s">
        <v>150</v>
      </c>
    </row>
    <row r="2540" ht="15.75" hidden="1" customHeight="1">
      <c r="A2540" s="4" t="s">
        <v>4165</v>
      </c>
      <c r="B2540" s="2" t="s">
        <v>4166</v>
      </c>
      <c r="C2540" s="2">
        <v>26022.0</v>
      </c>
      <c r="D2540" s="2">
        <v>25688.0</v>
      </c>
      <c r="E2540" s="2">
        <v>21590.0</v>
      </c>
      <c r="F2540" s="2">
        <v>25.7</v>
      </c>
    </row>
    <row r="2541" ht="15.75" customHeight="1">
      <c r="A2541" s="4" t="s">
        <v>4167</v>
      </c>
      <c r="B2541" s="2" t="s">
        <v>4168</v>
      </c>
      <c r="C2541" s="2">
        <v>527.0</v>
      </c>
      <c r="D2541" s="2">
        <v>528.0</v>
      </c>
      <c r="E2541" s="2">
        <v>28610.0</v>
      </c>
      <c r="F2541" s="2" t="s">
        <v>150</v>
      </c>
    </row>
    <row r="2542" ht="15.75" customHeight="1">
      <c r="A2542" s="4" t="s">
        <v>6234</v>
      </c>
      <c r="B2542" s="2" t="s">
        <v>6235</v>
      </c>
      <c r="C2542" s="2">
        <v>300.0</v>
      </c>
      <c r="D2542" s="2">
        <v>272.0</v>
      </c>
      <c r="E2542" s="2">
        <v>27680.0</v>
      </c>
      <c r="F2542" s="2" t="s">
        <v>150</v>
      </c>
    </row>
    <row r="2543" ht="15.75" customHeight="1">
      <c r="A2543" s="4" t="s">
        <v>6236</v>
      </c>
      <c r="B2543" s="2" t="s">
        <v>6237</v>
      </c>
      <c r="C2543" s="2">
        <v>164.0</v>
      </c>
      <c r="D2543" s="2">
        <v>147.0</v>
      </c>
      <c r="E2543" s="2">
        <v>21710.0</v>
      </c>
      <c r="F2543" s="2" t="s">
        <v>150</v>
      </c>
    </row>
    <row r="2544" ht="15.75" customHeight="1">
      <c r="A2544" s="4" t="s">
        <v>6238</v>
      </c>
      <c r="B2544" s="2" t="s">
        <v>6239</v>
      </c>
      <c r="C2544" s="2">
        <v>378.0</v>
      </c>
      <c r="D2544" s="2">
        <v>415.0</v>
      </c>
      <c r="E2544" s="2">
        <v>24060.0</v>
      </c>
      <c r="F2544" s="2" t="s">
        <v>150</v>
      </c>
    </row>
    <row r="2545" ht="15.75" customHeight="1">
      <c r="A2545" s="4" t="s">
        <v>6240</v>
      </c>
      <c r="B2545" s="2" t="s">
        <v>6241</v>
      </c>
      <c r="C2545" s="2">
        <v>95.0</v>
      </c>
      <c r="D2545" s="2">
        <v>77.0</v>
      </c>
      <c r="E2545" s="2" t="s">
        <v>150</v>
      </c>
      <c r="F2545" s="2" t="s">
        <v>150</v>
      </c>
    </row>
    <row r="2546" ht="15.75" customHeight="1">
      <c r="A2546" s="4" t="s">
        <v>6242</v>
      </c>
      <c r="B2546" s="2" t="s">
        <v>6243</v>
      </c>
      <c r="C2546" s="2">
        <v>149.0</v>
      </c>
      <c r="D2546" s="2">
        <v>135.0</v>
      </c>
      <c r="E2546" s="2">
        <v>26410.0</v>
      </c>
      <c r="F2546" s="2" t="s">
        <v>150</v>
      </c>
    </row>
    <row r="2547" ht="15.75" customHeight="1">
      <c r="A2547" s="4" t="s">
        <v>6244</v>
      </c>
      <c r="B2547" s="2" t="s">
        <v>6245</v>
      </c>
      <c r="C2547" s="2">
        <v>104.0</v>
      </c>
      <c r="D2547" s="2">
        <v>106.0</v>
      </c>
      <c r="E2547" s="2">
        <v>25230.0</v>
      </c>
      <c r="F2547" s="2" t="s">
        <v>150</v>
      </c>
    </row>
    <row r="2548" ht="15.75" customHeight="1">
      <c r="A2548" s="4" t="s">
        <v>6246</v>
      </c>
      <c r="B2548" s="2" t="s">
        <v>6247</v>
      </c>
      <c r="C2548" s="2">
        <v>171.0</v>
      </c>
      <c r="D2548" s="2">
        <v>161.0</v>
      </c>
      <c r="E2548" s="2">
        <v>23060.0</v>
      </c>
      <c r="F2548" s="2" t="s">
        <v>150</v>
      </c>
    </row>
    <row r="2549" ht="15.75" customHeight="1">
      <c r="A2549" s="4" t="s">
        <v>6248</v>
      </c>
      <c r="B2549" s="2" t="s">
        <v>6249</v>
      </c>
      <c r="C2549" s="2">
        <v>313.0</v>
      </c>
      <c r="D2549" s="2">
        <v>330.0</v>
      </c>
      <c r="E2549" s="2">
        <v>22260.0</v>
      </c>
      <c r="F2549" s="2" t="s">
        <v>150</v>
      </c>
    </row>
    <row r="2550" ht="15.75" customHeight="1">
      <c r="A2550" s="4" t="s">
        <v>6250</v>
      </c>
      <c r="B2550" s="2" t="s">
        <v>6251</v>
      </c>
      <c r="C2550" s="2">
        <v>540.0</v>
      </c>
      <c r="D2550" s="2">
        <v>529.0</v>
      </c>
      <c r="E2550" s="2">
        <v>29120.0</v>
      </c>
      <c r="F2550" s="2" t="s">
        <v>150</v>
      </c>
    </row>
    <row r="2551" ht="15.75" customHeight="1">
      <c r="A2551" s="4" t="s">
        <v>4135</v>
      </c>
      <c r="B2551" s="2" t="s">
        <v>4136</v>
      </c>
      <c r="C2551" s="2">
        <v>422.0</v>
      </c>
      <c r="D2551" s="2">
        <v>407.0</v>
      </c>
      <c r="E2551" s="2">
        <v>23340.0</v>
      </c>
      <c r="F2551" s="2" t="s">
        <v>150</v>
      </c>
    </row>
    <row r="2552" ht="15.75" customHeight="1">
      <c r="A2552" s="4" t="s">
        <v>6252</v>
      </c>
      <c r="B2552" s="2" t="s">
        <v>6253</v>
      </c>
      <c r="C2552" s="2">
        <v>1180.0</v>
      </c>
      <c r="D2552" s="2">
        <v>1062.0</v>
      </c>
      <c r="E2552" s="2">
        <v>23960.0</v>
      </c>
      <c r="F2552" s="2" t="s">
        <v>150</v>
      </c>
    </row>
    <row r="2553" ht="15.75" customHeight="1">
      <c r="A2553" s="4" t="s">
        <v>6254</v>
      </c>
      <c r="B2553" s="2" t="s">
        <v>6255</v>
      </c>
      <c r="C2553" s="2">
        <v>213.0</v>
      </c>
      <c r="D2553" s="2">
        <v>206.0</v>
      </c>
      <c r="E2553" s="2">
        <v>29620.0</v>
      </c>
      <c r="F2553" s="2" t="s">
        <v>150</v>
      </c>
    </row>
    <row r="2554" ht="15.75" customHeight="1">
      <c r="A2554" s="4" t="s">
        <v>6256</v>
      </c>
      <c r="B2554" s="2" t="s">
        <v>6257</v>
      </c>
      <c r="C2554" s="2">
        <v>567.0</v>
      </c>
      <c r="D2554" s="2">
        <v>512.0</v>
      </c>
      <c r="E2554" s="2">
        <v>24810.0</v>
      </c>
      <c r="F2554" s="2" t="s">
        <v>150</v>
      </c>
    </row>
    <row r="2555" ht="15.75" hidden="1" customHeight="1">
      <c r="A2555" s="4" t="s">
        <v>4137</v>
      </c>
      <c r="B2555" s="2" t="s">
        <v>4138</v>
      </c>
      <c r="C2555" s="2">
        <v>6245.0</v>
      </c>
      <c r="D2555" s="2">
        <v>6082.0</v>
      </c>
      <c r="E2555" s="2">
        <v>21910.0</v>
      </c>
      <c r="F2555" s="2">
        <v>22.0</v>
      </c>
    </row>
    <row r="2556" ht="15.75" customHeight="1">
      <c r="A2556" s="4" t="s">
        <v>6258</v>
      </c>
      <c r="B2556" s="2" t="s">
        <v>6259</v>
      </c>
      <c r="C2556" s="2">
        <v>232.0</v>
      </c>
      <c r="D2556" s="2">
        <v>215.0</v>
      </c>
      <c r="E2556" s="2">
        <v>26360.0</v>
      </c>
      <c r="F2556" s="2" t="s">
        <v>150</v>
      </c>
    </row>
    <row r="2557" ht="15.75" customHeight="1">
      <c r="A2557" s="4" t="s">
        <v>4141</v>
      </c>
      <c r="B2557" s="2" t="s">
        <v>4142</v>
      </c>
      <c r="C2557" s="2">
        <v>822.0</v>
      </c>
      <c r="D2557" s="2">
        <v>828.0</v>
      </c>
      <c r="E2557" s="2">
        <v>26950.0</v>
      </c>
      <c r="F2557" s="2" t="s">
        <v>150</v>
      </c>
    </row>
    <row r="2558" ht="15.75" customHeight="1">
      <c r="A2558" s="4" t="s">
        <v>4139</v>
      </c>
      <c r="B2558" s="2" t="s">
        <v>4140</v>
      </c>
      <c r="C2558" s="2">
        <v>677.0</v>
      </c>
      <c r="D2558" s="2">
        <v>853.0</v>
      </c>
      <c r="E2558" s="2">
        <v>26200.0</v>
      </c>
      <c r="F2558" s="2" t="s">
        <v>150</v>
      </c>
    </row>
    <row r="2559" ht="15.75" hidden="1" customHeight="1">
      <c r="A2559" s="4" t="s">
        <v>4147</v>
      </c>
      <c r="B2559" s="2" t="s">
        <v>4148</v>
      </c>
      <c r="C2559" s="2">
        <v>4605.0</v>
      </c>
      <c r="D2559" s="2">
        <v>4480.0</v>
      </c>
      <c r="E2559" s="2">
        <v>21440.0</v>
      </c>
      <c r="F2559" s="2">
        <v>26.0</v>
      </c>
    </row>
    <row r="2560" ht="15.75" customHeight="1">
      <c r="A2560" s="4" t="s">
        <v>4145</v>
      </c>
      <c r="B2560" s="2" t="s">
        <v>4146</v>
      </c>
      <c r="C2560" s="2">
        <v>1863.0</v>
      </c>
      <c r="D2560" s="2">
        <v>1891.0</v>
      </c>
      <c r="E2560" s="2">
        <v>26100.0</v>
      </c>
      <c r="F2560" s="2" t="s">
        <v>150</v>
      </c>
    </row>
    <row r="2561" ht="15.75" customHeight="1">
      <c r="A2561" s="4" t="s">
        <v>6260</v>
      </c>
      <c r="B2561" s="2" t="s">
        <v>6261</v>
      </c>
      <c r="C2561" s="2">
        <v>165.0</v>
      </c>
      <c r="D2561" s="2">
        <v>172.0</v>
      </c>
      <c r="E2561" s="2">
        <v>24510.0</v>
      </c>
      <c r="F2561" s="2" t="s">
        <v>150</v>
      </c>
    </row>
    <row r="2562" ht="15.75" customHeight="1">
      <c r="A2562" s="4" t="s">
        <v>6262</v>
      </c>
      <c r="B2562" s="2" t="s">
        <v>6263</v>
      </c>
      <c r="C2562" s="2">
        <v>243.0</v>
      </c>
      <c r="D2562" s="2">
        <v>215.0</v>
      </c>
      <c r="E2562" s="2">
        <v>26730.0</v>
      </c>
      <c r="F2562" s="2" t="s">
        <v>150</v>
      </c>
    </row>
    <row r="2563" ht="15.75" customHeight="1">
      <c r="A2563" s="4" t="s">
        <v>4149</v>
      </c>
      <c r="B2563" s="2" t="s">
        <v>4150</v>
      </c>
      <c r="C2563" s="2">
        <v>529.0</v>
      </c>
      <c r="D2563" s="2">
        <v>482.0</v>
      </c>
      <c r="E2563" s="2">
        <v>22480.0</v>
      </c>
      <c r="F2563" s="2" t="s">
        <v>150</v>
      </c>
    </row>
    <row r="2564" ht="15.75" customHeight="1">
      <c r="A2564" s="4" t="s">
        <v>4151</v>
      </c>
      <c r="B2564" s="2" t="s">
        <v>4152</v>
      </c>
      <c r="C2564" s="2">
        <v>1339.0</v>
      </c>
      <c r="D2564" s="2">
        <v>1389.0</v>
      </c>
      <c r="E2564" s="2">
        <v>28470.0</v>
      </c>
      <c r="F2564" s="2" t="s">
        <v>150</v>
      </c>
    </row>
    <row r="2565" ht="15.75" customHeight="1">
      <c r="A2565" s="4" t="s">
        <v>6264</v>
      </c>
      <c r="B2565" s="2" t="s">
        <v>6265</v>
      </c>
      <c r="C2565" s="2">
        <v>122.0</v>
      </c>
      <c r="D2565" s="2">
        <v>127.0</v>
      </c>
      <c r="E2565" s="2">
        <v>24520.0</v>
      </c>
      <c r="F2565" s="2" t="s">
        <v>150</v>
      </c>
    </row>
    <row r="2566" ht="15.75" hidden="1" customHeight="1">
      <c r="A2566" s="4" t="s">
        <v>4153</v>
      </c>
      <c r="B2566" s="2" t="s">
        <v>4154</v>
      </c>
      <c r="C2566" s="2">
        <v>2452.0</v>
      </c>
      <c r="D2566" s="2">
        <v>2485.0</v>
      </c>
      <c r="E2566" s="2">
        <v>29590.0</v>
      </c>
      <c r="F2566" s="2">
        <v>5.0</v>
      </c>
    </row>
    <row r="2567" ht="15.75" customHeight="1">
      <c r="A2567" s="4" t="s">
        <v>6266</v>
      </c>
      <c r="B2567" s="2" t="s">
        <v>6267</v>
      </c>
      <c r="C2567" s="2">
        <v>112.0</v>
      </c>
      <c r="D2567" s="2">
        <v>118.0</v>
      </c>
      <c r="E2567" s="2">
        <v>26140.0</v>
      </c>
      <c r="F2567" s="2" t="s">
        <v>150</v>
      </c>
    </row>
    <row r="2568" ht="15.75" customHeight="1">
      <c r="A2568" s="4" t="s">
        <v>6268</v>
      </c>
      <c r="B2568" s="2" t="s">
        <v>6269</v>
      </c>
      <c r="C2568" s="2">
        <v>718.0</v>
      </c>
      <c r="D2568" s="2">
        <v>738.0</v>
      </c>
      <c r="E2568" s="2">
        <v>26350.0</v>
      </c>
      <c r="F2568" s="2" t="s">
        <v>150</v>
      </c>
    </row>
    <row r="2569" ht="15.75" hidden="1" customHeight="1">
      <c r="A2569" s="4" t="s">
        <v>4155</v>
      </c>
      <c r="B2569" s="2" t="s">
        <v>4156</v>
      </c>
      <c r="C2569" s="2">
        <v>7246.0</v>
      </c>
      <c r="D2569" s="2">
        <v>6945.0</v>
      </c>
      <c r="E2569" s="2">
        <v>21170.0</v>
      </c>
      <c r="F2569" s="2">
        <v>22.0</v>
      </c>
    </row>
    <row r="2570" ht="15.75" customHeight="1">
      <c r="A2570" s="4" t="s">
        <v>4157</v>
      </c>
      <c r="B2570" s="2" t="s">
        <v>4158</v>
      </c>
      <c r="C2570" s="2">
        <v>1127.0</v>
      </c>
      <c r="D2570" s="2">
        <v>1116.0</v>
      </c>
      <c r="E2570" s="2">
        <v>24860.0</v>
      </c>
      <c r="F2570" s="2" t="s">
        <v>150</v>
      </c>
    </row>
    <row r="2571" ht="15.75" customHeight="1">
      <c r="A2571" s="4" t="s">
        <v>6270</v>
      </c>
      <c r="B2571" s="2" t="s">
        <v>6271</v>
      </c>
      <c r="C2571" s="2">
        <v>232.0</v>
      </c>
      <c r="D2571" s="2">
        <v>247.0</v>
      </c>
      <c r="E2571" s="2">
        <v>21860.0</v>
      </c>
      <c r="F2571" s="2" t="s">
        <v>150</v>
      </c>
    </row>
    <row r="2572" ht="15.75" customHeight="1">
      <c r="A2572" s="4" t="s">
        <v>6272</v>
      </c>
      <c r="B2572" s="2" t="s">
        <v>6273</v>
      </c>
      <c r="C2572" s="2">
        <v>269.0</v>
      </c>
      <c r="D2572" s="2">
        <v>272.0</v>
      </c>
      <c r="E2572" s="2">
        <v>26020.0</v>
      </c>
      <c r="F2572" s="2" t="s">
        <v>150</v>
      </c>
    </row>
    <row r="2573" ht="15.75" customHeight="1">
      <c r="A2573" s="4" t="s">
        <v>6274</v>
      </c>
      <c r="B2573" s="2" t="s">
        <v>6275</v>
      </c>
      <c r="C2573" s="2">
        <v>137.0</v>
      </c>
      <c r="D2573" s="2">
        <v>152.0</v>
      </c>
      <c r="E2573" s="2">
        <v>26060.0</v>
      </c>
      <c r="F2573" s="2" t="s">
        <v>150</v>
      </c>
    </row>
    <row r="2574" ht="15.75" customHeight="1">
      <c r="A2574" s="4" t="s">
        <v>6276</v>
      </c>
      <c r="B2574" s="2" t="s">
        <v>6277</v>
      </c>
      <c r="C2574" s="2">
        <v>464.0</v>
      </c>
      <c r="D2574" s="2">
        <v>494.0</v>
      </c>
      <c r="E2574" s="2">
        <v>22550.0</v>
      </c>
      <c r="F2574" s="2" t="s">
        <v>150</v>
      </c>
    </row>
    <row r="2575" ht="15.75" hidden="1" customHeight="1">
      <c r="A2575" s="4" t="s">
        <v>4159</v>
      </c>
      <c r="B2575" s="2" t="s">
        <v>4160</v>
      </c>
      <c r="C2575" s="2">
        <v>3448.0</v>
      </c>
      <c r="D2575" s="2">
        <v>3371.0</v>
      </c>
      <c r="E2575" s="2">
        <v>24150.0</v>
      </c>
      <c r="F2575" s="2">
        <v>18.0</v>
      </c>
    </row>
    <row r="2576" ht="15.75" customHeight="1">
      <c r="A2576" s="4" t="s">
        <v>6278</v>
      </c>
      <c r="B2576" s="2" t="s">
        <v>6279</v>
      </c>
      <c r="C2576" s="2">
        <v>218.0</v>
      </c>
      <c r="D2576" s="2">
        <v>219.0</v>
      </c>
      <c r="E2576" s="2">
        <v>25390.0</v>
      </c>
      <c r="F2576" s="2" t="s">
        <v>150</v>
      </c>
    </row>
    <row r="2577" ht="15.75" customHeight="1">
      <c r="A2577" s="4" t="s">
        <v>6280</v>
      </c>
      <c r="B2577" s="2" t="s">
        <v>6281</v>
      </c>
      <c r="C2577" s="2">
        <v>232.0</v>
      </c>
      <c r="D2577" s="2">
        <v>249.0</v>
      </c>
      <c r="E2577" s="2">
        <v>24940.0</v>
      </c>
      <c r="F2577" s="2" t="s">
        <v>150</v>
      </c>
    </row>
    <row r="2578" ht="15.75" customHeight="1">
      <c r="A2578" s="4" t="s">
        <v>6282</v>
      </c>
      <c r="B2578" s="2" t="s">
        <v>6283</v>
      </c>
      <c r="C2578" s="2">
        <v>176.0</v>
      </c>
      <c r="D2578" s="2">
        <v>182.0</v>
      </c>
      <c r="E2578" s="2">
        <v>24670.0</v>
      </c>
      <c r="F2578" s="2" t="s">
        <v>150</v>
      </c>
    </row>
    <row r="2579" ht="15.75" customHeight="1">
      <c r="A2579" s="4" t="s">
        <v>6284</v>
      </c>
      <c r="B2579" s="2" t="s">
        <v>6285</v>
      </c>
      <c r="C2579" s="2">
        <v>229.0</v>
      </c>
      <c r="D2579" s="2">
        <v>218.0</v>
      </c>
      <c r="E2579" s="2">
        <v>24970.0</v>
      </c>
      <c r="F2579" s="2" t="s">
        <v>150</v>
      </c>
    </row>
    <row r="2580" ht="15.75" customHeight="1">
      <c r="A2580" s="4" t="s">
        <v>4169</v>
      </c>
      <c r="B2580" s="2" t="s">
        <v>4170</v>
      </c>
      <c r="C2580" s="2">
        <v>624.0</v>
      </c>
      <c r="D2580" s="2">
        <v>575.0</v>
      </c>
      <c r="E2580" s="2">
        <v>25390.0</v>
      </c>
      <c r="F2580" s="2" t="s">
        <v>150</v>
      </c>
    </row>
    <row r="2581" ht="15.75" customHeight="1">
      <c r="A2581" s="4" t="s">
        <v>6286</v>
      </c>
      <c r="B2581" s="2" t="s">
        <v>6287</v>
      </c>
      <c r="C2581" s="2">
        <v>86.0</v>
      </c>
      <c r="D2581" s="2">
        <v>91.0</v>
      </c>
      <c r="E2581" s="2" t="s">
        <v>150</v>
      </c>
      <c r="F2581" s="2" t="s">
        <v>150</v>
      </c>
    </row>
    <row r="2582" ht="15.75" customHeight="1">
      <c r="A2582" s="4" t="s">
        <v>3785</v>
      </c>
      <c r="B2582" s="2" t="s">
        <v>3787</v>
      </c>
      <c r="C2582" s="2">
        <v>1070.0</v>
      </c>
      <c r="D2582" s="2">
        <v>1062.0</v>
      </c>
      <c r="E2582" s="2">
        <v>25740.0</v>
      </c>
      <c r="F2582" s="2" t="s">
        <v>150</v>
      </c>
    </row>
    <row r="2583" ht="15.75" customHeight="1">
      <c r="A2583" s="4" t="s">
        <v>6288</v>
      </c>
      <c r="B2583" s="2" t="s">
        <v>6289</v>
      </c>
      <c r="C2583" s="2">
        <v>162.0</v>
      </c>
      <c r="D2583" s="2">
        <v>157.0</v>
      </c>
      <c r="E2583" s="2">
        <v>25870.0</v>
      </c>
      <c r="F2583" s="2" t="s">
        <v>150</v>
      </c>
    </row>
    <row r="2584" ht="15.75" hidden="1" customHeight="1">
      <c r="A2584" s="4" t="s">
        <v>4171</v>
      </c>
      <c r="B2584" s="2" t="s">
        <v>4172</v>
      </c>
      <c r="C2584" s="2">
        <v>8845.0</v>
      </c>
      <c r="D2584" s="2">
        <v>8650.0</v>
      </c>
      <c r="E2584" s="2">
        <v>22440.0</v>
      </c>
      <c r="F2584" s="2">
        <v>18.0</v>
      </c>
    </row>
    <row r="2585" ht="15.75" customHeight="1">
      <c r="A2585" s="4" t="s">
        <v>4173</v>
      </c>
      <c r="B2585" s="2" t="s">
        <v>4174</v>
      </c>
      <c r="C2585" s="2">
        <v>1153.0</v>
      </c>
      <c r="D2585" s="2">
        <v>1122.0</v>
      </c>
      <c r="E2585" s="2">
        <v>25350.0</v>
      </c>
      <c r="F2585" s="2" t="s">
        <v>150</v>
      </c>
    </row>
    <row r="2586" ht="15.75" customHeight="1">
      <c r="A2586" s="4" t="s">
        <v>4175</v>
      </c>
      <c r="B2586" s="2" t="s">
        <v>4176</v>
      </c>
      <c r="C2586" s="2">
        <v>259.0</v>
      </c>
      <c r="D2586" s="2">
        <v>238.0</v>
      </c>
      <c r="E2586" s="2">
        <v>22700.0</v>
      </c>
      <c r="F2586" s="2" t="s">
        <v>150</v>
      </c>
    </row>
    <row r="2587" ht="15.75" customHeight="1">
      <c r="A2587" s="4" t="s">
        <v>6290</v>
      </c>
      <c r="B2587" s="2" t="s">
        <v>6291</v>
      </c>
      <c r="C2587" s="2">
        <v>1011.0</v>
      </c>
      <c r="D2587" s="2">
        <v>1040.0</v>
      </c>
      <c r="E2587" s="2">
        <v>28410.0</v>
      </c>
      <c r="F2587" s="2" t="s">
        <v>150</v>
      </c>
    </row>
    <row r="2588" ht="15.75" customHeight="1">
      <c r="A2588" s="4" t="s">
        <v>6292</v>
      </c>
      <c r="B2588" s="2" t="s">
        <v>6293</v>
      </c>
      <c r="C2588" s="2">
        <v>727.0</v>
      </c>
      <c r="D2588" s="2">
        <v>742.0</v>
      </c>
      <c r="E2588" s="2">
        <v>26850.0</v>
      </c>
      <c r="F2588" s="2" t="s">
        <v>150</v>
      </c>
    </row>
    <row r="2589" ht="15.75" customHeight="1">
      <c r="A2589" s="4" t="s">
        <v>6294</v>
      </c>
      <c r="B2589" s="2" t="s">
        <v>6295</v>
      </c>
      <c r="C2589" s="2">
        <v>287.0</v>
      </c>
      <c r="D2589" s="2">
        <v>310.0</v>
      </c>
      <c r="E2589" s="2">
        <v>22720.0</v>
      </c>
      <c r="F2589" s="2" t="s">
        <v>150</v>
      </c>
    </row>
    <row r="2590" ht="15.75" customHeight="1">
      <c r="A2590" s="4" t="s">
        <v>4183</v>
      </c>
      <c r="B2590" s="2" t="s">
        <v>4184</v>
      </c>
      <c r="C2590" s="2">
        <v>1645.0</v>
      </c>
      <c r="D2590" s="2">
        <v>1648.0</v>
      </c>
      <c r="E2590" s="2">
        <v>25750.0</v>
      </c>
      <c r="F2590" s="2" t="s">
        <v>150</v>
      </c>
    </row>
    <row r="2591" ht="15.75" hidden="1" customHeight="1">
      <c r="A2591" s="4" t="s">
        <v>4185</v>
      </c>
      <c r="B2591" s="2" t="s">
        <v>4186</v>
      </c>
      <c r="C2591" s="2">
        <v>2847.0</v>
      </c>
      <c r="D2591" s="2">
        <v>2858.0</v>
      </c>
      <c r="E2591" s="2">
        <v>25030.0</v>
      </c>
      <c r="F2591" s="2">
        <v>15.0</v>
      </c>
    </row>
    <row r="2592" ht="15.75" customHeight="1">
      <c r="A2592" s="4" t="s">
        <v>4187</v>
      </c>
      <c r="B2592" s="2" t="s">
        <v>4188</v>
      </c>
      <c r="C2592" s="2">
        <v>165.0</v>
      </c>
      <c r="D2592" s="2">
        <v>140.0</v>
      </c>
      <c r="E2592" s="2">
        <v>24800.0</v>
      </c>
      <c r="F2592" s="2" t="s">
        <v>150</v>
      </c>
    </row>
    <row r="2593" ht="15.75" customHeight="1">
      <c r="A2593" s="4" t="s">
        <v>6296</v>
      </c>
      <c r="B2593" s="2" t="s">
        <v>6297</v>
      </c>
      <c r="C2593" s="2">
        <v>247.0</v>
      </c>
      <c r="D2593" s="2">
        <v>250.0</v>
      </c>
      <c r="E2593" s="2">
        <v>26050.0</v>
      </c>
      <c r="F2593" s="2" t="s">
        <v>150</v>
      </c>
    </row>
    <row r="2594" ht="15.75" customHeight="1">
      <c r="A2594" s="4" t="s">
        <v>6298</v>
      </c>
      <c r="B2594" s="2" t="s">
        <v>6299</v>
      </c>
      <c r="C2594" s="2">
        <v>331.0</v>
      </c>
      <c r="D2594" s="2">
        <v>309.0</v>
      </c>
      <c r="E2594" s="2">
        <v>24170.0</v>
      </c>
      <c r="F2594" s="2" t="s">
        <v>150</v>
      </c>
    </row>
    <row r="2595" ht="15.75" customHeight="1">
      <c r="A2595" s="4" t="s">
        <v>4189</v>
      </c>
      <c r="B2595" s="2" t="s">
        <v>4190</v>
      </c>
      <c r="C2595" s="2">
        <v>364.0</v>
      </c>
      <c r="D2595" s="2">
        <v>365.0</v>
      </c>
      <c r="E2595" s="2">
        <v>22430.0</v>
      </c>
      <c r="F2595" s="2" t="s">
        <v>150</v>
      </c>
    </row>
    <row r="2596" ht="15.75" customHeight="1">
      <c r="A2596" s="4" t="s">
        <v>4191</v>
      </c>
      <c r="B2596" s="2" t="s">
        <v>4192</v>
      </c>
      <c r="C2596" s="2">
        <v>1061.0</v>
      </c>
      <c r="D2596" s="2">
        <v>1070.0</v>
      </c>
      <c r="E2596" s="2">
        <v>23980.0</v>
      </c>
      <c r="F2596" s="2" t="s">
        <v>150</v>
      </c>
    </row>
    <row r="2597" ht="15.75" customHeight="1">
      <c r="A2597" s="4" t="s">
        <v>4194</v>
      </c>
      <c r="B2597" s="2" t="s">
        <v>4195</v>
      </c>
      <c r="C2597" s="2">
        <v>1299.0</v>
      </c>
      <c r="D2597" s="2">
        <v>1242.0</v>
      </c>
      <c r="E2597" s="2">
        <v>24010.0</v>
      </c>
      <c r="F2597" s="2" t="s">
        <v>150</v>
      </c>
    </row>
    <row r="2598" ht="15.75" customHeight="1">
      <c r="A2598" s="4" t="s">
        <v>4198</v>
      </c>
      <c r="B2598" s="2" t="s">
        <v>4199</v>
      </c>
      <c r="C2598" s="2">
        <v>753.0</v>
      </c>
      <c r="D2598" s="2">
        <v>787.0</v>
      </c>
      <c r="E2598" s="2">
        <v>23160.0</v>
      </c>
      <c r="F2598" s="2" t="s">
        <v>150</v>
      </c>
    </row>
    <row r="2599" ht="15.75" hidden="1" customHeight="1">
      <c r="A2599" s="4" t="s">
        <v>4200</v>
      </c>
      <c r="B2599" s="2" t="s">
        <v>4201</v>
      </c>
      <c r="C2599" s="2">
        <v>3459.0</v>
      </c>
      <c r="D2599" s="2">
        <v>3481.0</v>
      </c>
      <c r="E2599" s="2">
        <v>23770.0</v>
      </c>
      <c r="F2599" s="2">
        <v>15.0</v>
      </c>
    </row>
    <row r="2600" ht="15.75" customHeight="1">
      <c r="A2600" s="4" t="s">
        <v>6300</v>
      </c>
      <c r="B2600" s="2" t="s">
        <v>6301</v>
      </c>
      <c r="C2600" s="2">
        <v>267.0</v>
      </c>
      <c r="D2600" s="2">
        <v>341.0</v>
      </c>
      <c r="E2600" s="2">
        <v>28220.0</v>
      </c>
      <c r="F2600" s="2" t="s">
        <v>150</v>
      </c>
    </row>
    <row r="2601" ht="15.75" hidden="1" customHeight="1">
      <c r="A2601" s="4" t="s">
        <v>4204</v>
      </c>
      <c r="B2601" s="2" t="s">
        <v>4205</v>
      </c>
      <c r="C2601" s="2">
        <v>4994.0</v>
      </c>
      <c r="D2601" s="2">
        <v>5044.0</v>
      </c>
      <c r="E2601" s="2">
        <v>27610.0</v>
      </c>
      <c r="F2601" s="2">
        <v>10.0</v>
      </c>
    </row>
    <row r="2602" ht="15.75" customHeight="1">
      <c r="A2602" s="4" t="s">
        <v>6302</v>
      </c>
      <c r="B2602" s="2" t="s">
        <v>6303</v>
      </c>
      <c r="C2602" s="2">
        <v>250.0</v>
      </c>
      <c r="D2602" s="2">
        <v>229.0</v>
      </c>
      <c r="E2602" s="2">
        <v>20050.0</v>
      </c>
      <c r="F2602" s="2" t="s">
        <v>150</v>
      </c>
    </row>
    <row r="2603" ht="15.75" customHeight="1">
      <c r="A2603" s="4" t="s">
        <v>6304</v>
      </c>
      <c r="B2603" s="2" t="s">
        <v>6305</v>
      </c>
      <c r="C2603" s="2">
        <v>234.0</v>
      </c>
      <c r="D2603" s="2">
        <v>232.0</v>
      </c>
      <c r="E2603" s="2">
        <v>24700.0</v>
      </c>
      <c r="F2603" s="2" t="s">
        <v>150</v>
      </c>
    </row>
    <row r="2604" ht="15.75" customHeight="1">
      <c r="A2604" s="4" t="s">
        <v>6306</v>
      </c>
      <c r="B2604" s="2" t="s">
        <v>6307</v>
      </c>
      <c r="C2604" s="2">
        <v>49.0</v>
      </c>
      <c r="D2604" s="2">
        <v>44.0</v>
      </c>
      <c r="E2604" s="2" t="s">
        <v>150</v>
      </c>
      <c r="F2604" s="2" t="s">
        <v>150</v>
      </c>
    </row>
    <row r="2605" ht="15.75" customHeight="1">
      <c r="A2605" s="4" t="s">
        <v>6308</v>
      </c>
      <c r="B2605" s="2" t="s">
        <v>6309</v>
      </c>
      <c r="C2605" s="2">
        <v>338.0</v>
      </c>
      <c r="D2605" s="2">
        <v>316.0</v>
      </c>
      <c r="E2605" s="2">
        <v>21920.0</v>
      </c>
      <c r="F2605" s="2" t="s">
        <v>150</v>
      </c>
    </row>
    <row r="2606" ht="15.75" customHeight="1">
      <c r="A2606" s="4" t="s">
        <v>6310</v>
      </c>
      <c r="B2606" s="2" t="s">
        <v>6311</v>
      </c>
      <c r="C2606" s="2">
        <v>238.0</v>
      </c>
      <c r="D2606" s="2">
        <v>229.0</v>
      </c>
      <c r="E2606" s="2">
        <v>26390.0</v>
      </c>
      <c r="F2606" s="2" t="s">
        <v>150</v>
      </c>
    </row>
    <row r="2607" ht="15.75" hidden="1" customHeight="1">
      <c r="A2607" s="4" t="s">
        <v>4220</v>
      </c>
      <c r="B2607" s="2" t="s">
        <v>4221</v>
      </c>
      <c r="C2607" s="2">
        <v>7167.0</v>
      </c>
      <c r="D2607" s="2">
        <v>7060.0</v>
      </c>
      <c r="E2607" s="2">
        <v>22680.0</v>
      </c>
      <c r="F2607" s="2">
        <v>19.0</v>
      </c>
    </row>
    <row r="2608" ht="15.75" hidden="1" customHeight="1">
      <c r="A2608" s="4" t="s">
        <v>4222</v>
      </c>
      <c r="B2608" s="2" t="s">
        <v>4223</v>
      </c>
      <c r="C2608" s="2">
        <v>31415.0</v>
      </c>
      <c r="D2608" s="2">
        <v>32920.0</v>
      </c>
      <c r="E2608" s="2">
        <v>18660.0</v>
      </c>
      <c r="F2608" s="2">
        <v>35.4</v>
      </c>
    </row>
    <row r="2609" ht="15.75" customHeight="1">
      <c r="A2609" s="4" t="s">
        <v>6312</v>
      </c>
      <c r="B2609" s="2" t="s">
        <v>6313</v>
      </c>
      <c r="C2609" s="2">
        <v>273.0</v>
      </c>
      <c r="D2609" s="2">
        <v>291.0</v>
      </c>
      <c r="E2609" s="2">
        <v>24290.0</v>
      </c>
      <c r="F2609" s="2" t="s">
        <v>150</v>
      </c>
    </row>
    <row r="2610" ht="15.75" customHeight="1">
      <c r="A2610" s="4" t="s">
        <v>6314</v>
      </c>
      <c r="B2610" s="2" t="s">
        <v>6315</v>
      </c>
      <c r="C2610" s="2">
        <v>405.0</v>
      </c>
      <c r="D2610" s="2">
        <v>402.0</v>
      </c>
      <c r="E2610" s="2">
        <v>27170.0</v>
      </c>
      <c r="F2610" s="2" t="s">
        <v>150</v>
      </c>
    </row>
    <row r="2611" ht="15.75" customHeight="1">
      <c r="A2611" s="4" t="s">
        <v>6316</v>
      </c>
      <c r="B2611" s="2" t="s">
        <v>6317</v>
      </c>
      <c r="C2611" s="2">
        <v>222.0</v>
      </c>
      <c r="D2611" s="2">
        <v>243.0</v>
      </c>
      <c r="E2611" s="2">
        <v>23040.0</v>
      </c>
      <c r="F2611" s="2" t="s">
        <v>150</v>
      </c>
    </row>
    <row r="2612" ht="15.75" hidden="1" customHeight="1">
      <c r="A2612" s="4" t="s">
        <v>4226</v>
      </c>
      <c r="B2612" s="2" t="s">
        <v>4227</v>
      </c>
      <c r="C2612" s="2">
        <v>4532.0</v>
      </c>
      <c r="D2612" s="2">
        <v>5009.0</v>
      </c>
      <c r="E2612" s="2">
        <v>27570.0</v>
      </c>
      <c r="F2612" s="2">
        <v>8.0</v>
      </c>
    </row>
    <row r="2613" ht="15.75" customHeight="1">
      <c r="A2613" s="4" t="s">
        <v>6318</v>
      </c>
      <c r="B2613" s="2" t="s">
        <v>6319</v>
      </c>
      <c r="C2613" s="2">
        <v>295.0</v>
      </c>
      <c r="D2613" s="2">
        <v>293.0</v>
      </c>
      <c r="E2613" s="2">
        <v>30600.0</v>
      </c>
      <c r="F2613" s="2" t="s">
        <v>150</v>
      </c>
    </row>
    <row r="2614" ht="15.75" customHeight="1">
      <c r="A2614" s="4" t="s">
        <v>6320</v>
      </c>
      <c r="B2614" s="2" t="s">
        <v>6321</v>
      </c>
      <c r="C2614" s="2">
        <v>252.0</v>
      </c>
      <c r="D2614" s="2">
        <v>269.0</v>
      </c>
      <c r="E2614" s="2">
        <v>27040.0</v>
      </c>
      <c r="F2614" s="2" t="s">
        <v>150</v>
      </c>
    </row>
    <row r="2615" ht="15.75" customHeight="1">
      <c r="A2615" s="4" t="s">
        <v>6322</v>
      </c>
      <c r="B2615" s="2" t="s">
        <v>6323</v>
      </c>
      <c r="C2615" s="2">
        <v>470.0</v>
      </c>
      <c r="D2615" s="2">
        <v>540.0</v>
      </c>
      <c r="E2615" s="2">
        <v>24740.0</v>
      </c>
      <c r="F2615" s="2" t="s">
        <v>150</v>
      </c>
    </row>
    <row r="2616" ht="15.75" customHeight="1">
      <c r="A2616" s="4" t="s">
        <v>4230</v>
      </c>
      <c r="B2616" s="2" t="s">
        <v>4231</v>
      </c>
      <c r="C2616" s="2">
        <v>1631.0</v>
      </c>
      <c r="D2616" s="2">
        <v>1679.0</v>
      </c>
      <c r="E2616" s="2">
        <v>23460.0</v>
      </c>
      <c r="F2616" s="2" t="s">
        <v>150</v>
      </c>
    </row>
    <row r="2617" ht="15.75" customHeight="1">
      <c r="A2617" s="4" t="s">
        <v>6324</v>
      </c>
      <c r="B2617" s="2" t="s">
        <v>6325</v>
      </c>
      <c r="C2617" s="2">
        <v>291.0</v>
      </c>
      <c r="D2617" s="2">
        <v>303.0</v>
      </c>
      <c r="E2617" s="2">
        <v>25130.0</v>
      </c>
      <c r="F2617" s="2" t="s">
        <v>150</v>
      </c>
    </row>
    <row r="2618" ht="15.75" customHeight="1">
      <c r="A2618" s="4" t="s">
        <v>4242</v>
      </c>
      <c r="B2618" s="2" t="s">
        <v>4243</v>
      </c>
      <c r="C2618" s="2">
        <v>380.0</v>
      </c>
      <c r="D2618" s="2">
        <v>335.0</v>
      </c>
      <c r="E2618" s="2">
        <v>25450.0</v>
      </c>
      <c r="F2618" s="2" t="s">
        <v>150</v>
      </c>
    </row>
    <row r="2619" ht="15.75" customHeight="1">
      <c r="A2619" s="4" t="s">
        <v>4233</v>
      </c>
      <c r="B2619" s="2" t="s">
        <v>4234</v>
      </c>
      <c r="C2619" s="2">
        <v>327.0</v>
      </c>
      <c r="D2619" s="2">
        <v>378.0</v>
      </c>
      <c r="E2619" s="2">
        <v>24090.0</v>
      </c>
      <c r="F2619" s="2" t="s">
        <v>150</v>
      </c>
    </row>
    <row r="2620" ht="15.75" hidden="1" customHeight="1">
      <c r="A2620" s="4" t="s">
        <v>4244</v>
      </c>
      <c r="B2620" s="2" t="s">
        <v>4245</v>
      </c>
      <c r="C2620" s="2">
        <v>30785.0</v>
      </c>
      <c r="D2620" s="2">
        <v>30063.0</v>
      </c>
      <c r="E2620" s="2">
        <v>20030.0</v>
      </c>
      <c r="F2620" s="2">
        <v>29.2</v>
      </c>
    </row>
    <row r="2621" ht="15.75" customHeight="1">
      <c r="A2621" s="4" t="s">
        <v>6326</v>
      </c>
      <c r="B2621" s="2" t="s">
        <v>6327</v>
      </c>
      <c r="C2621" s="2">
        <v>137.0</v>
      </c>
      <c r="D2621" s="2">
        <v>140.0</v>
      </c>
      <c r="E2621" s="2">
        <v>24120.0</v>
      </c>
      <c r="F2621" s="2" t="s">
        <v>150</v>
      </c>
    </row>
    <row r="2622" ht="15.75" customHeight="1">
      <c r="A2622" s="4" t="s">
        <v>6328</v>
      </c>
      <c r="B2622" s="2" t="s">
        <v>6329</v>
      </c>
      <c r="C2622" s="2">
        <v>598.0</v>
      </c>
      <c r="D2622" s="2">
        <v>565.0</v>
      </c>
      <c r="E2622" s="2">
        <v>25620.0</v>
      </c>
      <c r="F2622" s="2" t="s">
        <v>150</v>
      </c>
    </row>
    <row r="2623" ht="15.75" customHeight="1">
      <c r="A2623" s="4" t="s">
        <v>6330</v>
      </c>
      <c r="B2623" s="2" t="s">
        <v>6331</v>
      </c>
      <c r="C2623" s="2">
        <v>194.0</v>
      </c>
      <c r="D2623" s="2">
        <v>188.0</v>
      </c>
      <c r="E2623" s="2">
        <v>22540.0</v>
      </c>
      <c r="F2623" s="2" t="s">
        <v>150</v>
      </c>
    </row>
    <row r="2624" ht="15.75" customHeight="1">
      <c r="A2624" s="4" t="s">
        <v>6332</v>
      </c>
      <c r="B2624" s="2" t="s">
        <v>6333</v>
      </c>
      <c r="C2624" s="2">
        <v>258.0</v>
      </c>
      <c r="D2624" s="2">
        <v>235.0</v>
      </c>
      <c r="E2624" s="2">
        <v>25400.0</v>
      </c>
      <c r="F2624" s="2" t="s">
        <v>150</v>
      </c>
    </row>
    <row r="2625" ht="15.75" customHeight="1">
      <c r="A2625" s="4" t="s">
        <v>6334</v>
      </c>
      <c r="B2625" s="2" t="s">
        <v>6335</v>
      </c>
      <c r="C2625" s="2">
        <v>532.0</v>
      </c>
      <c r="D2625" s="2">
        <v>514.0</v>
      </c>
      <c r="E2625" s="2">
        <v>27880.0</v>
      </c>
      <c r="F2625" s="2" t="s">
        <v>150</v>
      </c>
    </row>
    <row r="2626" ht="15.75" hidden="1" customHeight="1">
      <c r="A2626" s="4" t="s">
        <v>4236</v>
      </c>
      <c r="B2626" s="2" t="s">
        <v>4237</v>
      </c>
      <c r="C2626" s="2">
        <v>9931.0</v>
      </c>
      <c r="D2626" s="2">
        <v>10193.0</v>
      </c>
      <c r="E2626" s="2">
        <v>21760.0</v>
      </c>
      <c r="F2626" s="2">
        <v>24.0</v>
      </c>
    </row>
    <row r="2627" ht="15.75" customHeight="1">
      <c r="A2627" s="4" t="s">
        <v>6336</v>
      </c>
      <c r="B2627" s="2" t="s">
        <v>6337</v>
      </c>
      <c r="C2627" s="2">
        <v>205.0</v>
      </c>
      <c r="D2627" s="2">
        <v>219.0</v>
      </c>
      <c r="E2627" s="2">
        <v>22500.0</v>
      </c>
      <c r="F2627" s="2" t="s">
        <v>150</v>
      </c>
    </row>
    <row r="2628" ht="15.75" customHeight="1">
      <c r="A2628" s="4" t="s">
        <v>6338</v>
      </c>
      <c r="B2628" s="2" t="s">
        <v>6339</v>
      </c>
      <c r="C2628" s="2">
        <v>153.0</v>
      </c>
      <c r="D2628" s="2">
        <v>174.0</v>
      </c>
      <c r="E2628" s="2">
        <v>23800.0</v>
      </c>
      <c r="F2628" s="2" t="s">
        <v>150</v>
      </c>
    </row>
    <row r="2629" ht="15.75" customHeight="1">
      <c r="A2629" s="4" t="s">
        <v>4238</v>
      </c>
      <c r="B2629" s="2" t="s">
        <v>4239</v>
      </c>
      <c r="C2629" s="2">
        <v>591.0</v>
      </c>
      <c r="D2629" s="2">
        <v>582.0</v>
      </c>
      <c r="E2629" s="2">
        <v>23830.0</v>
      </c>
      <c r="F2629" s="2" t="s">
        <v>150</v>
      </c>
    </row>
    <row r="2630" ht="15.75" hidden="1" customHeight="1">
      <c r="A2630" s="4" t="s">
        <v>4246</v>
      </c>
      <c r="B2630" s="2" t="s">
        <v>4247</v>
      </c>
      <c r="C2630" s="2">
        <v>2465.0</v>
      </c>
      <c r="D2630" s="2">
        <v>2324.0</v>
      </c>
      <c r="E2630" s="2">
        <v>29980.0</v>
      </c>
      <c r="F2630" s="2">
        <v>7.0</v>
      </c>
    </row>
    <row r="2631" ht="15.75" customHeight="1">
      <c r="A2631" s="4" t="s">
        <v>6340</v>
      </c>
      <c r="B2631" s="2" t="s">
        <v>6341</v>
      </c>
      <c r="C2631" s="2">
        <v>201.0</v>
      </c>
      <c r="D2631" s="2">
        <v>224.0</v>
      </c>
      <c r="E2631" s="2">
        <v>21410.0</v>
      </c>
      <c r="F2631" s="2" t="s">
        <v>150</v>
      </c>
    </row>
    <row r="2632" ht="15.75" customHeight="1">
      <c r="A2632" s="4" t="s">
        <v>6342</v>
      </c>
      <c r="B2632" s="2" t="s">
        <v>6343</v>
      </c>
      <c r="C2632" s="2">
        <v>266.0</v>
      </c>
      <c r="D2632" s="2">
        <v>252.0</v>
      </c>
      <c r="E2632" s="2">
        <v>26290.0</v>
      </c>
      <c r="F2632" s="2" t="s">
        <v>150</v>
      </c>
    </row>
    <row r="2633" ht="15.75" hidden="1" customHeight="1">
      <c r="A2633" s="4" t="s">
        <v>4250</v>
      </c>
      <c r="B2633" s="2" t="s">
        <v>4251</v>
      </c>
      <c r="C2633" s="2">
        <v>5410.0</v>
      </c>
      <c r="D2633" s="2">
        <v>5169.0</v>
      </c>
      <c r="E2633" s="2">
        <v>21600.0</v>
      </c>
      <c r="F2633" s="2">
        <v>23.0</v>
      </c>
    </row>
    <row r="2634" ht="15.75" customHeight="1">
      <c r="A2634" s="4" t="s">
        <v>4252</v>
      </c>
      <c r="B2634" s="2" t="s">
        <v>4253</v>
      </c>
      <c r="C2634" s="2">
        <v>1452.0</v>
      </c>
      <c r="D2634" s="2">
        <v>1528.0</v>
      </c>
      <c r="E2634" s="2">
        <v>23030.0</v>
      </c>
      <c r="F2634" s="2" t="s">
        <v>150</v>
      </c>
    </row>
    <row r="2635" ht="15.75" hidden="1" customHeight="1">
      <c r="A2635" s="4" t="s">
        <v>4254</v>
      </c>
      <c r="B2635" s="2" t="s">
        <v>4255</v>
      </c>
      <c r="C2635" s="2">
        <v>11023.0</v>
      </c>
      <c r="D2635" s="2">
        <v>10548.0</v>
      </c>
      <c r="E2635" s="2">
        <v>21570.0</v>
      </c>
      <c r="F2635" s="2">
        <v>25.0</v>
      </c>
    </row>
    <row r="2636" ht="15.75" customHeight="1">
      <c r="A2636" s="4" t="s">
        <v>6344</v>
      </c>
      <c r="B2636" s="2" t="s">
        <v>6345</v>
      </c>
      <c r="C2636" s="2">
        <v>138.0</v>
      </c>
      <c r="D2636" s="2">
        <v>149.0</v>
      </c>
      <c r="E2636" s="2">
        <v>28050.0</v>
      </c>
      <c r="F2636" s="2" t="s">
        <v>150</v>
      </c>
    </row>
    <row r="2637" ht="15.75" customHeight="1">
      <c r="A2637" s="4" t="s">
        <v>6346</v>
      </c>
      <c r="B2637" s="2" t="s">
        <v>6347</v>
      </c>
      <c r="C2637" s="2">
        <v>247.0</v>
      </c>
      <c r="D2637" s="2">
        <v>253.0</v>
      </c>
      <c r="E2637" s="2">
        <v>21610.0</v>
      </c>
      <c r="F2637" s="2" t="s">
        <v>150</v>
      </c>
    </row>
    <row r="2638" ht="15.75" hidden="1" customHeight="1">
      <c r="A2638" s="4" t="s">
        <v>4256</v>
      </c>
      <c r="B2638" s="2" t="s">
        <v>4257</v>
      </c>
      <c r="C2638" s="2">
        <v>6751.0</v>
      </c>
      <c r="D2638" s="2">
        <v>6799.0</v>
      </c>
      <c r="E2638" s="2">
        <v>23200.0</v>
      </c>
      <c r="F2638" s="2">
        <v>19.0</v>
      </c>
    </row>
    <row r="2639" ht="15.75" customHeight="1">
      <c r="A2639" s="4" t="s">
        <v>4258</v>
      </c>
      <c r="B2639" s="2" t="s">
        <v>4259</v>
      </c>
      <c r="C2639" s="2">
        <v>1586.0</v>
      </c>
      <c r="D2639" s="2">
        <v>1651.0</v>
      </c>
      <c r="E2639" s="2">
        <v>31570.0</v>
      </c>
      <c r="F2639" s="2" t="s">
        <v>150</v>
      </c>
    </row>
    <row r="2640" ht="15.75" customHeight="1">
      <c r="A2640" s="4" t="s">
        <v>6348</v>
      </c>
      <c r="B2640" s="2" t="s">
        <v>6349</v>
      </c>
      <c r="C2640" s="2">
        <v>545.0</v>
      </c>
      <c r="D2640" s="2">
        <v>544.0</v>
      </c>
      <c r="E2640" s="2">
        <v>25190.0</v>
      </c>
      <c r="F2640" s="2" t="s">
        <v>150</v>
      </c>
    </row>
    <row r="2641" ht="15.75" customHeight="1">
      <c r="A2641" s="4" t="s">
        <v>4262</v>
      </c>
      <c r="B2641" s="2" t="s">
        <v>4263</v>
      </c>
      <c r="C2641" s="2">
        <v>960.0</v>
      </c>
      <c r="D2641" s="2">
        <v>947.0</v>
      </c>
      <c r="E2641" s="2">
        <v>26370.0</v>
      </c>
      <c r="F2641" s="2" t="s">
        <v>150</v>
      </c>
    </row>
    <row r="2642" ht="15.75" customHeight="1">
      <c r="A2642" s="4" t="s">
        <v>4264</v>
      </c>
      <c r="B2642" s="2" t="s">
        <v>4265</v>
      </c>
      <c r="C2642" s="2">
        <v>1262.0</v>
      </c>
      <c r="D2642" s="2">
        <v>1256.0</v>
      </c>
      <c r="E2642" s="2">
        <v>23490.0</v>
      </c>
      <c r="F2642" s="2" t="s">
        <v>150</v>
      </c>
    </row>
    <row r="2643" ht="15.75" customHeight="1">
      <c r="A2643" s="4" t="s">
        <v>6350</v>
      </c>
      <c r="B2643" s="2" t="s">
        <v>6351</v>
      </c>
      <c r="C2643" s="2">
        <v>147.0</v>
      </c>
      <c r="D2643" s="2">
        <v>140.0</v>
      </c>
      <c r="E2643" s="2">
        <v>23230.0</v>
      </c>
      <c r="F2643" s="2" t="s">
        <v>150</v>
      </c>
    </row>
    <row r="2644" ht="15.75" hidden="1" customHeight="1">
      <c r="A2644" s="4" t="s">
        <v>4266</v>
      </c>
      <c r="B2644" s="2" t="s">
        <v>4267</v>
      </c>
      <c r="C2644" s="2">
        <v>3626.0</v>
      </c>
      <c r="D2644" s="2">
        <v>3579.0</v>
      </c>
      <c r="E2644" s="2">
        <v>22170.0</v>
      </c>
      <c r="F2644" s="2">
        <v>19.0</v>
      </c>
    </row>
    <row r="2645" ht="15.75" customHeight="1">
      <c r="A2645" s="4" t="s">
        <v>6352</v>
      </c>
      <c r="B2645" s="2" t="s">
        <v>6353</v>
      </c>
      <c r="C2645" s="2">
        <v>161.0</v>
      </c>
      <c r="D2645" s="2">
        <v>149.0</v>
      </c>
      <c r="E2645" s="2">
        <v>32540.0</v>
      </c>
      <c r="F2645" s="2" t="s">
        <v>150</v>
      </c>
    </row>
    <row r="2646" ht="15.75" customHeight="1">
      <c r="A2646" s="4" t="s">
        <v>4270</v>
      </c>
      <c r="B2646" s="2" t="s">
        <v>4271</v>
      </c>
      <c r="C2646" s="2">
        <v>649.0</v>
      </c>
      <c r="D2646" s="2">
        <v>647.0</v>
      </c>
      <c r="E2646" s="2">
        <v>24740.0</v>
      </c>
      <c r="F2646" s="2" t="s">
        <v>150</v>
      </c>
    </row>
    <row r="2647" ht="15.75" customHeight="1">
      <c r="A2647" s="4" t="s">
        <v>6354</v>
      </c>
      <c r="B2647" s="2" t="s">
        <v>6355</v>
      </c>
      <c r="C2647" s="2">
        <v>117.0</v>
      </c>
      <c r="D2647" s="2">
        <v>105.0</v>
      </c>
      <c r="E2647" s="2" t="s">
        <v>150</v>
      </c>
      <c r="F2647" s="2" t="s">
        <v>150</v>
      </c>
    </row>
    <row r="2648" ht="15.75" customHeight="1">
      <c r="A2648" s="4" t="s">
        <v>6356</v>
      </c>
      <c r="B2648" s="2" t="s">
        <v>6357</v>
      </c>
      <c r="C2648" s="2">
        <v>426.0</v>
      </c>
      <c r="D2648" s="2">
        <v>451.0</v>
      </c>
      <c r="E2648" s="2">
        <v>23290.0</v>
      </c>
      <c r="F2648" s="2" t="s">
        <v>150</v>
      </c>
    </row>
    <row r="2649" ht="15.75" customHeight="1">
      <c r="A2649" s="4" t="s">
        <v>6358</v>
      </c>
      <c r="B2649" s="2" t="s">
        <v>6359</v>
      </c>
      <c r="C2649" s="2">
        <v>242.0</v>
      </c>
      <c r="D2649" s="2">
        <v>266.0</v>
      </c>
      <c r="E2649" s="2">
        <v>25420.0</v>
      </c>
      <c r="F2649" s="2" t="s">
        <v>150</v>
      </c>
    </row>
    <row r="2650" ht="15.75" customHeight="1">
      <c r="A2650" s="4" t="s">
        <v>4274</v>
      </c>
      <c r="B2650" s="2" t="s">
        <v>4275</v>
      </c>
      <c r="C2650" s="2">
        <v>1680.0</v>
      </c>
      <c r="D2650" s="2">
        <v>1678.0</v>
      </c>
      <c r="E2650" s="2">
        <v>25340.0</v>
      </c>
      <c r="F2650" s="2" t="s">
        <v>150</v>
      </c>
    </row>
    <row r="2651" ht="15.75" customHeight="1">
      <c r="A2651" s="4" t="s">
        <v>6360</v>
      </c>
      <c r="B2651" s="2" t="s">
        <v>6361</v>
      </c>
      <c r="C2651" s="2">
        <v>125.0</v>
      </c>
      <c r="D2651" s="2">
        <v>119.0</v>
      </c>
      <c r="E2651" s="2">
        <v>24460.0</v>
      </c>
      <c r="F2651" s="2" t="s">
        <v>150</v>
      </c>
    </row>
    <row r="2652" ht="15.75" customHeight="1">
      <c r="A2652" s="4" t="s">
        <v>6362</v>
      </c>
      <c r="B2652" s="2" t="s">
        <v>6363</v>
      </c>
      <c r="C2652" s="2">
        <v>193.0</v>
      </c>
      <c r="D2652" s="2">
        <v>205.0</v>
      </c>
      <c r="E2652" s="2">
        <v>24890.0</v>
      </c>
      <c r="F2652" s="2" t="s">
        <v>150</v>
      </c>
    </row>
    <row r="2653" ht="15.75" customHeight="1">
      <c r="A2653" s="4" t="s">
        <v>4276</v>
      </c>
      <c r="B2653" s="2" t="s">
        <v>4277</v>
      </c>
      <c r="C2653" s="2">
        <v>1997.0</v>
      </c>
      <c r="D2653" s="2">
        <v>1973.0</v>
      </c>
      <c r="E2653" s="2">
        <v>23880.0</v>
      </c>
      <c r="F2653" s="2" t="s">
        <v>150</v>
      </c>
    </row>
    <row r="2654" ht="15.75" customHeight="1">
      <c r="A2654" s="4" t="s">
        <v>6364</v>
      </c>
      <c r="B2654" s="2" t="s">
        <v>6365</v>
      </c>
      <c r="C2654" s="2">
        <v>185.0</v>
      </c>
      <c r="D2654" s="2">
        <v>182.0</v>
      </c>
      <c r="E2654" s="2">
        <v>27980.0</v>
      </c>
      <c r="F2654" s="2" t="s">
        <v>150</v>
      </c>
    </row>
    <row r="2655" ht="15.75" customHeight="1">
      <c r="A2655" s="4" t="s">
        <v>6366</v>
      </c>
      <c r="B2655" s="2" t="s">
        <v>6367</v>
      </c>
      <c r="C2655" s="2">
        <v>151.0</v>
      </c>
      <c r="D2655" s="2">
        <v>152.0</v>
      </c>
      <c r="E2655" s="2">
        <v>23830.0</v>
      </c>
      <c r="F2655" s="2" t="s">
        <v>150</v>
      </c>
    </row>
    <row r="2656" ht="15.75" customHeight="1">
      <c r="A2656" s="4" t="s">
        <v>6368</v>
      </c>
      <c r="B2656" s="2" t="s">
        <v>6369</v>
      </c>
      <c r="C2656" s="2">
        <v>314.0</v>
      </c>
      <c r="D2656" s="2">
        <v>336.0</v>
      </c>
      <c r="E2656" s="2">
        <v>32870.0</v>
      </c>
      <c r="F2656" s="2" t="s">
        <v>150</v>
      </c>
    </row>
    <row r="2657" ht="15.75" customHeight="1">
      <c r="A2657" s="4" t="s">
        <v>6370</v>
      </c>
      <c r="B2657" s="2" t="s">
        <v>6371</v>
      </c>
      <c r="C2657" s="2">
        <v>66.0</v>
      </c>
      <c r="D2657" s="2">
        <v>73.0</v>
      </c>
      <c r="E2657" s="2" t="s">
        <v>150</v>
      </c>
      <c r="F2657" s="2" t="s">
        <v>150</v>
      </c>
    </row>
    <row r="2658" ht="15.75" hidden="1" customHeight="1">
      <c r="A2658" s="4" t="s">
        <v>4278</v>
      </c>
      <c r="B2658" s="2" t="s">
        <v>4279</v>
      </c>
      <c r="C2658" s="2">
        <v>10676.0</v>
      </c>
      <c r="D2658" s="2">
        <v>10467.0</v>
      </c>
      <c r="E2658" s="2">
        <v>25410.0</v>
      </c>
      <c r="F2658" s="2">
        <v>12.0</v>
      </c>
    </row>
    <row r="2659" ht="15.75" customHeight="1">
      <c r="A2659" s="4" t="s">
        <v>4280</v>
      </c>
      <c r="B2659" s="2" t="s">
        <v>4281</v>
      </c>
      <c r="C2659" s="2">
        <v>1134.0</v>
      </c>
      <c r="D2659" s="2">
        <v>1090.0</v>
      </c>
      <c r="E2659" s="2">
        <v>22610.0</v>
      </c>
      <c r="F2659" s="2" t="s">
        <v>150</v>
      </c>
    </row>
    <row r="2660" ht="15.75" customHeight="1">
      <c r="A2660" s="4" t="s">
        <v>6372</v>
      </c>
      <c r="B2660" s="2" t="s">
        <v>6373</v>
      </c>
      <c r="C2660" s="2">
        <v>243.0</v>
      </c>
      <c r="D2660" s="2">
        <v>283.0</v>
      </c>
      <c r="E2660" s="2">
        <v>26730.0</v>
      </c>
      <c r="F2660" s="2" t="s">
        <v>150</v>
      </c>
    </row>
    <row r="2661" ht="15.75" customHeight="1">
      <c r="A2661" s="4" t="s">
        <v>4284</v>
      </c>
      <c r="B2661" s="2" t="s">
        <v>4285</v>
      </c>
      <c r="C2661" s="2">
        <v>986.0</v>
      </c>
      <c r="D2661" s="2">
        <v>1070.0</v>
      </c>
      <c r="E2661" s="2">
        <v>23420.0</v>
      </c>
      <c r="F2661" s="2" t="s">
        <v>150</v>
      </c>
    </row>
    <row r="2662" ht="15.75" customHeight="1">
      <c r="A2662" s="4" t="s">
        <v>6374</v>
      </c>
      <c r="B2662" s="2" t="s">
        <v>6375</v>
      </c>
      <c r="C2662" s="2">
        <v>285.0</v>
      </c>
      <c r="D2662" s="2">
        <v>279.0</v>
      </c>
      <c r="E2662" s="2">
        <v>26760.0</v>
      </c>
      <c r="F2662" s="2" t="s">
        <v>150</v>
      </c>
    </row>
    <row r="2663" ht="15.75" customHeight="1">
      <c r="A2663" s="4" t="s">
        <v>6376</v>
      </c>
      <c r="B2663" s="2" t="s">
        <v>6377</v>
      </c>
      <c r="C2663" s="2">
        <v>102.0</v>
      </c>
      <c r="D2663" s="2">
        <v>93.0</v>
      </c>
      <c r="E2663" s="2" t="s">
        <v>150</v>
      </c>
      <c r="F2663" s="2" t="s">
        <v>150</v>
      </c>
    </row>
    <row r="2664" ht="15.75" hidden="1" customHeight="1">
      <c r="A2664" s="4" t="s">
        <v>4286</v>
      </c>
      <c r="B2664" s="2" t="s">
        <v>4289</v>
      </c>
      <c r="C2664" s="2">
        <v>5579.0</v>
      </c>
      <c r="D2664" s="2">
        <v>5411.0</v>
      </c>
      <c r="E2664" s="2">
        <v>18770.0</v>
      </c>
      <c r="F2664" s="2">
        <v>30.0</v>
      </c>
    </row>
    <row r="2665" ht="15.75" customHeight="1">
      <c r="A2665" s="4" t="s">
        <v>4290</v>
      </c>
      <c r="B2665" s="2" t="s">
        <v>4291</v>
      </c>
      <c r="C2665" s="2">
        <v>299.0</v>
      </c>
      <c r="D2665" s="2">
        <v>314.0</v>
      </c>
      <c r="E2665" s="2">
        <v>23720.0</v>
      </c>
      <c r="F2665" s="2" t="s">
        <v>150</v>
      </c>
    </row>
    <row r="2666" ht="15.75" hidden="1" customHeight="1">
      <c r="A2666" s="4" t="s">
        <v>4296</v>
      </c>
      <c r="B2666" s="2" t="s">
        <v>4297</v>
      </c>
      <c r="C2666" s="2">
        <v>2464.0</v>
      </c>
      <c r="D2666" s="2">
        <v>2422.0</v>
      </c>
      <c r="E2666" s="2">
        <v>29120.0</v>
      </c>
      <c r="F2666" s="2">
        <v>7.0</v>
      </c>
    </row>
    <row r="2667" ht="15.75" customHeight="1">
      <c r="A2667" s="4" t="s">
        <v>6378</v>
      </c>
      <c r="B2667" s="2" t="s">
        <v>6379</v>
      </c>
      <c r="C2667" s="2">
        <v>179.0</v>
      </c>
      <c r="D2667" s="2">
        <v>166.0</v>
      </c>
      <c r="E2667" s="2">
        <v>23980.0</v>
      </c>
      <c r="F2667" s="2" t="s">
        <v>150</v>
      </c>
    </row>
    <row r="2668" ht="15.75" customHeight="1">
      <c r="A2668" s="4" t="s">
        <v>4292</v>
      </c>
      <c r="B2668" s="2" t="s">
        <v>4293</v>
      </c>
      <c r="C2668" s="2">
        <v>976.0</v>
      </c>
      <c r="D2668" s="2">
        <v>1039.0</v>
      </c>
      <c r="E2668" s="2">
        <v>25070.0</v>
      </c>
      <c r="F2668" s="2" t="s">
        <v>150</v>
      </c>
    </row>
    <row r="2669" ht="15.75" hidden="1" customHeight="1">
      <c r="A2669" s="4" t="s">
        <v>4294</v>
      </c>
      <c r="B2669" s="2" t="s">
        <v>4295</v>
      </c>
      <c r="C2669" s="2">
        <v>5088.0</v>
      </c>
      <c r="D2669" s="2">
        <v>5217.0</v>
      </c>
      <c r="E2669" s="2">
        <v>23400.0</v>
      </c>
      <c r="F2669" s="2">
        <v>16.0</v>
      </c>
    </row>
    <row r="2670" ht="15.75" customHeight="1">
      <c r="A2670" s="4" t="s">
        <v>6380</v>
      </c>
      <c r="B2670" s="2" t="s">
        <v>6381</v>
      </c>
      <c r="C2670" s="2">
        <v>196.0</v>
      </c>
      <c r="D2670" s="2">
        <v>173.0</v>
      </c>
      <c r="E2670" s="2">
        <v>26810.0</v>
      </c>
      <c r="F2670" s="2" t="s">
        <v>150</v>
      </c>
    </row>
    <row r="2671" ht="15.75" customHeight="1">
      <c r="A2671" s="4" t="s">
        <v>6382</v>
      </c>
      <c r="B2671" s="2" t="s">
        <v>6383</v>
      </c>
      <c r="C2671" s="2">
        <v>185.0</v>
      </c>
      <c r="D2671" s="2">
        <v>177.0</v>
      </c>
      <c r="E2671" s="2">
        <v>21940.0</v>
      </c>
      <c r="F2671" s="2" t="s">
        <v>150</v>
      </c>
    </row>
    <row r="2672" ht="15.75" hidden="1" customHeight="1">
      <c r="A2672" s="4" t="s">
        <v>4298</v>
      </c>
      <c r="B2672" s="2" t="s">
        <v>4299</v>
      </c>
      <c r="C2672" s="2">
        <v>8053.0</v>
      </c>
      <c r="D2672" s="2">
        <v>8217.0</v>
      </c>
      <c r="E2672" s="2">
        <v>20570.0</v>
      </c>
      <c r="F2672" s="2">
        <v>26.0</v>
      </c>
    </row>
    <row r="2673" ht="15.75" customHeight="1">
      <c r="A2673" s="4" t="s">
        <v>4300</v>
      </c>
      <c r="B2673" s="2" t="s">
        <v>4301</v>
      </c>
      <c r="C2673" s="2">
        <v>474.0</v>
      </c>
      <c r="D2673" s="2">
        <v>457.0</v>
      </c>
      <c r="E2673" s="2">
        <v>27130.0</v>
      </c>
      <c r="F2673" s="2" t="s">
        <v>150</v>
      </c>
    </row>
    <row r="2674" ht="15.75" customHeight="1">
      <c r="A2674" s="4" t="s">
        <v>6384</v>
      </c>
      <c r="B2674" s="2" t="s">
        <v>6385</v>
      </c>
      <c r="C2674" s="2">
        <v>77.0</v>
      </c>
      <c r="D2674" s="2">
        <v>71.0</v>
      </c>
      <c r="E2674" s="2" t="s">
        <v>150</v>
      </c>
      <c r="F2674" s="2" t="s">
        <v>150</v>
      </c>
    </row>
    <row r="2675" ht="15.75" customHeight="1">
      <c r="A2675" s="4" t="s">
        <v>6386</v>
      </c>
      <c r="B2675" s="2" t="s">
        <v>6387</v>
      </c>
      <c r="C2675" s="2">
        <v>700.0</v>
      </c>
      <c r="D2675" s="2">
        <v>670.0</v>
      </c>
      <c r="E2675" s="2">
        <v>25550.0</v>
      </c>
      <c r="F2675" s="2" t="s">
        <v>150</v>
      </c>
    </row>
    <row r="2676" ht="15.75" customHeight="1">
      <c r="A2676" s="4" t="s">
        <v>4302</v>
      </c>
      <c r="B2676" s="2" t="s">
        <v>4303</v>
      </c>
      <c r="C2676" s="2">
        <v>651.0</v>
      </c>
      <c r="D2676" s="2">
        <v>649.0</v>
      </c>
      <c r="E2676" s="2">
        <v>25200.0</v>
      </c>
      <c r="F2676" s="2" t="s">
        <v>150</v>
      </c>
    </row>
    <row r="2677" ht="15.75" customHeight="1">
      <c r="A2677" s="4" t="s">
        <v>4304</v>
      </c>
      <c r="B2677" s="2" t="s">
        <v>4305</v>
      </c>
      <c r="C2677" s="2">
        <v>697.0</v>
      </c>
      <c r="D2677" s="2">
        <v>730.0</v>
      </c>
      <c r="E2677" s="2">
        <v>26870.0</v>
      </c>
      <c r="F2677" s="2" t="s">
        <v>150</v>
      </c>
    </row>
    <row r="2678" ht="15.75" customHeight="1">
      <c r="A2678" s="4" t="s">
        <v>4306</v>
      </c>
      <c r="B2678" s="2" t="s">
        <v>4307</v>
      </c>
      <c r="C2678" s="2">
        <v>656.0</v>
      </c>
      <c r="D2678" s="2">
        <v>655.0</v>
      </c>
      <c r="E2678" s="2">
        <v>23310.0</v>
      </c>
      <c r="F2678" s="2" t="s">
        <v>150</v>
      </c>
    </row>
    <row r="2679" ht="15.75" hidden="1" customHeight="1">
      <c r="A2679" s="4" t="s">
        <v>4345</v>
      </c>
      <c r="B2679" s="2" t="s">
        <v>4346</v>
      </c>
      <c r="C2679" s="2">
        <v>11363.0</v>
      </c>
      <c r="D2679" s="2">
        <v>11619.0</v>
      </c>
      <c r="E2679" s="2">
        <v>20640.0</v>
      </c>
      <c r="F2679" s="2">
        <v>26.0</v>
      </c>
    </row>
    <row r="2680" ht="15.75" hidden="1" customHeight="1">
      <c r="A2680" s="4" t="s">
        <v>4308</v>
      </c>
      <c r="B2680" s="2" t="s">
        <v>4309</v>
      </c>
      <c r="C2680" s="2">
        <v>3348.0</v>
      </c>
      <c r="D2680" s="2">
        <v>3342.0</v>
      </c>
      <c r="E2680" s="2">
        <v>27510.0</v>
      </c>
      <c r="F2680" s="2">
        <v>10.0</v>
      </c>
    </row>
    <row r="2681" ht="15.75" customHeight="1">
      <c r="A2681" s="4" t="s">
        <v>4312</v>
      </c>
      <c r="B2681" s="2" t="s">
        <v>4313</v>
      </c>
      <c r="C2681" s="2">
        <v>664.0</v>
      </c>
      <c r="D2681" s="2">
        <v>620.0</v>
      </c>
      <c r="E2681" s="2">
        <v>22540.0</v>
      </c>
      <c r="F2681" s="2" t="s">
        <v>150</v>
      </c>
    </row>
    <row r="2682" ht="15.75" hidden="1" customHeight="1">
      <c r="A2682" s="4" t="s">
        <v>4314</v>
      </c>
      <c r="B2682" s="2" t="s">
        <v>4315</v>
      </c>
      <c r="C2682" s="2">
        <v>3786.0</v>
      </c>
      <c r="D2682" s="2">
        <v>3691.0</v>
      </c>
      <c r="E2682" s="2">
        <v>24130.0</v>
      </c>
      <c r="F2682" s="2">
        <v>15.0</v>
      </c>
    </row>
    <row r="2683" ht="15.75" customHeight="1">
      <c r="A2683" s="4" t="s">
        <v>6388</v>
      </c>
      <c r="B2683" s="2" t="s">
        <v>6389</v>
      </c>
      <c r="C2683" s="2">
        <v>230.0</v>
      </c>
      <c r="D2683" s="2">
        <v>228.0</v>
      </c>
      <c r="E2683" s="2">
        <v>25400.0</v>
      </c>
      <c r="F2683" s="2" t="s">
        <v>150</v>
      </c>
    </row>
    <row r="2684" ht="15.75" customHeight="1">
      <c r="A2684" s="4" t="s">
        <v>6390</v>
      </c>
      <c r="B2684" s="2" t="s">
        <v>6391</v>
      </c>
      <c r="C2684" s="2">
        <v>139.0</v>
      </c>
      <c r="D2684" s="2">
        <v>133.0</v>
      </c>
      <c r="E2684" s="2">
        <v>25170.0</v>
      </c>
      <c r="F2684" s="2" t="s">
        <v>150</v>
      </c>
    </row>
    <row r="2685" ht="15.75" customHeight="1">
      <c r="A2685" s="4" t="s">
        <v>6392</v>
      </c>
      <c r="B2685" s="2" t="s">
        <v>6393</v>
      </c>
      <c r="C2685" s="2">
        <v>90.0</v>
      </c>
      <c r="D2685" s="2">
        <v>71.0</v>
      </c>
      <c r="E2685" s="2" t="s">
        <v>150</v>
      </c>
      <c r="F2685" s="2" t="s">
        <v>150</v>
      </c>
    </row>
    <row r="2686" ht="15.75" customHeight="1">
      <c r="A2686" s="4" t="s">
        <v>6394</v>
      </c>
      <c r="B2686" s="2" t="s">
        <v>6395</v>
      </c>
      <c r="C2686" s="2">
        <v>96.0</v>
      </c>
      <c r="D2686" s="2">
        <v>104.0</v>
      </c>
      <c r="E2686" s="2">
        <v>30230.0</v>
      </c>
      <c r="F2686" s="2" t="s">
        <v>150</v>
      </c>
    </row>
    <row r="2687" ht="15.75" customHeight="1">
      <c r="A2687" s="4" t="s">
        <v>6396</v>
      </c>
      <c r="B2687" s="2" t="s">
        <v>6397</v>
      </c>
      <c r="C2687" s="2">
        <v>561.0</v>
      </c>
      <c r="D2687" s="2">
        <v>545.0</v>
      </c>
      <c r="E2687" s="2">
        <v>25660.0</v>
      </c>
      <c r="F2687" s="2" t="s">
        <v>150</v>
      </c>
    </row>
    <row r="2688" ht="15.75" customHeight="1">
      <c r="A2688" s="4" t="s">
        <v>4317</v>
      </c>
      <c r="B2688" s="2" t="s">
        <v>4318</v>
      </c>
      <c r="C2688" s="2">
        <v>476.0</v>
      </c>
      <c r="D2688" s="2">
        <v>512.0</v>
      </c>
      <c r="E2688" s="2">
        <v>25860.0</v>
      </c>
      <c r="F2688" s="2" t="s">
        <v>150</v>
      </c>
    </row>
    <row r="2689" ht="15.75" customHeight="1">
      <c r="A2689" s="4" t="s">
        <v>6398</v>
      </c>
      <c r="B2689" s="2" t="s">
        <v>6399</v>
      </c>
      <c r="C2689" s="2">
        <v>300.0</v>
      </c>
      <c r="D2689" s="2">
        <v>285.0</v>
      </c>
      <c r="E2689" s="2">
        <v>22280.0</v>
      </c>
      <c r="F2689" s="2" t="s">
        <v>150</v>
      </c>
    </row>
    <row r="2690" ht="15.75" customHeight="1">
      <c r="A2690" s="4" t="s">
        <v>4321</v>
      </c>
      <c r="B2690" s="2" t="s">
        <v>4322</v>
      </c>
      <c r="C2690" s="2">
        <v>651.0</v>
      </c>
      <c r="D2690" s="2">
        <v>679.0</v>
      </c>
      <c r="E2690" s="2">
        <v>28970.0</v>
      </c>
      <c r="F2690" s="2" t="s">
        <v>150</v>
      </c>
    </row>
    <row r="2691" ht="15.75" customHeight="1">
      <c r="A2691" s="4" t="s">
        <v>6400</v>
      </c>
      <c r="B2691" s="2" t="s">
        <v>6401</v>
      </c>
      <c r="C2691" s="2">
        <v>592.0</v>
      </c>
      <c r="D2691" s="2">
        <v>600.0</v>
      </c>
      <c r="E2691" s="2">
        <v>22300.0</v>
      </c>
      <c r="F2691" s="2" t="s">
        <v>150</v>
      </c>
    </row>
    <row r="2692" ht="15.75" customHeight="1">
      <c r="A2692" s="4" t="s">
        <v>4325</v>
      </c>
      <c r="B2692" s="2" t="s">
        <v>4326</v>
      </c>
      <c r="C2692" s="2">
        <v>1359.0</v>
      </c>
      <c r="D2692" s="2">
        <v>1317.0</v>
      </c>
      <c r="E2692" s="2">
        <v>27310.0</v>
      </c>
      <c r="F2692" s="2" t="s">
        <v>150</v>
      </c>
    </row>
    <row r="2693" ht="15.75" customHeight="1">
      <c r="A2693" s="4" t="s">
        <v>4329</v>
      </c>
      <c r="B2693" s="2" t="s">
        <v>4330</v>
      </c>
      <c r="C2693" s="2">
        <v>413.0</v>
      </c>
      <c r="D2693" s="2">
        <v>384.0</v>
      </c>
      <c r="E2693" s="2">
        <v>24620.0</v>
      </c>
      <c r="F2693" s="2" t="s">
        <v>150</v>
      </c>
    </row>
    <row r="2694" ht="15.75" customHeight="1">
      <c r="A2694" s="4" t="s">
        <v>6402</v>
      </c>
      <c r="B2694" s="2" t="s">
        <v>6403</v>
      </c>
      <c r="C2694" s="2">
        <v>460.0</v>
      </c>
      <c r="D2694" s="2">
        <v>443.0</v>
      </c>
      <c r="E2694" s="2">
        <v>29690.0</v>
      </c>
      <c r="F2694" s="2" t="s">
        <v>150</v>
      </c>
    </row>
    <row r="2695" ht="15.75" hidden="1" customHeight="1">
      <c r="A2695" s="4" t="s">
        <v>4331</v>
      </c>
      <c r="B2695" s="2" t="s">
        <v>4332</v>
      </c>
      <c r="C2695" s="2">
        <v>10198.0</v>
      </c>
      <c r="D2695" s="2">
        <v>9743.0</v>
      </c>
      <c r="E2695" s="2">
        <v>20660.0</v>
      </c>
      <c r="F2695" s="2">
        <v>26.0</v>
      </c>
    </row>
    <row r="2696" ht="15.75" customHeight="1">
      <c r="A2696" s="4" t="s">
        <v>4333</v>
      </c>
      <c r="B2696" s="2" t="s">
        <v>4334</v>
      </c>
      <c r="C2696" s="2">
        <v>2014.0</v>
      </c>
      <c r="D2696" s="2">
        <v>1912.0</v>
      </c>
      <c r="E2696" s="2">
        <v>24070.0</v>
      </c>
      <c r="F2696" s="2" t="s">
        <v>150</v>
      </c>
    </row>
    <row r="2697" ht="15.75" customHeight="1">
      <c r="A2697" s="4" t="s">
        <v>4327</v>
      </c>
      <c r="B2697" s="2" t="s">
        <v>4328</v>
      </c>
      <c r="C2697" s="2">
        <v>1023.0</v>
      </c>
      <c r="D2697" s="2">
        <v>1022.0</v>
      </c>
      <c r="E2697" s="2">
        <v>30580.0</v>
      </c>
      <c r="F2697" s="2" t="s">
        <v>150</v>
      </c>
    </row>
    <row r="2698" ht="15.75" customHeight="1">
      <c r="A2698" s="4" t="s">
        <v>6404</v>
      </c>
      <c r="B2698" s="2" t="s">
        <v>6405</v>
      </c>
      <c r="C2698" s="2">
        <v>63.0</v>
      </c>
      <c r="D2698" s="2">
        <v>62.0</v>
      </c>
      <c r="E2698" s="2" t="s">
        <v>150</v>
      </c>
      <c r="F2698" s="2" t="s">
        <v>150</v>
      </c>
    </row>
    <row r="2699" ht="15.75" customHeight="1">
      <c r="A2699" s="4" t="s">
        <v>6406</v>
      </c>
      <c r="B2699" s="2" t="s">
        <v>6407</v>
      </c>
      <c r="C2699" s="2">
        <v>210.0</v>
      </c>
      <c r="D2699" s="2">
        <v>210.0</v>
      </c>
      <c r="E2699" s="2">
        <v>24010.0</v>
      </c>
      <c r="F2699" s="2" t="s">
        <v>150</v>
      </c>
    </row>
    <row r="2700" ht="15.75" customHeight="1">
      <c r="A2700" s="4" t="s">
        <v>4337</v>
      </c>
      <c r="B2700" s="2" t="s">
        <v>4338</v>
      </c>
      <c r="C2700" s="2">
        <v>558.0</v>
      </c>
      <c r="D2700" s="2">
        <v>557.0</v>
      </c>
      <c r="E2700" s="2">
        <v>25260.0</v>
      </c>
      <c r="F2700" s="2" t="s">
        <v>150</v>
      </c>
    </row>
    <row r="2701" ht="15.75" customHeight="1">
      <c r="A2701" s="4" t="s">
        <v>6408</v>
      </c>
      <c r="B2701" s="2" t="s">
        <v>6409</v>
      </c>
      <c r="C2701" s="2">
        <v>94.0</v>
      </c>
      <c r="D2701" s="2">
        <v>87.0</v>
      </c>
      <c r="E2701" s="2" t="s">
        <v>150</v>
      </c>
      <c r="F2701" s="2" t="s">
        <v>150</v>
      </c>
    </row>
    <row r="2702" ht="15.75" customHeight="1">
      <c r="A2702" s="4" t="s">
        <v>6410</v>
      </c>
      <c r="B2702" s="2" t="s">
        <v>6411</v>
      </c>
      <c r="C2702" s="2">
        <v>309.0</v>
      </c>
      <c r="D2702" s="2">
        <v>299.0</v>
      </c>
      <c r="E2702" s="2">
        <v>24990.0</v>
      </c>
      <c r="F2702" s="2" t="s">
        <v>150</v>
      </c>
    </row>
    <row r="2703" ht="15.75" customHeight="1">
      <c r="A2703" s="4" t="s">
        <v>4340</v>
      </c>
      <c r="B2703" s="2" t="s">
        <v>4342</v>
      </c>
      <c r="C2703" s="2">
        <v>1117.0</v>
      </c>
      <c r="D2703" s="2">
        <v>1170.0</v>
      </c>
      <c r="E2703" s="2">
        <v>27500.0</v>
      </c>
      <c r="F2703" s="2" t="s">
        <v>150</v>
      </c>
    </row>
    <row r="2704" ht="15.75" customHeight="1">
      <c r="A2704" s="4" t="s">
        <v>6412</v>
      </c>
      <c r="B2704" s="2" t="s">
        <v>6413</v>
      </c>
      <c r="C2704" s="2">
        <v>249.0</v>
      </c>
      <c r="D2704" s="2">
        <v>237.0</v>
      </c>
      <c r="E2704" s="2">
        <v>26430.0</v>
      </c>
      <c r="F2704" s="2" t="s">
        <v>150</v>
      </c>
    </row>
    <row r="2705" ht="15.75" customHeight="1">
      <c r="A2705" s="4" t="s">
        <v>6414</v>
      </c>
      <c r="B2705" s="2" t="s">
        <v>3337</v>
      </c>
      <c r="C2705" s="2">
        <v>272.0</v>
      </c>
      <c r="D2705" s="2">
        <v>289.0</v>
      </c>
      <c r="E2705" s="2">
        <v>26160.0</v>
      </c>
      <c r="F2705" s="2" t="s">
        <v>150</v>
      </c>
    </row>
    <row r="2706" ht="15.75" customHeight="1">
      <c r="A2706" s="4" t="s">
        <v>4343</v>
      </c>
      <c r="B2706" s="2" t="s">
        <v>4344</v>
      </c>
      <c r="C2706" s="2">
        <v>734.0</v>
      </c>
      <c r="D2706" s="2">
        <v>673.0</v>
      </c>
      <c r="E2706" s="2">
        <v>25800.0</v>
      </c>
      <c r="F2706" s="2" t="s">
        <v>150</v>
      </c>
    </row>
    <row r="2707" ht="15.75" customHeight="1">
      <c r="A2707" s="4" t="s">
        <v>6415</v>
      </c>
      <c r="B2707" s="2" t="s">
        <v>6416</v>
      </c>
      <c r="C2707" s="2">
        <v>212.0</v>
      </c>
      <c r="D2707" s="2">
        <v>225.0</v>
      </c>
      <c r="E2707" s="2">
        <v>27220.0</v>
      </c>
      <c r="F2707" s="2" t="s">
        <v>150</v>
      </c>
    </row>
    <row r="2708" ht="15.75" customHeight="1">
      <c r="A2708" s="4" t="s">
        <v>6417</v>
      </c>
      <c r="B2708" s="2" t="s">
        <v>6418</v>
      </c>
      <c r="C2708" s="2">
        <v>153.0</v>
      </c>
      <c r="D2708" s="2">
        <v>158.0</v>
      </c>
      <c r="E2708" s="2">
        <v>26550.0</v>
      </c>
      <c r="F2708" s="2" t="s">
        <v>150</v>
      </c>
    </row>
    <row r="2709" ht="15.75" customHeight="1">
      <c r="A2709" s="4" t="s">
        <v>6419</v>
      </c>
      <c r="B2709" s="2" t="s">
        <v>6420</v>
      </c>
      <c r="C2709" s="2">
        <v>282.0</v>
      </c>
      <c r="D2709" s="2">
        <v>357.0</v>
      </c>
      <c r="E2709" s="2">
        <v>20430.0</v>
      </c>
      <c r="F2709" s="2" t="s">
        <v>150</v>
      </c>
    </row>
    <row r="2710" ht="15.75" customHeight="1">
      <c r="A2710" s="4" t="s">
        <v>6421</v>
      </c>
      <c r="B2710" s="2" t="s">
        <v>6422</v>
      </c>
      <c r="C2710" s="2">
        <v>198.0</v>
      </c>
      <c r="D2710" s="2">
        <v>200.0</v>
      </c>
      <c r="E2710" s="2">
        <v>23840.0</v>
      </c>
      <c r="F2710" s="2" t="s">
        <v>150</v>
      </c>
    </row>
    <row r="2711" ht="15.75" customHeight="1">
      <c r="A2711" s="4" t="s">
        <v>4347</v>
      </c>
      <c r="B2711" s="2" t="s">
        <v>4348</v>
      </c>
      <c r="C2711" s="2">
        <v>953.0</v>
      </c>
      <c r="D2711" s="2">
        <v>1095.0</v>
      </c>
      <c r="E2711" s="2">
        <v>24100.0</v>
      </c>
      <c r="F2711" s="2" t="s">
        <v>150</v>
      </c>
    </row>
    <row r="2712" ht="15.75" hidden="1" customHeight="1">
      <c r="A2712" s="4" t="s">
        <v>4349</v>
      </c>
      <c r="B2712" s="2" t="s">
        <v>4350</v>
      </c>
      <c r="C2712" s="2">
        <v>3746.0</v>
      </c>
      <c r="D2712" s="2">
        <v>4115.0</v>
      </c>
      <c r="E2712" s="2">
        <v>28640.0</v>
      </c>
      <c r="F2712" s="2">
        <v>11.0</v>
      </c>
    </row>
    <row r="2713" ht="15.75" customHeight="1">
      <c r="A2713" s="4" t="s">
        <v>6423</v>
      </c>
      <c r="B2713" s="2" t="s">
        <v>6424</v>
      </c>
      <c r="C2713" s="2">
        <v>28.0</v>
      </c>
      <c r="D2713" s="2">
        <v>22.0</v>
      </c>
      <c r="E2713" s="2" t="s">
        <v>150</v>
      </c>
      <c r="F2713" s="2" t="s">
        <v>150</v>
      </c>
    </row>
    <row r="2714" ht="15.75" customHeight="1">
      <c r="A2714" s="4" t="s">
        <v>4351</v>
      </c>
      <c r="B2714" s="2" t="s">
        <v>4352</v>
      </c>
      <c r="C2714" s="2">
        <v>1440.0</v>
      </c>
      <c r="D2714" s="2">
        <v>1409.0</v>
      </c>
      <c r="E2714" s="2">
        <v>30640.0</v>
      </c>
      <c r="F2714" s="2" t="s">
        <v>150</v>
      </c>
    </row>
    <row r="2715" ht="15.75" customHeight="1">
      <c r="A2715" s="4" t="s">
        <v>6425</v>
      </c>
      <c r="B2715" s="2" t="s">
        <v>6426</v>
      </c>
      <c r="C2715" s="2">
        <v>71.0</v>
      </c>
      <c r="D2715" s="2">
        <v>59.0</v>
      </c>
      <c r="E2715" s="2" t="s">
        <v>150</v>
      </c>
      <c r="F2715" s="2" t="s">
        <v>150</v>
      </c>
    </row>
    <row r="2716" ht="15.75" customHeight="1">
      <c r="A2716" s="4" t="s">
        <v>6427</v>
      </c>
      <c r="B2716" s="2" t="s">
        <v>6428</v>
      </c>
      <c r="C2716" s="2">
        <v>168.0</v>
      </c>
      <c r="D2716" s="2">
        <v>171.0</v>
      </c>
      <c r="E2716" s="2">
        <v>26790.0</v>
      </c>
      <c r="F2716" s="2" t="s">
        <v>150</v>
      </c>
    </row>
    <row r="2717" ht="15.75" customHeight="1">
      <c r="A2717" s="4" t="s">
        <v>4353</v>
      </c>
      <c r="B2717" s="2" t="s">
        <v>4354</v>
      </c>
      <c r="C2717" s="2">
        <v>1526.0</v>
      </c>
      <c r="D2717" s="2">
        <v>1628.0</v>
      </c>
      <c r="E2717" s="2">
        <v>32390.0</v>
      </c>
      <c r="F2717" s="2" t="s">
        <v>150</v>
      </c>
    </row>
    <row r="2718" ht="15.75" customHeight="1">
      <c r="A2718" s="4" t="s">
        <v>4355</v>
      </c>
      <c r="B2718" s="2" t="s">
        <v>4356</v>
      </c>
      <c r="C2718" s="2">
        <v>650.0</v>
      </c>
      <c r="D2718" s="2">
        <v>618.0</v>
      </c>
      <c r="E2718" s="2">
        <v>22310.0</v>
      </c>
      <c r="F2718" s="2" t="s">
        <v>150</v>
      </c>
    </row>
    <row r="2719" ht="15.75" customHeight="1">
      <c r="A2719" s="4" t="s">
        <v>6429</v>
      </c>
      <c r="B2719" s="2" t="s">
        <v>6430</v>
      </c>
      <c r="C2719" s="2">
        <v>505.0</v>
      </c>
      <c r="D2719" s="2">
        <v>481.0</v>
      </c>
      <c r="E2719" s="2">
        <v>29190.0</v>
      </c>
      <c r="F2719" s="2" t="s">
        <v>150</v>
      </c>
    </row>
    <row r="2720" ht="15.75" customHeight="1">
      <c r="A2720" s="4" t="s">
        <v>6431</v>
      </c>
      <c r="B2720" s="2" t="s">
        <v>6432</v>
      </c>
      <c r="C2720" s="2">
        <v>574.0</v>
      </c>
      <c r="D2720" s="2">
        <v>570.0</v>
      </c>
      <c r="E2720" s="2">
        <v>28160.0</v>
      </c>
      <c r="F2720" s="2" t="s">
        <v>150</v>
      </c>
    </row>
    <row r="2721" ht="15.75" customHeight="1">
      <c r="A2721" s="4" t="s">
        <v>4359</v>
      </c>
      <c r="B2721" s="2" t="s">
        <v>4360</v>
      </c>
      <c r="C2721" s="2">
        <v>847.0</v>
      </c>
      <c r="D2721" s="2">
        <v>902.0</v>
      </c>
      <c r="E2721" s="2">
        <v>23590.0</v>
      </c>
      <c r="F2721" s="2" t="s">
        <v>150</v>
      </c>
    </row>
    <row r="2722" ht="15.75" customHeight="1">
      <c r="A2722" s="4" t="s">
        <v>4357</v>
      </c>
      <c r="B2722" s="2" t="s">
        <v>4358</v>
      </c>
      <c r="C2722" s="2">
        <v>557.0</v>
      </c>
      <c r="D2722" s="2">
        <v>577.0</v>
      </c>
      <c r="E2722" s="2">
        <v>26510.0</v>
      </c>
      <c r="F2722" s="2" t="s">
        <v>150</v>
      </c>
    </row>
    <row r="2723" ht="15.75" customHeight="1">
      <c r="A2723" s="4" t="s">
        <v>6433</v>
      </c>
      <c r="B2723" s="2" t="s">
        <v>6434</v>
      </c>
      <c r="C2723" s="2">
        <v>281.0</v>
      </c>
      <c r="D2723" s="2">
        <v>280.0</v>
      </c>
      <c r="E2723" s="2">
        <v>29320.0</v>
      </c>
      <c r="F2723" s="2" t="s">
        <v>150</v>
      </c>
    </row>
    <row r="2724" ht="15.75" customHeight="1">
      <c r="A2724" s="4" t="s">
        <v>6435</v>
      </c>
      <c r="B2724" s="2" t="s">
        <v>6436</v>
      </c>
      <c r="C2724" s="2">
        <v>179.0</v>
      </c>
      <c r="D2724" s="2">
        <v>186.0</v>
      </c>
      <c r="E2724" s="2">
        <v>22100.0</v>
      </c>
      <c r="F2724" s="2" t="s">
        <v>150</v>
      </c>
    </row>
    <row r="2725" ht="15.75" hidden="1" customHeight="1">
      <c r="A2725" s="4" t="s">
        <v>4377</v>
      </c>
      <c r="B2725" s="2" t="s">
        <v>4378</v>
      </c>
      <c r="C2725" s="2">
        <v>12074.0</v>
      </c>
      <c r="D2725" s="2">
        <v>11590.0</v>
      </c>
      <c r="E2725" s="2">
        <v>20690.0</v>
      </c>
      <c r="F2725" s="2">
        <v>24.0</v>
      </c>
    </row>
    <row r="2726" ht="15.75" customHeight="1">
      <c r="A2726" s="4" t="s">
        <v>4361</v>
      </c>
      <c r="B2726" s="2" t="s">
        <v>4363</v>
      </c>
      <c r="C2726" s="2">
        <v>1273.0</v>
      </c>
      <c r="D2726" s="2">
        <v>1271.0</v>
      </c>
      <c r="E2726" s="2">
        <v>24290.0</v>
      </c>
      <c r="F2726" s="2" t="s">
        <v>150</v>
      </c>
    </row>
    <row r="2727" ht="15.75" customHeight="1">
      <c r="A2727" s="4" t="s">
        <v>6437</v>
      </c>
      <c r="B2727" s="2" t="s">
        <v>6438</v>
      </c>
      <c r="C2727" s="2">
        <v>160.0</v>
      </c>
      <c r="D2727" s="2">
        <v>130.0</v>
      </c>
      <c r="E2727" s="2">
        <v>25420.0</v>
      </c>
      <c r="F2727" s="2" t="s">
        <v>150</v>
      </c>
    </row>
    <row r="2728" ht="15.75" customHeight="1">
      <c r="A2728" s="4" t="s">
        <v>4365</v>
      </c>
      <c r="B2728" s="2" t="s">
        <v>4366</v>
      </c>
      <c r="C2728" s="2">
        <v>1398.0</v>
      </c>
      <c r="D2728" s="2">
        <v>1381.0</v>
      </c>
      <c r="E2728" s="2">
        <v>24410.0</v>
      </c>
      <c r="F2728" s="2" t="s">
        <v>150</v>
      </c>
    </row>
    <row r="2729" ht="15.75" customHeight="1">
      <c r="A2729" s="4" t="s">
        <v>4367</v>
      </c>
      <c r="B2729" s="2" t="s">
        <v>4368</v>
      </c>
      <c r="C2729" s="2">
        <v>1613.0</v>
      </c>
      <c r="D2729" s="2">
        <v>1756.0</v>
      </c>
      <c r="E2729" s="2">
        <v>25250.0</v>
      </c>
      <c r="F2729" s="2" t="s">
        <v>150</v>
      </c>
    </row>
    <row r="2730" ht="15.75" customHeight="1">
      <c r="A2730" s="4" t="s">
        <v>6439</v>
      </c>
      <c r="B2730" s="2" t="s">
        <v>6440</v>
      </c>
      <c r="C2730" s="2">
        <v>234.0</v>
      </c>
      <c r="D2730" s="2">
        <v>261.0</v>
      </c>
      <c r="E2730" s="2">
        <v>24070.0</v>
      </c>
      <c r="F2730" s="2" t="s">
        <v>150</v>
      </c>
    </row>
    <row r="2731" ht="15.75" customHeight="1">
      <c r="A2731" s="4" t="s">
        <v>6441</v>
      </c>
      <c r="B2731" s="2" t="s">
        <v>6442</v>
      </c>
      <c r="C2731" s="2">
        <v>679.0</v>
      </c>
      <c r="D2731" s="2">
        <v>709.0</v>
      </c>
      <c r="E2731" s="2">
        <v>28620.0</v>
      </c>
      <c r="F2731" s="2" t="s">
        <v>150</v>
      </c>
    </row>
    <row r="2732" ht="15.75" hidden="1" customHeight="1">
      <c r="A2732" s="4" t="s">
        <v>4369</v>
      </c>
      <c r="B2732" s="2" t="s">
        <v>4370</v>
      </c>
      <c r="C2732" s="2">
        <v>5973.0</v>
      </c>
      <c r="D2732" s="2">
        <v>5994.0</v>
      </c>
      <c r="E2732" s="2">
        <v>21450.0</v>
      </c>
      <c r="F2732" s="2">
        <v>24.0</v>
      </c>
    </row>
    <row r="2733" ht="15.75" customHeight="1">
      <c r="A2733" s="4" t="s">
        <v>6443</v>
      </c>
      <c r="B2733" s="2" t="s">
        <v>6444</v>
      </c>
      <c r="C2733" s="2">
        <v>53.0</v>
      </c>
      <c r="D2733" s="2">
        <v>56.0</v>
      </c>
      <c r="E2733" s="2" t="s">
        <v>150</v>
      </c>
      <c r="F2733" s="2" t="s">
        <v>150</v>
      </c>
    </row>
    <row r="2734" ht="15.75" hidden="1" customHeight="1">
      <c r="A2734" s="4" t="s">
        <v>4371</v>
      </c>
      <c r="B2734" s="2" t="s">
        <v>4372</v>
      </c>
      <c r="C2734" s="2">
        <v>2401.0</v>
      </c>
      <c r="D2734" s="2">
        <v>2273.0</v>
      </c>
      <c r="E2734" s="2">
        <v>23860.0</v>
      </c>
      <c r="F2734" s="2">
        <v>18.0</v>
      </c>
    </row>
    <row r="2735" ht="15.75" customHeight="1">
      <c r="A2735" s="4" t="s">
        <v>4373</v>
      </c>
      <c r="B2735" s="2" t="s">
        <v>4374</v>
      </c>
      <c r="C2735" s="2">
        <v>812.0</v>
      </c>
      <c r="D2735" s="2">
        <v>848.0</v>
      </c>
      <c r="E2735" s="2">
        <v>28820.0</v>
      </c>
      <c r="F2735" s="2" t="s">
        <v>150</v>
      </c>
    </row>
    <row r="2736" ht="15.75" hidden="1" customHeight="1">
      <c r="A2736" s="4" t="s">
        <v>4375</v>
      </c>
      <c r="B2736" s="2" t="s">
        <v>4376</v>
      </c>
      <c r="C2736" s="2">
        <v>6561.0</v>
      </c>
      <c r="D2736" s="2">
        <v>6854.0</v>
      </c>
      <c r="E2736" s="2">
        <v>19360.0</v>
      </c>
      <c r="F2736" s="2">
        <v>30.0</v>
      </c>
    </row>
    <row r="2737" ht="15.75" customHeight="1">
      <c r="A2737" s="4" t="s">
        <v>6445</v>
      </c>
      <c r="B2737" s="2" t="s">
        <v>6446</v>
      </c>
      <c r="C2737" s="2">
        <v>173.0</v>
      </c>
      <c r="D2737" s="2">
        <v>154.0</v>
      </c>
      <c r="E2737" s="2">
        <v>28000.0</v>
      </c>
      <c r="F2737" s="2" t="s">
        <v>150</v>
      </c>
    </row>
    <row r="2738" ht="15.75" customHeight="1">
      <c r="A2738" s="4" t="s">
        <v>6447</v>
      </c>
      <c r="B2738" s="2" t="s">
        <v>6448</v>
      </c>
      <c r="C2738" s="2">
        <v>294.0</v>
      </c>
      <c r="D2738" s="2">
        <v>256.0</v>
      </c>
      <c r="E2738" s="2">
        <v>28440.0</v>
      </c>
      <c r="F2738" s="2" t="s">
        <v>150</v>
      </c>
    </row>
    <row r="2739" ht="15.75" customHeight="1">
      <c r="A2739" s="4" t="s">
        <v>6449</v>
      </c>
      <c r="B2739" s="2" t="s">
        <v>6450</v>
      </c>
      <c r="C2739" s="2">
        <v>476.0</v>
      </c>
      <c r="D2739" s="2">
        <v>471.0</v>
      </c>
      <c r="E2739" s="2">
        <v>24110.0</v>
      </c>
      <c r="F2739" s="2" t="s">
        <v>150</v>
      </c>
    </row>
    <row r="2740" ht="15.75" customHeight="1">
      <c r="A2740" s="4" t="s">
        <v>6451</v>
      </c>
      <c r="B2740" s="2" t="s">
        <v>6452</v>
      </c>
      <c r="C2740" s="2">
        <v>379.0</v>
      </c>
      <c r="D2740" s="2">
        <v>384.0</v>
      </c>
      <c r="E2740" s="2">
        <v>23560.0</v>
      </c>
      <c r="F2740" s="2" t="s">
        <v>150</v>
      </c>
    </row>
    <row r="2741" ht="15.75" customHeight="1">
      <c r="A2741" s="4" t="s">
        <v>6453</v>
      </c>
      <c r="B2741" s="2" t="s">
        <v>6454</v>
      </c>
      <c r="C2741" s="2">
        <v>249.0</v>
      </c>
      <c r="D2741" s="2">
        <v>251.0</v>
      </c>
      <c r="E2741" s="2">
        <v>23920.0</v>
      </c>
      <c r="F2741" s="2" t="s">
        <v>150</v>
      </c>
    </row>
    <row r="2742" ht="15.75" customHeight="1">
      <c r="A2742" s="4" t="s">
        <v>4379</v>
      </c>
      <c r="B2742" s="2" t="s">
        <v>4380</v>
      </c>
      <c r="C2742" s="2">
        <v>1167.0</v>
      </c>
      <c r="D2742" s="2">
        <v>1291.0</v>
      </c>
      <c r="E2742" s="2">
        <v>24880.0</v>
      </c>
      <c r="F2742" s="2" t="s">
        <v>150</v>
      </c>
    </row>
    <row r="2743" ht="15.75" customHeight="1">
      <c r="A2743" s="4" t="s">
        <v>6455</v>
      </c>
      <c r="B2743" s="2" t="s">
        <v>6456</v>
      </c>
      <c r="C2743" s="2">
        <v>207.0</v>
      </c>
      <c r="D2743" s="2">
        <v>210.0</v>
      </c>
      <c r="E2743" s="2">
        <v>23070.0</v>
      </c>
      <c r="F2743" s="2" t="s">
        <v>150</v>
      </c>
    </row>
    <row r="2744" ht="15.75" customHeight="1">
      <c r="A2744" s="4" t="s">
        <v>6457</v>
      </c>
      <c r="B2744" s="2" t="s">
        <v>6458</v>
      </c>
      <c r="C2744" s="2">
        <v>264.0</v>
      </c>
      <c r="D2744" s="2">
        <v>276.0</v>
      </c>
      <c r="E2744" s="2">
        <v>29470.0</v>
      </c>
      <c r="F2744" s="2" t="s">
        <v>150</v>
      </c>
    </row>
    <row r="2745" ht="15.75" hidden="1" customHeight="1">
      <c r="A2745" s="4" t="s">
        <v>4381</v>
      </c>
      <c r="B2745" s="2" t="s">
        <v>4382</v>
      </c>
      <c r="C2745" s="2">
        <v>9767.0</v>
      </c>
      <c r="D2745" s="2">
        <v>10323.0</v>
      </c>
      <c r="E2745" s="2">
        <v>21020.0</v>
      </c>
      <c r="F2745" s="2">
        <v>26.0</v>
      </c>
    </row>
    <row r="2746" ht="15.75" customHeight="1">
      <c r="A2746" s="4" t="s">
        <v>4383</v>
      </c>
      <c r="B2746" s="2" t="s">
        <v>4384</v>
      </c>
      <c r="C2746" s="2">
        <v>1217.0</v>
      </c>
      <c r="D2746" s="2">
        <v>1213.0</v>
      </c>
      <c r="E2746" s="2">
        <v>24510.0</v>
      </c>
      <c r="F2746" s="2" t="s">
        <v>150</v>
      </c>
    </row>
    <row r="2747" ht="15.75" customHeight="1">
      <c r="A2747" s="4" t="s">
        <v>6459</v>
      </c>
      <c r="B2747" s="2" t="s">
        <v>6460</v>
      </c>
      <c r="C2747" s="2">
        <v>399.0</v>
      </c>
      <c r="D2747" s="2">
        <v>418.0</v>
      </c>
      <c r="E2747" s="2">
        <v>31050.0</v>
      </c>
      <c r="F2747" s="2" t="s">
        <v>150</v>
      </c>
    </row>
    <row r="2748" ht="15.75" customHeight="1">
      <c r="A2748" s="4" t="s">
        <v>6461</v>
      </c>
      <c r="B2748" s="2" t="s">
        <v>6462</v>
      </c>
      <c r="C2748" s="2">
        <v>402.0</v>
      </c>
      <c r="D2748" s="2">
        <v>341.0</v>
      </c>
      <c r="E2748" s="2">
        <v>24400.0</v>
      </c>
      <c r="F2748" s="2" t="s">
        <v>150</v>
      </c>
    </row>
    <row r="2749" ht="15.75" customHeight="1">
      <c r="A2749" s="4" t="s">
        <v>6463</v>
      </c>
      <c r="B2749" s="2" t="s">
        <v>6464</v>
      </c>
      <c r="C2749" s="2">
        <v>239.0</v>
      </c>
      <c r="D2749" s="2">
        <v>227.0</v>
      </c>
      <c r="E2749" s="2">
        <v>25420.0</v>
      </c>
      <c r="F2749" s="2" t="s">
        <v>150</v>
      </c>
    </row>
    <row r="2750" ht="15.75" customHeight="1">
      <c r="A2750" s="4" t="s">
        <v>4385</v>
      </c>
      <c r="B2750" s="2" t="s">
        <v>4386</v>
      </c>
      <c r="C2750" s="2">
        <v>769.0</v>
      </c>
      <c r="D2750" s="2">
        <v>719.0</v>
      </c>
      <c r="E2750" s="2">
        <v>23560.0</v>
      </c>
      <c r="F2750" s="2" t="s">
        <v>150</v>
      </c>
    </row>
    <row r="2751" ht="15.75" hidden="1" customHeight="1">
      <c r="A2751" s="4" t="s">
        <v>4387</v>
      </c>
      <c r="B2751" s="2" t="s">
        <v>4388</v>
      </c>
      <c r="C2751" s="2">
        <v>13422.0</v>
      </c>
      <c r="D2751" s="2">
        <v>13138.0</v>
      </c>
      <c r="E2751" s="2">
        <v>21970.0</v>
      </c>
      <c r="F2751" s="2">
        <v>19.0</v>
      </c>
    </row>
    <row r="2752" ht="15.75" customHeight="1">
      <c r="A2752" s="4" t="s">
        <v>4389</v>
      </c>
      <c r="B2752" s="2" t="s">
        <v>4390</v>
      </c>
      <c r="C2752" s="2">
        <v>506.0</v>
      </c>
      <c r="D2752" s="2">
        <v>493.0</v>
      </c>
      <c r="E2752" s="2">
        <v>23610.0</v>
      </c>
      <c r="F2752" s="2" t="s">
        <v>150</v>
      </c>
    </row>
    <row r="2753" ht="15.75" hidden="1" customHeight="1">
      <c r="A2753" s="4" t="s">
        <v>4391</v>
      </c>
      <c r="B2753" s="2" t="s">
        <v>4392</v>
      </c>
      <c r="C2753" s="2">
        <v>5373.0</v>
      </c>
      <c r="D2753" s="2">
        <v>5780.0</v>
      </c>
      <c r="E2753" s="2">
        <v>25870.0</v>
      </c>
      <c r="F2753" s="2">
        <v>11.0</v>
      </c>
    </row>
    <row r="2754" ht="15.75" customHeight="1">
      <c r="A2754" s="4" t="s">
        <v>4393</v>
      </c>
      <c r="B2754" s="2" t="s">
        <v>4394</v>
      </c>
      <c r="C2754" s="2">
        <v>563.0</v>
      </c>
      <c r="D2754" s="2">
        <v>566.0</v>
      </c>
      <c r="E2754" s="2">
        <v>24330.0</v>
      </c>
      <c r="F2754" s="2" t="s">
        <v>150</v>
      </c>
    </row>
    <row r="2755" ht="15.75" customHeight="1">
      <c r="A2755" s="4" t="s">
        <v>4206</v>
      </c>
      <c r="B2755" s="2" t="s">
        <v>4207</v>
      </c>
      <c r="C2755" s="2">
        <v>776.0</v>
      </c>
      <c r="D2755" s="2">
        <v>740.0</v>
      </c>
      <c r="E2755" s="2">
        <v>21880.0</v>
      </c>
      <c r="F2755" s="2" t="s">
        <v>150</v>
      </c>
    </row>
    <row r="2756" ht="15.75" customHeight="1">
      <c r="A2756" s="4" t="s">
        <v>4395</v>
      </c>
      <c r="B2756" s="2" t="s">
        <v>4396</v>
      </c>
      <c r="C2756" s="2">
        <v>520.0</v>
      </c>
      <c r="D2756" s="2">
        <v>559.0</v>
      </c>
      <c r="E2756" s="2">
        <v>24460.0</v>
      </c>
      <c r="F2756" s="2" t="s">
        <v>150</v>
      </c>
    </row>
    <row r="2757" ht="15.75" customHeight="1">
      <c r="A2757" s="4" t="s">
        <v>4397</v>
      </c>
      <c r="B2757" s="2" t="s">
        <v>4398</v>
      </c>
      <c r="C2757" s="2">
        <v>762.0</v>
      </c>
      <c r="D2757" s="2">
        <v>768.0</v>
      </c>
      <c r="E2757" s="2">
        <v>22040.0</v>
      </c>
      <c r="F2757" s="2" t="s">
        <v>150</v>
      </c>
    </row>
    <row r="2758" ht="15.75" customHeight="1">
      <c r="A2758" s="4" t="s">
        <v>4400</v>
      </c>
      <c r="B2758" s="2" t="s">
        <v>4402</v>
      </c>
      <c r="C2758" s="2">
        <v>740.0</v>
      </c>
      <c r="D2758" s="2">
        <v>770.0</v>
      </c>
      <c r="E2758" s="2">
        <v>27730.0</v>
      </c>
      <c r="F2758" s="2" t="s">
        <v>150</v>
      </c>
    </row>
    <row r="2759" ht="15.75" customHeight="1">
      <c r="A2759" s="4" t="s">
        <v>6465</v>
      </c>
      <c r="B2759" s="2" t="s">
        <v>6466</v>
      </c>
      <c r="C2759" s="2">
        <v>474.0</v>
      </c>
      <c r="D2759" s="2">
        <v>458.0</v>
      </c>
      <c r="E2759" s="2">
        <v>25550.0</v>
      </c>
      <c r="F2759" s="2" t="s">
        <v>150</v>
      </c>
    </row>
    <row r="2760" ht="15.75" customHeight="1">
      <c r="A2760" s="4" t="s">
        <v>4405</v>
      </c>
      <c r="B2760" s="2" t="s">
        <v>4406</v>
      </c>
      <c r="C2760" s="2">
        <v>1686.0</v>
      </c>
      <c r="D2760" s="2">
        <v>1574.0</v>
      </c>
      <c r="E2760" s="2">
        <v>22490.0</v>
      </c>
      <c r="F2760" s="2" t="s">
        <v>150</v>
      </c>
    </row>
    <row r="2761" ht="15.75" customHeight="1">
      <c r="A2761" s="4" t="s">
        <v>4407</v>
      </c>
      <c r="B2761" s="2" t="s">
        <v>4408</v>
      </c>
      <c r="C2761" s="2">
        <v>421.0</v>
      </c>
      <c r="D2761" s="2">
        <v>422.0</v>
      </c>
      <c r="E2761" s="2">
        <v>27910.0</v>
      </c>
      <c r="F2761" s="2" t="s">
        <v>150</v>
      </c>
    </row>
    <row r="2762" ht="15.75" customHeight="1">
      <c r="A2762" s="4" t="s">
        <v>6467</v>
      </c>
      <c r="B2762" s="2" t="s">
        <v>6468</v>
      </c>
      <c r="C2762" s="2">
        <v>777.0</v>
      </c>
      <c r="D2762" s="2">
        <v>789.0</v>
      </c>
      <c r="E2762" s="2">
        <v>29110.0</v>
      </c>
      <c r="F2762" s="2" t="s">
        <v>150</v>
      </c>
    </row>
    <row r="2763" ht="15.75" customHeight="1">
      <c r="A2763" s="4" t="s">
        <v>6469</v>
      </c>
      <c r="B2763" s="2" t="s">
        <v>6470</v>
      </c>
      <c r="C2763" s="2">
        <v>292.0</v>
      </c>
      <c r="D2763" s="2">
        <v>325.0</v>
      </c>
      <c r="E2763" s="2">
        <v>25490.0</v>
      </c>
      <c r="F2763" s="2" t="s">
        <v>150</v>
      </c>
    </row>
    <row r="2764" ht="15.75" customHeight="1">
      <c r="A2764" s="4" t="s">
        <v>4409</v>
      </c>
      <c r="B2764" s="2" t="s">
        <v>4410</v>
      </c>
      <c r="C2764" s="2">
        <v>948.0</v>
      </c>
      <c r="D2764" s="2">
        <v>919.0</v>
      </c>
      <c r="E2764" s="2">
        <v>26470.0</v>
      </c>
      <c r="F2764" s="2" t="s">
        <v>150</v>
      </c>
    </row>
    <row r="2765" ht="15.75" customHeight="1">
      <c r="A2765" s="4" t="s">
        <v>6471</v>
      </c>
      <c r="B2765" s="2" t="s">
        <v>6472</v>
      </c>
      <c r="C2765" s="2">
        <v>499.0</v>
      </c>
      <c r="D2765" s="2">
        <v>545.0</v>
      </c>
      <c r="E2765" s="2">
        <v>29960.0</v>
      </c>
      <c r="F2765" s="2" t="s">
        <v>150</v>
      </c>
    </row>
    <row r="2766" ht="15.75" customHeight="1">
      <c r="A2766" s="4" t="s">
        <v>6473</v>
      </c>
      <c r="B2766" s="2" t="s">
        <v>6474</v>
      </c>
      <c r="C2766" s="2">
        <v>124.0</v>
      </c>
      <c r="D2766" s="2">
        <v>114.0</v>
      </c>
      <c r="E2766" s="2">
        <v>33450.0</v>
      </c>
      <c r="F2766" s="2" t="s">
        <v>150</v>
      </c>
    </row>
    <row r="2767" ht="15.75" customHeight="1">
      <c r="A2767" s="4" t="s">
        <v>6475</v>
      </c>
      <c r="B2767" s="2" t="s">
        <v>6476</v>
      </c>
      <c r="C2767" s="2">
        <v>81.0</v>
      </c>
      <c r="D2767" s="2">
        <v>104.0</v>
      </c>
      <c r="E2767" s="2" t="s">
        <v>150</v>
      </c>
      <c r="F2767" s="2" t="s">
        <v>150</v>
      </c>
    </row>
    <row r="2768" ht="15.75" customHeight="1">
      <c r="A2768" s="4" t="s">
        <v>6477</v>
      </c>
      <c r="B2768" s="2" t="s">
        <v>6478</v>
      </c>
      <c r="C2768" s="2">
        <v>454.0</v>
      </c>
      <c r="D2768" s="2">
        <v>452.0</v>
      </c>
      <c r="E2768" s="2">
        <v>28290.0</v>
      </c>
      <c r="F2768" s="2" t="s">
        <v>150</v>
      </c>
    </row>
    <row r="2769" ht="15.75" customHeight="1">
      <c r="A2769" s="4" t="s">
        <v>3835</v>
      </c>
      <c r="B2769" s="2" t="s">
        <v>3836</v>
      </c>
      <c r="C2769" s="2">
        <v>494.0</v>
      </c>
      <c r="D2769" s="2">
        <v>511.0</v>
      </c>
      <c r="E2769" s="2">
        <v>24240.0</v>
      </c>
      <c r="F2769" s="2" t="s">
        <v>150</v>
      </c>
    </row>
    <row r="2770" ht="15.75" customHeight="1">
      <c r="A2770" s="4" t="s">
        <v>4411</v>
      </c>
      <c r="B2770" s="2" t="s">
        <v>4412</v>
      </c>
      <c r="C2770" s="2">
        <v>853.0</v>
      </c>
      <c r="D2770" s="2">
        <v>867.0</v>
      </c>
      <c r="E2770" s="2">
        <v>25200.0</v>
      </c>
      <c r="F2770" s="2" t="s">
        <v>150</v>
      </c>
    </row>
    <row r="2771" ht="15.75" customHeight="1">
      <c r="A2771" s="4" t="s">
        <v>4413</v>
      </c>
      <c r="B2771" s="2" t="s">
        <v>4414</v>
      </c>
      <c r="C2771" s="2">
        <v>306.0</v>
      </c>
      <c r="D2771" s="2">
        <v>307.0</v>
      </c>
      <c r="E2771" s="2">
        <v>23260.0</v>
      </c>
      <c r="F2771" s="2" t="s">
        <v>150</v>
      </c>
    </row>
    <row r="2772" ht="15.75" customHeight="1">
      <c r="A2772" s="4" t="s">
        <v>6479</v>
      </c>
      <c r="B2772" s="2" t="s">
        <v>6480</v>
      </c>
      <c r="C2772" s="2">
        <v>232.0</v>
      </c>
      <c r="D2772" s="2">
        <v>244.0</v>
      </c>
      <c r="E2772" s="2">
        <v>25450.0</v>
      </c>
      <c r="F2772" s="2" t="s">
        <v>150</v>
      </c>
    </row>
    <row r="2773" ht="15.75" customHeight="1">
      <c r="A2773" s="4" t="s">
        <v>4208</v>
      </c>
      <c r="B2773" s="2" t="s">
        <v>4209</v>
      </c>
      <c r="C2773" s="2">
        <v>207.0</v>
      </c>
      <c r="D2773" s="2">
        <v>216.0</v>
      </c>
      <c r="E2773" s="2">
        <v>23380.0</v>
      </c>
      <c r="F2773" s="2" t="s">
        <v>150</v>
      </c>
    </row>
    <row r="2774" ht="15.75" hidden="1" customHeight="1">
      <c r="A2774" s="4" t="s">
        <v>4415</v>
      </c>
      <c r="B2774" s="2" t="s">
        <v>4416</v>
      </c>
      <c r="C2774" s="2">
        <v>3187.0</v>
      </c>
      <c r="D2774" s="2">
        <v>3062.0</v>
      </c>
      <c r="E2774" s="2">
        <v>21960.0</v>
      </c>
      <c r="F2774" s="2">
        <v>22.0</v>
      </c>
    </row>
    <row r="2775" ht="15.75" hidden="1" customHeight="1">
      <c r="A2775" s="4" t="s">
        <v>4210</v>
      </c>
      <c r="B2775" s="2" t="s">
        <v>4211</v>
      </c>
      <c r="C2775" s="2">
        <v>9240.0</v>
      </c>
      <c r="D2775" s="2">
        <v>8768.0</v>
      </c>
      <c r="E2775" s="2">
        <v>20870.0</v>
      </c>
      <c r="F2775" s="2">
        <v>25.0</v>
      </c>
    </row>
    <row r="2776" ht="15.75" customHeight="1">
      <c r="A2776" s="4" t="s">
        <v>6481</v>
      </c>
      <c r="B2776" s="2" t="s">
        <v>6482</v>
      </c>
      <c r="C2776" s="2">
        <v>190.0</v>
      </c>
      <c r="D2776" s="2">
        <v>227.0</v>
      </c>
      <c r="E2776" s="2">
        <v>21440.0</v>
      </c>
      <c r="F2776" s="2" t="s">
        <v>150</v>
      </c>
    </row>
    <row r="2777" ht="15.75" customHeight="1">
      <c r="A2777" s="4" t="s">
        <v>6483</v>
      </c>
      <c r="B2777" s="2" t="s">
        <v>6484</v>
      </c>
      <c r="C2777" s="2">
        <v>317.0</v>
      </c>
      <c r="D2777" s="2">
        <v>298.0</v>
      </c>
      <c r="E2777" s="2">
        <v>24900.0</v>
      </c>
      <c r="F2777" s="2" t="s">
        <v>150</v>
      </c>
    </row>
    <row r="2778" ht="15.75" customHeight="1">
      <c r="A2778" s="4" t="s">
        <v>4417</v>
      </c>
      <c r="B2778" s="2" t="s">
        <v>4418</v>
      </c>
      <c r="C2778" s="2">
        <v>605.0</v>
      </c>
      <c r="D2778" s="2">
        <v>642.0</v>
      </c>
      <c r="E2778" s="2">
        <v>23990.0</v>
      </c>
      <c r="F2778" s="2" t="s">
        <v>150</v>
      </c>
    </row>
    <row r="2779" ht="15.75" customHeight="1">
      <c r="A2779" s="4" t="s">
        <v>6485</v>
      </c>
      <c r="B2779" s="2" t="s">
        <v>6486</v>
      </c>
      <c r="C2779" s="2">
        <v>324.0</v>
      </c>
      <c r="D2779" s="2">
        <v>307.0</v>
      </c>
      <c r="E2779" s="2">
        <v>24850.0</v>
      </c>
      <c r="F2779" s="2" t="s">
        <v>150</v>
      </c>
    </row>
    <row r="2780" ht="15.75" customHeight="1">
      <c r="A2780" s="4" t="s">
        <v>4419</v>
      </c>
      <c r="B2780" s="2" t="s">
        <v>4420</v>
      </c>
      <c r="C2780" s="2">
        <v>661.0</v>
      </c>
      <c r="D2780" s="2">
        <v>675.0</v>
      </c>
      <c r="E2780" s="2">
        <v>23650.0</v>
      </c>
      <c r="F2780" s="2" t="s">
        <v>150</v>
      </c>
    </row>
    <row r="2781" ht="15.75" customHeight="1">
      <c r="A2781" s="4" t="s">
        <v>4429</v>
      </c>
      <c r="B2781" s="2" t="s">
        <v>4430</v>
      </c>
      <c r="C2781" s="2">
        <v>657.0</v>
      </c>
      <c r="D2781" s="2">
        <v>631.0</v>
      </c>
      <c r="E2781" s="2">
        <v>25070.0</v>
      </c>
      <c r="F2781" s="2" t="s">
        <v>150</v>
      </c>
    </row>
    <row r="2782" ht="15.75" customHeight="1">
      <c r="A2782" s="4" t="s">
        <v>6487</v>
      </c>
      <c r="B2782" s="2" t="s">
        <v>6488</v>
      </c>
      <c r="C2782" s="2">
        <v>576.0</v>
      </c>
      <c r="D2782" s="2">
        <v>529.0</v>
      </c>
      <c r="E2782" s="2">
        <v>25920.0</v>
      </c>
      <c r="F2782" s="2" t="s">
        <v>150</v>
      </c>
    </row>
    <row r="2783" ht="15.75" customHeight="1">
      <c r="A2783" s="4" t="s">
        <v>4421</v>
      </c>
      <c r="B2783" s="2" t="s">
        <v>4422</v>
      </c>
      <c r="C2783" s="2">
        <v>269.0</v>
      </c>
      <c r="D2783" s="2">
        <v>292.0</v>
      </c>
      <c r="E2783" s="2">
        <v>24020.0</v>
      </c>
      <c r="F2783" s="2" t="s">
        <v>150</v>
      </c>
    </row>
    <row r="2784" ht="15.75" customHeight="1">
      <c r="A2784" s="4" t="s">
        <v>6489</v>
      </c>
      <c r="B2784" s="2" t="s">
        <v>6490</v>
      </c>
      <c r="C2784" s="2">
        <v>458.0</v>
      </c>
      <c r="D2784" s="2">
        <v>420.0</v>
      </c>
      <c r="E2784" s="2">
        <v>24070.0</v>
      </c>
      <c r="F2784" s="2" t="s">
        <v>150</v>
      </c>
    </row>
    <row r="2785" ht="15.75" customHeight="1">
      <c r="A2785" s="4" t="s">
        <v>6491</v>
      </c>
      <c r="B2785" s="2" t="s">
        <v>6492</v>
      </c>
      <c r="C2785" s="2">
        <v>347.0</v>
      </c>
      <c r="D2785" s="2">
        <v>320.0</v>
      </c>
      <c r="E2785" s="2">
        <v>20690.0</v>
      </c>
      <c r="F2785" s="2" t="s">
        <v>150</v>
      </c>
    </row>
    <row r="2786" ht="15.75" customHeight="1">
      <c r="A2786" s="4" t="s">
        <v>4423</v>
      </c>
      <c r="B2786" s="2" t="s">
        <v>4424</v>
      </c>
      <c r="C2786" s="2">
        <v>676.0</v>
      </c>
      <c r="D2786" s="2">
        <v>720.0</v>
      </c>
      <c r="E2786" s="2">
        <v>25550.0</v>
      </c>
      <c r="F2786" s="2" t="s">
        <v>150</v>
      </c>
    </row>
    <row r="2787" ht="15.75" customHeight="1">
      <c r="A2787" s="4" t="s">
        <v>6493</v>
      </c>
      <c r="B2787" s="2" t="s">
        <v>6494</v>
      </c>
      <c r="C2787" s="2">
        <v>307.0</v>
      </c>
      <c r="D2787" s="2">
        <v>333.0</v>
      </c>
      <c r="E2787" s="2">
        <v>27600.0</v>
      </c>
      <c r="F2787" s="2" t="s">
        <v>150</v>
      </c>
    </row>
    <row r="2788" ht="15.75" customHeight="1">
      <c r="A2788" s="4" t="s">
        <v>4427</v>
      </c>
      <c r="B2788" s="2" t="s">
        <v>4428</v>
      </c>
      <c r="C2788" s="2">
        <v>737.0</v>
      </c>
      <c r="D2788" s="2">
        <v>702.0</v>
      </c>
      <c r="E2788" s="2">
        <v>28080.0</v>
      </c>
      <c r="F2788" s="2" t="s">
        <v>150</v>
      </c>
    </row>
    <row r="2789" ht="15.75" customHeight="1">
      <c r="A2789" s="4" t="s">
        <v>4425</v>
      </c>
      <c r="B2789" s="2" t="s">
        <v>4426</v>
      </c>
      <c r="C2789" s="2">
        <v>614.0</v>
      </c>
      <c r="D2789" s="2">
        <v>663.0</v>
      </c>
      <c r="E2789" s="2">
        <v>26060.0</v>
      </c>
      <c r="F2789" s="2" t="s">
        <v>150</v>
      </c>
    </row>
    <row r="2790" ht="15.75" customHeight="1">
      <c r="A2790" s="4" t="s">
        <v>6495</v>
      </c>
      <c r="B2790" s="2" t="s">
        <v>6496</v>
      </c>
      <c r="C2790" s="2">
        <v>60.0</v>
      </c>
      <c r="D2790" s="2">
        <v>64.0</v>
      </c>
      <c r="E2790" s="2" t="s">
        <v>150</v>
      </c>
      <c r="F2790" s="2" t="s">
        <v>150</v>
      </c>
    </row>
    <row r="2791" ht="15.75" customHeight="1">
      <c r="A2791" s="4" t="s">
        <v>6497</v>
      </c>
      <c r="B2791" s="2" t="s">
        <v>6498</v>
      </c>
      <c r="C2791" s="2">
        <v>257.0</v>
      </c>
      <c r="D2791" s="2">
        <v>210.0</v>
      </c>
      <c r="E2791" s="2">
        <v>21440.0</v>
      </c>
      <c r="F2791" s="2" t="s">
        <v>150</v>
      </c>
    </row>
    <row r="2792" ht="15.75" hidden="1" customHeight="1">
      <c r="A2792" s="4" t="s">
        <v>4431</v>
      </c>
      <c r="B2792" s="2" t="s">
        <v>4432</v>
      </c>
      <c r="C2792" s="2">
        <v>2276.0</v>
      </c>
      <c r="D2792" s="2">
        <v>2257.0</v>
      </c>
      <c r="E2792" s="2">
        <v>24460.0</v>
      </c>
      <c r="F2792" s="2">
        <v>10.0</v>
      </c>
    </row>
    <row r="2793" ht="15.75" customHeight="1">
      <c r="A2793" s="4" t="s">
        <v>6499</v>
      </c>
      <c r="B2793" s="2" t="s">
        <v>6500</v>
      </c>
      <c r="C2793" s="2">
        <v>275.0</v>
      </c>
      <c r="D2793" s="2">
        <v>263.0</v>
      </c>
      <c r="E2793" s="2">
        <v>23530.0</v>
      </c>
      <c r="F2793" s="2" t="s">
        <v>150</v>
      </c>
    </row>
    <row r="2794" ht="15.75" customHeight="1">
      <c r="A2794" s="4" t="s">
        <v>4433</v>
      </c>
      <c r="B2794" s="2" t="s">
        <v>4434</v>
      </c>
      <c r="C2794" s="2">
        <v>382.0</v>
      </c>
      <c r="D2794" s="2">
        <v>349.0</v>
      </c>
      <c r="E2794" s="2">
        <v>26320.0</v>
      </c>
      <c r="F2794" s="2" t="s">
        <v>150</v>
      </c>
    </row>
    <row r="2795" ht="15.75" hidden="1" customHeight="1">
      <c r="A2795" s="4" t="s">
        <v>4435</v>
      </c>
      <c r="B2795" s="2" t="s">
        <v>4436</v>
      </c>
      <c r="C2795" s="2">
        <v>4171.0</v>
      </c>
      <c r="D2795" s="2">
        <v>4297.0</v>
      </c>
      <c r="E2795" s="2">
        <v>25340.0</v>
      </c>
      <c r="F2795" s="2">
        <v>9.0</v>
      </c>
    </row>
    <row r="2796" ht="15.75" customHeight="1">
      <c r="A2796" s="4" t="s">
        <v>6501</v>
      </c>
      <c r="B2796" s="2" t="s">
        <v>6502</v>
      </c>
      <c r="C2796" s="2">
        <v>404.0</v>
      </c>
      <c r="D2796" s="2">
        <v>407.0</v>
      </c>
      <c r="E2796" s="2">
        <v>27860.0</v>
      </c>
      <c r="F2796" s="2" t="s">
        <v>150</v>
      </c>
    </row>
    <row r="2797" ht="15.75" customHeight="1">
      <c r="A2797" s="4" t="s">
        <v>6503</v>
      </c>
      <c r="B2797" s="2" t="s">
        <v>6504</v>
      </c>
      <c r="C2797" s="2">
        <v>250.0</v>
      </c>
      <c r="D2797" s="2">
        <v>227.0</v>
      </c>
      <c r="E2797" s="2">
        <v>20130.0</v>
      </c>
      <c r="F2797" s="2" t="s">
        <v>150</v>
      </c>
    </row>
    <row r="2798" ht="15.75" customHeight="1">
      <c r="A2798" s="4" t="s">
        <v>4481</v>
      </c>
      <c r="B2798" s="2" t="s">
        <v>4482</v>
      </c>
      <c r="C2798" s="2">
        <v>805.0</v>
      </c>
      <c r="D2798" s="2">
        <v>880.0</v>
      </c>
      <c r="E2798" s="2">
        <v>25700.0</v>
      </c>
      <c r="F2798" s="2" t="s">
        <v>150</v>
      </c>
    </row>
    <row r="2799" ht="15.75" customHeight="1">
      <c r="A2799" s="4" t="s">
        <v>6505</v>
      </c>
      <c r="B2799" s="2" t="s">
        <v>6506</v>
      </c>
      <c r="C2799" s="2">
        <v>375.0</v>
      </c>
      <c r="D2799" s="2">
        <v>403.0</v>
      </c>
      <c r="E2799" s="2">
        <v>24490.0</v>
      </c>
      <c r="F2799" s="2" t="s">
        <v>150</v>
      </c>
    </row>
    <row r="2800" ht="15.75" customHeight="1">
      <c r="A2800" s="4" t="s">
        <v>4437</v>
      </c>
      <c r="B2800" s="2" t="s">
        <v>4438</v>
      </c>
      <c r="C2800" s="2">
        <v>1074.0</v>
      </c>
      <c r="D2800" s="2">
        <v>1071.0</v>
      </c>
      <c r="E2800" s="2">
        <v>30440.0</v>
      </c>
      <c r="F2800" s="2" t="s">
        <v>150</v>
      </c>
    </row>
    <row r="2801" ht="15.75" customHeight="1">
      <c r="A2801" s="4" t="s">
        <v>6507</v>
      </c>
      <c r="B2801" s="2" t="s">
        <v>6508</v>
      </c>
      <c r="C2801" s="2">
        <v>194.0</v>
      </c>
      <c r="D2801" s="2">
        <v>190.0</v>
      </c>
      <c r="E2801" s="2">
        <v>21390.0</v>
      </c>
      <c r="F2801" s="2" t="s">
        <v>150</v>
      </c>
    </row>
    <row r="2802" ht="15.75" customHeight="1">
      <c r="A2802" s="4" t="s">
        <v>6509</v>
      </c>
      <c r="B2802" s="2" t="s">
        <v>6510</v>
      </c>
      <c r="C2802" s="2">
        <v>268.0</v>
      </c>
      <c r="D2802" s="2">
        <v>253.0</v>
      </c>
      <c r="E2802" s="2">
        <v>24610.0</v>
      </c>
      <c r="F2802" s="2" t="s">
        <v>150</v>
      </c>
    </row>
    <row r="2803" ht="15.75" customHeight="1">
      <c r="A2803" s="4" t="s">
        <v>6511</v>
      </c>
      <c r="B2803" s="2" t="s">
        <v>6512</v>
      </c>
      <c r="C2803" s="2">
        <v>241.0</v>
      </c>
      <c r="D2803" s="2">
        <v>238.0</v>
      </c>
      <c r="E2803" s="2">
        <v>24010.0</v>
      </c>
      <c r="F2803" s="2" t="s">
        <v>150</v>
      </c>
    </row>
    <row r="2804" ht="15.75" customHeight="1">
      <c r="A2804" s="4" t="s">
        <v>4467</v>
      </c>
      <c r="B2804" s="2" t="s">
        <v>4468</v>
      </c>
      <c r="C2804" s="2">
        <v>211.0</v>
      </c>
      <c r="D2804" s="2">
        <v>318.0</v>
      </c>
      <c r="E2804" s="2">
        <v>24970.0</v>
      </c>
      <c r="F2804" s="2" t="s">
        <v>150</v>
      </c>
    </row>
    <row r="2805" ht="15.75" customHeight="1">
      <c r="A2805" s="4" t="s">
        <v>6513</v>
      </c>
      <c r="B2805" s="2" t="s">
        <v>6514</v>
      </c>
      <c r="C2805" s="2">
        <v>279.0</v>
      </c>
      <c r="D2805" s="2">
        <v>266.0</v>
      </c>
      <c r="E2805" s="2">
        <v>28760.0</v>
      </c>
      <c r="F2805" s="2" t="s">
        <v>150</v>
      </c>
    </row>
    <row r="2806" ht="15.75" customHeight="1">
      <c r="A2806" s="4" t="s">
        <v>4439</v>
      </c>
      <c r="B2806" s="2" t="s">
        <v>4440</v>
      </c>
      <c r="C2806" s="2">
        <v>631.0</v>
      </c>
      <c r="D2806" s="2">
        <v>675.0</v>
      </c>
      <c r="E2806" s="2">
        <v>26030.0</v>
      </c>
      <c r="F2806" s="2" t="s">
        <v>150</v>
      </c>
    </row>
    <row r="2807" ht="15.75" customHeight="1">
      <c r="A2807" s="4" t="s">
        <v>6515</v>
      </c>
      <c r="B2807" s="2" t="s">
        <v>6516</v>
      </c>
      <c r="C2807" s="2">
        <v>213.0</v>
      </c>
      <c r="D2807" s="2">
        <v>213.0</v>
      </c>
      <c r="E2807" s="2">
        <v>24710.0</v>
      </c>
      <c r="F2807" s="2" t="s">
        <v>150</v>
      </c>
    </row>
    <row r="2808" ht="15.75" customHeight="1">
      <c r="A2808" s="4" t="s">
        <v>4441</v>
      </c>
      <c r="B2808" s="2" t="s">
        <v>4442</v>
      </c>
      <c r="C2808" s="2">
        <v>454.0</v>
      </c>
      <c r="D2808" s="2">
        <v>464.0</v>
      </c>
      <c r="E2808" s="2">
        <v>25010.0</v>
      </c>
      <c r="F2808" s="2" t="s">
        <v>150</v>
      </c>
    </row>
    <row r="2809" ht="15.75" customHeight="1">
      <c r="A2809" s="4" t="s">
        <v>6517</v>
      </c>
      <c r="B2809" s="2" t="s">
        <v>6518</v>
      </c>
      <c r="C2809" s="2">
        <v>349.0</v>
      </c>
      <c r="D2809" s="2">
        <v>355.0</v>
      </c>
      <c r="E2809" s="2">
        <v>25820.0</v>
      </c>
      <c r="F2809" s="2" t="s">
        <v>150</v>
      </c>
    </row>
    <row r="2810" ht="15.75" customHeight="1">
      <c r="A2810" s="4" t="s">
        <v>6519</v>
      </c>
      <c r="B2810" s="2" t="s">
        <v>6520</v>
      </c>
      <c r="C2810" s="2">
        <v>395.0</v>
      </c>
      <c r="D2810" s="2">
        <v>394.0</v>
      </c>
      <c r="E2810" s="2">
        <v>27990.0</v>
      </c>
      <c r="F2810" s="2" t="s">
        <v>150</v>
      </c>
    </row>
    <row r="2811" ht="15.75" customHeight="1">
      <c r="A2811" s="4" t="s">
        <v>6521</v>
      </c>
      <c r="B2811" s="2" t="s">
        <v>6522</v>
      </c>
      <c r="C2811" s="2">
        <v>624.0</v>
      </c>
      <c r="D2811" s="2">
        <v>596.0</v>
      </c>
      <c r="E2811" s="2">
        <v>24510.0</v>
      </c>
      <c r="F2811" s="2" t="s">
        <v>150</v>
      </c>
    </row>
    <row r="2812" ht="15.75" hidden="1" customHeight="1">
      <c r="A2812" s="4" t="s">
        <v>4443</v>
      </c>
      <c r="B2812" s="2" t="s">
        <v>4444</v>
      </c>
      <c r="C2812" s="2">
        <v>2096.0</v>
      </c>
      <c r="D2812" s="2">
        <v>2032.0</v>
      </c>
      <c r="E2812" s="2">
        <v>23080.0</v>
      </c>
      <c r="F2812" s="2">
        <v>15.0</v>
      </c>
    </row>
    <row r="2813" ht="15.75" hidden="1" customHeight="1">
      <c r="A2813" s="4" t="s">
        <v>4445</v>
      </c>
      <c r="B2813" s="2" t="s">
        <v>4446</v>
      </c>
      <c r="C2813" s="2">
        <v>2622.0</v>
      </c>
      <c r="D2813" s="2">
        <v>2687.0</v>
      </c>
      <c r="E2813" s="2">
        <v>29390.0</v>
      </c>
      <c r="F2813" s="2">
        <v>6.0</v>
      </c>
    </row>
    <row r="2814" ht="15.75" customHeight="1">
      <c r="A2814" s="4" t="s">
        <v>6523</v>
      </c>
      <c r="B2814" s="2" t="s">
        <v>6524</v>
      </c>
      <c r="C2814" s="2">
        <v>35.0</v>
      </c>
      <c r="D2814" s="2">
        <v>33.0</v>
      </c>
      <c r="E2814" s="2" t="s">
        <v>150</v>
      </c>
      <c r="F2814" s="2" t="s">
        <v>150</v>
      </c>
    </row>
    <row r="2815" ht="15.75" customHeight="1">
      <c r="A2815" s="4" t="s">
        <v>4447</v>
      </c>
      <c r="B2815" s="2" t="s">
        <v>4448</v>
      </c>
      <c r="C2815" s="2">
        <v>262.0</v>
      </c>
      <c r="D2815" s="2">
        <v>253.0</v>
      </c>
      <c r="E2815" s="2">
        <v>27160.0</v>
      </c>
      <c r="F2815" s="2" t="s">
        <v>150</v>
      </c>
    </row>
    <row r="2816" ht="15.75" customHeight="1">
      <c r="A2816" s="4" t="s">
        <v>6525</v>
      </c>
      <c r="B2816" s="2" t="s">
        <v>6526</v>
      </c>
      <c r="C2816" s="2">
        <v>142.0</v>
      </c>
      <c r="D2816" s="2">
        <v>185.0</v>
      </c>
      <c r="E2816" s="2">
        <v>22530.0</v>
      </c>
      <c r="F2816" s="2" t="s">
        <v>150</v>
      </c>
    </row>
    <row r="2817" ht="15.75" hidden="1" customHeight="1">
      <c r="A2817" s="4" t="s">
        <v>4449</v>
      </c>
      <c r="B2817" s="2" t="s">
        <v>4450</v>
      </c>
      <c r="C2817" s="2">
        <v>3001.0</v>
      </c>
      <c r="D2817" s="2">
        <v>2987.0</v>
      </c>
      <c r="E2817" s="2">
        <v>22580.0</v>
      </c>
      <c r="F2817" s="2">
        <v>18.0</v>
      </c>
    </row>
    <row r="2818" ht="15.75" customHeight="1">
      <c r="A2818" s="4" t="s">
        <v>4451</v>
      </c>
      <c r="B2818" s="2" t="s">
        <v>4452</v>
      </c>
      <c r="C2818" s="2">
        <v>1123.0</v>
      </c>
      <c r="D2818" s="2">
        <v>1123.0</v>
      </c>
      <c r="E2818" s="2">
        <v>29640.0</v>
      </c>
      <c r="F2818" s="2" t="s">
        <v>150</v>
      </c>
    </row>
    <row r="2819" ht="15.75" customHeight="1">
      <c r="A2819" s="4" t="s">
        <v>4453</v>
      </c>
      <c r="B2819" s="2" t="s">
        <v>4454</v>
      </c>
      <c r="C2819" s="2">
        <v>1359.0</v>
      </c>
      <c r="D2819" s="2">
        <v>1328.0</v>
      </c>
      <c r="E2819" s="2">
        <v>27330.0</v>
      </c>
      <c r="F2819" s="2" t="s">
        <v>150</v>
      </c>
    </row>
    <row r="2820" ht="15.75" customHeight="1">
      <c r="A2820" s="4" t="s">
        <v>4455</v>
      </c>
      <c r="B2820" s="2" t="s">
        <v>4456</v>
      </c>
      <c r="C2820" s="2">
        <v>782.0</v>
      </c>
      <c r="D2820" s="2">
        <v>794.0</v>
      </c>
      <c r="E2820" s="2">
        <v>30690.0</v>
      </c>
      <c r="F2820" s="2" t="s">
        <v>150</v>
      </c>
    </row>
    <row r="2821" ht="15.75" customHeight="1">
      <c r="A2821" s="4" t="s">
        <v>4457</v>
      </c>
      <c r="B2821" s="2" t="s">
        <v>2434</v>
      </c>
      <c r="C2821" s="2">
        <v>285.0</v>
      </c>
      <c r="D2821" s="2">
        <v>265.0</v>
      </c>
      <c r="E2821" s="2">
        <v>22130.0</v>
      </c>
      <c r="F2821" s="2" t="s">
        <v>150</v>
      </c>
    </row>
    <row r="2822" ht="15.75" customHeight="1">
      <c r="A2822" s="4" t="s">
        <v>6527</v>
      </c>
      <c r="B2822" s="2" t="s">
        <v>6528</v>
      </c>
      <c r="C2822" s="2">
        <v>528.0</v>
      </c>
      <c r="D2822" s="2">
        <v>558.0</v>
      </c>
      <c r="E2822" s="2">
        <v>25270.0</v>
      </c>
      <c r="F2822" s="2" t="s">
        <v>150</v>
      </c>
    </row>
    <row r="2823" ht="15.75" customHeight="1">
      <c r="A2823" s="4" t="s">
        <v>6529</v>
      </c>
      <c r="B2823" s="2" t="s">
        <v>6530</v>
      </c>
      <c r="C2823" s="2">
        <v>538.0</v>
      </c>
      <c r="D2823" s="2">
        <v>516.0</v>
      </c>
      <c r="E2823" s="2">
        <v>24370.0</v>
      </c>
      <c r="F2823" s="2" t="s">
        <v>150</v>
      </c>
    </row>
    <row r="2824" ht="15.75" customHeight="1">
      <c r="A2824" s="4" t="s">
        <v>4469</v>
      </c>
      <c r="B2824" s="2" t="s">
        <v>4470</v>
      </c>
      <c r="C2824" s="2">
        <v>1446.0</v>
      </c>
      <c r="D2824" s="2">
        <v>1381.0</v>
      </c>
      <c r="E2824" s="2">
        <v>25850.0</v>
      </c>
      <c r="F2824" s="2" t="s">
        <v>150</v>
      </c>
    </row>
    <row r="2825" ht="15.75" customHeight="1">
      <c r="A2825" s="4" t="s">
        <v>6531</v>
      </c>
      <c r="B2825" s="2" t="s">
        <v>6532</v>
      </c>
      <c r="C2825" s="2">
        <v>307.0</v>
      </c>
      <c r="D2825" s="2">
        <v>293.0</v>
      </c>
      <c r="E2825" s="2">
        <v>24030.0</v>
      </c>
      <c r="F2825" s="2" t="s">
        <v>150</v>
      </c>
    </row>
    <row r="2826" ht="15.75" customHeight="1">
      <c r="A2826" s="4" t="s">
        <v>6533</v>
      </c>
      <c r="B2826" s="2" t="s">
        <v>6534</v>
      </c>
      <c r="C2826" s="2">
        <v>46.0</v>
      </c>
      <c r="D2826" s="2">
        <v>53.0</v>
      </c>
      <c r="E2826" s="2" t="s">
        <v>150</v>
      </c>
      <c r="F2826" s="2" t="s">
        <v>150</v>
      </c>
    </row>
    <row r="2827" ht="15.75" customHeight="1">
      <c r="A2827" s="4" t="s">
        <v>4458</v>
      </c>
      <c r="B2827" s="2" t="s">
        <v>4459</v>
      </c>
      <c r="C2827" s="2">
        <v>1944.0</v>
      </c>
      <c r="D2827" s="2">
        <v>1970.0</v>
      </c>
      <c r="E2827" s="2">
        <v>26280.0</v>
      </c>
      <c r="F2827" s="2" t="s">
        <v>150</v>
      </c>
    </row>
    <row r="2828" ht="15.75" customHeight="1">
      <c r="A2828" s="4" t="s">
        <v>6535</v>
      </c>
      <c r="B2828" s="2" t="s">
        <v>6536</v>
      </c>
      <c r="C2828" s="2">
        <v>86.0</v>
      </c>
      <c r="D2828" s="2">
        <v>83.0</v>
      </c>
      <c r="E2828" s="2" t="s">
        <v>150</v>
      </c>
      <c r="F2828" s="2" t="s">
        <v>150</v>
      </c>
    </row>
    <row r="2829" ht="15.75" customHeight="1">
      <c r="A2829" s="4" t="s">
        <v>6537</v>
      </c>
      <c r="B2829" s="2" t="s">
        <v>6538</v>
      </c>
      <c r="C2829" s="2">
        <v>241.0</v>
      </c>
      <c r="D2829" s="2">
        <v>251.0</v>
      </c>
      <c r="E2829" s="2">
        <v>22940.0</v>
      </c>
      <c r="F2829" s="2" t="s">
        <v>150</v>
      </c>
    </row>
    <row r="2830" ht="15.75" hidden="1" customHeight="1">
      <c r="A2830" s="4" t="s">
        <v>4460</v>
      </c>
      <c r="B2830" s="2" t="s">
        <v>679</v>
      </c>
      <c r="C2830" s="2">
        <v>8738.0</v>
      </c>
      <c r="D2830" s="2">
        <v>8552.0</v>
      </c>
      <c r="E2830" s="2">
        <v>20430.0</v>
      </c>
      <c r="F2830" s="2">
        <v>27.0</v>
      </c>
    </row>
    <row r="2831" ht="15.75" customHeight="1">
      <c r="A2831" s="4" t="s">
        <v>6539</v>
      </c>
      <c r="B2831" s="2" t="s">
        <v>6540</v>
      </c>
      <c r="C2831" s="2">
        <v>135.0</v>
      </c>
      <c r="D2831" s="2">
        <v>121.0</v>
      </c>
      <c r="E2831" s="2">
        <v>24030.0</v>
      </c>
      <c r="F2831" s="2" t="s">
        <v>150</v>
      </c>
    </row>
    <row r="2832" ht="15.75" customHeight="1">
      <c r="A2832" s="4" t="s">
        <v>6541</v>
      </c>
      <c r="B2832" s="2" t="s">
        <v>6542</v>
      </c>
      <c r="C2832" s="2">
        <v>199.0</v>
      </c>
      <c r="D2832" s="2">
        <v>214.0</v>
      </c>
      <c r="E2832" s="2">
        <v>24180.0</v>
      </c>
      <c r="F2832" s="2" t="s">
        <v>150</v>
      </c>
    </row>
    <row r="2833" ht="15.75" customHeight="1">
      <c r="A2833" s="4" t="s">
        <v>4461</v>
      </c>
      <c r="B2833" s="2" t="s">
        <v>4462</v>
      </c>
      <c r="C2833" s="2">
        <v>1583.0</v>
      </c>
      <c r="D2833" s="2">
        <v>1478.0</v>
      </c>
      <c r="E2833" s="2">
        <v>26650.0</v>
      </c>
      <c r="F2833" s="2" t="s">
        <v>150</v>
      </c>
    </row>
    <row r="2834" ht="15.75" customHeight="1">
      <c r="A2834" s="4" t="s">
        <v>4463</v>
      </c>
      <c r="B2834" s="2" t="s">
        <v>4464</v>
      </c>
      <c r="C2834" s="2">
        <v>685.0</v>
      </c>
      <c r="D2834" s="2">
        <v>691.0</v>
      </c>
      <c r="E2834" s="2">
        <v>25380.0</v>
      </c>
      <c r="F2834" s="2" t="s">
        <v>150</v>
      </c>
    </row>
    <row r="2835" ht="15.75" customHeight="1">
      <c r="A2835" s="4" t="s">
        <v>6543</v>
      </c>
      <c r="B2835" s="2" t="s">
        <v>6544</v>
      </c>
      <c r="C2835" s="2">
        <v>254.0</v>
      </c>
      <c r="D2835" s="2">
        <v>237.0</v>
      </c>
      <c r="E2835" s="2">
        <v>22460.0</v>
      </c>
      <c r="F2835" s="2" t="s">
        <v>150</v>
      </c>
    </row>
    <row r="2836" ht="15.75" customHeight="1">
      <c r="A2836" s="4" t="s">
        <v>4465</v>
      </c>
      <c r="B2836" s="2" t="s">
        <v>4466</v>
      </c>
      <c r="C2836" s="2">
        <v>1650.0</v>
      </c>
      <c r="D2836" s="2">
        <v>1614.0</v>
      </c>
      <c r="E2836" s="2">
        <v>25140.0</v>
      </c>
      <c r="F2836" s="2" t="s">
        <v>150</v>
      </c>
    </row>
    <row r="2837" ht="15.75" customHeight="1">
      <c r="A2837" s="4" t="s">
        <v>6545</v>
      </c>
      <c r="B2837" s="2" t="s">
        <v>6546</v>
      </c>
      <c r="C2837" s="2">
        <v>294.0</v>
      </c>
      <c r="D2837" s="2">
        <v>285.0</v>
      </c>
      <c r="E2837" s="2">
        <v>23340.0</v>
      </c>
      <c r="F2837" s="2" t="s">
        <v>150</v>
      </c>
    </row>
    <row r="2838" ht="15.75" customHeight="1">
      <c r="A2838" s="4" t="s">
        <v>6547</v>
      </c>
      <c r="B2838" s="2" t="s">
        <v>6548</v>
      </c>
      <c r="C2838" s="2">
        <v>345.0</v>
      </c>
      <c r="D2838" s="2">
        <v>323.0</v>
      </c>
      <c r="E2838" s="2">
        <v>25400.0</v>
      </c>
      <c r="F2838" s="2" t="s">
        <v>150</v>
      </c>
    </row>
    <row r="2839" ht="15.75" customHeight="1">
      <c r="A2839" s="4" t="s">
        <v>4473</v>
      </c>
      <c r="B2839" s="2" t="s">
        <v>4474</v>
      </c>
      <c r="C2839" s="2">
        <v>309.0</v>
      </c>
      <c r="D2839" s="2">
        <v>285.0</v>
      </c>
      <c r="E2839" s="2">
        <v>23340.0</v>
      </c>
      <c r="F2839" s="2" t="s">
        <v>150</v>
      </c>
    </row>
    <row r="2840" ht="15.75" customHeight="1">
      <c r="A2840" s="4" t="s">
        <v>4475</v>
      </c>
      <c r="B2840" s="2" t="s">
        <v>4476</v>
      </c>
      <c r="C2840" s="2">
        <v>722.0</v>
      </c>
      <c r="D2840" s="2">
        <v>665.0</v>
      </c>
      <c r="E2840" s="2">
        <v>27620.0</v>
      </c>
      <c r="F2840" s="2" t="s">
        <v>150</v>
      </c>
    </row>
    <row r="2841" ht="15.75" hidden="1" customHeight="1">
      <c r="A2841" s="4" t="s">
        <v>4471</v>
      </c>
      <c r="B2841" s="2" t="s">
        <v>4472</v>
      </c>
      <c r="C2841" s="2">
        <v>2336.0</v>
      </c>
      <c r="D2841" s="2">
        <v>2493.0</v>
      </c>
      <c r="E2841" s="2">
        <v>23790.0</v>
      </c>
      <c r="F2841" s="2">
        <v>18.0</v>
      </c>
    </row>
    <row r="2842" ht="15.75" hidden="1" customHeight="1">
      <c r="A2842" s="4" t="s">
        <v>4477</v>
      </c>
      <c r="B2842" s="2" t="s">
        <v>4478</v>
      </c>
      <c r="C2842" s="2">
        <v>3982.0</v>
      </c>
      <c r="D2842" s="2">
        <v>3981.0</v>
      </c>
      <c r="E2842" s="2">
        <v>28570.0</v>
      </c>
      <c r="F2842" s="2">
        <v>7.0</v>
      </c>
    </row>
    <row r="2843" ht="15.75" hidden="1" customHeight="1">
      <c r="A2843" s="4" t="s">
        <v>4479</v>
      </c>
      <c r="B2843" s="2" t="s">
        <v>4480</v>
      </c>
      <c r="C2843" s="2">
        <v>6145.0</v>
      </c>
      <c r="D2843" s="2">
        <v>5948.0</v>
      </c>
      <c r="E2843" s="2">
        <v>22010.0</v>
      </c>
      <c r="F2843" s="2">
        <v>22.0</v>
      </c>
    </row>
    <row r="2844" ht="15.75" customHeight="1">
      <c r="A2844" s="4" t="s">
        <v>6549</v>
      </c>
      <c r="B2844" s="2" t="s">
        <v>6550</v>
      </c>
      <c r="C2844" s="2">
        <v>162.0</v>
      </c>
      <c r="D2844" s="2">
        <v>150.0</v>
      </c>
      <c r="E2844" s="2">
        <v>20980.0</v>
      </c>
      <c r="F2844" s="2" t="s">
        <v>150</v>
      </c>
    </row>
    <row r="2845" ht="15.75" customHeight="1">
      <c r="A2845" s="4" t="s">
        <v>6551</v>
      </c>
      <c r="B2845" s="2" t="s">
        <v>6552</v>
      </c>
      <c r="C2845" s="2">
        <v>322.0</v>
      </c>
      <c r="D2845" s="2">
        <v>310.0</v>
      </c>
      <c r="E2845" s="2">
        <v>25940.0</v>
      </c>
      <c r="F2845" s="2" t="s">
        <v>150</v>
      </c>
    </row>
    <row r="2846" ht="15.75" customHeight="1">
      <c r="A2846" s="4" t="s">
        <v>6553</v>
      </c>
      <c r="B2846" s="2" t="s">
        <v>6554</v>
      </c>
      <c r="C2846" s="2">
        <v>292.0</v>
      </c>
      <c r="D2846" s="2">
        <v>294.0</v>
      </c>
      <c r="E2846" s="2">
        <v>25050.0</v>
      </c>
      <c r="F2846" s="2" t="s">
        <v>150</v>
      </c>
    </row>
    <row r="2847" ht="15.75" customHeight="1">
      <c r="A2847" s="4" t="s">
        <v>6555</v>
      </c>
      <c r="B2847" s="2" t="s">
        <v>6556</v>
      </c>
      <c r="C2847" s="2">
        <v>122.0</v>
      </c>
      <c r="D2847" s="2">
        <v>122.0</v>
      </c>
      <c r="E2847" s="2">
        <v>25360.0</v>
      </c>
      <c r="F2847" s="2" t="s">
        <v>150</v>
      </c>
    </row>
    <row r="2848" ht="15.75" customHeight="1">
      <c r="A2848" s="4" t="s">
        <v>6557</v>
      </c>
      <c r="B2848" s="2" t="s">
        <v>2508</v>
      </c>
      <c r="C2848" s="2">
        <v>264.0</v>
      </c>
      <c r="D2848" s="2">
        <v>289.0</v>
      </c>
      <c r="E2848" s="2">
        <v>31700.0</v>
      </c>
      <c r="F2848" s="2" t="s">
        <v>150</v>
      </c>
    </row>
    <row r="2849" ht="15.75" hidden="1" customHeight="1">
      <c r="A2849" s="4" t="s">
        <v>4515</v>
      </c>
      <c r="B2849" s="2" t="s">
        <v>4516</v>
      </c>
      <c r="C2849" s="2">
        <v>3511.0</v>
      </c>
      <c r="D2849" s="2">
        <v>3471.0</v>
      </c>
      <c r="E2849" s="2">
        <v>30060.0</v>
      </c>
      <c r="F2849" s="2">
        <v>7.0</v>
      </c>
    </row>
    <row r="2850" ht="15.75" customHeight="1">
      <c r="A2850" s="4" t="s">
        <v>6558</v>
      </c>
      <c r="B2850" s="2" t="s">
        <v>6559</v>
      </c>
      <c r="C2850" s="2">
        <v>160.0</v>
      </c>
      <c r="D2850" s="2">
        <v>173.0</v>
      </c>
      <c r="E2850" s="2">
        <v>23200.0</v>
      </c>
      <c r="F2850" s="2" t="s">
        <v>150</v>
      </c>
    </row>
    <row r="2851" ht="15.75" hidden="1" customHeight="1">
      <c r="A2851" s="4" t="s">
        <v>4513</v>
      </c>
      <c r="B2851" s="2" t="s">
        <v>4514</v>
      </c>
      <c r="C2851" s="2">
        <v>5076.0</v>
      </c>
      <c r="D2851" s="2">
        <v>5029.0</v>
      </c>
      <c r="E2851" s="2">
        <v>23380.0</v>
      </c>
      <c r="F2851" s="2">
        <v>19.0</v>
      </c>
    </row>
    <row r="2852" ht="15.75" customHeight="1">
      <c r="A2852" s="4" t="s">
        <v>6560</v>
      </c>
      <c r="B2852" s="2" t="s">
        <v>6561</v>
      </c>
      <c r="C2852" s="2">
        <v>592.0</v>
      </c>
      <c r="D2852" s="2">
        <v>618.0</v>
      </c>
      <c r="E2852" s="2">
        <v>29630.0</v>
      </c>
      <c r="F2852" s="2" t="s">
        <v>150</v>
      </c>
    </row>
    <row r="2853" ht="15.75" hidden="1" customHeight="1">
      <c r="A2853" s="4" t="s">
        <v>4483</v>
      </c>
      <c r="B2853" s="2" t="s">
        <v>4484</v>
      </c>
      <c r="C2853" s="2">
        <v>2248.0</v>
      </c>
      <c r="D2853" s="2">
        <v>2349.0</v>
      </c>
      <c r="E2853" s="2">
        <v>27870.0</v>
      </c>
      <c r="F2853" s="2">
        <v>9.0</v>
      </c>
    </row>
    <row r="2854" ht="15.75" customHeight="1">
      <c r="A2854" s="4" t="s">
        <v>6562</v>
      </c>
      <c r="B2854" s="2" t="s">
        <v>6563</v>
      </c>
      <c r="C2854" s="2">
        <v>326.0</v>
      </c>
      <c r="D2854" s="2">
        <v>318.0</v>
      </c>
      <c r="E2854" s="2">
        <v>24310.0</v>
      </c>
      <c r="F2854" s="2" t="s">
        <v>150</v>
      </c>
    </row>
    <row r="2855" ht="15.75" customHeight="1">
      <c r="A2855" s="4" t="s">
        <v>6564</v>
      </c>
      <c r="B2855" s="2" t="s">
        <v>6565</v>
      </c>
      <c r="C2855" s="2">
        <v>807.0</v>
      </c>
      <c r="D2855" s="2">
        <v>830.0</v>
      </c>
      <c r="E2855" s="2">
        <v>23260.0</v>
      </c>
      <c r="F2855" s="2" t="s">
        <v>150</v>
      </c>
    </row>
    <row r="2856" ht="15.75" customHeight="1">
      <c r="A2856" s="4" t="s">
        <v>4485</v>
      </c>
      <c r="B2856" s="2" t="s">
        <v>4486</v>
      </c>
      <c r="C2856" s="2">
        <v>783.0</v>
      </c>
      <c r="D2856" s="2">
        <v>821.0</v>
      </c>
      <c r="E2856" s="2">
        <v>28700.0</v>
      </c>
      <c r="F2856" s="2" t="s">
        <v>150</v>
      </c>
    </row>
    <row r="2857" ht="15.75" customHeight="1">
      <c r="A2857" s="4" t="s">
        <v>4487</v>
      </c>
      <c r="B2857" s="2" t="s">
        <v>4488</v>
      </c>
      <c r="C2857" s="2">
        <v>1136.0</v>
      </c>
      <c r="D2857" s="2">
        <v>1041.0</v>
      </c>
      <c r="E2857" s="2">
        <v>29370.0</v>
      </c>
      <c r="F2857" s="2" t="s">
        <v>150</v>
      </c>
    </row>
    <row r="2858" ht="15.75" hidden="1" customHeight="1">
      <c r="A2858" s="4" t="s">
        <v>4489</v>
      </c>
      <c r="B2858" s="2" t="s">
        <v>4490</v>
      </c>
      <c r="C2858" s="2">
        <v>6606.0</v>
      </c>
      <c r="D2858" s="2">
        <v>6459.0</v>
      </c>
      <c r="E2858" s="2">
        <v>23780.0</v>
      </c>
      <c r="F2858" s="2">
        <v>17.0</v>
      </c>
    </row>
    <row r="2859" ht="15.75" customHeight="1">
      <c r="A2859" s="4" t="s">
        <v>4491</v>
      </c>
      <c r="B2859" s="2" t="s">
        <v>4492</v>
      </c>
      <c r="C2859" s="2">
        <v>450.0</v>
      </c>
      <c r="D2859" s="2">
        <v>520.0</v>
      </c>
      <c r="E2859" s="2">
        <v>26520.0</v>
      </c>
      <c r="F2859" s="2" t="s">
        <v>150</v>
      </c>
    </row>
    <row r="2860" ht="15.75" hidden="1" customHeight="1">
      <c r="A2860" s="4" t="s">
        <v>4493</v>
      </c>
      <c r="B2860" s="2" t="s">
        <v>4494</v>
      </c>
      <c r="C2860" s="2">
        <v>3452.0</v>
      </c>
      <c r="D2860" s="2">
        <v>3353.0</v>
      </c>
      <c r="E2860" s="2">
        <v>25100.0</v>
      </c>
      <c r="F2860" s="2">
        <v>11.0</v>
      </c>
    </row>
    <row r="2861" ht="15.75" customHeight="1">
      <c r="A2861" s="4" t="s">
        <v>4517</v>
      </c>
      <c r="B2861" s="2" t="s">
        <v>4518</v>
      </c>
      <c r="C2861" s="2">
        <v>1648.0</v>
      </c>
      <c r="D2861" s="2">
        <v>1708.0</v>
      </c>
      <c r="E2861" s="2">
        <v>25090.0</v>
      </c>
      <c r="F2861" s="2" t="s">
        <v>150</v>
      </c>
    </row>
    <row r="2862" ht="15.75" hidden="1" customHeight="1">
      <c r="A2862" s="4" t="s">
        <v>4497</v>
      </c>
      <c r="B2862" s="2" t="s">
        <v>4498</v>
      </c>
      <c r="C2862" s="2">
        <v>5906.0</v>
      </c>
      <c r="D2862" s="2">
        <v>5843.0</v>
      </c>
      <c r="E2862" s="2">
        <v>24900.0</v>
      </c>
      <c r="F2862" s="2">
        <v>14.0</v>
      </c>
    </row>
    <row r="2863" ht="15.75" hidden="1" customHeight="1">
      <c r="A2863" s="4" t="s">
        <v>4495</v>
      </c>
      <c r="B2863" s="2" t="s">
        <v>4496</v>
      </c>
      <c r="C2863" s="2">
        <v>11204.0</v>
      </c>
      <c r="D2863" s="2">
        <v>10888.0</v>
      </c>
      <c r="E2863" s="2">
        <v>24100.0</v>
      </c>
      <c r="F2863" s="2">
        <v>17.0</v>
      </c>
    </row>
    <row r="2864" ht="15.75" customHeight="1">
      <c r="A2864" s="4" t="s">
        <v>6566</v>
      </c>
      <c r="B2864" s="2" t="s">
        <v>6567</v>
      </c>
      <c r="C2864" s="2">
        <v>482.0</v>
      </c>
      <c r="D2864" s="2">
        <v>443.0</v>
      </c>
      <c r="E2864" s="2">
        <v>24990.0</v>
      </c>
      <c r="F2864" s="2" t="s">
        <v>150</v>
      </c>
    </row>
    <row r="2865" ht="15.75" customHeight="1">
      <c r="A2865" s="4" t="s">
        <v>6568</v>
      </c>
      <c r="B2865" s="2" t="s">
        <v>6569</v>
      </c>
      <c r="C2865" s="2">
        <v>286.0</v>
      </c>
      <c r="D2865" s="2">
        <v>264.0</v>
      </c>
      <c r="E2865" s="2">
        <v>24300.0</v>
      </c>
      <c r="F2865" s="2" t="s">
        <v>150</v>
      </c>
    </row>
    <row r="2866" ht="15.75" customHeight="1">
      <c r="A2866" s="4" t="s">
        <v>6570</v>
      </c>
      <c r="B2866" s="2" t="s">
        <v>6571</v>
      </c>
      <c r="C2866" s="2">
        <v>210.0</v>
      </c>
      <c r="D2866" s="2">
        <v>216.0</v>
      </c>
      <c r="E2866" s="2">
        <v>29280.0</v>
      </c>
      <c r="F2866" s="2" t="s">
        <v>150</v>
      </c>
    </row>
    <row r="2867" ht="15.75" customHeight="1">
      <c r="A2867" s="4" t="s">
        <v>6572</v>
      </c>
      <c r="B2867" s="2" t="s">
        <v>6573</v>
      </c>
      <c r="C2867" s="2">
        <v>119.0</v>
      </c>
      <c r="D2867" s="2">
        <v>131.0</v>
      </c>
      <c r="E2867" s="2">
        <v>25600.0</v>
      </c>
      <c r="F2867" s="2" t="s">
        <v>150</v>
      </c>
    </row>
    <row r="2868" ht="15.75" customHeight="1">
      <c r="A2868" s="4" t="s">
        <v>4499</v>
      </c>
      <c r="B2868" s="2" t="s">
        <v>4500</v>
      </c>
      <c r="C2868" s="2">
        <v>878.0</v>
      </c>
      <c r="D2868" s="2">
        <v>826.0</v>
      </c>
      <c r="E2868" s="2">
        <v>24020.0</v>
      </c>
      <c r="F2868" s="2" t="s">
        <v>150</v>
      </c>
    </row>
    <row r="2869" ht="15.75" hidden="1" customHeight="1">
      <c r="A2869" s="4" t="s">
        <v>4501</v>
      </c>
      <c r="B2869" s="2" t="s">
        <v>4502</v>
      </c>
      <c r="C2869" s="2">
        <v>4738.0</v>
      </c>
      <c r="D2869" s="2">
        <v>4494.0</v>
      </c>
      <c r="E2869" s="2">
        <v>23000.0</v>
      </c>
      <c r="F2869" s="2">
        <v>23.0</v>
      </c>
    </row>
    <row r="2870" ht="15.75" hidden="1" customHeight="1">
      <c r="A2870" s="4" t="s">
        <v>4503</v>
      </c>
      <c r="B2870" s="2" t="s">
        <v>4504</v>
      </c>
      <c r="C2870" s="2">
        <v>14782.0</v>
      </c>
      <c r="D2870" s="2">
        <v>14382.0</v>
      </c>
      <c r="E2870" s="2">
        <v>20050.0</v>
      </c>
      <c r="F2870" s="2">
        <v>31.0</v>
      </c>
    </row>
    <row r="2871" ht="15.75" customHeight="1">
      <c r="A2871" s="4" t="s">
        <v>4505</v>
      </c>
      <c r="B2871" s="2" t="s">
        <v>4506</v>
      </c>
      <c r="C2871" s="2">
        <v>1095.0</v>
      </c>
      <c r="D2871" s="2">
        <v>1073.0</v>
      </c>
      <c r="E2871" s="2">
        <v>26180.0</v>
      </c>
      <c r="F2871" s="2" t="s">
        <v>150</v>
      </c>
    </row>
    <row r="2872" ht="15.75" hidden="1" customHeight="1">
      <c r="A2872" s="4" t="s">
        <v>4507</v>
      </c>
      <c r="B2872" s="2" t="s">
        <v>4508</v>
      </c>
      <c r="C2872" s="2">
        <v>4971.0</v>
      </c>
      <c r="D2872" s="2">
        <v>4677.0</v>
      </c>
      <c r="E2872" s="2">
        <v>20400.0</v>
      </c>
      <c r="F2872" s="2">
        <v>28.0</v>
      </c>
    </row>
    <row r="2873" ht="15.75" customHeight="1">
      <c r="A2873" s="4" t="s">
        <v>6574</v>
      </c>
      <c r="B2873" s="2" t="s">
        <v>6575</v>
      </c>
      <c r="C2873" s="2">
        <v>101.0</v>
      </c>
      <c r="D2873" s="2">
        <v>105.0</v>
      </c>
      <c r="E2873" s="2">
        <v>25720.0</v>
      </c>
      <c r="F2873" s="2" t="s">
        <v>150</v>
      </c>
    </row>
    <row r="2874" ht="15.75" customHeight="1">
      <c r="A2874" s="4" t="s">
        <v>4509</v>
      </c>
      <c r="B2874" s="2" t="s">
        <v>4510</v>
      </c>
      <c r="C2874" s="2">
        <v>760.0</v>
      </c>
      <c r="D2874" s="2">
        <v>773.0</v>
      </c>
      <c r="E2874" s="2">
        <v>28730.0</v>
      </c>
      <c r="F2874" s="2" t="s">
        <v>150</v>
      </c>
    </row>
    <row r="2875" ht="15.75" hidden="1" customHeight="1">
      <c r="A2875" s="4" t="s">
        <v>4511</v>
      </c>
      <c r="B2875" s="2" t="s">
        <v>4512</v>
      </c>
      <c r="C2875" s="2">
        <v>3027.0</v>
      </c>
      <c r="D2875" s="2">
        <v>2999.0</v>
      </c>
      <c r="E2875" s="2">
        <v>25410.0</v>
      </c>
      <c r="F2875" s="2">
        <v>11.0</v>
      </c>
    </row>
    <row r="2876" ht="15.75" hidden="1" customHeight="1">
      <c r="A2876" s="4" t="s">
        <v>4519</v>
      </c>
      <c r="B2876" s="2" t="s">
        <v>4520</v>
      </c>
      <c r="C2876" s="2">
        <v>9715.0</v>
      </c>
      <c r="D2876" s="2">
        <v>9414.0</v>
      </c>
      <c r="E2876" s="2">
        <v>18180.0</v>
      </c>
      <c r="F2876" s="2">
        <v>36.0</v>
      </c>
    </row>
    <row r="2877" ht="15.75" customHeight="1">
      <c r="A2877" s="4" t="s">
        <v>4521</v>
      </c>
      <c r="B2877" s="2" t="s">
        <v>4522</v>
      </c>
      <c r="C2877" s="2">
        <v>486.0</v>
      </c>
      <c r="D2877" s="2">
        <v>521.0</v>
      </c>
      <c r="E2877" s="2">
        <v>26430.0</v>
      </c>
      <c r="F2877" s="2" t="s">
        <v>150</v>
      </c>
    </row>
    <row r="2878" ht="15.75" hidden="1" customHeight="1">
      <c r="A2878" s="4" t="s">
        <v>4523</v>
      </c>
      <c r="B2878" s="2" t="s">
        <v>4524</v>
      </c>
      <c r="C2878" s="2">
        <v>4496.0</v>
      </c>
      <c r="D2878" s="2">
        <v>4704.0</v>
      </c>
      <c r="E2878" s="2">
        <v>22650.0</v>
      </c>
      <c r="F2878" s="2">
        <v>15.0</v>
      </c>
    </row>
    <row r="2879" ht="15.75" hidden="1" customHeight="1">
      <c r="A2879" s="4" t="s">
        <v>4525</v>
      </c>
      <c r="B2879" s="2" t="s">
        <v>4526</v>
      </c>
      <c r="C2879" s="2">
        <v>4820.0</v>
      </c>
      <c r="D2879" s="2">
        <v>4668.0</v>
      </c>
      <c r="E2879" s="2">
        <v>26960.0</v>
      </c>
      <c r="F2879" s="2">
        <v>12.0</v>
      </c>
    </row>
    <row r="2880" ht="15.75" customHeight="1">
      <c r="A2880" s="4" t="s">
        <v>6576</v>
      </c>
      <c r="B2880" s="2" t="s">
        <v>6577</v>
      </c>
      <c r="C2880" s="2">
        <v>329.0</v>
      </c>
      <c r="D2880" s="2">
        <v>315.0</v>
      </c>
      <c r="E2880" s="2">
        <v>24230.0</v>
      </c>
      <c r="F2880" s="2" t="s">
        <v>150</v>
      </c>
    </row>
    <row r="2881" ht="15.75" customHeight="1">
      <c r="A2881" s="4" t="s">
        <v>6578</v>
      </c>
      <c r="B2881" s="2" t="s">
        <v>6579</v>
      </c>
      <c r="C2881" s="2">
        <v>196.0</v>
      </c>
      <c r="D2881" s="2">
        <v>198.0</v>
      </c>
      <c r="E2881" s="2">
        <v>25340.0</v>
      </c>
      <c r="F2881" s="2" t="s">
        <v>150</v>
      </c>
    </row>
    <row r="2882" ht="15.75" customHeight="1">
      <c r="A2882" s="4" t="s">
        <v>6580</v>
      </c>
      <c r="B2882" s="2" t="s">
        <v>6581</v>
      </c>
      <c r="C2882" s="2">
        <v>180.0</v>
      </c>
      <c r="D2882" s="2">
        <v>153.0</v>
      </c>
      <c r="E2882" s="2">
        <v>25340.0</v>
      </c>
      <c r="F2882" s="2" t="s">
        <v>150</v>
      </c>
    </row>
    <row r="2883" ht="15.75" customHeight="1">
      <c r="A2883" s="4" t="s">
        <v>6582</v>
      </c>
      <c r="B2883" s="2" t="s">
        <v>6583</v>
      </c>
      <c r="C2883" s="2">
        <v>82.0</v>
      </c>
      <c r="D2883" s="2">
        <v>83.0</v>
      </c>
      <c r="E2883" s="2" t="s">
        <v>150</v>
      </c>
      <c r="F2883" s="2" t="s">
        <v>150</v>
      </c>
    </row>
    <row r="2884" ht="15.75" customHeight="1">
      <c r="A2884" s="4" t="s">
        <v>6584</v>
      </c>
      <c r="B2884" s="2" t="s">
        <v>6585</v>
      </c>
      <c r="C2884" s="2">
        <v>183.0</v>
      </c>
      <c r="D2884" s="2">
        <v>182.0</v>
      </c>
      <c r="E2884" s="2">
        <v>24570.0</v>
      </c>
      <c r="F2884" s="2" t="s">
        <v>150</v>
      </c>
    </row>
    <row r="2885" ht="15.75" customHeight="1">
      <c r="A2885" s="4" t="s">
        <v>6586</v>
      </c>
      <c r="B2885" s="2" t="s">
        <v>6587</v>
      </c>
      <c r="C2885" s="2">
        <v>364.0</v>
      </c>
      <c r="D2885" s="2">
        <v>390.0</v>
      </c>
      <c r="E2885" s="2">
        <v>25420.0</v>
      </c>
      <c r="F2885" s="2" t="s">
        <v>150</v>
      </c>
    </row>
    <row r="2886" ht="15.75" customHeight="1">
      <c r="A2886" s="4" t="s">
        <v>6588</v>
      </c>
      <c r="B2886" s="2" t="s">
        <v>6589</v>
      </c>
      <c r="C2886" s="2">
        <v>455.0</v>
      </c>
      <c r="D2886" s="2">
        <v>438.0</v>
      </c>
      <c r="E2886" s="2">
        <v>25090.0</v>
      </c>
      <c r="F2886" s="2" t="s">
        <v>150</v>
      </c>
    </row>
    <row r="2887" ht="15.75" customHeight="1">
      <c r="A2887" s="4" t="s">
        <v>4527</v>
      </c>
      <c r="B2887" s="2" t="s">
        <v>4528</v>
      </c>
      <c r="C2887" s="2">
        <v>449.0</v>
      </c>
      <c r="D2887" s="2">
        <v>409.0</v>
      </c>
      <c r="E2887" s="2">
        <v>25270.0</v>
      </c>
      <c r="F2887" s="2" t="s">
        <v>150</v>
      </c>
    </row>
    <row r="2888" ht="15.75" customHeight="1">
      <c r="A2888" s="4" t="s">
        <v>6590</v>
      </c>
      <c r="B2888" s="2" t="s">
        <v>6591</v>
      </c>
      <c r="C2888" s="2">
        <v>317.0</v>
      </c>
      <c r="D2888" s="2">
        <v>325.0</v>
      </c>
      <c r="E2888" s="2">
        <v>23900.0</v>
      </c>
      <c r="F2888" s="2" t="s">
        <v>150</v>
      </c>
    </row>
    <row r="2889" ht="15.75" customHeight="1">
      <c r="A2889" s="4" t="s">
        <v>6592</v>
      </c>
      <c r="B2889" s="2" t="s">
        <v>6593</v>
      </c>
      <c r="C2889" s="2">
        <v>765.0</v>
      </c>
      <c r="D2889" s="2">
        <v>750.0</v>
      </c>
      <c r="E2889" s="2">
        <v>24390.0</v>
      </c>
      <c r="F2889" s="2" t="s">
        <v>150</v>
      </c>
    </row>
    <row r="2890" ht="15.75" customHeight="1">
      <c r="A2890" s="4" t="s">
        <v>4529</v>
      </c>
      <c r="B2890" s="2" t="s">
        <v>4530</v>
      </c>
      <c r="C2890" s="2">
        <v>916.0</v>
      </c>
      <c r="D2890" s="2">
        <v>929.0</v>
      </c>
      <c r="E2890" s="2">
        <v>26990.0</v>
      </c>
      <c r="F2890" s="2" t="s">
        <v>150</v>
      </c>
    </row>
    <row r="2891" ht="15.75" customHeight="1">
      <c r="A2891" s="4" t="s">
        <v>6594</v>
      </c>
      <c r="B2891" s="2" t="s">
        <v>6595</v>
      </c>
      <c r="C2891" s="2">
        <v>333.0</v>
      </c>
      <c r="D2891" s="2">
        <v>299.0</v>
      </c>
      <c r="E2891" s="2">
        <v>24320.0</v>
      </c>
      <c r="F2891" s="2" t="s">
        <v>150</v>
      </c>
    </row>
    <row r="2892" ht="15.75" customHeight="1">
      <c r="A2892" s="4" t="s">
        <v>6596</v>
      </c>
      <c r="B2892" s="2" t="s">
        <v>6597</v>
      </c>
      <c r="C2892" s="2">
        <v>325.0</v>
      </c>
      <c r="D2892" s="2">
        <v>324.0</v>
      </c>
      <c r="E2892" s="2">
        <v>23120.0</v>
      </c>
      <c r="F2892" s="2" t="s">
        <v>150</v>
      </c>
    </row>
    <row r="2893" ht="15.75" customHeight="1">
      <c r="A2893" s="4" t="s">
        <v>4531</v>
      </c>
      <c r="B2893" s="2" t="s">
        <v>4532</v>
      </c>
      <c r="C2893" s="2">
        <v>722.0</v>
      </c>
      <c r="D2893" s="2">
        <v>685.0</v>
      </c>
      <c r="E2893" s="2">
        <v>23780.0</v>
      </c>
      <c r="F2893" s="2" t="s">
        <v>150</v>
      </c>
    </row>
    <row r="2894" ht="15.75" customHeight="1">
      <c r="A2894" s="4" t="s">
        <v>6598</v>
      </c>
      <c r="B2894" s="2" t="s">
        <v>6599</v>
      </c>
      <c r="C2894" s="2">
        <v>269.0</v>
      </c>
      <c r="D2894" s="2">
        <v>251.0</v>
      </c>
      <c r="E2894" s="2">
        <v>25830.0</v>
      </c>
      <c r="F2894" s="2" t="s">
        <v>150</v>
      </c>
    </row>
    <row r="2895" ht="15.75" customHeight="1">
      <c r="A2895" s="4" t="s">
        <v>6600</v>
      </c>
      <c r="B2895" s="2" t="s">
        <v>3534</v>
      </c>
      <c r="C2895" s="2">
        <v>163.0</v>
      </c>
      <c r="D2895" s="2">
        <v>159.0</v>
      </c>
      <c r="E2895" s="2">
        <v>24500.0</v>
      </c>
      <c r="F2895" s="2" t="s">
        <v>150</v>
      </c>
    </row>
    <row r="2896" ht="15.75" customHeight="1">
      <c r="A2896" s="4" t="s">
        <v>6601</v>
      </c>
      <c r="B2896" s="2" t="s">
        <v>6602</v>
      </c>
      <c r="C2896" s="2">
        <v>54.0</v>
      </c>
      <c r="D2896" s="2">
        <v>49.0</v>
      </c>
      <c r="E2896" s="2" t="s">
        <v>150</v>
      </c>
      <c r="F2896" s="2" t="s">
        <v>150</v>
      </c>
    </row>
    <row r="2897" ht="15.75" customHeight="1">
      <c r="A2897" s="4" t="s">
        <v>4533</v>
      </c>
      <c r="B2897" s="2" t="s">
        <v>4534</v>
      </c>
      <c r="C2897" s="2">
        <v>1148.0</v>
      </c>
      <c r="D2897" s="2">
        <v>1210.0</v>
      </c>
      <c r="E2897" s="2">
        <v>26410.0</v>
      </c>
      <c r="F2897" s="2" t="s">
        <v>150</v>
      </c>
    </row>
    <row r="2898" ht="15.75" customHeight="1">
      <c r="A2898" s="4" t="s">
        <v>6603</v>
      </c>
      <c r="B2898" s="2" t="s">
        <v>6604</v>
      </c>
      <c r="C2898" s="2">
        <v>1093.0</v>
      </c>
      <c r="D2898" s="2">
        <v>1147.0</v>
      </c>
      <c r="E2898" s="2">
        <v>28350.0</v>
      </c>
      <c r="F2898" s="2" t="s">
        <v>150</v>
      </c>
    </row>
    <row r="2899" ht="15.75" customHeight="1">
      <c r="A2899" s="4" t="s">
        <v>4535</v>
      </c>
      <c r="B2899" s="2" t="s">
        <v>4536</v>
      </c>
      <c r="C2899" s="2">
        <v>608.0</v>
      </c>
      <c r="D2899" s="2">
        <v>594.0</v>
      </c>
      <c r="E2899" s="2">
        <v>24780.0</v>
      </c>
      <c r="F2899" s="2" t="s">
        <v>150</v>
      </c>
    </row>
    <row r="2900" ht="15.75" customHeight="1">
      <c r="A2900" s="4" t="s">
        <v>6605</v>
      </c>
      <c r="B2900" s="2" t="s">
        <v>6606</v>
      </c>
      <c r="C2900" s="2">
        <v>111.0</v>
      </c>
      <c r="D2900" s="2">
        <v>118.0</v>
      </c>
      <c r="E2900" s="2">
        <v>23290.0</v>
      </c>
      <c r="F2900" s="2" t="s">
        <v>150</v>
      </c>
    </row>
    <row r="2901" ht="15.75" customHeight="1">
      <c r="A2901" s="4" t="s">
        <v>4537</v>
      </c>
      <c r="B2901" s="2" t="s">
        <v>4538</v>
      </c>
      <c r="C2901" s="2">
        <v>557.0</v>
      </c>
      <c r="D2901" s="2">
        <v>569.0</v>
      </c>
      <c r="E2901" s="2">
        <v>28760.0</v>
      </c>
      <c r="F2901" s="2" t="s">
        <v>150</v>
      </c>
    </row>
    <row r="2902" ht="15.75" customHeight="1">
      <c r="A2902" s="4" t="s">
        <v>6607</v>
      </c>
      <c r="B2902" s="2" t="s">
        <v>6608</v>
      </c>
      <c r="C2902" s="2">
        <v>269.0</v>
      </c>
      <c r="D2902" s="2">
        <v>286.0</v>
      </c>
      <c r="E2902" s="2">
        <v>25240.0</v>
      </c>
      <c r="F2902" s="2" t="s">
        <v>150</v>
      </c>
    </row>
    <row r="2903" ht="15.75" customHeight="1">
      <c r="A2903" s="4" t="s">
        <v>6609</v>
      </c>
      <c r="B2903" s="2" t="s">
        <v>6610</v>
      </c>
      <c r="C2903" s="2">
        <v>240.0</v>
      </c>
      <c r="D2903" s="2">
        <v>205.0</v>
      </c>
      <c r="E2903" s="2">
        <v>25150.0</v>
      </c>
      <c r="F2903" s="2" t="s">
        <v>150</v>
      </c>
    </row>
    <row r="2904" ht="15.75" customHeight="1">
      <c r="A2904" s="4" t="s">
        <v>4539</v>
      </c>
      <c r="B2904" s="2" t="s">
        <v>4540</v>
      </c>
      <c r="C2904" s="2">
        <v>817.0</v>
      </c>
      <c r="D2904" s="2">
        <v>942.0</v>
      </c>
      <c r="E2904" s="2">
        <v>28390.0</v>
      </c>
      <c r="F2904" s="2" t="s">
        <v>150</v>
      </c>
    </row>
    <row r="2905" ht="15.75" customHeight="1">
      <c r="A2905" s="4" t="s">
        <v>6611</v>
      </c>
      <c r="B2905" s="2" t="s">
        <v>6612</v>
      </c>
      <c r="C2905" s="2">
        <v>379.0</v>
      </c>
      <c r="D2905" s="2">
        <v>375.0</v>
      </c>
      <c r="E2905" s="2">
        <v>23030.0</v>
      </c>
      <c r="F2905" s="2" t="s">
        <v>150</v>
      </c>
    </row>
    <row r="2906" ht="15.75" hidden="1" customHeight="1">
      <c r="A2906" s="4" t="s">
        <v>4541</v>
      </c>
      <c r="B2906" s="2" t="s">
        <v>4542</v>
      </c>
      <c r="C2906" s="2">
        <v>2496.0</v>
      </c>
      <c r="D2906" s="2">
        <v>2663.0</v>
      </c>
      <c r="E2906" s="2">
        <v>28200.0</v>
      </c>
      <c r="F2906" s="2">
        <v>9.0</v>
      </c>
    </row>
    <row r="2907" ht="15.75" customHeight="1">
      <c r="A2907" s="4" t="s">
        <v>4212</v>
      </c>
      <c r="B2907" s="2" t="s">
        <v>4213</v>
      </c>
      <c r="C2907" s="2">
        <v>154.0</v>
      </c>
      <c r="D2907" s="2">
        <v>197.0</v>
      </c>
      <c r="E2907" s="2">
        <v>24630.0</v>
      </c>
      <c r="F2907" s="2" t="s">
        <v>150</v>
      </c>
    </row>
    <row r="2908" ht="15.75" customHeight="1">
      <c r="A2908" s="4" t="s">
        <v>4543</v>
      </c>
      <c r="B2908" s="2" t="s">
        <v>4544</v>
      </c>
      <c r="C2908" s="2">
        <v>640.0</v>
      </c>
      <c r="D2908" s="2">
        <v>624.0</v>
      </c>
      <c r="E2908" s="2">
        <v>25050.0</v>
      </c>
      <c r="F2908" s="2" t="s">
        <v>150</v>
      </c>
    </row>
    <row r="2909" ht="15.75" customHeight="1">
      <c r="A2909" s="4" t="s">
        <v>4545</v>
      </c>
      <c r="B2909" s="2" t="s">
        <v>4546</v>
      </c>
      <c r="C2909" s="2">
        <v>376.0</v>
      </c>
      <c r="D2909" s="2">
        <v>359.0</v>
      </c>
      <c r="E2909" s="2">
        <v>22600.0</v>
      </c>
      <c r="F2909" s="2" t="s">
        <v>150</v>
      </c>
    </row>
    <row r="2910" ht="15.75" customHeight="1">
      <c r="A2910" s="4" t="s">
        <v>6613</v>
      </c>
      <c r="B2910" s="2" t="s">
        <v>6614</v>
      </c>
      <c r="C2910" s="2">
        <v>252.0</v>
      </c>
      <c r="D2910" s="2">
        <v>265.0</v>
      </c>
      <c r="E2910" s="2">
        <v>28810.0</v>
      </c>
      <c r="F2910" s="2" t="s">
        <v>150</v>
      </c>
    </row>
    <row r="2911" ht="15.75" customHeight="1">
      <c r="A2911" s="4" t="s">
        <v>6615</v>
      </c>
      <c r="B2911" s="2" t="s">
        <v>6616</v>
      </c>
      <c r="C2911" s="2">
        <v>151.0</v>
      </c>
      <c r="D2911" s="2">
        <v>150.0</v>
      </c>
      <c r="E2911" s="2">
        <v>31610.0</v>
      </c>
      <c r="F2911" s="2" t="s">
        <v>150</v>
      </c>
    </row>
    <row r="2912" ht="15.75" customHeight="1">
      <c r="A2912" s="4" t="s">
        <v>4547</v>
      </c>
      <c r="B2912" s="2" t="s">
        <v>4548</v>
      </c>
      <c r="C2912" s="2">
        <v>260.0</v>
      </c>
      <c r="D2912" s="2">
        <v>259.0</v>
      </c>
      <c r="E2912" s="2">
        <v>23760.0</v>
      </c>
      <c r="F2912" s="2" t="s">
        <v>150</v>
      </c>
    </row>
    <row r="2913" ht="15.75" customHeight="1">
      <c r="A2913" s="4" t="s">
        <v>6617</v>
      </c>
      <c r="B2913" s="2" t="s">
        <v>6618</v>
      </c>
      <c r="C2913" s="2">
        <v>137.0</v>
      </c>
      <c r="D2913" s="2">
        <v>125.0</v>
      </c>
      <c r="E2913" s="2">
        <v>24780.0</v>
      </c>
      <c r="F2913" s="2" t="s">
        <v>150</v>
      </c>
    </row>
    <row r="2914" ht="15.75" customHeight="1">
      <c r="A2914" s="4" t="s">
        <v>4551</v>
      </c>
      <c r="B2914" s="2" t="s">
        <v>4552</v>
      </c>
      <c r="C2914" s="2">
        <v>1204.0</v>
      </c>
      <c r="D2914" s="2">
        <v>1310.0</v>
      </c>
      <c r="E2914" s="2">
        <v>29480.0</v>
      </c>
      <c r="F2914" s="2" t="s">
        <v>150</v>
      </c>
    </row>
    <row r="2915" ht="15.75" customHeight="1">
      <c r="A2915" s="4" t="s">
        <v>4553</v>
      </c>
      <c r="B2915" s="2" t="s">
        <v>4554</v>
      </c>
      <c r="C2915" s="2">
        <v>1115.0</v>
      </c>
      <c r="D2915" s="2">
        <v>1146.0</v>
      </c>
      <c r="E2915" s="2">
        <v>24420.0</v>
      </c>
      <c r="F2915" s="2" t="s">
        <v>150</v>
      </c>
    </row>
    <row r="2916" ht="15.75" customHeight="1">
      <c r="A2916" s="4" t="s">
        <v>4549</v>
      </c>
      <c r="B2916" s="2" t="s">
        <v>4550</v>
      </c>
      <c r="C2916" s="2">
        <v>834.0</v>
      </c>
      <c r="D2916" s="2">
        <v>815.0</v>
      </c>
      <c r="E2916" s="2">
        <v>23230.0</v>
      </c>
      <c r="F2916" s="2" t="s">
        <v>150</v>
      </c>
    </row>
    <row r="2917" ht="15.75" customHeight="1">
      <c r="A2917" s="4" t="s">
        <v>6619</v>
      </c>
      <c r="B2917" s="2" t="s">
        <v>6620</v>
      </c>
      <c r="C2917" s="2">
        <v>493.0</v>
      </c>
      <c r="D2917" s="2">
        <v>476.0</v>
      </c>
      <c r="E2917" s="2">
        <v>27090.0</v>
      </c>
      <c r="F2917" s="2" t="s">
        <v>150</v>
      </c>
    </row>
    <row r="2918" ht="15.75" customHeight="1">
      <c r="A2918" s="4" t="s">
        <v>6621</v>
      </c>
      <c r="B2918" s="2" t="s">
        <v>6622</v>
      </c>
      <c r="C2918" s="2">
        <v>123.0</v>
      </c>
      <c r="D2918" s="2">
        <v>96.0</v>
      </c>
      <c r="E2918" s="2">
        <v>24250.0</v>
      </c>
      <c r="F2918" s="2" t="s">
        <v>150</v>
      </c>
    </row>
    <row r="2919" ht="15.75" customHeight="1">
      <c r="A2919" s="4" t="s">
        <v>6623</v>
      </c>
      <c r="B2919" s="2" t="s">
        <v>6624</v>
      </c>
      <c r="C2919" s="2">
        <v>174.0</v>
      </c>
      <c r="D2919" s="2">
        <v>163.0</v>
      </c>
      <c r="E2919" s="2">
        <v>25900.0</v>
      </c>
      <c r="F2919" s="2" t="s">
        <v>150</v>
      </c>
    </row>
    <row r="2920" ht="15.75" customHeight="1">
      <c r="A2920" s="4" t="s">
        <v>6625</v>
      </c>
      <c r="B2920" s="2" t="s">
        <v>6626</v>
      </c>
      <c r="C2920" s="2">
        <v>223.0</v>
      </c>
      <c r="D2920" s="2">
        <v>215.0</v>
      </c>
      <c r="E2920" s="2">
        <v>28970.0</v>
      </c>
      <c r="F2920" s="2" t="s">
        <v>150</v>
      </c>
    </row>
    <row r="2921" ht="15.75" customHeight="1">
      <c r="A2921" s="4" t="s">
        <v>4555</v>
      </c>
      <c r="B2921" s="2" t="s">
        <v>4556</v>
      </c>
      <c r="C2921" s="2">
        <v>1434.0</v>
      </c>
      <c r="D2921" s="2">
        <v>1616.0</v>
      </c>
      <c r="E2921" s="2">
        <v>26620.0</v>
      </c>
      <c r="F2921" s="2" t="s">
        <v>150</v>
      </c>
    </row>
    <row r="2922" ht="15.75" customHeight="1">
      <c r="A2922" s="4" t="s">
        <v>6627</v>
      </c>
      <c r="B2922" s="2" t="s">
        <v>6628</v>
      </c>
      <c r="C2922" s="2">
        <v>159.0</v>
      </c>
      <c r="D2922" s="2">
        <v>154.0</v>
      </c>
      <c r="E2922" s="2">
        <v>22880.0</v>
      </c>
      <c r="F2922" s="2" t="s">
        <v>150</v>
      </c>
    </row>
    <row r="2923" ht="15.75" customHeight="1">
      <c r="A2923" s="4" t="s">
        <v>4557</v>
      </c>
      <c r="B2923" s="2" t="s">
        <v>4558</v>
      </c>
      <c r="C2923" s="2">
        <v>1099.0</v>
      </c>
      <c r="D2923" s="2">
        <v>1072.0</v>
      </c>
      <c r="E2923" s="2">
        <v>26910.0</v>
      </c>
      <c r="F2923" s="2" t="s">
        <v>150</v>
      </c>
    </row>
    <row r="2924" ht="15.75" customHeight="1">
      <c r="A2924" s="4" t="s">
        <v>4559</v>
      </c>
      <c r="B2924" s="2" t="s">
        <v>4560</v>
      </c>
      <c r="C2924" s="2">
        <v>825.0</v>
      </c>
      <c r="D2924" s="2">
        <v>818.0</v>
      </c>
      <c r="E2924" s="2">
        <v>27090.0</v>
      </c>
      <c r="F2924" s="2" t="s">
        <v>150</v>
      </c>
    </row>
    <row r="2925" ht="15.75" customHeight="1">
      <c r="A2925" s="4" t="s">
        <v>6629</v>
      </c>
      <c r="B2925" s="2" t="s">
        <v>6630</v>
      </c>
      <c r="C2925" s="2">
        <v>290.0</v>
      </c>
      <c r="D2925" s="2">
        <v>291.0</v>
      </c>
      <c r="E2925" s="2">
        <v>28110.0</v>
      </c>
      <c r="F2925" s="2" t="s">
        <v>150</v>
      </c>
    </row>
    <row r="2926" ht="15.75" customHeight="1">
      <c r="A2926" s="4" t="s">
        <v>6631</v>
      </c>
      <c r="B2926" s="2" t="s">
        <v>6632</v>
      </c>
      <c r="C2926" s="2">
        <v>91.0</v>
      </c>
      <c r="D2926" s="2">
        <v>81.0</v>
      </c>
      <c r="E2926" s="2" t="s">
        <v>150</v>
      </c>
      <c r="F2926" s="2" t="s">
        <v>150</v>
      </c>
    </row>
    <row r="2927" ht="15.75" customHeight="1">
      <c r="A2927" s="4" t="s">
        <v>6633</v>
      </c>
      <c r="B2927" s="2" t="s">
        <v>6634</v>
      </c>
      <c r="C2927" s="2">
        <v>165.0</v>
      </c>
      <c r="D2927" s="2">
        <v>171.0</v>
      </c>
      <c r="E2927" s="2">
        <v>23650.0</v>
      </c>
      <c r="F2927" s="2" t="s">
        <v>150</v>
      </c>
    </row>
    <row r="2928" ht="15.75" customHeight="1">
      <c r="A2928" s="4" t="s">
        <v>6635</v>
      </c>
      <c r="B2928" s="2" t="s">
        <v>6636</v>
      </c>
      <c r="C2928" s="2">
        <v>222.0</v>
      </c>
      <c r="D2928" s="2">
        <v>233.0</v>
      </c>
      <c r="E2928" s="2">
        <v>24100.0</v>
      </c>
      <c r="F2928" s="2" t="s">
        <v>150</v>
      </c>
    </row>
    <row r="2929" ht="15.75" customHeight="1">
      <c r="A2929" s="4" t="s">
        <v>6637</v>
      </c>
      <c r="B2929" s="2" t="s">
        <v>6638</v>
      </c>
      <c r="C2929" s="2">
        <v>826.0</v>
      </c>
      <c r="D2929" s="2">
        <v>907.0</v>
      </c>
      <c r="E2929" s="2">
        <v>26590.0</v>
      </c>
      <c r="F2929" s="2" t="s">
        <v>150</v>
      </c>
    </row>
    <row r="2930" ht="15.75" hidden="1" customHeight="1">
      <c r="A2930" s="4" t="s">
        <v>4215</v>
      </c>
      <c r="B2930" s="2" t="s">
        <v>4217</v>
      </c>
      <c r="C2930" s="2">
        <v>4223.0</v>
      </c>
      <c r="D2930" s="2">
        <v>4224.0</v>
      </c>
      <c r="E2930" s="2">
        <v>36850.0</v>
      </c>
      <c r="F2930" s="2">
        <v>10.0</v>
      </c>
    </row>
    <row r="2931" ht="15.75" customHeight="1">
      <c r="A2931" s="4" t="s">
        <v>4561</v>
      </c>
      <c r="B2931" s="2" t="s">
        <v>4562</v>
      </c>
      <c r="C2931" s="2">
        <v>1436.0</v>
      </c>
      <c r="D2931" s="2">
        <v>1376.0</v>
      </c>
      <c r="E2931" s="2">
        <v>23020.0</v>
      </c>
      <c r="F2931" s="2" t="s">
        <v>150</v>
      </c>
    </row>
    <row r="2932" ht="15.75" customHeight="1">
      <c r="A2932" s="4" t="s">
        <v>6639</v>
      </c>
      <c r="B2932" s="2" t="s">
        <v>6640</v>
      </c>
      <c r="C2932" s="2">
        <v>60.0</v>
      </c>
      <c r="D2932" s="2">
        <v>55.0</v>
      </c>
      <c r="E2932" s="2" t="s">
        <v>150</v>
      </c>
      <c r="F2932" s="2" t="s">
        <v>150</v>
      </c>
    </row>
    <row r="2933" ht="15.75" customHeight="1">
      <c r="A2933" s="4" t="s">
        <v>6641</v>
      </c>
      <c r="B2933" s="2" t="s">
        <v>6642</v>
      </c>
      <c r="C2933" s="2">
        <v>411.0</v>
      </c>
      <c r="D2933" s="2">
        <v>422.0</v>
      </c>
      <c r="E2933" s="2">
        <v>24530.0</v>
      </c>
      <c r="F2933" s="2" t="s">
        <v>150</v>
      </c>
    </row>
    <row r="2934" ht="15.75" customHeight="1">
      <c r="A2934" s="4" t="s">
        <v>4563</v>
      </c>
      <c r="B2934" s="2" t="s">
        <v>4564</v>
      </c>
      <c r="C2934" s="2">
        <v>178.0</v>
      </c>
      <c r="D2934" s="2">
        <v>204.0</v>
      </c>
      <c r="E2934" s="2">
        <v>25780.0</v>
      </c>
      <c r="F2934" s="2" t="s">
        <v>150</v>
      </c>
    </row>
    <row r="2935" ht="15.75" customHeight="1">
      <c r="A2935" s="4" t="s">
        <v>6643</v>
      </c>
      <c r="B2935" s="2" t="s">
        <v>6644</v>
      </c>
      <c r="C2935" s="2">
        <v>279.0</v>
      </c>
      <c r="D2935" s="2">
        <v>293.0</v>
      </c>
      <c r="E2935" s="2">
        <v>27100.0</v>
      </c>
      <c r="F2935" s="2" t="s">
        <v>150</v>
      </c>
    </row>
    <row r="2936" ht="15.75" customHeight="1">
      <c r="A2936" s="4" t="s">
        <v>6645</v>
      </c>
      <c r="B2936" s="2" t="s">
        <v>6646</v>
      </c>
      <c r="C2936" s="2">
        <v>538.0</v>
      </c>
      <c r="D2936" s="2">
        <v>578.0</v>
      </c>
      <c r="E2936" s="2">
        <v>25030.0</v>
      </c>
      <c r="F2936" s="2" t="s">
        <v>150</v>
      </c>
    </row>
    <row r="2937" ht="15.75" customHeight="1">
      <c r="A2937" s="4" t="s">
        <v>6647</v>
      </c>
      <c r="B2937" s="2" t="s">
        <v>6648</v>
      </c>
      <c r="C2937" s="2">
        <v>84.0</v>
      </c>
      <c r="D2937" s="2">
        <v>67.0</v>
      </c>
      <c r="E2937" s="2" t="s">
        <v>150</v>
      </c>
      <c r="F2937" s="2" t="s">
        <v>150</v>
      </c>
    </row>
    <row r="2938" ht="15.75" customHeight="1">
      <c r="A2938" s="4" t="s">
        <v>6649</v>
      </c>
      <c r="B2938" s="2" t="s">
        <v>6650</v>
      </c>
      <c r="C2938" s="2">
        <v>253.0</v>
      </c>
      <c r="D2938" s="2">
        <v>245.0</v>
      </c>
      <c r="E2938" s="2">
        <v>22870.0</v>
      </c>
      <c r="F2938" s="2" t="s">
        <v>150</v>
      </c>
    </row>
    <row r="2939" ht="15.75" customHeight="1">
      <c r="A2939" s="4" t="s">
        <v>6651</v>
      </c>
      <c r="B2939" s="2" t="s">
        <v>6652</v>
      </c>
      <c r="C2939" s="2">
        <v>569.0</v>
      </c>
      <c r="D2939" s="2">
        <v>538.0</v>
      </c>
      <c r="E2939" s="2">
        <v>26250.0</v>
      </c>
      <c r="F2939" s="2" t="s">
        <v>150</v>
      </c>
    </row>
    <row r="2940" ht="15.75" customHeight="1">
      <c r="A2940" s="4" t="s">
        <v>4565</v>
      </c>
      <c r="B2940" s="2" t="s">
        <v>4566</v>
      </c>
      <c r="C2940" s="2">
        <v>971.0</v>
      </c>
      <c r="D2940" s="2">
        <v>1138.0</v>
      </c>
      <c r="E2940" s="2">
        <v>32600.0</v>
      </c>
      <c r="F2940" s="2" t="s">
        <v>150</v>
      </c>
    </row>
    <row r="2941" ht="15.75" customHeight="1">
      <c r="A2941" s="4" t="s">
        <v>4567</v>
      </c>
      <c r="B2941" s="2" t="s">
        <v>4568</v>
      </c>
      <c r="C2941" s="2">
        <v>532.0</v>
      </c>
      <c r="D2941" s="2">
        <v>494.0</v>
      </c>
      <c r="E2941" s="2">
        <v>24980.0</v>
      </c>
      <c r="F2941" s="2" t="s">
        <v>150</v>
      </c>
    </row>
    <row r="2942" ht="15.75" customHeight="1">
      <c r="A2942" s="4" t="s">
        <v>6653</v>
      </c>
      <c r="B2942" s="2" t="s">
        <v>6654</v>
      </c>
      <c r="C2942" s="2">
        <v>90.0</v>
      </c>
      <c r="D2942" s="2">
        <v>89.0</v>
      </c>
      <c r="E2942" s="2" t="s">
        <v>150</v>
      </c>
      <c r="F2942" s="2" t="s">
        <v>150</v>
      </c>
    </row>
    <row r="2943" ht="15.75" customHeight="1">
      <c r="A2943" s="4" t="s">
        <v>4569</v>
      </c>
      <c r="B2943" s="2" t="s">
        <v>4570</v>
      </c>
      <c r="C2943" s="2">
        <v>1018.0</v>
      </c>
      <c r="D2943" s="2">
        <v>1099.0</v>
      </c>
      <c r="E2943" s="2">
        <v>25930.0</v>
      </c>
      <c r="F2943" s="2" t="s">
        <v>150</v>
      </c>
    </row>
    <row r="2944" ht="15.75" customHeight="1">
      <c r="A2944" s="4" t="s">
        <v>6655</v>
      </c>
      <c r="B2944" s="2" t="s">
        <v>6656</v>
      </c>
      <c r="C2944" s="2">
        <v>135.0</v>
      </c>
      <c r="D2944" s="2">
        <v>130.0</v>
      </c>
      <c r="E2944" s="2">
        <v>23180.0</v>
      </c>
      <c r="F2944" s="2" t="s">
        <v>150</v>
      </c>
    </row>
    <row r="2945" ht="15.75" hidden="1" customHeight="1">
      <c r="A2945" s="4" t="s">
        <v>4573</v>
      </c>
      <c r="B2945" s="2" t="s">
        <v>4574</v>
      </c>
      <c r="C2945" s="2">
        <v>2443.0</v>
      </c>
      <c r="D2945" s="2">
        <v>2374.0</v>
      </c>
      <c r="E2945" s="2">
        <v>24300.0</v>
      </c>
      <c r="F2945" s="2">
        <v>12.0</v>
      </c>
    </row>
    <row r="2946" ht="15.75" hidden="1" customHeight="1">
      <c r="A2946" s="4" t="s">
        <v>4571</v>
      </c>
      <c r="B2946" s="2" t="s">
        <v>4572</v>
      </c>
      <c r="C2946" s="2">
        <v>8608.0</v>
      </c>
      <c r="D2946" s="2">
        <v>8536.0</v>
      </c>
      <c r="E2946" s="2">
        <v>22900.0</v>
      </c>
      <c r="F2946" s="2">
        <v>20.0</v>
      </c>
    </row>
    <row r="2947" ht="15.75" customHeight="1">
      <c r="A2947" s="4" t="s">
        <v>6657</v>
      </c>
      <c r="B2947" s="2" t="s">
        <v>6658</v>
      </c>
      <c r="C2947" s="2">
        <v>241.0</v>
      </c>
      <c r="D2947" s="2">
        <v>235.0</v>
      </c>
      <c r="E2947" s="2">
        <v>25160.0</v>
      </c>
      <c r="F2947" s="2" t="s">
        <v>150</v>
      </c>
    </row>
    <row r="2948" ht="15.75" customHeight="1">
      <c r="A2948" s="4" t="s">
        <v>6659</v>
      </c>
      <c r="B2948" s="2" t="s">
        <v>6660</v>
      </c>
      <c r="C2948" s="2">
        <v>645.0</v>
      </c>
      <c r="D2948" s="2">
        <v>665.0</v>
      </c>
      <c r="E2948" s="2">
        <v>23450.0</v>
      </c>
      <c r="F2948" s="2" t="s">
        <v>150</v>
      </c>
    </row>
    <row r="2949" ht="15.75" customHeight="1">
      <c r="A2949" s="4" t="s">
        <v>6661</v>
      </c>
      <c r="B2949" s="2" t="s">
        <v>6662</v>
      </c>
      <c r="C2949" s="2">
        <v>444.0</v>
      </c>
      <c r="D2949" s="2">
        <v>516.0</v>
      </c>
      <c r="E2949" s="2">
        <v>26260.0</v>
      </c>
      <c r="F2949" s="2" t="s">
        <v>150</v>
      </c>
    </row>
    <row r="2950" ht="15.75" hidden="1" customHeight="1">
      <c r="A2950" s="4" t="s">
        <v>4575</v>
      </c>
      <c r="B2950" s="2" t="s">
        <v>4576</v>
      </c>
      <c r="C2950" s="2">
        <v>4726.0</v>
      </c>
      <c r="D2950" s="2">
        <v>4729.0</v>
      </c>
      <c r="E2950" s="2">
        <v>22380.0</v>
      </c>
      <c r="F2950" s="2">
        <v>18.0</v>
      </c>
    </row>
    <row r="2951" ht="15.75" customHeight="1">
      <c r="A2951" s="4" t="s">
        <v>4577</v>
      </c>
      <c r="B2951" s="2" t="s">
        <v>4578</v>
      </c>
      <c r="C2951" s="2">
        <v>1929.0</v>
      </c>
      <c r="D2951" s="2">
        <v>1978.0</v>
      </c>
      <c r="E2951" s="2">
        <v>26010.0</v>
      </c>
      <c r="F2951" s="2" t="s">
        <v>150</v>
      </c>
    </row>
    <row r="2952" ht="15.75" hidden="1" customHeight="1">
      <c r="A2952" s="4" t="s">
        <v>4579</v>
      </c>
      <c r="B2952" s="2" t="s">
        <v>4580</v>
      </c>
      <c r="C2952" s="2">
        <v>3452.0</v>
      </c>
      <c r="D2952" s="2">
        <v>3445.0</v>
      </c>
      <c r="E2952" s="2">
        <v>23880.0</v>
      </c>
      <c r="F2952" s="2">
        <v>15.0</v>
      </c>
    </row>
    <row r="2953" ht="15.75" hidden="1" customHeight="1">
      <c r="A2953" s="4" t="s">
        <v>4581</v>
      </c>
      <c r="B2953" s="2" t="s">
        <v>4582</v>
      </c>
      <c r="C2953" s="2">
        <v>2425.0</v>
      </c>
      <c r="D2953" s="2">
        <v>2571.0</v>
      </c>
      <c r="E2953" s="2">
        <v>27570.0</v>
      </c>
      <c r="F2953" s="2">
        <v>8.0</v>
      </c>
    </row>
    <row r="2954" ht="15.75" customHeight="1">
      <c r="A2954" s="4" t="s">
        <v>6663</v>
      </c>
      <c r="B2954" s="2" t="s">
        <v>6664</v>
      </c>
      <c r="C2954" s="2">
        <v>356.0</v>
      </c>
      <c r="D2954" s="2">
        <v>351.0</v>
      </c>
      <c r="E2954" s="2">
        <v>24530.0</v>
      </c>
      <c r="F2954" s="2" t="s">
        <v>150</v>
      </c>
    </row>
    <row r="2955" ht="15.75" customHeight="1">
      <c r="A2955" s="4" t="s">
        <v>4585</v>
      </c>
      <c r="B2955" s="2" t="s">
        <v>4586</v>
      </c>
      <c r="C2955" s="2">
        <v>778.0</v>
      </c>
      <c r="D2955" s="2">
        <v>882.0</v>
      </c>
      <c r="E2955" s="2">
        <v>29910.0</v>
      </c>
      <c r="F2955" s="2" t="s">
        <v>150</v>
      </c>
    </row>
    <row r="2956" ht="15.75" customHeight="1">
      <c r="A2956" s="4" t="s">
        <v>4587</v>
      </c>
      <c r="B2956" s="2" t="s">
        <v>4588</v>
      </c>
      <c r="C2956" s="2">
        <v>1382.0</v>
      </c>
      <c r="D2956" s="2">
        <v>1511.0</v>
      </c>
      <c r="E2956" s="2">
        <v>26950.0</v>
      </c>
      <c r="F2956" s="2" t="s">
        <v>150</v>
      </c>
    </row>
    <row r="2957" ht="15.75" customHeight="1">
      <c r="A2957" s="4" t="s">
        <v>4583</v>
      </c>
      <c r="B2957" s="2" t="s">
        <v>4584</v>
      </c>
      <c r="C2957" s="2">
        <v>386.0</v>
      </c>
      <c r="D2957" s="2">
        <v>391.0</v>
      </c>
      <c r="E2957" s="2">
        <v>24190.0</v>
      </c>
      <c r="F2957" s="2" t="s">
        <v>150</v>
      </c>
    </row>
    <row r="2958" ht="15.75" customHeight="1">
      <c r="A2958" s="4" t="s">
        <v>6665</v>
      </c>
      <c r="B2958" s="2" t="s">
        <v>6666</v>
      </c>
      <c r="C2958" s="2">
        <v>568.0</v>
      </c>
      <c r="D2958" s="2">
        <v>607.0</v>
      </c>
      <c r="E2958" s="2">
        <v>30240.0</v>
      </c>
      <c r="F2958" s="2" t="s">
        <v>150</v>
      </c>
    </row>
    <row r="2959" ht="15.75" customHeight="1">
      <c r="A2959" s="4" t="s">
        <v>6667</v>
      </c>
      <c r="B2959" s="2" t="s">
        <v>6668</v>
      </c>
      <c r="C2959" s="2">
        <v>272.0</v>
      </c>
      <c r="D2959" s="2">
        <v>245.0</v>
      </c>
      <c r="E2959" s="2">
        <v>25080.0</v>
      </c>
      <c r="F2959" s="2" t="s">
        <v>150</v>
      </c>
    </row>
    <row r="2960" ht="15.75" customHeight="1">
      <c r="A2960" s="4" t="s">
        <v>6669</v>
      </c>
      <c r="B2960" s="2" t="s">
        <v>6670</v>
      </c>
      <c r="C2960" s="2">
        <v>365.0</v>
      </c>
      <c r="D2960" s="2">
        <v>368.0</v>
      </c>
      <c r="E2960" s="2">
        <v>25840.0</v>
      </c>
      <c r="F2960" s="2" t="s">
        <v>150</v>
      </c>
    </row>
    <row r="2961" ht="15.75" customHeight="1">
      <c r="A2961" s="4" t="s">
        <v>6671</v>
      </c>
      <c r="B2961" s="2" t="s">
        <v>6672</v>
      </c>
      <c r="C2961" s="2">
        <v>135.0</v>
      </c>
      <c r="D2961" s="2">
        <v>127.0</v>
      </c>
      <c r="E2961" s="2">
        <v>30670.0</v>
      </c>
      <c r="F2961" s="2" t="s">
        <v>150</v>
      </c>
    </row>
    <row r="2962" ht="15.75" customHeight="1">
      <c r="A2962" s="4" t="s">
        <v>6673</v>
      </c>
      <c r="B2962" s="2" t="s">
        <v>6674</v>
      </c>
      <c r="C2962" s="2">
        <v>264.0</v>
      </c>
      <c r="D2962" s="2">
        <v>243.0</v>
      </c>
      <c r="E2962" s="2">
        <v>27420.0</v>
      </c>
      <c r="F2962" s="2" t="s">
        <v>150</v>
      </c>
    </row>
    <row r="2963" ht="15.75" customHeight="1">
      <c r="A2963" s="4" t="s">
        <v>6675</v>
      </c>
      <c r="B2963" s="2" t="s">
        <v>6676</v>
      </c>
      <c r="C2963" s="2">
        <v>265.0</v>
      </c>
      <c r="D2963" s="2">
        <v>255.0</v>
      </c>
      <c r="E2963" s="2">
        <v>21700.0</v>
      </c>
      <c r="F2963" s="2" t="s">
        <v>150</v>
      </c>
    </row>
    <row r="2964" ht="15.75" customHeight="1">
      <c r="A2964" s="4" t="s">
        <v>6677</v>
      </c>
      <c r="B2964" s="2" t="s">
        <v>6678</v>
      </c>
      <c r="C2964" s="2">
        <v>118.0</v>
      </c>
      <c r="D2964" s="2">
        <v>137.0</v>
      </c>
      <c r="E2964" s="2">
        <v>26490.0</v>
      </c>
      <c r="F2964" s="2" t="s">
        <v>150</v>
      </c>
    </row>
    <row r="2965" ht="15.75" hidden="1" customHeight="1">
      <c r="A2965" s="4" t="s">
        <v>4589</v>
      </c>
      <c r="B2965" s="2" t="s">
        <v>4590</v>
      </c>
      <c r="C2965" s="2">
        <v>4265.0</v>
      </c>
      <c r="D2965" s="2">
        <v>4270.0</v>
      </c>
      <c r="E2965" s="2">
        <v>27350.0</v>
      </c>
      <c r="F2965" s="2">
        <v>8.0</v>
      </c>
    </row>
    <row r="2966" ht="15.75" customHeight="1">
      <c r="A2966" s="4" t="s">
        <v>6679</v>
      </c>
      <c r="B2966" s="2" t="s">
        <v>6680</v>
      </c>
      <c r="C2966" s="2">
        <v>158.0</v>
      </c>
      <c r="D2966" s="2">
        <v>146.0</v>
      </c>
      <c r="E2966" s="2">
        <v>22730.0</v>
      </c>
      <c r="F2966" s="2" t="s">
        <v>150</v>
      </c>
    </row>
    <row r="2967" ht="15.75" hidden="1" customHeight="1">
      <c r="A2967" s="4" t="s">
        <v>4591</v>
      </c>
      <c r="B2967" s="2" t="s">
        <v>4592</v>
      </c>
      <c r="C2967" s="2">
        <v>3667.0</v>
      </c>
      <c r="D2967" s="2">
        <v>3839.0</v>
      </c>
      <c r="E2967" s="2">
        <v>25540.0</v>
      </c>
      <c r="F2967" s="2">
        <v>10.0</v>
      </c>
    </row>
    <row r="2968" ht="15.75" customHeight="1">
      <c r="A2968" s="4" t="s">
        <v>6681</v>
      </c>
      <c r="B2968" s="2" t="s">
        <v>6682</v>
      </c>
      <c r="C2968" s="2">
        <v>654.0</v>
      </c>
      <c r="D2968" s="2">
        <v>632.0</v>
      </c>
      <c r="E2968" s="2">
        <v>26840.0</v>
      </c>
      <c r="F2968" s="2" t="s">
        <v>150</v>
      </c>
    </row>
    <row r="2969" ht="15.75" hidden="1" customHeight="1">
      <c r="A2969" s="4" t="s">
        <v>4593</v>
      </c>
      <c r="B2969" s="2" t="s">
        <v>4594</v>
      </c>
      <c r="C2969" s="2">
        <v>4677.0</v>
      </c>
      <c r="D2969" s="2">
        <v>4849.0</v>
      </c>
      <c r="E2969" s="2">
        <v>23980.0</v>
      </c>
      <c r="F2969" s="2">
        <v>16.0</v>
      </c>
    </row>
    <row r="2970" ht="15.75" customHeight="1">
      <c r="A2970" s="4" t="s">
        <v>4595</v>
      </c>
      <c r="B2970" s="2" t="s">
        <v>4596</v>
      </c>
      <c r="C2970" s="2">
        <v>431.0</v>
      </c>
      <c r="D2970" s="2">
        <v>449.0</v>
      </c>
      <c r="E2970" s="2">
        <v>26880.0</v>
      </c>
      <c r="F2970" s="2" t="s">
        <v>150</v>
      </c>
    </row>
    <row r="2971" ht="15.75" customHeight="1">
      <c r="A2971" s="4" t="s">
        <v>6683</v>
      </c>
      <c r="B2971" s="2" t="s">
        <v>6684</v>
      </c>
      <c r="C2971" s="2">
        <v>262.0</v>
      </c>
      <c r="D2971" s="2">
        <v>259.0</v>
      </c>
      <c r="E2971" s="2">
        <v>26730.0</v>
      </c>
      <c r="F2971" s="2" t="s">
        <v>150</v>
      </c>
    </row>
    <row r="2972" ht="15.75" customHeight="1">
      <c r="A2972" s="4" t="s">
        <v>4597</v>
      </c>
      <c r="B2972" s="2" t="s">
        <v>4598</v>
      </c>
      <c r="C2972" s="2">
        <v>262.0</v>
      </c>
      <c r="D2972" s="2">
        <v>261.0</v>
      </c>
      <c r="E2972" s="2">
        <v>24950.0</v>
      </c>
      <c r="F2972" s="2" t="s">
        <v>150</v>
      </c>
    </row>
    <row r="2973" ht="15.75" customHeight="1">
      <c r="A2973" s="4" t="s">
        <v>4599</v>
      </c>
      <c r="B2973" s="2" t="s">
        <v>4600</v>
      </c>
      <c r="C2973" s="2">
        <v>1099.0</v>
      </c>
      <c r="D2973" s="2">
        <v>1062.0</v>
      </c>
      <c r="E2973" s="2">
        <v>29620.0</v>
      </c>
      <c r="F2973" s="2" t="s">
        <v>150</v>
      </c>
    </row>
    <row r="2974" ht="15.75" customHeight="1">
      <c r="A2974" s="4" t="s">
        <v>4601</v>
      </c>
      <c r="B2974" s="2" t="s">
        <v>4602</v>
      </c>
      <c r="C2974" s="2">
        <v>1004.0</v>
      </c>
      <c r="D2974" s="2">
        <v>1062.0</v>
      </c>
      <c r="E2974" s="2">
        <v>27180.0</v>
      </c>
      <c r="F2974" s="2" t="s">
        <v>150</v>
      </c>
    </row>
    <row r="2975" ht="15.75" customHeight="1">
      <c r="A2975" s="4" t="s">
        <v>6685</v>
      </c>
      <c r="B2975" s="2" t="s">
        <v>6686</v>
      </c>
      <c r="C2975" s="2">
        <v>245.0</v>
      </c>
      <c r="D2975" s="2">
        <v>259.0</v>
      </c>
      <c r="E2975" s="2">
        <v>24320.0</v>
      </c>
      <c r="F2975" s="2" t="s">
        <v>150</v>
      </c>
    </row>
    <row r="2976" ht="15.75" customHeight="1">
      <c r="A2976" s="4" t="s">
        <v>6687</v>
      </c>
      <c r="B2976" s="2" t="s">
        <v>6688</v>
      </c>
      <c r="C2976" s="2">
        <v>237.0</v>
      </c>
      <c r="D2976" s="2">
        <v>253.0</v>
      </c>
      <c r="E2976" s="2">
        <v>21350.0</v>
      </c>
      <c r="F2976" s="2" t="s">
        <v>150</v>
      </c>
    </row>
    <row r="2977" ht="15.75" customHeight="1">
      <c r="A2977" s="4" t="s">
        <v>4603</v>
      </c>
      <c r="B2977" s="2" t="s">
        <v>4604</v>
      </c>
      <c r="C2977" s="2">
        <v>649.0</v>
      </c>
      <c r="D2977" s="2">
        <v>626.0</v>
      </c>
      <c r="E2977" s="2">
        <v>30320.0</v>
      </c>
      <c r="F2977" s="2" t="s">
        <v>150</v>
      </c>
    </row>
    <row r="2978" ht="15.75" customHeight="1">
      <c r="A2978" s="4" t="s">
        <v>6689</v>
      </c>
      <c r="B2978" s="2" t="s">
        <v>6690</v>
      </c>
      <c r="C2978" s="2">
        <v>719.0</v>
      </c>
      <c r="D2978" s="2">
        <v>748.0</v>
      </c>
      <c r="E2978" s="2">
        <v>27600.0</v>
      </c>
      <c r="F2978" s="2" t="s">
        <v>150</v>
      </c>
    </row>
    <row r="2979" ht="15.75" customHeight="1">
      <c r="A2979" s="4" t="s">
        <v>4605</v>
      </c>
      <c r="B2979" s="2" t="s">
        <v>4606</v>
      </c>
      <c r="C2979" s="2">
        <v>1333.0</v>
      </c>
      <c r="D2979" s="2">
        <v>1328.0</v>
      </c>
      <c r="E2979" s="2">
        <v>24620.0</v>
      </c>
      <c r="F2979" s="2" t="s">
        <v>150</v>
      </c>
    </row>
    <row r="2980" ht="15.75" customHeight="1">
      <c r="A2980" s="4" t="s">
        <v>6691</v>
      </c>
      <c r="B2980" s="2" t="s">
        <v>6692</v>
      </c>
      <c r="C2980" s="2">
        <v>138.0</v>
      </c>
      <c r="D2980" s="2">
        <v>131.0</v>
      </c>
      <c r="E2980" s="2">
        <v>29360.0</v>
      </c>
      <c r="F2980" s="2" t="s">
        <v>150</v>
      </c>
    </row>
    <row r="2981" ht="15.75" customHeight="1">
      <c r="A2981" s="4" t="s">
        <v>6693</v>
      </c>
      <c r="B2981" s="2" t="s">
        <v>6694</v>
      </c>
      <c r="C2981" s="2">
        <v>174.0</v>
      </c>
      <c r="D2981" s="2">
        <v>177.0</v>
      </c>
      <c r="E2981" s="2">
        <v>26480.0</v>
      </c>
      <c r="F2981" s="2" t="s">
        <v>150</v>
      </c>
    </row>
    <row r="2982" ht="15.75" customHeight="1">
      <c r="A2982" s="4" t="s">
        <v>6695</v>
      </c>
      <c r="B2982" s="2" t="s">
        <v>6696</v>
      </c>
      <c r="C2982" s="2">
        <v>377.0</v>
      </c>
      <c r="D2982" s="2">
        <v>377.0</v>
      </c>
      <c r="E2982" s="2">
        <v>30440.0</v>
      </c>
      <c r="F2982" s="2" t="s">
        <v>150</v>
      </c>
    </row>
    <row r="2983" ht="15.75" customHeight="1">
      <c r="A2983" s="4" t="s">
        <v>6697</v>
      </c>
      <c r="B2983" s="2" t="s">
        <v>6698</v>
      </c>
      <c r="C2983" s="2">
        <v>232.0</v>
      </c>
      <c r="D2983" s="2">
        <v>218.0</v>
      </c>
      <c r="E2983" s="2">
        <v>25410.0</v>
      </c>
      <c r="F2983" s="2" t="s">
        <v>150</v>
      </c>
    </row>
    <row r="2984" ht="15.75" customHeight="1">
      <c r="A2984" s="4" t="s">
        <v>4218</v>
      </c>
      <c r="B2984" s="2" t="s">
        <v>4219</v>
      </c>
      <c r="C2984" s="2">
        <v>206.0</v>
      </c>
      <c r="D2984" s="2">
        <v>203.0</v>
      </c>
      <c r="E2984" s="2">
        <v>27160.0</v>
      </c>
      <c r="F2984" s="2" t="s">
        <v>150</v>
      </c>
    </row>
    <row r="2985" ht="15.75" customHeight="1">
      <c r="A2985" s="4" t="s">
        <v>6699</v>
      </c>
      <c r="B2985" s="2" t="s">
        <v>6700</v>
      </c>
      <c r="C2985" s="2">
        <v>380.0</v>
      </c>
      <c r="D2985" s="2">
        <v>355.0</v>
      </c>
      <c r="E2985" s="2">
        <v>22150.0</v>
      </c>
      <c r="F2985" s="2" t="s">
        <v>150</v>
      </c>
    </row>
    <row r="2986" ht="15.75" customHeight="1">
      <c r="A2986" s="4" t="s">
        <v>4607</v>
      </c>
      <c r="B2986" s="2" t="s">
        <v>4608</v>
      </c>
      <c r="C2986" s="2">
        <v>1270.0</v>
      </c>
      <c r="D2986" s="2">
        <v>1203.0</v>
      </c>
      <c r="E2986" s="2">
        <v>24380.0</v>
      </c>
      <c r="F2986" s="2" t="s">
        <v>150</v>
      </c>
    </row>
    <row r="2987" ht="15.75" customHeight="1">
      <c r="A2987" s="4" t="s">
        <v>6701</v>
      </c>
      <c r="B2987" s="2" t="s">
        <v>6702</v>
      </c>
      <c r="C2987" s="2">
        <v>201.0</v>
      </c>
      <c r="D2987" s="2">
        <v>197.0</v>
      </c>
      <c r="E2987" s="2">
        <v>23790.0</v>
      </c>
      <c r="F2987" s="2" t="s">
        <v>150</v>
      </c>
    </row>
    <row r="2988" ht="15.75" customHeight="1">
      <c r="A2988" s="4" t="s">
        <v>6703</v>
      </c>
      <c r="B2988" s="2" t="s">
        <v>6704</v>
      </c>
      <c r="C2988" s="2">
        <v>244.0</v>
      </c>
      <c r="D2988" s="2">
        <v>246.0</v>
      </c>
      <c r="E2988" s="2">
        <v>26990.0</v>
      </c>
      <c r="F2988" s="2" t="s">
        <v>150</v>
      </c>
    </row>
    <row r="2989" ht="15.75" customHeight="1">
      <c r="A2989" s="4" t="s">
        <v>6705</v>
      </c>
      <c r="B2989" s="2" t="s">
        <v>6706</v>
      </c>
      <c r="C2989" s="2">
        <v>252.0</v>
      </c>
      <c r="D2989" s="2">
        <v>267.0</v>
      </c>
      <c r="E2989" s="2">
        <v>25200.0</v>
      </c>
      <c r="F2989" s="2" t="s">
        <v>150</v>
      </c>
    </row>
    <row r="2990" ht="15.75" customHeight="1">
      <c r="A2990" s="4" t="s">
        <v>6707</v>
      </c>
      <c r="B2990" s="2" t="s">
        <v>6708</v>
      </c>
      <c r="C2990" s="2">
        <v>244.0</v>
      </c>
      <c r="D2990" s="2">
        <v>244.0</v>
      </c>
      <c r="E2990" s="2">
        <v>26210.0</v>
      </c>
      <c r="F2990" s="2" t="s">
        <v>150</v>
      </c>
    </row>
    <row r="2991" ht="15.75" customHeight="1">
      <c r="A2991" s="4" t="s">
        <v>6709</v>
      </c>
      <c r="B2991" s="2" t="s">
        <v>6710</v>
      </c>
      <c r="C2991" s="2">
        <v>226.0</v>
      </c>
      <c r="D2991" s="2">
        <v>228.0</v>
      </c>
      <c r="E2991" s="2">
        <v>28060.0</v>
      </c>
      <c r="F2991" s="2" t="s">
        <v>150</v>
      </c>
    </row>
    <row r="2992" ht="15.75" customHeight="1">
      <c r="A2992" s="4" t="s">
        <v>6711</v>
      </c>
      <c r="B2992" s="2" t="s">
        <v>6712</v>
      </c>
      <c r="C2992" s="2">
        <v>857.0</v>
      </c>
      <c r="D2992" s="2">
        <v>834.0</v>
      </c>
      <c r="E2992" s="2">
        <v>28690.0</v>
      </c>
      <c r="F2992" s="2" t="s">
        <v>150</v>
      </c>
    </row>
    <row r="2993" ht="15.75" customHeight="1">
      <c r="A2993" s="4" t="s">
        <v>6713</v>
      </c>
      <c r="B2993" s="2" t="s">
        <v>6714</v>
      </c>
      <c r="C2993" s="2">
        <v>188.0</v>
      </c>
      <c r="D2993" s="2">
        <v>183.0</v>
      </c>
      <c r="E2993" s="2">
        <v>23820.0</v>
      </c>
      <c r="F2993" s="2" t="s">
        <v>150</v>
      </c>
    </row>
    <row r="2994" ht="15.75" customHeight="1">
      <c r="A2994" s="4" t="s">
        <v>6715</v>
      </c>
      <c r="B2994" s="2" t="s">
        <v>6716</v>
      </c>
      <c r="C2994" s="2">
        <v>134.0</v>
      </c>
      <c r="D2994" s="2">
        <v>138.0</v>
      </c>
      <c r="E2994" s="2">
        <v>23880.0</v>
      </c>
      <c r="F2994" s="2" t="s">
        <v>150</v>
      </c>
    </row>
    <row r="2995" ht="15.75" customHeight="1">
      <c r="A2995" s="4" t="s">
        <v>4609</v>
      </c>
      <c r="B2995" s="2" t="s">
        <v>4610</v>
      </c>
      <c r="C2995" s="2">
        <v>651.0</v>
      </c>
      <c r="D2995" s="2">
        <v>660.0</v>
      </c>
      <c r="E2995" s="2">
        <v>28820.0</v>
      </c>
      <c r="F2995" s="2" t="s">
        <v>150</v>
      </c>
    </row>
    <row r="2996" ht="15.75" hidden="1" customHeight="1">
      <c r="A2996" s="4" t="s">
        <v>4611</v>
      </c>
      <c r="B2996" s="2" t="s">
        <v>4612</v>
      </c>
      <c r="C2996" s="2">
        <v>6575.0</v>
      </c>
      <c r="D2996" s="2">
        <v>6256.0</v>
      </c>
      <c r="E2996" s="2">
        <v>27160.0</v>
      </c>
      <c r="F2996" s="2">
        <v>13.0</v>
      </c>
    </row>
    <row r="2997" ht="15.75" hidden="1" customHeight="1">
      <c r="A2997" s="4" t="s">
        <v>4613</v>
      </c>
      <c r="B2997" s="2" t="s">
        <v>4614</v>
      </c>
      <c r="C2997" s="2">
        <v>4083.0</v>
      </c>
      <c r="D2997" s="2">
        <v>3866.0</v>
      </c>
      <c r="E2997" s="2">
        <v>24400.0</v>
      </c>
      <c r="F2997" s="2">
        <v>15.0</v>
      </c>
    </row>
    <row r="2998" ht="15.75" hidden="1" customHeight="1">
      <c r="A2998" s="4" t="s">
        <v>4615</v>
      </c>
      <c r="B2998" s="2" t="s">
        <v>4616</v>
      </c>
      <c r="C2998" s="2">
        <v>8770.0</v>
      </c>
      <c r="D2998" s="2">
        <v>8720.0</v>
      </c>
      <c r="E2998" s="2">
        <v>21290.0</v>
      </c>
      <c r="F2998" s="2">
        <v>23.0</v>
      </c>
    </row>
    <row r="2999" ht="15.75" customHeight="1">
      <c r="A2999" s="4" t="s">
        <v>4617</v>
      </c>
      <c r="B2999" s="2" t="s">
        <v>4618</v>
      </c>
      <c r="C2999" s="2">
        <v>746.0</v>
      </c>
      <c r="D2999" s="2">
        <v>768.0</v>
      </c>
      <c r="E2999" s="2">
        <v>26220.0</v>
      </c>
      <c r="F2999" s="2" t="s">
        <v>150</v>
      </c>
    </row>
    <row r="3000" ht="15.75" customHeight="1">
      <c r="A3000" s="4" t="s">
        <v>4619</v>
      </c>
      <c r="B3000" s="2" t="s">
        <v>4620</v>
      </c>
      <c r="C3000" s="2">
        <v>491.0</v>
      </c>
      <c r="D3000" s="2">
        <v>492.0</v>
      </c>
      <c r="E3000" s="2">
        <v>24230.0</v>
      </c>
      <c r="F3000" s="2" t="s">
        <v>150</v>
      </c>
    </row>
    <row r="3001" ht="15.75" customHeight="1">
      <c r="A3001" s="4" t="s">
        <v>6717</v>
      </c>
      <c r="B3001" s="2" t="s">
        <v>6718</v>
      </c>
      <c r="C3001" s="2">
        <v>226.0</v>
      </c>
      <c r="D3001" s="2">
        <v>222.0</v>
      </c>
      <c r="E3001" s="2">
        <v>29610.0</v>
      </c>
      <c r="F3001" s="2" t="s">
        <v>150</v>
      </c>
    </row>
    <row r="3002" ht="15.75" customHeight="1">
      <c r="A3002" s="4" t="s">
        <v>4622</v>
      </c>
      <c r="B3002" s="2" t="s">
        <v>4624</v>
      </c>
      <c r="C3002" s="2">
        <v>939.0</v>
      </c>
      <c r="D3002" s="2">
        <v>835.0</v>
      </c>
      <c r="E3002" s="2">
        <v>27240.0</v>
      </c>
      <c r="F3002" s="2" t="s">
        <v>150</v>
      </c>
    </row>
    <row r="3003" ht="15.75" customHeight="1">
      <c r="A3003" s="4" t="s">
        <v>4625</v>
      </c>
      <c r="B3003" s="2" t="s">
        <v>4626</v>
      </c>
      <c r="C3003" s="2">
        <v>587.0</v>
      </c>
      <c r="D3003" s="2">
        <v>636.0</v>
      </c>
      <c r="E3003" s="2">
        <v>26210.0</v>
      </c>
      <c r="F3003" s="2" t="s">
        <v>150</v>
      </c>
    </row>
    <row r="3004" ht="15.75" customHeight="1">
      <c r="A3004" s="4" t="s">
        <v>4627</v>
      </c>
      <c r="B3004" s="2" t="s">
        <v>4628</v>
      </c>
      <c r="C3004" s="2">
        <v>961.0</v>
      </c>
      <c r="D3004" s="2">
        <v>973.0</v>
      </c>
      <c r="E3004" s="2">
        <v>24780.0</v>
      </c>
      <c r="F3004" s="2" t="s">
        <v>150</v>
      </c>
    </row>
    <row r="3005" ht="15.75" hidden="1" customHeight="1">
      <c r="A3005" s="4" t="s">
        <v>4629</v>
      </c>
      <c r="B3005" s="2" t="s">
        <v>4630</v>
      </c>
      <c r="C3005" s="2">
        <v>3344.0</v>
      </c>
      <c r="D3005" s="2">
        <v>3321.0</v>
      </c>
      <c r="E3005" s="2">
        <v>22630.0</v>
      </c>
      <c r="F3005" s="2">
        <v>19.0</v>
      </c>
    </row>
    <row r="3006" ht="15.75" customHeight="1">
      <c r="A3006" s="4" t="s">
        <v>6719</v>
      </c>
      <c r="B3006" s="2" t="s">
        <v>6720</v>
      </c>
      <c r="C3006" s="2">
        <v>615.0</v>
      </c>
      <c r="D3006" s="2">
        <v>588.0</v>
      </c>
      <c r="E3006" s="2">
        <v>24860.0</v>
      </c>
      <c r="F3006" s="2" t="s">
        <v>150</v>
      </c>
    </row>
    <row r="3007" ht="15.75" customHeight="1">
      <c r="A3007" s="4" t="s">
        <v>4631</v>
      </c>
      <c r="B3007" s="2" t="s">
        <v>4632</v>
      </c>
      <c r="C3007" s="2">
        <v>609.0</v>
      </c>
      <c r="D3007" s="2">
        <v>592.0</v>
      </c>
      <c r="E3007" s="2">
        <v>24630.0</v>
      </c>
      <c r="F3007" s="2" t="s">
        <v>150</v>
      </c>
    </row>
    <row r="3008" ht="15.75" customHeight="1">
      <c r="A3008" s="4" t="s">
        <v>4633</v>
      </c>
      <c r="B3008" s="2" t="s">
        <v>4634</v>
      </c>
      <c r="C3008" s="2">
        <v>915.0</v>
      </c>
      <c r="D3008" s="2">
        <v>1084.0</v>
      </c>
      <c r="E3008" s="2">
        <v>28350.0</v>
      </c>
      <c r="F3008" s="2" t="s">
        <v>150</v>
      </c>
    </row>
    <row r="3009" ht="15.75" customHeight="1">
      <c r="A3009" s="4" t="s">
        <v>4635</v>
      </c>
      <c r="B3009" s="2" t="s">
        <v>4636</v>
      </c>
      <c r="C3009" s="2">
        <v>1753.0</v>
      </c>
      <c r="D3009" s="2">
        <v>1820.0</v>
      </c>
      <c r="E3009" s="2">
        <v>24240.0</v>
      </c>
      <c r="F3009" s="2" t="s">
        <v>150</v>
      </c>
    </row>
    <row r="3010" ht="15.75" hidden="1" customHeight="1">
      <c r="A3010" s="4" t="s">
        <v>4228</v>
      </c>
      <c r="B3010" s="2" t="s">
        <v>4229</v>
      </c>
      <c r="C3010" s="2">
        <v>8355.0</v>
      </c>
      <c r="D3010" s="2">
        <v>7973.0</v>
      </c>
      <c r="E3010" s="2">
        <v>20360.0</v>
      </c>
      <c r="F3010" s="2">
        <v>27.0</v>
      </c>
    </row>
    <row r="3011" ht="15.75" customHeight="1">
      <c r="A3011" s="4" t="s">
        <v>4177</v>
      </c>
      <c r="B3011" s="2" t="s">
        <v>4178</v>
      </c>
      <c r="C3011" s="2">
        <v>1629.0</v>
      </c>
      <c r="D3011" s="2">
        <v>1551.0</v>
      </c>
      <c r="E3011" s="2">
        <v>29560.0</v>
      </c>
      <c r="F3011" s="2" t="s">
        <v>150</v>
      </c>
    </row>
    <row r="3012" ht="15.75" customHeight="1">
      <c r="A3012" s="4" t="s">
        <v>6721</v>
      </c>
      <c r="B3012" s="2" t="s">
        <v>6722</v>
      </c>
      <c r="C3012" s="2">
        <v>435.0</v>
      </c>
      <c r="D3012" s="2">
        <v>425.0</v>
      </c>
      <c r="E3012" s="2">
        <v>22230.0</v>
      </c>
      <c r="F3012" s="2" t="s">
        <v>150</v>
      </c>
    </row>
    <row r="3013" ht="15.75" hidden="1" customHeight="1">
      <c r="A3013" s="4" t="s">
        <v>4658</v>
      </c>
      <c r="B3013" s="2" t="s">
        <v>4660</v>
      </c>
      <c r="C3013" s="2">
        <v>22946.0</v>
      </c>
      <c r="D3013" s="2">
        <v>22395.0</v>
      </c>
      <c r="E3013" s="2">
        <v>21380.0</v>
      </c>
      <c r="F3013" s="2">
        <v>25.4</v>
      </c>
    </row>
    <row r="3014" ht="15.75" customHeight="1">
      <c r="A3014" s="4" t="s">
        <v>6723</v>
      </c>
      <c r="B3014" s="2" t="s">
        <v>6724</v>
      </c>
      <c r="C3014" s="2">
        <v>266.0</v>
      </c>
      <c r="D3014" s="2">
        <v>263.0</v>
      </c>
      <c r="E3014" s="2">
        <v>23430.0</v>
      </c>
      <c r="F3014" s="2" t="s">
        <v>150</v>
      </c>
    </row>
    <row r="3015" ht="15.75" customHeight="1">
      <c r="A3015" s="4" t="s">
        <v>6725</v>
      </c>
      <c r="B3015" s="2" t="s">
        <v>6726</v>
      </c>
      <c r="C3015" s="2">
        <v>593.0</v>
      </c>
      <c r="D3015" s="2">
        <v>590.0</v>
      </c>
      <c r="E3015" s="2">
        <v>24590.0</v>
      </c>
      <c r="F3015" s="2" t="s">
        <v>150</v>
      </c>
    </row>
    <row r="3016" ht="15.75" customHeight="1">
      <c r="A3016" s="4" t="s">
        <v>6727</v>
      </c>
      <c r="B3016" s="2" t="s">
        <v>6728</v>
      </c>
      <c r="C3016" s="2">
        <v>528.0</v>
      </c>
      <c r="D3016" s="2">
        <v>501.0</v>
      </c>
      <c r="E3016" s="2">
        <v>24840.0</v>
      </c>
      <c r="F3016" s="2" t="s">
        <v>150</v>
      </c>
    </row>
    <row r="3017" ht="15.75" customHeight="1">
      <c r="A3017" s="4" t="s">
        <v>6729</v>
      </c>
      <c r="B3017" s="2" t="s">
        <v>6730</v>
      </c>
      <c r="C3017" s="2">
        <v>91.0</v>
      </c>
      <c r="D3017" s="2">
        <v>83.0</v>
      </c>
      <c r="E3017" s="2" t="s">
        <v>150</v>
      </c>
      <c r="F3017" s="2" t="s">
        <v>150</v>
      </c>
    </row>
    <row r="3018" ht="15.75" customHeight="1">
      <c r="A3018" s="4" t="s">
        <v>6731</v>
      </c>
      <c r="B3018" s="2" t="s">
        <v>6732</v>
      </c>
      <c r="C3018" s="2">
        <v>228.0</v>
      </c>
      <c r="D3018" s="2">
        <v>215.0</v>
      </c>
      <c r="E3018" s="2">
        <v>25930.0</v>
      </c>
      <c r="F3018" s="2" t="s">
        <v>150</v>
      </c>
    </row>
    <row r="3019" ht="15.75" customHeight="1">
      <c r="A3019" s="4" t="s">
        <v>4662</v>
      </c>
      <c r="B3019" s="2" t="s">
        <v>4663</v>
      </c>
      <c r="C3019" s="2">
        <v>890.0</v>
      </c>
      <c r="D3019" s="2">
        <v>904.0</v>
      </c>
      <c r="E3019" s="2">
        <v>25000.0</v>
      </c>
      <c r="F3019" s="2" t="s">
        <v>150</v>
      </c>
    </row>
    <row r="3020" ht="15.75" customHeight="1">
      <c r="A3020" s="4" t="s">
        <v>4664</v>
      </c>
      <c r="B3020" s="2" t="s">
        <v>4665</v>
      </c>
      <c r="C3020" s="2">
        <v>966.0</v>
      </c>
      <c r="D3020" s="2">
        <v>1024.0</v>
      </c>
      <c r="E3020" s="2">
        <v>25560.0</v>
      </c>
      <c r="F3020" s="2" t="s">
        <v>150</v>
      </c>
    </row>
    <row r="3021" ht="15.75" hidden="1" customHeight="1">
      <c r="A3021" s="4" t="s">
        <v>4667</v>
      </c>
      <c r="B3021" s="2" t="s">
        <v>4669</v>
      </c>
      <c r="C3021" s="2">
        <v>2838.0</v>
      </c>
      <c r="D3021" s="2">
        <v>2648.0</v>
      </c>
      <c r="E3021" s="2">
        <v>25800.0</v>
      </c>
      <c r="F3021" s="2">
        <v>13.0</v>
      </c>
    </row>
    <row r="3022" ht="15.75" hidden="1" customHeight="1">
      <c r="A3022" s="4" t="s">
        <v>4670</v>
      </c>
      <c r="B3022" s="2" t="s">
        <v>4671</v>
      </c>
      <c r="C3022" s="2">
        <v>2967.0</v>
      </c>
      <c r="D3022" s="2">
        <v>3003.0</v>
      </c>
      <c r="E3022" s="2">
        <v>25180.0</v>
      </c>
      <c r="F3022" s="2">
        <v>11.0</v>
      </c>
    </row>
    <row r="3023" ht="15.75" hidden="1" customHeight="1">
      <c r="A3023" s="4" t="s">
        <v>4672</v>
      </c>
      <c r="B3023" s="2" t="s">
        <v>4673</v>
      </c>
      <c r="C3023" s="2">
        <v>2378.0</v>
      </c>
      <c r="D3023" s="2">
        <v>2204.0</v>
      </c>
      <c r="E3023" s="2">
        <v>21200.0</v>
      </c>
      <c r="F3023" s="2">
        <v>27.0</v>
      </c>
    </row>
    <row r="3024" ht="15.75" customHeight="1">
      <c r="A3024" s="4" t="s">
        <v>6733</v>
      </c>
      <c r="B3024" s="2" t="s">
        <v>6734</v>
      </c>
      <c r="C3024" s="2">
        <v>54.0</v>
      </c>
      <c r="D3024" s="2">
        <v>69.0</v>
      </c>
      <c r="E3024" s="2" t="s">
        <v>150</v>
      </c>
      <c r="F3024" s="2" t="s">
        <v>150</v>
      </c>
    </row>
    <row r="3025" ht="15.75" customHeight="1">
      <c r="A3025" s="4" t="s">
        <v>6735</v>
      </c>
      <c r="B3025" s="2" t="s">
        <v>6736</v>
      </c>
      <c r="C3025" s="2">
        <v>67.0</v>
      </c>
      <c r="D3025" s="2">
        <v>66.0</v>
      </c>
      <c r="E3025" s="2" t="s">
        <v>150</v>
      </c>
      <c r="F3025" s="2" t="s">
        <v>150</v>
      </c>
    </row>
    <row r="3026" ht="15.75" hidden="1" customHeight="1">
      <c r="A3026" s="4" t="s">
        <v>4676</v>
      </c>
      <c r="B3026" s="2" t="s">
        <v>4677</v>
      </c>
      <c r="C3026" s="2">
        <v>9928.0</v>
      </c>
      <c r="D3026" s="2">
        <v>9521.0</v>
      </c>
      <c r="E3026" s="2">
        <v>22180.0</v>
      </c>
      <c r="F3026" s="2">
        <v>22.0</v>
      </c>
    </row>
    <row r="3027" ht="15.75" customHeight="1">
      <c r="A3027" s="4" t="s">
        <v>6737</v>
      </c>
      <c r="B3027" s="2" t="s">
        <v>6738</v>
      </c>
      <c r="C3027" s="2">
        <v>466.0</v>
      </c>
      <c r="D3027" s="2">
        <v>419.0</v>
      </c>
      <c r="E3027" s="2">
        <v>24170.0</v>
      </c>
      <c r="F3027" s="2" t="s">
        <v>150</v>
      </c>
    </row>
    <row r="3028" ht="15.75" customHeight="1">
      <c r="A3028" s="4" t="s">
        <v>6739</v>
      </c>
      <c r="B3028" s="2" t="s">
        <v>6740</v>
      </c>
      <c r="C3028" s="2">
        <v>250.0</v>
      </c>
      <c r="D3028" s="2">
        <v>253.0</v>
      </c>
      <c r="E3028" s="2">
        <v>23670.0</v>
      </c>
      <c r="F3028" s="2" t="s">
        <v>150</v>
      </c>
    </row>
    <row r="3029" ht="15.75" customHeight="1">
      <c r="A3029" s="4" t="s">
        <v>4678</v>
      </c>
      <c r="B3029" s="2" t="s">
        <v>4679</v>
      </c>
      <c r="C3029" s="2">
        <v>793.0</v>
      </c>
      <c r="D3029" s="2">
        <v>843.0</v>
      </c>
      <c r="E3029" s="2">
        <v>24840.0</v>
      </c>
      <c r="F3029" s="2" t="s">
        <v>150</v>
      </c>
    </row>
    <row r="3030" ht="15.75" customHeight="1">
      <c r="A3030" s="4" t="s">
        <v>6741</v>
      </c>
      <c r="B3030" s="2" t="s">
        <v>6742</v>
      </c>
      <c r="C3030" s="2">
        <v>738.0</v>
      </c>
      <c r="D3030" s="2">
        <v>778.0</v>
      </c>
      <c r="E3030" s="2">
        <v>30180.0</v>
      </c>
      <c r="F3030" s="2" t="s">
        <v>150</v>
      </c>
    </row>
    <row r="3031" ht="15.75" hidden="1" customHeight="1">
      <c r="A3031" s="4" t="s">
        <v>4680</v>
      </c>
      <c r="B3031" s="2" t="s">
        <v>4681</v>
      </c>
      <c r="C3031" s="2">
        <v>134057.0</v>
      </c>
      <c r="D3031" s="2">
        <v>136449.0</v>
      </c>
      <c r="E3031" s="2">
        <v>21400.0</v>
      </c>
      <c r="F3031" s="2">
        <v>29.3</v>
      </c>
    </row>
    <row r="3032" ht="15.75" customHeight="1">
      <c r="A3032" s="4" t="s">
        <v>6743</v>
      </c>
      <c r="B3032" s="2" t="s">
        <v>6744</v>
      </c>
      <c r="C3032" s="2">
        <v>254.0</v>
      </c>
      <c r="D3032" s="2">
        <v>233.0</v>
      </c>
      <c r="E3032" s="2">
        <v>24960.0</v>
      </c>
      <c r="F3032" s="2" t="s">
        <v>150</v>
      </c>
    </row>
    <row r="3033" ht="15.75" customHeight="1">
      <c r="A3033" s="4" t="s">
        <v>6745</v>
      </c>
      <c r="B3033" s="2" t="s">
        <v>6746</v>
      </c>
      <c r="C3033" s="2">
        <v>269.0</v>
      </c>
      <c r="D3033" s="2">
        <v>282.0</v>
      </c>
      <c r="E3033" s="2">
        <v>25870.0</v>
      </c>
      <c r="F3033" s="2" t="s">
        <v>150</v>
      </c>
    </row>
    <row r="3034" ht="15.75" customHeight="1">
      <c r="A3034" s="4" t="s">
        <v>6747</v>
      </c>
      <c r="B3034" s="2" t="s">
        <v>6748</v>
      </c>
      <c r="C3034" s="2">
        <v>542.0</v>
      </c>
      <c r="D3034" s="2">
        <v>543.0</v>
      </c>
      <c r="E3034" s="2">
        <v>29990.0</v>
      </c>
      <c r="F3034" s="2" t="s">
        <v>150</v>
      </c>
    </row>
    <row r="3035" ht="15.75" customHeight="1">
      <c r="A3035" s="4" t="s">
        <v>4682</v>
      </c>
      <c r="B3035" s="2" t="s">
        <v>4683</v>
      </c>
      <c r="C3035" s="2">
        <v>326.0</v>
      </c>
      <c r="D3035" s="2">
        <v>322.0</v>
      </c>
      <c r="E3035" s="2">
        <v>25240.0</v>
      </c>
      <c r="F3035" s="2" t="s">
        <v>150</v>
      </c>
    </row>
    <row r="3036" ht="15.75" customHeight="1">
      <c r="A3036" s="4" t="s">
        <v>6749</v>
      </c>
      <c r="B3036" s="2" t="s">
        <v>6750</v>
      </c>
      <c r="C3036" s="2">
        <v>29.0</v>
      </c>
      <c r="D3036" s="2">
        <v>31.0</v>
      </c>
      <c r="E3036" s="2" t="s">
        <v>150</v>
      </c>
      <c r="F3036" s="2" t="s">
        <v>150</v>
      </c>
    </row>
    <row r="3037" ht="15.75" customHeight="1">
      <c r="A3037" s="4" t="s">
        <v>6751</v>
      </c>
      <c r="B3037" s="2" t="s">
        <v>4774</v>
      </c>
      <c r="C3037" s="2">
        <v>33.0</v>
      </c>
      <c r="D3037" s="2">
        <v>33.0</v>
      </c>
      <c r="E3037" s="2" t="s">
        <v>150</v>
      </c>
      <c r="F3037" s="2" t="s">
        <v>150</v>
      </c>
    </row>
    <row r="3038" ht="15.75" customHeight="1">
      <c r="A3038" s="4" t="s">
        <v>6752</v>
      </c>
      <c r="B3038" s="2" t="s">
        <v>6753</v>
      </c>
      <c r="C3038" s="2">
        <v>165.0</v>
      </c>
      <c r="D3038" s="2">
        <v>152.0</v>
      </c>
      <c r="E3038" s="2">
        <v>25940.0</v>
      </c>
      <c r="F3038" s="2" t="s">
        <v>150</v>
      </c>
    </row>
    <row r="3039" ht="15.75" customHeight="1">
      <c r="A3039" s="4" t="s">
        <v>4684</v>
      </c>
      <c r="B3039" s="2" t="s">
        <v>4685</v>
      </c>
      <c r="C3039" s="2">
        <v>869.0</v>
      </c>
      <c r="D3039" s="2">
        <v>820.0</v>
      </c>
      <c r="E3039" s="2">
        <v>23410.0</v>
      </c>
      <c r="F3039" s="2" t="s">
        <v>150</v>
      </c>
    </row>
    <row r="3040" ht="15.75" customHeight="1">
      <c r="A3040" s="4" t="s">
        <v>6754</v>
      </c>
      <c r="B3040" s="2" t="s">
        <v>6755</v>
      </c>
      <c r="C3040" s="2">
        <v>212.0</v>
      </c>
      <c r="D3040" s="2">
        <v>212.0</v>
      </c>
      <c r="E3040" s="2">
        <v>23180.0</v>
      </c>
      <c r="F3040" s="2" t="s">
        <v>150</v>
      </c>
    </row>
    <row r="3041" ht="15.75" customHeight="1">
      <c r="A3041" s="4" t="s">
        <v>4686</v>
      </c>
      <c r="B3041" s="2" t="s">
        <v>4687</v>
      </c>
      <c r="C3041" s="2">
        <v>778.0</v>
      </c>
      <c r="D3041" s="2">
        <v>759.0</v>
      </c>
      <c r="E3041" s="2">
        <v>24480.0</v>
      </c>
      <c r="F3041" s="2" t="s">
        <v>150</v>
      </c>
    </row>
    <row r="3042" ht="15.75" customHeight="1">
      <c r="A3042" s="4" t="s">
        <v>6756</v>
      </c>
      <c r="B3042" s="2" t="s">
        <v>6757</v>
      </c>
      <c r="C3042" s="2">
        <v>108.0</v>
      </c>
      <c r="D3042" s="2">
        <v>136.0</v>
      </c>
      <c r="E3042" s="2">
        <v>25560.0</v>
      </c>
      <c r="F3042" s="2" t="s">
        <v>150</v>
      </c>
    </row>
    <row r="3043" ht="15.75" customHeight="1">
      <c r="A3043" s="4" t="s">
        <v>6758</v>
      </c>
      <c r="B3043" s="2" t="s">
        <v>6759</v>
      </c>
      <c r="C3043" s="2">
        <v>296.0</v>
      </c>
      <c r="D3043" s="2">
        <v>311.0</v>
      </c>
      <c r="E3043" s="2">
        <v>22420.0</v>
      </c>
      <c r="F3043" s="2" t="s">
        <v>150</v>
      </c>
    </row>
    <row r="3044" ht="15.75" customHeight="1">
      <c r="A3044" s="4" t="s">
        <v>4690</v>
      </c>
      <c r="B3044" s="2" t="s">
        <v>3723</v>
      </c>
      <c r="C3044" s="2">
        <v>594.0</v>
      </c>
      <c r="D3044" s="2">
        <v>614.0</v>
      </c>
      <c r="E3044" s="2">
        <v>24690.0</v>
      </c>
      <c r="F3044" s="2" t="s">
        <v>150</v>
      </c>
    </row>
    <row r="3045" ht="15.75" customHeight="1">
      <c r="A3045" s="4" t="s">
        <v>6760</v>
      </c>
      <c r="B3045" s="2" t="s">
        <v>6761</v>
      </c>
      <c r="C3045" s="2">
        <v>81.0</v>
      </c>
      <c r="D3045" s="2">
        <v>69.0</v>
      </c>
      <c r="E3045" s="2" t="s">
        <v>150</v>
      </c>
      <c r="F3045" s="2" t="s">
        <v>150</v>
      </c>
    </row>
    <row r="3046" ht="15.75" customHeight="1">
      <c r="A3046" s="4" t="s">
        <v>4691</v>
      </c>
      <c r="B3046" s="2" t="s">
        <v>4692</v>
      </c>
      <c r="C3046" s="2">
        <v>505.0</v>
      </c>
      <c r="D3046" s="2">
        <v>502.0</v>
      </c>
      <c r="E3046" s="2">
        <v>27940.0</v>
      </c>
      <c r="F3046" s="2" t="s">
        <v>150</v>
      </c>
    </row>
    <row r="3047" ht="15.75" customHeight="1">
      <c r="A3047" s="4" t="s">
        <v>6762</v>
      </c>
      <c r="B3047" s="2" t="s">
        <v>6763</v>
      </c>
      <c r="C3047" s="2">
        <v>142.0</v>
      </c>
      <c r="D3047" s="2">
        <v>170.0</v>
      </c>
      <c r="E3047" s="2">
        <v>22430.0</v>
      </c>
      <c r="F3047" s="2" t="s">
        <v>150</v>
      </c>
    </row>
    <row r="3048" ht="15.75" customHeight="1">
      <c r="A3048" s="4" t="s">
        <v>6764</v>
      </c>
      <c r="B3048" s="2" t="s">
        <v>6765</v>
      </c>
      <c r="C3048" s="2">
        <v>143.0</v>
      </c>
      <c r="D3048" s="2">
        <v>125.0</v>
      </c>
      <c r="E3048" s="2">
        <v>26280.0</v>
      </c>
      <c r="F3048" s="2" t="s">
        <v>150</v>
      </c>
    </row>
    <row r="3049" ht="15.75" customHeight="1">
      <c r="A3049" s="4" t="s">
        <v>4693</v>
      </c>
      <c r="B3049" s="2" t="s">
        <v>4694</v>
      </c>
      <c r="C3049" s="2">
        <v>1464.0</v>
      </c>
      <c r="D3049" s="2">
        <v>1346.0</v>
      </c>
      <c r="E3049" s="2">
        <v>22720.0</v>
      </c>
      <c r="F3049" s="2" t="s">
        <v>150</v>
      </c>
    </row>
    <row r="3050" ht="15.75" customHeight="1">
      <c r="A3050" s="4" t="s">
        <v>6766</v>
      </c>
      <c r="B3050" s="2" t="s">
        <v>6767</v>
      </c>
      <c r="C3050" s="2">
        <v>180.0</v>
      </c>
      <c r="D3050" s="2">
        <v>170.0</v>
      </c>
      <c r="E3050" s="2">
        <v>26270.0</v>
      </c>
      <c r="F3050" s="2" t="s">
        <v>150</v>
      </c>
    </row>
    <row r="3051" ht="15.75" customHeight="1">
      <c r="A3051" s="4" t="s">
        <v>6768</v>
      </c>
      <c r="B3051" s="2" t="s">
        <v>6769</v>
      </c>
      <c r="C3051" s="2">
        <v>145.0</v>
      </c>
      <c r="D3051" s="2">
        <v>119.0</v>
      </c>
      <c r="E3051" s="2">
        <v>25080.0</v>
      </c>
      <c r="F3051" s="2" t="s">
        <v>150</v>
      </c>
    </row>
    <row r="3052" ht="15.75" customHeight="1">
      <c r="A3052" s="4" t="s">
        <v>6770</v>
      </c>
      <c r="B3052" s="2" t="s">
        <v>6771</v>
      </c>
      <c r="C3052" s="2">
        <v>120.0</v>
      </c>
      <c r="D3052" s="2">
        <v>120.0</v>
      </c>
      <c r="E3052" s="2">
        <v>22150.0</v>
      </c>
      <c r="F3052" s="2" t="s">
        <v>150</v>
      </c>
    </row>
    <row r="3053" ht="15.75" customHeight="1">
      <c r="A3053" s="4" t="s">
        <v>6772</v>
      </c>
      <c r="B3053" s="2" t="s">
        <v>6773</v>
      </c>
      <c r="C3053" s="2">
        <v>286.0</v>
      </c>
      <c r="D3053" s="2">
        <v>246.0</v>
      </c>
      <c r="E3053" s="2">
        <v>25590.0</v>
      </c>
      <c r="F3053" s="2" t="s">
        <v>150</v>
      </c>
    </row>
    <row r="3054" ht="15.75" customHeight="1">
      <c r="A3054" s="4" t="s">
        <v>6774</v>
      </c>
      <c r="B3054" s="2" t="s">
        <v>6775</v>
      </c>
      <c r="C3054" s="2">
        <v>409.0</v>
      </c>
      <c r="D3054" s="2">
        <v>393.0</v>
      </c>
      <c r="E3054" s="2">
        <v>24920.0</v>
      </c>
      <c r="F3054" s="2" t="s">
        <v>150</v>
      </c>
    </row>
    <row r="3055" ht="15.75" customHeight="1">
      <c r="A3055" s="4" t="s">
        <v>6776</v>
      </c>
      <c r="B3055" s="2" t="s">
        <v>6777</v>
      </c>
      <c r="C3055" s="2">
        <v>165.0</v>
      </c>
      <c r="D3055" s="2">
        <v>154.0</v>
      </c>
      <c r="E3055" s="2">
        <v>24230.0</v>
      </c>
      <c r="F3055" s="2" t="s">
        <v>150</v>
      </c>
    </row>
    <row r="3056" ht="15.75" customHeight="1">
      <c r="A3056" s="4" t="s">
        <v>6778</v>
      </c>
      <c r="B3056" s="2" t="s">
        <v>6779</v>
      </c>
      <c r="C3056" s="2">
        <v>57.0</v>
      </c>
      <c r="D3056" s="2">
        <v>48.0</v>
      </c>
      <c r="E3056" s="2" t="s">
        <v>150</v>
      </c>
      <c r="F3056" s="2" t="s">
        <v>150</v>
      </c>
    </row>
    <row r="3057" ht="15.75" customHeight="1">
      <c r="A3057" s="4" t="s">
        <v>6780</v>
      </c>
      <c r="B3057" s="2" t="s">
        <v>6781</v>
      </c>
      <c r="C3057" s="2">
        <v>522.0</v>
      </c>
      <c r="D3057" s="2">
        <v>540.0</v>
      </c>
      <c r="E3057" s="2">
        <v>26220.0</v>
      </c>
      <c r="F3057" s="2" t="s">
        <v>150</v>
      </c>
    </row>
    <row r="3058" ht="15.75" customHeight="1">
      <c r="A3058" s="4" t="s">
        <v>6782</v>
      </c>
      <c r="B3058" s="2" t="s">
        <v>6783</v>
      </c>
      <c r="C3058" s="2">
        <v>64.0</v>
      </c>
      <c r="D3058" s="2">
        <v>63.0</v>
      </c>
      <c r="E3058" s="2" t="s">
        <v>150</v>
      </c>
      <c r="F3058" s="2" t="s">
        <v>150</v>
      </c>
    </row>
    <row r="3059" ht="15.75" customHeight="1">
      <c r="A3059" s="4" t="s">
        <v>6784</v>
      </c>
      <c r="B3059" s="2" t="s">
        <v>6785</v>
      </c>
      <c r="C3059" s="2">
        <v>192.0</v>
      </c>
      <c r="D3059" s="2">
        <v>152.0</v>
      </c>
      <c r="E3059" s="2">
        <v>25820.0</v>
      </c>
      <c r="F3059" s="2" t="s">
        <v>150</v>
      </c>
    </row>
    <row r="3060" ht="15.75" customHeight="1">
      <c r="A3060" s="4" t="s">
        <v>6786</v>
      </c>
      <c r="B3060" s="2" t="s">
        <v>6787</v>
      </c>
      <c r="C3060" s="2">
        <v>501.0</v>
      </c>
      <c r="D3060" s="2">
        <v>461.0</v>
      </c>
      <c r="E3060" s="2">
        <v>30470.0</v>
      </c>
      <c r="F3060" s="2" t="s">
        <v>150</v>
      </c>
    </row>
    <row r="3061" ht="15.75" customHeight="1">
      <c r="A3061" s="4" t="s">
        <v>6788</v>
      </c>
      <c r="B3061" s="2" t="s">
        <v>1137</v>
      </c>
      <c r="C3061" s="2">
        <v>266.0</v>
      </c>
      <c r="D3061" s="2">
        <v>253.0</v>
      </c>
      <c r="E3061" s="2">
        <v>25550.0</v>
      </c>
      <c r="F3061" s="2" t="s">
        <v>150</v>
      </c>
    </row>
    <row r="3062" ht="15.75" customHeight="1">
      <c r="A3062" s="4" t="s">
        <v>6789</v>
      </c>
      <c r="B3062" s="2" t="s">
        <v>6790</v>
      </c>
      <c r="C3062" s="2">
        <v>207.0</v>
      </c>
      <c r="D3062" s="2">
        <v>243.0</v>
      </c>
      <c r="E3062" s="2">
        <v>26450.0</v>
      </c>
      <c r="F3062" s="2" t="s">
        <v>150</v>
      </c>
    </row>
    <row r="3063" ht="15.75" customHeight="1">
      <c r="A3063" s="4" t="s">
        <v>6791</v>
      </c>
      <c r="B3063" s="2" t="s">
        <v>6792</v>
      </c>
      <c r="C3063" s="2">
        <v>72.0</v>
      </c>
      <c r="D3063" s="2">
        <v>78.0</v>
      </c>
      <c r="E3063" s="2" t="s">
        <v>150</v>
      </c>
      <c r="F3063" s="2" t="s">
        <v>150</v>
      </c>
    </row>
    <row r="3064" ht="15.75" customHeight="1">
      <c r="A3064" s="4" t="s">
        <v>6793</v>
      </c>
      <c r="B3064" s="2" t="s">
        <v>6794</v>
      </c>
      <c r="C3064" s="2">
        <v>230.0</v>
      </c>
      <c r="D3064" s="2">
        <v>233.0</v>
      </c>
      <c r="E3064" s="2">
        <v>23550.0</v>
      </c>
      <c r="F3064" s="2" t="s">
        <v>150</v>
      </c>
    </row>
    <row r="3065" ht="15.75" customHeight="1">
      <c r="A3065" s="4" t="s">
        <v>6795</v>
      </c>
      <c r="B3065" s="2" t="s">
        <v>5904</v>
      </c>
      <c r="C3065" s="2">
        <v>177.0</v>
      </c>
      <c r="D3065" s="2">
        <v>161.0</v>
      </c>
      <c r="E3065" s="2">
        <v>20940.0</v>
      </c>
      <c r="F3065" s="2" t="s">
        <v>150</v>
      </c>
    </row>
    <row r="3066" ht="15.75" customHeight="1">
      <c r="A3066" s="4" t="s">
        <v>6796</v>
      </c>
      <c r="B3066" s="2" t="s">
        <v>6797</v>
      </c>
      <c r="C3066" s="2">
        <v>106.0</v>
      </c>
      <c r="D3066" s="2">
        <v>104.0</v>
      </c>
      <c r="E3066" s="2">
        <v>24690.0</v>
      </c>
      <c r="F3066" s="2" t="s">
        <v>150</v>
      </c>
    </row>
    <row r="3067" ht="15.75" customHeight="1">
      <c r="A3067" s="4" t="s">
        <v>6798</v>
      </c>
      <c r="B3067" s="2" t="s">
        <v>6799</v>
      </c>
      <c r="C3067" s="2">
        <v>79.0</v>
      </c>
      <c r="D3067" s="2">
        <v>70.0</v>
      </c>
      <c r="E3067" s="2" t="s">
        <v>150</v>
      </c>
      <c r="F3067" s="2" t="s">
        <v>150</v>
      </c>
    </row>
    <row r="3068" ht="15.75" customHeight="1">
      <c r="A3068" s="4" t="s">
        <v>6800</v>
      </c>
      <c r="B3068" s="2" t="s">
        <v>6801</v>
      </c>
      <c r="C3068" s="2">
        <v>340.0</v>
      </c>
      <c r="D3068" s="2">
        <v>340.0</v>
      </c>
      <c r="E3068" s="2">
        <v>25770.0</v>
      </c>
      <c r="F3068" s="2" t="s">
        <v>150</v>
      </c>
    </row>
    <row r="3069" ht="15.75" customHeight="1">
      <c r="A3069" s="4" t="s">
        <v>6802</v>
      </c>
      <c r="B3069" s="2" t="s">
        <v>6803</v>
      </c>
      <c r="C3069" s="2">
        <v>79.0</v>
      </c>
      <c r="D3069" s="2">
        <v>79.0</v>
      </c>
      <c r="E3069" s="2" t="s">
        <v>150</v>
      </c>
      <c r="F3069" s="2" t="s">
        <v>150</v>
      </c>
    </row>
    <row r="3070" ht="15.75" customHeight="1">
      <c r="A3070" s="4" t="s">
        <v>6804</v>
      </c>
      <c r="B3070" s="2" t="s">
        <v>6805</v>
      </c>
      <c r="C3070" s="2">
        <v>104.0</v>
      </c>
      <c r="D3070" s="2">
        <v>126.0</v>
      </c>
      <c r="E3070" s="2">
        <v>23300.0</v>
      </c>
      <c r="F3070" s="2" t="s">
        <v>150</v>
      </c>
    </row>
    <row r="3071" ht="15.75" customHeight="1">
      <c r="A3071" s="4" t="s">
        <v>6806</v>
      </c>
      <c r="B3071" s="2" t="s">
        <v>6807</v>
      </c>
      <c r="C3071" s="2">
        <v>202.0</v>
      </c>
      <c r="D3071" s="2">
        <v>207.0</v>
      </c>
      <c r="E3071" s="2">
        <v>21870.0</v>
      </c>
      <c r="F3071" s="2" t="s">
        <v>150</v>
      </c>
    </row>
    <row r="3072" ht="15.75" customHeight="1">
      <c r="A3072" s="4" t="s">
        <v>4696</v>
      </c>
      <c r="B3072" s="2" t="s">
        <v>4698</v>
      </c>
      <c r="C3072" s="2">
        <v>1421.0</v>
      </c>
      <c r="D3072" s="2">
        <v>1396.0</v>
      </c>
      <c r="E3072" s="2">
        <v>21750.0</v>
      </c>
      <c r="F3072" s="2" t="s">
        <v>150</v>
      </c>
    </row>
    <row r="3073" ht="15.75" customHeight="1">
      <c r="A3073" s="4" t="s">
        <v>4701</v>
      </c>
      <c r="B3073" s="2" t="s">
        <v>4702</v>
      </c>
      <c r="C3073" s="2">
        <v>996.0</v>
      </c>
      <c r="D3073" s="2">
        <v>937.0</v>
      </c>
      <c r="E3073" s="2">
        <v>23770.0</v>
      </c>
      <c r="F3073" s="2" t="s">
        <v>150</v>
      </c>
    </row>
    <row r="3074" ht="15.75" customHeight="1">
      <c r="A3074" s="4" t="s">
        <v>6808</v>
      </c>
      <c r="B3074" s="2" t="s">
        <v>6809</v>
      </c>
      <c r="C3074" s="2">
        <v>176.0</v>
      </c>
      <c r="D3074" s="2">
        <v>161.0</v>
      </c>
      <c r="E3074" s="2">
        <v>30070.0</v>
      </c>
      <c r="F3074" s="2" t="s">
        <v>150</v>
      </c>
    </row>
    <row r="3075" ht="15.75" customHeight="1">
      <c r="A3075" s="4" t="s">
        <v>6810</v>
      </c>
      <c r="B3075" s="2" t="s">
        <v>6811</v>
      </c>
      <c r="C3075" s="2">
        <v>95.0</v>
      </c>
      <c r="D3075" s="2">
        <v>89.0</v>
      </c>
      <c r="E3075" s="2">
        <v>26520.0</v>
      </c>
      <c r="F3075" s="2" t="s">
        <v>150</v>
      </c>
    </row>
    <row r="3076" ht="15.75" customHeight="1">
      <c r="A3076" s="4" t="s">
        <v>4706</v>
      </c>
      <c r="B3076" s="2" t="s">
        <v>4707</v>
      </c>
      <c r="C3076" s="2">
        <v>298.0</v>
      </c>
      <c r="D3076" s="2">
        <v>278.0</v>
      </c>
      <c r="E3076" s="2">
        <v>27480.0</v>
      </c>
      <c r="F3076" s="2" t="s">
        <v>150</v>
      </c>
    </row>
    <row r="3077" ht="15.75" customHeight="1">
      <c r="A3077" s="4" t="s">
        <v>6812</v>
      </c>
      <c r="B3077" s="2" t="s">
        <v>6813</v>
      </c>
      <c r="C3077" s="2">
        <v>204.0</v>
      </c>
      <c r="D3077" s="2">
        <v>193.0</v>
      </c>
      <c r="E3077" s="2">
        <v>24620.0</v>
      </c>
      <c r="F3077" s="2" t="s">
        <v>150</v>
      </c>
    </row>
    <row r="3078" ht="15.75" customHeight="1">
      <c r="A3078" s="4" t="s">
        <v>6814</v>
      </c>
      <c r="B3078" s="2" t="s">
        <v>6815</v>
      </c>
      <c r="C3078" s="2">
        <v>226.0</v>
      </c>
      <c r="D3078" s="2">
        <v>215.0</v>
      </c>
      <c r="E3078" s="2">
        <v>24110.0</v>
      </c>
      <c r="F3078" s="2" t="s">
        <v>150</v>
      </c>
    </row>
    <row r="3079" ht="15.75" customHeight="1">
      <c r="A3079" s="4" t="s">
        <v>6816</v>
      </c>
      <c r="B3079" s="2" t="s">
        <v>6817</v>
      </c>
      <c r="C3079" s="2">
        <v>215.0</v>
      </c>
      <c r="D3079" s="2">
        <v>200.0</v>
      </c>
      <c r="E3079" s="2">
        <v>26080.0</v>
      </c>
      <c r="F3079" s="2" t="s">
        <v>150</v>
      </c>
    </row>
    <row r="3080" ht="15.75" customHeight="1">
      <c r="A3080" s="4" t="s">
        <v>4708</v>
      </c>
      <c r="B3080" s="2" t="s">
        <v>4709</v>
      </c>
      <c r="C3080" s="2">
        <v>1339.0</v>
      </c>
      <c r="D3080" s="2">
        <v>1352.0</v>
      </c>
      <c r="E3080" s="2">
        <v>24300.0</v>
      </c>
      <c r="F3080" s="2" t="s">
        <v>150</v>
      </c>
    </row>
    <row r="3081" ht="15.75" customHeight="1">
      <c r="A3081" s="4" t="s">
        <v>4712</v>
      </c>
      <c r="B3081" s="2" t="s">
        <v>4713</v>
      </c>
      <c r="C3081" s="2">
        <v>2095.0</v>
      </c>
      <c r="D3081" s="2">
        <v>1929.0</v>
      </c>
      <c r="E3081" s="2">
        <v>22170.0</v>
      </c>
      <c r="F3081" s="2" t="s">
        <v>150</v>
      </c>
    </row>
    <row r="3082" ht="15.75" customHeight="1">
      <c r="A3082" s="4" t="s">
        <v>6818</v>
      </c>
      <c r="B3082" s="2" t="s">
        <v>6819</v>
      </c>
      <c r="C3082" s="2">
        <v>160.0</v>
      </c>
      <c r="D3082" s="2">
        <v>153.0</v>
      </c>
      <c r="E3082" s="2">
        <v>25500.0</v>
      </c>
      <c r="F3082" s="2" t="s">
        <v>150</v>
      </c>
    </row>
    <row r="3083" ht="15.75" customHeight="1">
      <c r="A3083" s="4" t="s">
        <v>6820</v>
      </c>
      <c r="B3083" s="2" t="s">
        <v>351</v>
      </c>
      <c r="C3083" s="2">
        <v>131.0</v>
      </c>
      <c r="D3083" s="2">
        <v>109.0</v>
      </c>
      <c r="E3083" s="2">
        <v>26930.0</v>
      </c>
      <c r="F3083" s="2" t="s">
        <v>150</v>
      </c>
    </row>
    <row r="3084" ht="15.75" customHeight="1">
      <c r="A3084" s="4" t="s">
        <v>4778</v>
      </c>
      <c r="B3084" s="2" t="s">
        <v>4779</v>
      </c>
      <c r="C3084" s="2">
        <v>509.0</v>
      </c>
      <c r="D3084" s="2">
        <v>500.0</v>
      </c>
      <c r="E3084" s="2">
        <v>26030.0</v>
      </c>
      <c r="F3084" s="2" t="s">
        <v>150</v>
      </c>
    </row>
    <row r="3085" ht="15.75" customHeight="1">
      <c r="A3085" s="4" t="s">
        <v>6821</v>
      </c>
      <c r="B3085" s="2" t="s">
        <v>6822</v>
      </c>
      <c r="C3085" s="2">
        <v>333.0</v>
      </c>
      <c r="D3085" s="2">
        <v>301.0</v>
      </c>
      <c r="E3085" s="2">
        <v>26920.0</v>
      </c>
      <c r="F3085" s="2" t="s">
        <v>150</v>
      </c>
    </row>
    <row r="3086" ht="15.75" customHeight="1">
      <c r="A3086" s="4" t="s">
        <v>6823</v>
      </c>
      <c r="B3086" s="2" t="s">
        <v>6824</v>
      </c>
      <c r="C3086" s="2">
        <v>513.0</v>
      </c>
      <c r="D3086" s="2">
        <v>494.0</v>
      </c>
      <c r="E3086" s="2">
        <v>29200.0</v>
      </c>
      <c r="F3086" s="2" t="s">
        <v>150</v>
      </c>
    </row>
    <row r="3087" ht="15.75" customHeight="1">
      <c r="A3087" s="4" t="s">
        <v>4714</v>
      </c>
      <c r="B3087" s="2" t="s">
        <v>4715</v>
      </c>
      <c r="C3087" s="2">
        <v>357.0</v>
      </c>
      <c r="D3087" s="2">
        <v>297.0</v>
      </c>
      <c r="E3087" s="2">
        <v>26170.0</v>
      </c>
      <c r="F3087" s="2" t="s">
        <v>150</v>
      </c>
    </row>
    <row r="3088" ht="15.75" customHeight="1">
      <c r="A3088" s="4" t="s">
        <v>6825</v>
      </c>
      <c r="B3088" s="2" t="s">
        <v>6826</v>
      </c>
      <c r="C3088" s="2">
        <v>149.0</v>
      </c>
      <c r="D3088" s="2">
        <v>149.0</v>
      </c>
      <c r="E3088" s="2">
        <v>24930.0</v>
      </c>
      <c r="F3088" s="2" t="s">
        <v>150</v>
      </c>
    </row>
    <row r="3089" ht="15.75" customHeight="1">
      <c r="A3089" s="4" t="s">
        <v>6827</v>
      </c>
      <c r="B3089" s="2" t="s">
        <v>6828</v>
      </c>
      <c r="C3089" s="2">
        <v>92.0</v>
      </c>
      <c r="D3089" s="2">
        <v>80.0</v>
      </c>
      <c r="E3089" s="2" t="s">
        <v>150</v>
      </c>
      <c r="F3089" s="2" t="s">
        <v>150</v>
      </c>
    </row>
    <row r="3090" ht="15.75" customHeight="1">
      <c r="A3090" s="4" t="s">
        <v>4716</v>
      </c>
      <c r="B3090" s="2" t="s">
        <v>4717</v>
      </c>
      <c r="C3090" s="2">
        <v>752.0</v>
      </c>
      <c r="D3090" s="2">
        <v>717.0</v>
      </c>
      <c r="E3090" s="2">
        <v>28610.0</v>
      </c>
      <c r="F3090" s="2" t="s">
        <v>150</v>
      </c>
    </row>
    <row r="3091" ht="15.75" customHeight="1">
      <c r="A3091" s="4" t="s">
        <v>6829</v>
      </c>
      <c r="B3091" s="2" t="s">
        <v>6830</v>
      </c>
      <c r="C3091" s="2">
        <v>145.0</v>
      </c>
      <c r="D3091" s="2">
        <v>145.0</v>
      </c>
      <c r="E3091" s="2">
        <v>26900.0</v>
      </c>
      <c r="F3091" s="2" t="s">
        <v>150</v>
      </c>
    </row>
    <row r="3092" ht="15.75" customHeight="1">
      <c r="A3092" s="4" t="s">
        <v>6831</v>
      </c>
      <c r="B3092" s="2" t="s">
        <v>6832</v>
      </c>
      <c r="C3092" s="2">
        <v>222.0</v>
      </c>
      <c r="D3092" s="2">
        <v>197.0</v>
      </c>
      <c r="E3092" s="2">
        <v>25610.0</v>
      </c>
      <c r="F3092" s="2" t="s">
        <v>150</v>
      </c>
    </row>
    <row r="3093" ht="15.75" customHeight="1">
      <c r="A3093" s="4" t="s">
        <v>6833</v>
      </c>
      <c r="B3093" s="2" t="s">
        <v>6834</v>
      </c>
      <c r="C3093" s="2">
        <v>32.0</v>
      </c>
      <c r="D3093" s="2">
        <v>40.0</v>
      </c>
      <c r="E3093" s="2" t="s">
        <v>150</v>
      </c>
      <c r="F3093" s="2" t="s">
        <v>150</v>
      </c>
    </row>
    <row r="3094" ht="15.75" customHeight="1">
      <c r="A3094" s="4" t="s">
        <v>4718</v>
      </c>
      <c r="B3094" s="2" t="s">
        <v>4719</v>
      </c>
      <c r="C3094" s="2">
        <v>1070.0</v>
      </c>
      <c r="D3094" s="2">
        <v>1042.0</v>
      </c>
      <c r="E3094" s="2">
        <v>23520.0</v>
      </c>
      <c r="F3094" s="2" t="s">
        <v>150</v>
      </c>
    </row>
    <row r="3095" ht="15.75" customHeight="1">
      <c r="A3095" s="4" t="s">
        <v>6835</v>
      </c>
      <c r="B3095" s="2" t="s">
        <v>6836</v>
      </c>
      <c r="C3095" s="2">
        <v>231.0</v>
      </c>
      <c r="D3095" s="2">
        <v>240.0</v>
      </c>
      <c r="E3095" s="2">
        <v>24930.0</v>
      </c>
      <c r="F3095" s="2" t="s">
        <v>150</v>
      </c>
    </row>
    <row r="3096" ht="15.75" customHeight="1">
      <c r="A3096" s="4" t="s">
        <v>4721</v>
      </c>
      <c r="B3096" s="2" t="s">
        <v>4723</v>
      </c>
      <c r="C3096" s="2">
        <v>352.0</v>
      </c>
      <c r="D3096" s="2">
        <v>353.0</v>
      </c>
      <c r="E3096" s="2">
        <v>25160.0</v>
      </c>
      <c r="F3096" s="2" t="s">
        <v>150</v>
      </c>
    </row>
    <row r="3097" ht="15.75" customHeight="1">
      <c r="A3097" s="4" t="s">
        <v>6837</v>
      </c>
      <c r="B3097" s="2" t="s">
        <v>6838</v>
      </c>
      <c r="C3097" s="2">
        <v>257.0</v>
      </c>
      <c r="D3097" s="2">
        <v>279.0</v>
      </c>
      <c r="E3097" s="2">
        <v>25250.0</v>
      </c>
      <c r="F3097" s="2" t="s">
        <v>150</v>
      </c>
    </row>
    <row r="3098" ht="15.75" customHeight="1">
      <c r="A3098" s="4" t="s">
        <v>6839</v>
      </c>
      <c r="B3098" s="2" t="s">
        <v>6840</v>
      </c>
      <c r="C3098" s="2">
        <v>154.0</v>
      </c>
      <c r="D3098" s="2">
        <v>155.0</v>
      </c>
      <c r="E3098" s="2">
        <v>25490.0</v>
      </c>
      <c r="F3098" s="2" t="s">
        <v>150</v>
      </c>
    </row>
    <row r="3099" ht="15.75" customHeight="1">
      <c r="A3099" s="4" t="s">
        <v>6841</v>
      </c>
      <c r="B3099" s="2" t="s">
        <v>6842</v>
      </c>
      <c r="C3099" s="2">
        <v>627.0</v>
      </c>
      <c r="D3099" s="2">
        <v>815.0</v>
      </c>
      <c r="E3099" s="2">
        <v>28360.0</v>
      </c>
      <c r="F3099" s="2" t="s">
        <v>150</v>
      </c>
    </row>
    <row r="3100" ht="15.75" customHeight="1">
      <c r="A3100" s="4" t="s">
        <v>4724</v>
      </c>
      <c r="B3100" s="2" t="s">
        <v>4725</v>
      </c>
      <c r="C3100" s="2">
        <v>1162.0</v>
      </c>
      <c r="D3100" s="2">
        <v>1092.0</v>
      </c>
      <c r="E3100" s="2">
        <v>23790.0</v>
      </c>
      <c r="F3100" s="2" t="s">
        <v>150</v>
      </c>
    </row>
    <row r="3101" ht="15.75" customHeight="1">
      <c r="A3101" s="4" t="s">
        <v>6843</v>
      </c>
      <c r="B3101" s="2" t="s">
        <v>6844</v>
      </c>
      <c r="C3101" s="2">
        <v>437.0</v>
      </c>
      <c r="D3101" s="2">
        <v>517.0</v>
      </c>
      <c r="E3101" s="2">
        <v>30150.0</v>
      </c>
      <c r="F3101" s="2" t="s">
        <v>150</v>
      </c>
    </row>
    <row r="3102" ht="15.75" customHeight="1">
      <c r="A3102" s="4" t="s">
        <v>6845</v>
      </c>
      <c r="B3102" s="2" t="s">
        <v>6846</v>
      </c>
      <c r="C3102" s="2">
        <v>223.0</v>
      </c>
      <c r="D3102" s="2">
        <v>220.0</v>
      </c>
      <c r="E3102" s="2">
        <v>24230.0</v>
      </c>
      <c r="F3102" s="2" t="s">
        <v>150</v>
      </c>
    </row>
    <row r="3103" ht="15.75" customHeight="1">
      <c r="A3103" s="4" t="s">
        <v>4782</v>
      </c>
      <c r="B3103" s="2" t="s">
        <v>4783</v>
      </c>
      <c r="C3103" s="2">
        <v>968.0</v>
      </c>
      <c r="D3103" s="2">
        <v>882.0</v>
      </c>
      <c r="E3103" s="2">
        <v>24000.0</v>
      </c>
      <c r="F3103" s="2" t="s">
        <v>150</v>
      </c>
    </row>
    <row r="3104" ht="15.75" customHeight="1">
      <c r="A3104" s="4" t="s">
        <v>6847</v>
      </c>
      <c r="B3104" s="2" t="s">
        <v>6848</v>
      </c>
      <c r="C3104" s="2">
        <v>129.0</v>
      </c>
      <c r="D3104" s="2">
        <v>124.0</v>
      </c>
      <c r="E3104" s="2">
        <v>22880.0</v>
      </c>
      <c r="F3104" s="2" t="s">
        <v>150</v>
      </c>
    </row>
    <row r="3105" ht="15.75" customHeight="1">
      <c r="A3105" s="4" t="s">
        <v>6849</v>
      </c>
      <c r="B3105" s="2" t="s">
        <v>6850</v>
      </c>
      <c r="C3105" s="2">
        <v>102.0</v>
      </c>
      <c r="D3105" s="2">
        <v>91.0</v>
      </c>
      <c r="E3105" s="2" t="s">
        <v>150</v>
      </c>
      <c r="F3105" s="2" t="s">
        <v>150</v>
      </c>
    </row>
    <row r="3106" ht="15.75" customHeight="1">
      <c r="A3106" s="4" t="s">
        <v>6851</v>
      </c>
      <c r="B3106" s="2" t="s">
        <v>6852</v>
      </c>
      <c r="C3106" s="2">
        <v>230.0</v>
      </c>
      <c r="D3106" s="2">
        <v>209.0</v>
      </c>
      <c r="E3106" s="2">
        <v>27280.0</v>
      </c>
      <c r="F3106" s="2" t="s">
        <v>150</v>
      </c>
    </row>
    <row r="3107" ht="15.75" customHeight="1">
      <c r="A3107" s="4" t="s">
        <v>6853</v>
      </c>
      <c r="B3107" s="2" t="s">
        <v>6854</v>
      </c>
      <c r="C3107" s="2">
        <v>619.0</v>
      </c>
      <c r="D3107" s="2">
        <v>605.0</v>
      </c>
      <c r="E3107" s="2">
        <v>24860.0</v>
      </c>
      <c r="F3107" s="2" t="s">
        <v>150</v>
      </c>
    </row>
    <row r="3108" ht="15.75" customHeight="1">
      <c r="A3108" s="4" t="s">
        <v>4728</v>
      </c>
      <c r="B3108" s="2" t="s">
        <v>4729</v>
      </c>
      <c r="C3108" s="2">
        <v>860.0</v>
      </c>
      <c r="D3108" s="2">
        <v>900.0</v>
      </c>
      <c r="E3108" s="2">
        <v>24610.0</v>
      </c>
      <c r="F3108" s="2" t="s">
        <v>150</v>
      </c>
    </row>
    <row r="3109" ht="15.75" customHeight="1">
      <c r="A3109" s="4" t="s">
        <v>4730</v>
      </c>
      <c r="B3109" s="2" t="s">
        <v>4731</v>
      </c>
      <c r="C3109" s="2">
        <v>384.0</v>
      </c>
      <c r="D3109" s="2">
        <v>386.0</v>
      </c>
      <c r="E3109" s="2">
        <v>25270.0</v>
      </c>
      <c r="F3109" s="2" t="s">
        <v>150</v>
      </c>
    </row>
    <row r="3110" ht="15.75" customHeight="1">
      <c r="A3110" s="4" t="s">
        <v>6855</v>
      </c>
      <c r="B3110" s="2" t="s">
        <v>6856</v>
      </c>
      <c r="C3110" s="2">
        <v>67.0</v>
      </c>
      <c r="D3110" s="2">
        <v>57.0</v>
      </c>
      <c r="E3110" s="2" t="s">
        <v>150</v>
      </c>
      <c r="F3110" s="2" t="s">
        <v>150</v>
      </c>
    </row>
    <row r="3111" ht="15.75" customHeight="1">
      <c r="A3111" s="4" t="s">
        <v>6857</v>
      </c>
      <c r="B3111" s="2" t="s">
        <v>6858</v>
      </c>
      <c r="C3111" s="2">
        <v>133.0</v>
      </c>
      <c r="D3111" s="2">
        <v>137.0</v>
      </c>
      <c r="E3111" s="2">
        <v>25230.0</v>
      </c>
      <c r="F3111" s="2" t="s">
        <v>150</v>
      </c>
    </row>
    <row r="3112" ht="15.75" customHeight="1">
      <c r="A3112" s="4" t="s">
        <v>4732</v>
      </c>
      <c r="B3112" s="2" t="s">
        <v>4733</v>
      </c>
      <c r="C3112" s="2">
        <v>173.0</v>
      </c>
      <c r="D3112" s="2">
        <v>178.0</v>
      </c>
      <c r="E3112" s="2">
        <v>27000.0</v>
      </c>
      <c r="F3112" s="2" t="s">
        <v>150</v>
      </c>
    </row>
    <row r="3113" ht="15.75" customHeight="1">
      <c r="A3113" s="4" t="s">
        <v>6859</v>
      </c>
      <c r="B3113" s="2" t="s">
        <v>6860</v>
      </c>
      <c r="C3113" s="2">
        <v>181.0</v>
      </c>
      <c r="D3113" s="2">
        <v>161.0</v>
      </c>
      <c r="E3113" s="2">
        <v>25760.0</v>
      </c>
      <c r="F3113" s="2" t="s">
        <v>150</v>
      </c>
    </row>
    <row r="3114" ht="15.75" customHeight="1">
      <c r="A3114" s="4" t="s">
        <v>4734</v>
      </c>
      <c r="B3114" s="2" t="s">
        <v>4735</v>
      </c>
      <c r="C3114" s="2">
        <v>563.0</v>
      </c>
      <c r="D3114" s="2">
        <v>613.0</v>
      </c>
      <c r="E3114" s="2">
        <v>31260.0</v>
      </c>
      <c r="F3114" s="2" t="s">
        <v>150</v>
      </c>
    </row>
    <row r="3115" ht="15.75" customHeight="1">
      <c r="A3115" s="4" t="s">
        <v>6861</v>
      </c>
      <c r="B3115" s="2" t="s">
        <v>6862</v>
      </c>
      <c r="C3115" s="2">
        <v>78.0</v>
      </c>
      <c r="D3115" s="2">
        <v>64.0</v>
      </c>
      <c r="E3115" s="2" t="s">
        <v>150</v>
      </c>
      <c r="F3115" s="2" t="s">
        <v>150</v>
      </c>
    </row>
    <row r="3116" ht="15.75" customHeight="1">
      <c r="A3116" s="4" t="s">
        <v>5054</v>
      </c>
      <c r="B3116" s="2" t="s">
        <v>5055</v>
      </c>
      <c r="C3116" s="2">
        <v>363.0</v>
      </c>
      <c r="D3116" s="2">
        <v>329.0</v>
      </c>
      <c r="E3116" s="2">
        <v>22960.0</v>
      </c>
      <c r="F3116" s="2" t="s">
        <v>150</v>
      </c>
    </row>
    <row r="3117" ht="15.75" customHeight="1">
      <c r="A3117" s="4" t="s">
        <v>6863</v>
      </c>
      <c r="B3117" s="2" t="s">
        <v>6864</v>
      </c>
      <c r="C3117" s="2">
        <v>475.0</v>
      </c>
      <c r="D3117" s="2">
        <v>441.0</v>
      </c>
      <c r="E3117" s="2">
        <v>25900.0</v>
      </c>
      <c r="F3117" s="2" t="s">
        <v>150</v>
      </c>
    </row>
    <row r="3118" ht="15.75" customHeight="1">
      <c r="A3118" s="4" t="s">
        <v>4736</v>
      </c>
      <c r="B3118" s="2" t="s">
        <v>4737</v>
      </c>
      <c r="C3118" s="2">
        <v>237.0</v>
      </c>
      <c r="D3118" s="2">
        <v>247.0</v>
      </c>
      <c r="E3118" s="2">
        <v>25440.0</v>
      </c>
      <c r="F3118" s="2" t="s">
        <v>150</v>
      </c>
    </row>
    <row r="3119" ht="15.75" customHeight="1">
      <c r="A3119" s="4" t="s">
        <v>6865</v>
      </c>
      <c r="B3119" s="2" t="s">
        <v>6866</v>
      </c>
      <c r="C3119" s="2">
        <v>331.0</v>
      </c>
      <c r="D3119" s="2">
        <v>325.0</v>
      </c>
      <c r="E3119" s="2">
        <v>24520.0</v>
      </c>
      <c r="F3119" s="2" t="s">
        <v>150</v>
      </c>
    </row>
    <row r="3120" ht="15.75" customHeight="1">
      <c r="A3120" s="4" t="s">
        <v>6867</v>
      </c>
      <c r="B3120" s="2" t="s">
        <v>6868</v>
      </c>
      <c r="C3120" s="2">
        <v>334.0</v>
      </c>
      <c r="D3120" s="2">
        <v>349.0</v>
      </c>
      <c r="E3120" s="2">
        <v>28080.0</v>
      </c>
      <c r="F3120" s="2" t="s">
        <v>150</v>
      </c>
    </row>
    <row r="3121" ht="15.75" customHeight="1">
      <c r="A3121" s="4" t="s">
        <v>6869</v>
      </c>
      <c r="B3121" s="2" t="s">
        <v>6870</v>
      </c>
      <c r="C3121" s="2">
        <v>291.0</v>
      </c>
      <c r="D3121" s="2">
        <v>283.0</v>
      </c>
      <c r="E3121" s="2">
        <v>23450.0</v>
      </c>
      <c r="F3121" s="2" t="s">
        <v>150</v>
      </c>
    </row>
    <row r="3122" ht="15.75" customHeight="1">
      <c r="A3122" s="4" t="s">
        <v>6871</v>
      </c>
      <c r="B3122" s="2" t="s">
        <v>6872</v>
      </c>
      <c r="C3122" s="2">
        <v>293.0</v>
      </c>
      <c r="D3122" s="2">
        <v>276.0</v>
      </c>
      <c r="E3122" s="2">
        <v>26530.0</v>
      </c>
      <c r="F3122" s="2" t="s">
        <v>150</v>
      </c>
    </row>
    <row r="3123" ht="15.75" customHeight="1">
      <c r="A3123" s="4" t="s">
        <v>6873</v>
      </c>
      <c r="B3123" s="2" t="s">
        <v>6874</v>
      </c>
      <c r="C3123" s="2">
        <v>155.0</v>
      </c>
      <c r="D3123" s="2">
        <v>158.0</v>
      </c>
      <c r="E3123" s="2">
        <v>25690.0</v>
      </c>
      <c r="F3123" s="2" t="s">
        <v>150</v>
      </c>
    </row>
    <row r="3124" ht="15.75" customHeight="1">
      <c r="A3124" s="4" t="s">
        <v>6875</v>
      </c>
      <c r="B3124" s="2" t="s">
        <v>6876</v>
      </c>
      <c r="C3124" s="2">
        <v>122.0</v>
      </c>
      <c r="D3124" s="2">
        <v>113.0</v>
      </c>
      <c r="E3124" s="2">
        <v>22240.0</v>
      </c>
      <c r="F3124" s="2" t="s">
        <v>150</v>
      </c>
    </row>
    <row r="3125" ht="15.75" customHeight="1">
      <c r="A3125" s="4" t="s">
        <v>4738</v>
      </c>
      <c r="B3125" s="2" t="s">
        <v>4739</v>
      </c>
      <c r="C3125" s="2">
        <v>448.0</v>
      </c>
      <c r="D3125" s="2">
        <v>389.0</v>
      </c>
      <c r="E3125" s="2">
        <v>26690.0</v>
      </c>
      <c r="F3125" s="2" t="s">
        <v>150</v>
      </c>
    </row>
    <row r="3126" ht="15.75" customHeight="1">
      <c r="A3126" s="4" t="s">
        <v>4740</v>
      </c>
      <c r="B3126" s="2" t="s">
        <v>4741</v>
      </c>
      <c r="C3126" s="2">
        <v>550.0</v>
      </c>
      <c r="D3126" s="2">
        <v>540.0</v>
      </c>
      <c r="E3126" s="2">
        <v>26360.0</v>
      </c>
      <c r="F3126" s="2" t="s">
        <v>150</v>
      </c>
    </row>
    <row r="3127" ht="15.75" customHeight="1">
      <c r="A3127" s="4" t="s">
        <v>6877</v>
      </c>
      <c r="B3127" s="2" t="s">
        <v>6878</v>
      </c>
      <c r="C3127" s="2">
        <v>155.0</v>
      </c>
      <c r="D3127" s="2">
        <v>142.0</v>
      </c>
      <c r="E3127" s="2">
        <v>24060.0</v>
      </c>
      <c r="F3127" s="2" t="s">
        <v>150</v>
      </c>
    </row>
    <row r="3128" ht="15.75" customHeight="1">
      <c r="A3128" s="4" t="s">
        <v>4742</v>
      </c>
      <c r="B3128" s="2" t="s">
        <v>4743</v>
      </c>
      <c r="C3128" s="2">
        <v>503.0</v>
      </c>
      <c r="D3128" s="2">
        <v>493.0</v>
      </c>
      <c r="E3128" s="2">
        <v>24870.0</v>
      </c>
      <c r="F3128" s="2" t="s">
        <v>150</v>
      </c>
    </row>
    <row r="3129" ht="15.75" customHeight="1">
      <c r="A3129" s="4" t="s">
        <v>6879</v>
      </c>
      <c r="B3129" s="2" t="s">
        <v>6880</v>
      </c>
      <c r="C3129" s="2">
        <v>385.0</v>
      </c>
      <c r="D3129" s="2">
        <v>376.0</v>
      </c>
      <c r="E3129" s="2">
        <v>29000.0</v>
      </c>
      <c r="F3129" s="2" t="s">
        <v>150</v>
      </c>
    </row>
    <row r="3130" ht="15.75" customHeight="1">
      <c r="A3130" s="4" t="s">
        <v>4744</v>
      </c>
      <c r="B3130" s="2" t="s">
        <v>4745</v>
      </c>
      <c r="C3130" s="2">
        <v>699.0</v>
      </c>
      <c r="D3130" s="2">
        <v>725.0</v>
      </c>
      <c r="E3130" s="2">
        <v>24940.0</v>
      </c>
      <c r="F3130" s="2" t="s">
        <v>150</v>
      </c>
    </row>
    <row r="3131" ht="15.75" customHeight="1">
      <c r="A3131" s="4" t="s">
        <v>6881</v>
      </c>
      <c r="B3131" s="2" t="s">
        <v>6882</v>
      </c>
      <c r="C3131" s="2">
        <v>87.0</v>
      </c>
      <c r="D3131" s="2">
        <v>80.0</v>
      </c>
      <c r="E3131" s="2" t="s">
        <v>150</v>
      </c>
      <c r="F3131" s="2" t="s">
        <v>150</v>
      </c>
    </row>
    <row r="3132" ht="15.75" customHeight="1">
      <c r="A3132" s="4" t="s">
        <v>4746</v>
      </c>
      <c r="B3132" s="2" t="s">
        <v>4747</v>
      </c>
      <c r="C3132" s="2">
        <v>931.0</v>
      </c>
      <c r="D3132" s="2">
        <v>927.0</v>
      </c>
      <c r="E3132" s="2">
        <v>25490.0</v>
      </c>
      <c r="F3132" s="2" t="s">
        <v>150</v>
      </c>
    </row>
    <row r="3133" ht="15.75" customHeight="1">
      <c r="A3133" s="4" t="s">
        <v>4748</v>
      </c>
      <c r="B3133" s="2" t="s">
        <v>4749</v>
      </c>
      <c r="C3133" s="2">
        <v>868.0</v>
      </c>
      <c r="D3133" s="2">
        <v>783.0</v>
      </c>
      <c r="E3133" s="2">
        <v>25070.0</v>
      </c>
      <c r="F3133" s="2" t="s">
        <v>150</v>
      </c>
    </row>
    <row r="3134" ht="15.75" customHeight="1">
      <c r="A3134" s="4" t="s">
        <v>6883</v>
      </c>
      <c r="B3134" s="2" t="s">
        <v>6884</v>
      </c>
      <c r="C3134" s="2">
        <v>151.0</v>
      </c>
      <c r="D3134" s="2">
        <v>154.0</v>
      </c>
      <c r="E3134" s="2">
        <v>25600.0</v>
      </c>
      <c r="F3134" s="2" t="s">
        <v>150</v>
      </c>
    </row>
    <row r="3135" ht="15.75" customHeight="1">
      <c r="A3135" s="4" t="s">
        <v>6885</v>
      </c>
      <c r="B3135" s="2" t="s">
        <v>6886</v>
      </c>
      <c r="C3135" s="2">
        <v>550.0</v>
      </c>
      <c r="D3135" s="2">
        <v>528.0</v>
      </c>
      <c r="E3135" s="2">
        <v>26060.0</v>
      </c>
      <c r="F3135" s="2" t="s">
        <v>150</v>
      </c>
    </row>
    <row r="3136" ht="15.75" customHeight="1">
      <c r="A3136" s="4" t="s">
        <v>4750</v>
      </c>
      <c r="B3136" s="2" t="s">
        <v>4751</v>
      </c>
      <c r="C3136" s="2">
        <v>434.0</v>
      </c>
      <c r="D3136" s="2">
        <v>425.0</v>
      </c>
      <c r="E3136" s="2">
        <v>31200.0</v>
      </c>
      <c r="F3136" s="2" t="s">
        <v>150</v>
      </c>
    </row>
    <row r="3137" ht="15.75" hidden="1" customHeight="1">
      <c r="A3137" s="4" t="s">
        <v>4752</v>
      </c>
      <c r="B3137" s="2" t="s">
        <v>4753</v>
      </c>
      <c r="C3137" s="2">
        <v>3192.0</v>
      </c>
      <c r="D3137" s="2">
        <v>3234.0</v>
      </c>
      <c r="E3137" s="2">
        <v>27890.0</v>
      </c>
      <c r="F3137" s="2">
        <v>8.0</v>
      </c>
    </row>
    <row r="3138" ht="15.75" customHeight="1">
      <c r="A3138" s="4" t="s">
        <v>6887</v>
      </c>
      <c r="B3138" s="2" t="s">
        <v>6888</v>
      </c>
      <c r="C3138" s="2">
        <v>263.0</v>
      </c>
      <c r="D3138" s="2">
        <v>203.0</v>
      </c>
      <c r="E3138" s="2">
        <v>27170.0</v>
      </c>
      <c r="F3138" s="2" t="s">
        <v>150</v>
      </c>
    </row>
    <row r="3139" ht="15.75" customHeight="1">
      <c r="A3139" s="4" t="s">
        <v>6889</v>
      </c>
      <c r="B3139" s="2" t="s">
        <v>6890</v>
      </c>
      <c r="C3139" s="2">
        <v>241.0</v>
      </c>
      <c r="D3139" s="2">
        <v>211.0</v>
      </c>
      <c r="E3139" s="2">
        <v>24270.0</v>
      </c>
      <c r="F3139" s="2" t="s">
        <v>150</v>
      </c>
    </row>
    <row r="3140" ht="15.75" customHeight="1">
      <c r="A3140" s="4" t="s">
        <v>6891</v>
      </c>
      <c r="B3140" s="2" t="s">
        <v>6892</v>
      </c>
      <c r="C3140" s="2">
        <v>74.0</v>
      </c>
      <c r="D3140" s="2">
        <v>82.0</v>
      </c>
      <c r="E3140" s="2" t="s">
        <v>150</v>
      </c>
      <c r="F3140" s="2" t="s">
        <v>150</v>
      </c>
    </row>
    <row r="3141" ht="15.75" customHeight="1">
      <c r="A3141" s="4" t="s">
        <v>6893</v>
      </c>
      <c r="B3141" s="2" t="s">
        <v>6894</v>
      </c>
      <c r="C3141" s="2">
        <v>240.0</v>
      </c>
      <c r="D3141" s="2">
        <v>249.0</v>
      </c>
      <c r="E3141" s="2">
        <v>23120.0</v>
      </c>
      <c r="F3141" s="2" t="s">
        <v>150</v>
      </c>
    </row>
    <row r="3142" ht="15.75" customHeight="1">
      <c r="A3142" s="4" t="s">
        <v>4756</v>
      </c>
      <c r="B3142" s="2" t="s">
        <v>4757</v>
      </c>
      <c r="C3142" s="2">
        <v>1276.0</v>
      </c>
      <c r="D3142" s="2">
        <v>1184.0</v>
      </c>
      <c r="E3142" s="2">
        <v>24040.0</v>
      </c>
      <c r="F3142" s="2" t="s">
        <v>150</v>
      </c>
    </row>
    <row r="3143" ht="15.75" customHeight="1">
      <c r="A3143" s="4" t="s">
        <v>4759</v>
      </c>
      <c r="B3143" s="2" t="s">
        <v>4760</v>
      </c>
      <c r="C3143" s="2">
        <v>685.0</v>
      </c>
      <c r="D3143" s="2">
        <v>707.0</v>
      </c>
      <c r="E3143" s="2">
        <v>25780.0</v>
      </c>
      <c r="F3143" s="2" t="s">
        <v>150</v>
      </c>
    </row>
    <row r="3144" ht="15.75" customHeight="1">
      <c r="A3144" s="4" t="s">
        <v>6895</v>
      </c>
      <c r="B3144" s="2" t="s">
        <v>6896</v>
      </c>
      <c r="C3144" s="2">
        <v>128.0</v>
      </c>
      <c r="D3144" s="2">
        <v>120.0</v>
      </c>
      <c r="E3144" s="2">
        <v>26890.0</v>
      </c>
      <c r="F3144" s="2" t="s">
        <v>150</v>
      </c>
    </row>
    <row r="3145" ht="15.75" customHeight="1">
      <c r="A3145" s="4" t="s">
        <v>6897</v>
      </c>
      <c r="B3145" s="2" t="s">
        <v>6898</v>
      </c>
      <c r="C3145" s="2">
        <v>46.0</v>
      </c>
      <c r="D3145" s="2">
        <v>45.0</v>
      </c>
      <c r="E3145" s="2" t="s">
        <v>150</v>
      </c>
      <c r="F3145" s="2" t="s">
        <v>150</v>
      </c>
    </row>
    <row r="3146" ht="15.75" customHeight="1">
      <c r="A3146" s="4" t="s">
        <v>6899</v>
      </c>
      <c r="B3146" s="2" t="s">
        <v>6003</v>
      </c>
      <c r="C3146" s="2">
        <v>108.0</v>
      </c>
      <c r="D3146" s="2">
        <v>116.0</v>
      </c>
      <c r="E3146" s="2">
        <v>25310.0</v>
      </c>
      <c r="F3146" s="2" t="s">
        <v>150</v>
      </c>
    </row>
    <row r="3147" ht="15.75" customHeight="1">
      <c r="A3147" s="4" t="s">
        <v>6900</v>
      </c>
      <c r="B3147" s="2" t="s">
        <v>521</v>
      </c>
      <c r="C3147" s="2">
        <v>331.0</v>
      </c>
      <c r="D3147" s="2">
        <v>350.0</v>
      </c>
      <c r="E3147" s="2">
        <v>24460.0</v>
      </c>
      <c r="F3147" s="2" t="s">
        <v>150</v>
      </c>
    </row>
    <row r="3148" ht="15.75" customHeight="1">
      <c r="A3148" s="4" t="s">
        <v>4761</v>
      </c>
      <c r="B3148" s="2" t="s">
        <v>4762</v>
      </c>
      <c r="C3148" s="2">
        <v>269.0</v>
      </c>
      <c r="D3148" s="2">
        <v>341.0</v>
      </c>
      <c r="E3148" s="2">
        <v>29250.0</v>
      </c>
      <c r="F3148" s="2" t="s">
        <v>150</v>
      </c>
    </row>
    <row r="3149" ht="15.75" customHeight="1">
      <c r="A3149" s="4" t="s">
        <v>6901</v>
      </c>
      <c r="B3149" s="2" t="s">
        <v>6902</v>
      </c>
      <c r="C3149" s="2">
        <v>98.0</v>
      </c>
      <c r="D3149" s="2">
        <v>109.0</v>
      </c>
      <c r="E3149" s="2" t="s">
        <v>150</v>
      </c>
      <c r="F3149" s="2" t="s">
        <v>150</v>
      </c>
    </row>
    <row r="3150" ht="15.75" customHeight="1">
      <c r="A3150" s="4" t="s">
        <v>4765</v>
      </c>
      <c r="B3150" s="2" t="s">
        <v>4766</v>
      </c>
      <c r="C3150" s="2">
        <v>512.0</v>
      </c>
      <c r="D3150" s="2">
        <v>495.0</v>
      </c>
      <c r="E3150" s="2">
        <v>24820.0</v>
      </c>
      <c r="F3150" s="2" t="s">
        <v>150</v>
      </c>
    </row>
    <row r="3151" ht="15.75" customHeight="1">
      <c r="A3151" s="4" t="s">
        <v>6903</v>
      </c>
      <c r="B3151" s="2" t="s">
        <v>6904</v>
      </c>
      <c r="C3151" s="2">
        <v>139.0</v>
      </c>
      <c r="D3151" s="2">
        <v>155.0</v>
      </c>
      <c r="E3151" s="2">
        <v>23680.0</v>
      </c>
      <c r="F3151" s="2" t="s">
        <v>150</v>
      </c>
    </row>
    <row r="3152" ht="15.75" customHeight="1">
      <c r="A3152" s="4" t="s">
        <v>6905</v>
      </c>
      <c r="B3152" s="2" t="s">
        <v>6906</v>
      </c>
      <c r="C3152" s="2">
        <v>207.0</v>
      </c>
      <c r="D3152" s="2">
        <v>197.0</v>
      </c>
      <c r="E3152" s="2">
        <v>24880.0</v>
      </c>
      <c r="F3152" s="2" t="s">
        <v>150</v>
      </c>
    </row>
    <row r="3153" ht="15.75" customHeight="1">
      <c r="A3153" s="4" t="s">
        <v>6907</v>
      </c>
      <c r="B3153" s="2" t="s">
        <v>6908</v>
      </c>
      <c r="C3153" s="2">
        <v>311.0</v>
      </c>
      <c r="D3153" s="2">
        <v>341.0</v>
      </c>
      <c r="E3153" s="2">
        <v>27020.0</v>
      </c>
      <c r="F3153" s="2" t="s">
        <v>150</v>
      </c>
    </row>
    <row r="3154" ht="15.75" customHeight="1">
      <c r="A3154" s="4" t="s">
        <v>6909</v>
      </c>
      <c r="B3154" s="2" t="s">
        <v>6910</v>
      </c>
      <c r="C3154" s="2">
        <v>414.0</v>
      </c>
      <c r="D3154" s="2">
        <v>397.0</v>
      </c>
      <c r="E3154" s="2">
        <v>24160.0</v>
      </c>
      <c r="F3154" s="2" t="s">
        <v>150</v>
      </c>
    </row>
    <row r="3155" ht="15.75" customHeight="1">
      <c r="A3155" s="4" t="s">
        <v>4771</v>
      </c>
      <c r="B3155" s="2" t="s">
        <v>4772</v>
      </c>
      <c r="C3155" s="2">
        <v>517.0</v>
      </c>
      <c r="D3155" s="2">
        <v>514.0</v>
      </c>
      <c r="E3155" s="2">
        <v>28040.0</v>
      </c>
      <c r="F3155" s="2" t="s">
        <v>150</v>
      </c>
    </row>
    <row r="3156" ht="15.75" customHeight="1">
      <c r="A3156" s="4" t="s">
        <v>6911</v>
      </c>
      <c r="B3156" s="2" t="s">
        <v>6912</v>
      </c>
      <c r="C3156" s="2">
        <v>234.0</v>
      </c>
      <c r="D3156" s="2">
        <v>220.0</v>
      </c>
      <c r="E3156" s="2">
        <v>21990.0</v>
      </c>
      <c r="F3156" s="2" t="s">
        <v>150</v>
      </c>
    </row>
    <row r="3157" ht="15.75" customHeight="1">
      <c r="A3157" s="4" t="s">
        <v>6913</v>
      </c>
      <c r="B3157" s="2" t="s">
        <v>6914</v>
      </c>
      <c r="C3157" s="2">
        <v>310.0</v>
      </c>
      <c r="D3157" s="2">
        <v>294.0</v>
      </c>
      <c r="E3157" s="2">
        <v>27840.0</v>
      </c>
      <c r="F3157" s="2" t="s">
        <v>150</v>
      </c>
    </row>
    <row r="3158" ht="15.75" customHeight="1">
      <c r="A3158" s="4" t="s">
        <v>6915</v>
      </c>
      <c r="B3158" s="2" t="s">
        <v>6916</v>
      </c>
      <c r="C3158" s="2">
        <v>167.0</v>
      </c>
      <c r="D3158" s="2">
        <v>144.0</v>
      </c>
      <c r="E3158" s="2">
        <v>25500.0</v>
      </c>
      <c r="F3158" s="2" t="s">
        <v>150</v>
      </c>
    </row>
    <row r="3159" ht="15.75" customHeight="1">
      <c r="A3159" s="4" t="s">
        <v>6917</v>
      </c>
      <c r="B3159" s="2" t="s">
        <v>6918</v>
      </c>
      <c r="C3159" s="2">
        <v>134.0</v>
      </c>
      <c r="D3159" s="2">
        <v>140.0</v>
      </c>
      <c r="E3159" s="2">
        <v>22350.0</v>
      </c>
      <c r="F3159" s="2" t="s">
        <v>150</v>
      </c>
    </row>
    <row r="3160" ht="15.75" customHeight="1">
      <c r="A3160" s="4" t="s">
        <v>6919</v>
      </c>
      <c r="B3160" s="2" t="s">
        <v>6920</v>
      </c>
      <c r="C3160" s="2">
        <v>213.0</v>
      </c>
      <c r="D3160" s="2">
        <v>207.0</v>
      </c>
      <c r="E3160" s="2">
        <v>25450.0</v>
      </c>
      <c r="F3160" s="2" t="s">
        <v>150</v>
      </c>
    </row>
    <row r="3161" ht="15.75" customHeight="1">
      <c r="A3161" s="4" t="s">
        <v>4776</v>
      </c>
      <c r="B3161" s="2" t="s">
        <v>4777</v>
      </c>
      <c r="C3161" s="2">
        <v>541.0</v>
      </c>
      <c r="D3161" s="2">
        <v>556.0</v>
      </c>
      <c r="E3161" s="2">
        <v>25600.0</v>
      </c>
      <c r="F3161" s="2" t="s">
        <v>150</v>
      </c>
    </row>
    <row r="3162" ht="15.75" customHeight="1">
      <c r="A3162" s="4" t="s">
        <v>6921</v>
      </c>
      <c r="B3162" s="2" t="s">
        <v>6922</v>
      </c>
      <c r="C3162" s="2">
        <v>381.0</v>
      </c>
      <c r="D3162" s="2">
        <v>370.0</v>
      </c>
      <c r="E3162" s="2">
        <v>30360.0</v>
      </c>
      <c r="F3162" s="2" t="s">
        <v>150</v>
      </c>
    </row>
    <row r="3163" ht="15.75" customHeight="1">
      <c r="A3163" s="4" t="s">
        <v>6923</v>
      </c>
      <c r="B3163" s="2" t="s">
        <v>6924</v>
      </c>
      <c r="C3163" s="2">
        <v>101.0</v>
      </c>
      <c r="D3163" s="2">
        <v>90.0</v>
      </c>
      <c r="E3163" s="2">
        <v>31510.0</v>
      </c>
      <c r="F3163" s="2" t="s">
        <v>150</v>
      </c>
    </row>
    <row r="3164" ht="15.75" customHeight="1">
      <c r="A3164" s="4" t="s">
        <v>6925</v>
      </c>
      <c r="B3164" s="2" t="s">
        <v>6926</v>
      </c>
      <c r="C3164" s="2">
        <v>49.0</v>
      </c>
      <c r="D3164" s="2">
        <v>41.0</v>
      </c>
      <c r="E3164" s="2" t="s">
        <v>150</v>
      </c>
      <c r="F3164" s="2" t="s">
        <v>150</v>
      </c>
    </row>
    <row r="3165" ht="15.75" customHeight="1">
      <c r="A3165" s="4" t="s">
        <v>6927</v>
      </c>
      <c r="B3165" s="2" t="s">
        <v>6928</v>
      </c>
      <c r="C3165" s="2">
        <v>282.0</v>
      </c>
      <c r="D3165" s="2">
        <v>300.0</v>
      </c>
      <c r="E3165" s="2">
        <v>29320.0</v>
      </c>
      <c r="F3165" s="2" t="s">
        <v>150</v>
      </c>
    </row>
    <row r="3166" ht="15.75" customHeight="1">
      <c r="A3166" s="4" t="s">
        <v>4786</v>
      </c>
      <c r="B3166" s="2" t="s">
        <v>4787</v>
      </c>
      <c r="C3166" s="2">
        <v>1204.0</v>
      </c>
      <c r="D3166" s="2">
        <v>1191.0</v>
      </c>
      <c r="E3166" s="2">
        <v>31070.0</v>
      </c>
      <c r="F3166" s="2" t="s">
        <v>150</v>
      </c>
    </row>
    <row r="3167" ht="15.75" customHeight="1">
      <c r="A3167" s="4" t="s">
        <v>6929</v>
      </c>
      <c r="B3167" s="2" t="s">
        <v>6930</v>
      </c>
      <c r="C3167" s="2">
        <v>199.0</v>
      </c>
      <c r="D3167" s="2">
        <v>222.0</v>
      </c>
      <c r="E3167" s="2">
        <v>26480.0</v>
      </c>
      <c r="F3167" s="2" t="s">
        <v>150</v>
      </c>
    </row>
    <row r="3168" ht="15.75" customHeight="1">
      <c r="A3168" s="4" t="s">
        <v>4788</v>
      </c>
      <c r="B3168" s="2" t="s">
        <v>4789</v>
      </c>
      <c r="C3168" s="2">
        <v>740.0</v>
      </c>
      <c r="D3168" s="2">
        <v>704.0</v>
      </c>
      <c r="E3168" s="2">
        <v>24460.0</v>
      </c>
      <c r="F3168" s="2" t="s">
        <v>150</v>
      </c>
    </row>
    <row r="3169" ht="15.75" customHeight="1">
      <c r="A3169" s="4" t="s">
        <v>6931</v>
      </c>
      <c r="B3169" s="2" t="s">
        <v>6932</v>
      </c>
      <c r="C3169" s="2">
        <v>724.0</v>
      </c>
      <c r="D3169" s="2">
        <v>740.0</v>
      </c>
      <c r="E3169" s="2">
        <v>25950.0</v>
      </c>
      <c r="F3169" s="2" t="s">
        <v>150</v>
      </c>
    </row>
    <row r="3170" ht="15.75" hidden="1" customHeight="1">
      <c r="A3170" s="4" t="s">
        <v>4790</v>
      </c>
      <c r="B3170" s="2" t="s">
        <v>4791</v>
      </c>
      <c r="C3170" s="2">
        <v>4432.0</v>
      </c>
      <c r="D3170" s="2">
        <v>4359.0</v>
      </c>
      <c r="E3170" s="2">
        <v>26860.0</v>
      </c>
      <c r="F3170" s="2">
        <v>13.0</v>
      </c>
    </row>
    <row r="3171" ht="15.75" customHeight="1">
      <c r="A3171" s="4" t="s">
        <v>6933</v>
      </c>
      <c r="B3171" s="2" t="s">
        <v>6934</v>
      </c>
      <c r="C3171" s="2">
        <v>188.0</v>
      </c>
      <c r="D3171" s="2">
        <v>182.0</v>
      </c>
      <c r="E3171" s="2">
        <v>26940.0</v>
      </c>
      <c r="F3171" s="2" t="s">
        <v>150</v>
      </c>
    </row>
    <row r="3172" ht="15.75" customHeight="1">
      <c r="A3172" s="4" t="s">
        <v>4794</v>
      </c>
      <c r="B3172" s="2" t="s">
        <v>4795</v>
      </c>
      <c r="C3172" s="2">
        <v>706.0</v>
      </c>
      <c r="D3172" s="2">
        <v>705.0</v>
      </c>
      <c r="E3172" s="2">
        <v>26560.0</v>
      </c>
      <c r="F3172" s="2" t="s">
        <v>150</v>
      </c>
    </row>
    <row r="3173" ht="15.75" customHeight="1">
      <c r="A3173" s="4" t="s">
        <v>4796</v>
      </c>
      <c r="B3173" s="2" t="s">
        <v>4797</v>
      </c>
      <c r="C3173" s="2">
        <v>322.0</v>
      </c>
      <c r="D3173" s="2">
        <v>348.0</v>
      </c>
      <c r="E3173" s="2">
        <v>26320.0</v>
      </c>
      <c r="F3173" s="2" t="s">
        <v>150</v>
      </c>
    </row>
    <row r="3174" ht="15.75" customHeight="1">
      <c r="A3174" s="4" t="s">
        <v>4798</v>
      </c>
      <c r="B3174" s="2" t="s">
        <v>4799</v>
      </c>
      <c r="C3174" s="2">
        <v>1100.0</v>
      </c>
      <c r="D3174" s="2">
        <v>1035.0</v>
      </c>
      <c r="E3174" s="2">
        <v>24280.0</v>
      </c>
      <c r="F3174" s="2" t="s">
        <v>150</v>
      </c>
    </row>
    <row r="3175" ht="15.75" customHeight="1">
      <c r="A3175" s="4" t="s">
        <v>6935</v>
      </c>
      <c r="B3175" s="2" t="s">
        <v>6936</v>
      </c>
      <c r="C3175" s="2">
        <v>70.0</v>
      </c>
      <c r="D3175" s="2">
        <v>59.0</v>
      </c>
      <c r="E3175" s="2" t="s">
        <v>150</v>
      </c>
      <c r="F3175" s="2" t="s">
        <v>150</v>
      </c>
    </row>
    <row r="3176" ht="15.75" customHeight="1">
      <c r="A3176" s="4" t="s">
        <v>6937</v>
      </c>
      <c r="B3176" s="2" t="s">
        <v>6938</v>
      </c>
      <c r="C3176" s="2">
        <v>114.0</v>
      </c>
      <c r="D3176" s="2">
        <v>110.0</v>
      </c>
      <c r="E3176" s="2">
        <v>26040.0</v>
      </c>
      <c r="F3176" s="2" t="s">
        <v>150</v>
      </c>
    </row>
    <row r="3177" ht="15.75" customHeight="1">
      <c r="A3177" s="4" t="s">
        <v>6939</v>
      </c>
      <c r="B3177" s="2" t="s">
        <v>6940</v>
      </c>
      <c r="C3177" s="2">
        <v>603.0</v>
      </c>
      <c r="D3177" s="2">
        <v>548.0</v>
      </c>
      <c r="E3177" s="2">
        <v>29240.0</v>
      </c>
      <c r="F3177" s="2" t="s">
        <v>150</v>
      </c>
    </row>
    <row r="3178" ht="15.75" customHeight="1">
      <c r="A3178" s="4" t="s">
        <v>4800</v>
      </c>
      <c r="B3178" s="2" t="s">
        <v>4801</v>
      </c>
      <c r="C3178" s="2">
        <v>535.0</v>
      </c>
      <c r="D3178" s="2">
        <v>546.0</v>
      </c>
      <c r="E3178" s="2">
        <v>24680.0</v>
      </c>
      <c r="F3178" s="2" t="s">
        <v>150</v>
      </c>
    </row>
    <row r="3179" ht="15.75" customHeight="1">
      <c r="A3179" s="4" t="s">
        <v>6941</v>
      </c>
      <c r="B3179" s="2" t="s">
        <v>6942</v>
      </c>
      <c r="C3179" s="2">
        <v>518.0</v>
      </c>
      <c r="D3179" s="2">
        <v>513.0</v>
      </c>
      <c r="E3179" s="2">
        <v>31200.0</v>
      </c>
      <c r="F3179" s="2" t="s">
        <v>150</v>
      </c>
    </row>
    <row r="3180" ht="15.75" customHeight="1">
      <c r="A3180" s="4" t="s">
        <v>6943</v>
      </c>
      <c r="B3180" s="2" t="s">
        <v>6944</v>
      </c>
      <c r="C3180" s="2">
        <v>83.0</v>
      </c>
      <c r="D3180" s="2">
        <v>75.0</v>
      </c>
      <c r="E3180" s="2" t="s">
        <v>150</v>
      </c>
      <c r="F3180" s="2" t="s">
        <v>150</v>
      </c>
    </row>
    <row r="3181" ht="15.75" customHeight="1">
      <c r="A3181" s="4" t="s">
        <v>6945</v>
      </c>
      <c r="B3181" s="2" t="s">
        <v>6946</v>
      </c>
      <c r="C3181" s="2">
        <v>272.0</v>
      </c>
      <c r="D3181" s="2">
        <v>250.0</v>
      </c>
      <c r="E3181" s="2">
        <v>26670.0</v>
      </c>
      <c r="F3181" s="2" t="s">
        <v>150</v>
      </c>
    </row>
    <row r="3182" ht="15.75" customHeight="1">
      <c r="A3182" s="4" t="s">
        <v>4802</v>
      </c>
      <c r="B3182" s="2" t="s">
        <v>4803</v>
      </c>
      <c r="C3182" s="2">
        <v>745.0</v>
      </c>
      <c r="D3182" s="2">
        <v>688.0</v>
      </c>
      <c r="E3182" s="2">
        <v>24770.0</v>
      </c>
      <c r="F3182" s="2" t="s">
        <v>150</v>
      </c>
    </row>
    <row r="3183" ht="15.75" customHeight="1">
      <c r="A3183" s="4" t="s">
        <v>6947</v>
      </c>
      <c r="B3183" s="2" t="s">
        <v>6948</v>
      </c>
      <c r="C3183" s="2">
        <v>206.0</v>
      </c>
      <c r="D3183" s="2">
        <v>223.0</v>
      </c>
      <c r="E3183" s="2">
        <v>23900.0</v>
      </c>
      <c r="F3183" s="2" t="s">
        <v>150</v>
      </c>
    </row>
    <row r="3184" ht="15.75" customHeight="1">
      <c r="A3184" s="4" t="s">
        <v>6949</v>
      </c>
      <c r="B3184" s="2" t="s">
        <v>6950</v>
      </c>
      <c r="C3184" s="2">
        <v>103.0</v>
      </c>
      <c r="D3184" s="2">
        <v>90.0</v>
      </c>
      <c r="E3184" s="2" t="s">
        <v>150</v>
      </c>
      <c r="F3184" s="2" t="s">
        <v>150</v>
      </c>
    </row>
    <row r="3185" ht="15.75" customHeight="1">
      <c r="A3185" s="4" t="s">
        <v>6951</v>
      </c>
      <c r="B3185" s="2" t="s">
        <v>6952</v>
      </c>
      <c r="C3185" s="2">
        <v>121.0</v>
      </c>
      <c r="D3185" s="2">
        <v>123.0</v>
      </c>
      <c r="E3185" s="2">
        <v>24590.0</v>
      </c>
      <c r="F3185" s="2" t="s">
        <v>150</v>
      </c>
    </row>
    <row r="3186" ht="15.75" hidden="1" customHeight="1">
      <c r="A3186" s="4" t="s">
        <v>4804</v>
      </c>
      <c r="B3186" s="2" t="s">
        <v>4805</v>
      </c>
      <c r="C3186" s="2">
        <v>2477.0</v>
      </c>
      <c r="D3186" s="2">
        <v>2316.0</v>
      </c>
      <c r="E3186" s="2">
        <v>23120.0</v>
      </c>
      <c r="F3186" s="2">
        <v>19.0</v>
      </c>
    </row>
    <row r="3187" ht="15.75" customHeight="1">
      <c r="A3187" s="4" t="s">
        <v>6953</v>
      </c>
      <c r="B3187" s="2" t="s">
        <v>6954</v>
      </c>
      <c r="C3187" s="2">
        <v>266.0</v>
      </c>
      <c r="D3187" s="2">
        <v>278.0</v>
      </c>
      <c r="E3187" s="2">
        <v>24080.0</v>
      </c>
      <c r="F3187" s="2" t="s">
        <v>150</v>
      </c>
    </row>
    <row r="3188" ht="15.75" customHeight="1">
      <c r="A3188" s="4" t="s">
        <v>4808</v>
      </c>
      <c r="B3188" s="2" t="s">
        <v>4809</v>
      </c>
      <c r="C3188" s="2">
        <v>531.0</v>
      </c>
      <c r="D3188" s="2">
        <v>526.0</v>
      </c>
      <c r="E3188" s="2">
        <v>24570.0</v>
      </c>
      <c r="F3188" s="2" t="s">
        <v>150</v>
      </c>
    </row>
    <row r="3189" ht="15.75" customHeight="1">
      <c r="A3189" s="4" t="s">
        <v>6955</v>
      </c>
      <c r="B3189" s="2" t="s">
        <v>6956</v>
      </c>
      <c r="C3189" s="2">
        <v>276.0</v>
      </c>
      <c r="D3189" s="2">
        <v>272.0</v>
      </c>
      <c r="E3189" s="2">
        <v>25660.0</v>
      </c>
      <c r="F3189" s="2" t="s">
        <v>150</v>
      </c>
    </row>
    <row r="3190" ht="15.75" hidden="1" customHeight="1">
      <c r="A3190" s="4" t="s">
        <v>4810</v>
      </c>
      <c r="B3190" s="2" t="s">
        <v>4811</v>
      </c>
      <c r="C3190" s="2">
        <v>2083.0</v>
      </c>
      <c r="D3190" s="2">
        <v>1969.0</v>
      </c>
      <c r="E3190" s="2">
        <v>21400.0</v>
      </c>
      <c r="F3190" s="2">
        <v>22.0</v>
      </c>
    </row>
    <row r="3191" ht="15.75" customHeight="1">
      <c r="A3191" s="4" t="s">
        <v>5034</v>
      </c>
      <c r="B3191" s="2" t="s">
        <v>5035</v>
      </c>
      <c r="C3191" s="2">
        <v>659.0</v>
      </c>
      <c r="D3191" s="2">
        <v>699.0</v>
      </c>
      <c r="E3191" s="2">
        <v>27920.0</v>
      </c>
      <c r="F3191" s="2" t="s">
        <v>150</v>
      </c>
    </row>
    <row r="3192" ht="15.75" customHeight="1">
      <c r="A3192" s="4" t="s">
        <v>6957</v>
      </c>
      <c r="B3192" s="2" t="s">
        <v>6958</v>
      </c>
      <c r="C3192" s="2">
        <v>581.0</v>
      </c>
      <c r="D3192" s="2">
        <v>570.0</v>
      </c>
      <c r="E3192" s="2">
        <v>27760.0</v>
      </c>
      <c r="F3192" s="2" t="s">
        <v>150</v>
      </c>
    </row>
    <row r="3193" ht="15.75" customHeight="1">
      <c r="A3193" s="4" t="s">
        <v>6959</v>
      </c>
      <c r="B3193" s="2" t="s">
        <v>6960</v>
      </c>
      <c r="C3193" s="2">
        <v>73.0</v>
      </c>
      <c r="D3193" s="2">
        <v>60.0</v>
      </c>
      <c r="E3193" s="2" t="s">
        <v>150</v>
      </c>
      <c r="F3193" s="2" t="s">
        <v>150</v>
      </c>
    </row>
    <row r="3194" ht="15.75" customHeight="1">
      <c r="A3194" s="4" t="s">
        <v>4814</v>
      </c>
      <c r="B3194" s="2" t="s">
        <v>4815</v>
      </c>
      <c r="C3194" s="2">
        <v>1252.0</v>
      </c>
      <c r="D3194" s="2">
        <v>1190.0</v>
      </c>
      <c r="E3194" s="2">
        <v>23670.0</v>
      </c>
      <c r="F3194" s="2" t="s">
        <v>150</v>
      </c>
    </row>
    <row r="3195" ht="15.75" customHeight="1">
      <c r="A3195" s="4" t="s">
        <v>6961</v>
      </c>
      <c r="B3195" s="2" t="s">
        <v>6962</v>
      </c>
      <c r="C3195" s="2">
        <v>183.0</v>
      </c>
      <c r="D3195" s="2">
        <v>169.0</v>
      </c>
      <c r="E3195" s="2">
        <v>27420.0</v>
      </c>
      <c r="F3195" s="2" t="s">
        <v>150</v>
      </c>
    </row>
    <row r="3196" ht="15.75" customHeight="1">
      <c r="A3196" s="4" t="s">
        <v>6963</v>
      </c>
      <c r="B3196" s="2" t="s">
        <v>6964</v>
      </c>
      <c r="C3196" s="2">
        <v>171.0</v>
      </c>
      <c r="D3196" s="2">
        <v>172.0</v>
      </c>
      <c r="E3196" s="2">
        <v>25960.0</v>
      </c>
      <c r="F3196" s="2" t="s">
        <v>150</v>
      </c>
    </row>
    <row r="3197" ht="15.75" customHeight="1">
      <c r="A3197" s="4" t="s">
        <v>6965</v>
      </c>
      <c r="B3197" s="2" t="s">
        <v>6966</v>
      </c>
      <c r="C3197" s="2">
        <v>119.0</v>
      </c>
      <c r="D3197" s="2">
        <v>158.0</v>
      </c>
      <c r="E3197" s="2">
        <v>24560.0</v>
      </c>
      <c r="F3197" s="2" t="s">
        <v>150</v>
      </c>
    </row>
    <row r="3198" ht="15.75" customHeight="1">
      <c r="A3198" s="4" t="s">
        <v>6967</v>
      </c>
      <c r="B3198" s="2" t="s">
        <v>6968</v>
      </c>
      <c r="C3198" s="2">
        <v>134.0</v>
      </c>
      <c r="D3198" s="2">
        <v>152.0</v>
      </c>
      <c r="E3198" s="2">
        <v>25150.0</v>
      </c>
      <c r="F3198" s="2" t="s">
        <v>150</v>
      </c>
    </row>
    <row r="3199" ht="15.75" customHeight="1">
      <c r="A3199" s="4" t="s">
        <v>6969</v>
      </c>
      <c r="B3199" s="2" t="s">
        <v>6970</v>
      </c>
      <c r="C3199" s="2">
        <v>152.0</v>
      </c>
      <c r="D3199" s="2">
        <v>147.0</v>
      </c>
      <c r="E3199" s="2">
        <v>26170.0</v>
      </c>
      <c r="F3199" s="2" t="s">
        <v>150</v>
      </c>
    </row>
    <row r="3200" ht="15.75" customHeight="1">
      <c r="A3200" s="4" t="s">
        <v>6971</v>
      </c>
      <c r="B3200" s="2" t="s">
        <v>6972</v>
      </c>
      <c r="C3200" s="2">
        <v>238.0</v>
      </c>
      <c r="D3200" s="2">
        <v>240.0</v>
      </c>
      <c r="E3200" s="2">
        <v>22260.0</v>
      </c>
      <c r="F3200" s="2" t="s">
        <v>150</v>
      </c>
    </row>
    <row r="3201" ht="15.75" customHeight="1">
      <c r="A3201" s="4" t="s">
        <v>6973</v>
      </c>
      <c r="B3201" s="2" t="s">
        <v>6974</v>
      </c>
      <c r="C3201" s="2">
        <v>34.0</v>
      </c>
      <c r="D3201" s="2">
        <v>30.0</v>
      </c>
      <c r="E3201" s="2" t="s">
        <v>150</v>
      </c>
      <c r="F3201" s="2" t="s">
        <v>150</v>
      </c>
    </row>
    <row r="3202" ht="15.75" customHeight="1">
      <c r="A3202" s="4" t="s">
        <v>6975</v>
      </c>
      <c r="B3202" s="2" t="s">
        <v>6976</v>
      </c>
      <c r="C3202" s="2">
        <v>370.0</v>
      </c>
      <c r="D3202" s="2">
        <v>376.0</v>
      </c>
      <c r="E3202" s="2">
        <v>29550.0</v>
      </c>
      <c r="F3202" s="2" t="s">
        <v>150</v>
      </c>
    </row>
    <row r="3203" ht="15.75" customHeight="1">
      <c r="A3203" s="4" t="s">
        <v>4816</v>
      </c>
      <c r="B3203" s="2" t="s">
        <v>4817</v>
      </c>
      <c r="C3203" s="2">
        <v>546.0</v>
      </c>
      <c r="D3203" s="2">
        <v>516.0</v>
      </c>
      <c r="E3203" s="2">
        <v>27010.0</v>
      </c>
      <c r="F3203" s="2" t="s">
        <v>150</v>
      </c>
    </row>
    <row r="3204" ht="15.75" customHeight="1">
      <c r="A3204" s="4" t="s">
        <v>6977</v>
      </c>
      <c r="B3204" s="2" t="s">
        <v>6978</v>
      </c>
      <c r="C3204" s="2">
        <v>229.0</v>
      </c>
      <c r="D3204" s="2">
        <v>220.0</v>
      </c>
      <c r="E3204" s="2">
        <v>25620.0</v>
      </c>
      <c r="F3204" s="2" t="s">
        <v>150</v>
      </c>
    </row>
    <row r="3205" ht="15.75" customHeight="1">
      <c r="A3205" s="4" t="s">
        <v>6979</v>
      </c>
      <c r="B3205" s="2" t="s">
        <v>6980</v>
      </c>
      <c r="C3205" s="2">
        <v>49.0</v>
      </c>
      <c r="D3205" s="2">
        <v>45.0</v>
      </c>
      <c r="E3205" s="2" t="s">
        <v>150</v>
      </c>
      <c r="F3205" s="2" t="s">
        <v>150</v>
      </c>
    </row>
    <row r="3206" ht="15.75" customHeight="1">
      <c r="A3206" s="4" t="s">
        <v>6981</v>
      </c>
      <c r="B3206" s="2" t="s">
        <v>6982</v>
      </c>
      <c r="C3206" s="2">
        <v>340.0</v>
      </c>
      <c r="D3206" s="2">
        <v>387.0</v>
      </c>
      <c r="E3206" s="2">
        <v>29570.0</v>
      </c>
      <c r="F3206" s="2" t="s">
        <v>150</v>
      </c>
    </row>
    <row r="3207" ht="15.75" customHeight="1">
      <c r="A3207" s="4" t="s">
        <v>6983</v>
      </c>
      <c r="B3207" s="2" t="s">
        <v>6984</v>
      </c>
      <c r="C3207" s="2">
        <v>88.0</v>
      </c>
      <c r="D3207" s="2">
        <v>80.0</v>
      </c>
      <c r="E3207" s="2" t="s">
        <v>150</v>
      </c>
      <c r="F3207" s="2" t="s">
        <v>150</v>
      </c>
    </row>
    <row r="3208" ht="15.75" customHeight="1">
      <c r="A3208" s="4" t="s">
        <v>4818</v>
      </c>
      <c r="B3208" s="2" t="s">
        <v>4819</v>
      </c>
      <c r="C3208" s="2">
        <v>765.0</v>
      </c>
      <c r="D3208" s="2">
        <v>757.0</v>
      </c>
      <c r="E3208" s="2">
        <v>23270.0</v>
      </c>
      <c r="F3208" s="2" t="s">
        <v>150</v>
      </c>
    </row>
    <row r="3209" ht="15.75" customHeight="1">
      <c r="A3209" s="4" t="s">
        <v>4820</v>
      </c>
      <c r="B3209" s="2" t="s">
        <v>4821</v>
      </c>
      <c r="C3209" s="2">
        <v>916.0</v>
      </c>
      <c r="D3209" s="2">
        <v>865.0</v>
      </c>
      <c r="E3209" s="2">
        <v>23700.0</v>
      </c>
      <c r="F3209" s="2" t="s">
        <v>150</v>
      </c>
    </row>
    <row r="3210" ht="15.75" customHeight="1">
      <c r="A3210" s="4" t="s">
        <v>6985</v>
      </c>
      <c r="B3210" s="2" t="s">
        <v>6986</v>
      </c>
      <c r="C3210" s="2">
        <v>118.0</v>
      </c>
      <c r="D3210" s="2">
        <v>122.0</v>
      </c>
      <c r="E3210" s="2">
        <v>26270.0</v>
      </c>
      <c r="F3210" s="2" t="s">
        <v>150</v>
      </c>
    </row>
    <row r="3211" ht="15.75" customHeight="1">
      <c r="A3211" s="4" t="s">
        <v>6987</v>
      </c>
      <c r="B3211" s="2" t="s">
        <v>6988</v>
      </c>
      <c r="C3211" s="2">
        <v>364.0</v>
      </c>
      <c r="D3211" s="2">
        <v>305.0</v>
      </c>
      <c r="E3211" s="2">
        <v>26730.0</v>
      </c>
      <c r="F3211" s="2" t="s">
        <v>150</v>
      </c>
    </row>
    <row r="3212" ht="15.75" customHeight="1">
      <c r="A3212" s="4" t="s">
        <v>6989</v>
      </c>
      <c r="B3212" s="2" t="s">
        <v>5159</v>
      </c>
      <c r="C3212" s="2">
        <v>211.0</v>
      </c>
      <c r="D3212" s="2">
        <v>210.0</v>
      </c>
      <c r="E3212" s="2">
        <v>23220.0</v>
      </c>
      <c r="F3212" s="2" t="s">
        <v>150</v>
      </c>
    </row>
    <row r="3213" ht="15.75" customHeight="1">
      <c r="A3213" s="4" t="s">
        <v>6990</v>
      </c>
      <c r="B3213" s="2" t="s">
        <v>6991</v>
      </c>
      <c r="C3213" s="2">
        <v>153.0</v>
      </c>
      <c r="D3213" s="2">
        <v>149.0</v>
      </c>
      <c r="E3213" s="2">
        <v>27220.0</v>
      </c>
      <c r="F3213" s="2" t="s">
        <v>150</v>
      </c>
    </row>
    <row r="3214" ht="15.75" customHeight="1">
      <c r="A3214" s="4" t="s">
        <v>4823</v>
      </c>
      <c r="B3214" s="2" t="s">
        <v>4824</v>
      </c>
      <c r="C3214" s="2">
        <v>1735.0</v>
      </c>
      <c r="D3214" s="2">
        <v>1660.0</v>
      </c>
      <c r="E3214" s="2">
        <v>24150.0</v>
      </c>
      <c r="F3214" s="2" t="s">
        <v>150</v>
      </c>
    </row>
    <row r="3215" ht="15.75" hidden="1" customHeight="1">
      <c r="A3215" s="4" t="s">
        <v>4826</v>
      </c>
      <c r="B3215" s="2" t="s">
        <v>4828</v>
      </c>
      <c r="C3215" s="2">
        <v>6283.0</v>
      </c>
      <c r="D3215" s="2">
        <v>5982.0</v>
      </c>
      <c r="E3215" s="2">
        <v>24450.0</v>
      </c>
      <c r="F3215" s="2">
        <v>16.0</v>
      </c>
    </row>
    <row r="3216" ht="15.75" customHeight="1">
      <c r="A3216" s="4" t="s">
        <v>6992</v>
      </c>
      <c r="B3216" s="2" t="s">
        <v>6993</v>
      </c>
      <c r="C3216" s="2">
        <v>576.0</v>
      </c>
      <c r="D3216" s="2">
        <v>566.0</v>
      </c>
      <c r="E3216" s="2">
        <v>30570.0</v>
      </c>
      <c r="F3216" s="2" t="s">
        <v>150</v>
      </c>
    </row>
    <row r="3217" ht="15.75" customHeight="1">
      <c r="A3217" s="4" t="s">
        <v>6994</v>
      </c>
      <c r="B3217" s="2" t="s">
        <v>6995</v>
      </c>
      <c r="C3217" s="2">
        <v>332.0</v>
      </c>
      <c r="D3217" s="2">
        <v>313.0</v>
      </c>
      <c r="E3217" s="2">
        <v>23880.0</v>
      </c>
      <c r="F3217" s="2" t="s">
        <v>150</v>
      </c>
    </row>
    <row r="3218" ht="15.75" customHeight="1">
      <c r="A3218" s="4" t="s">
        <v>6996</v>
      </c>
      <c r="B3218" s="2" t="s">
        <v>6997</v>
      </c>
      <c r="C3218" s="2">
        <v>231.0</v>
      </c>
      <c r="D3218" s="2">
        <v>214.0</v>
      </c>
      <c r="E3218" s="2">
        <v>21050.0</v>
      </c>
      <c r="F3218" s="2" t="s">
        <v>150</v>
      </c>
    </row>
    <row r="3219" ht="15.75" customHeight="1">
      <c r="A3219" s="4" t="s">
        <v>6998</v>
      </c>
      <c r="B3219" s="2" t="s">
        <v>6999</v>
      </c>
      <c r="C3219" s="2">
        <v>154.0</v>
      </c>
      <c r="D3219" s="2">
        <v>152.0</v>
      </c>
      <c r="E3219" s="2">
        <v>26220.0</v>
      </c>
      <c r="F3219" s="2" t="s">
        <v>150</v>
      </c>
    </row>
    <row r="3220" ht="15.75" customHeight="1">
      <c r="A3220" s="4" t="s">
        <v>7000</v>
      </c>
      <c r="B3220" s="2" t="s">
        <v>7001</v>
      </c>
      <c r="C3220" s="2">
        <v>82.0</v>
      </c>
      <c r="D3220" s="2">
        <v>69.0</v>
      </c>
      <c r="E3220" s="2" t="s">
        <v>150</v>
      </c>
      <c r="F3220" s="2" t="s">
        <v>150</v>
      </c>
    </row>
    <row r="3221" ht="15.75" customHeight="1">
      <c r="A3221" s="4" t="s">
        <v>7002</v>
      </c>
      <c r="B3221" s="2" t="s">
        <v>7003</v>
      </c>
      <c r="C3221" s="2">
        <v>139.0</v>
      </c>
      <c r="D3221" s="2">
        <v>164.0</v>
      </c>
      <c r="E3221" s="2">
        <v>26350.0</v>
      </c>
      <c r="F3221" s="2" t="s">
        <v>150</v>
      </c>
    </row>
    <row r="3222" ht="15.75" customHeight="1">
      <c r="A3222" s="4" t="s">
        <v>7004</v>
      </c>
      <c r="B3222" s="2" t="s">
        <v>7005</v>
      </c>
      <c r="C3222" s="2">
        <v>69.0</v>
      </c>
      <c r="D3222" s="2">
        <v>65.0</v>
      </c>
      <c r="E3222" s="2" t="s">
        <v>150</v>
      </c>
      <c r="F3222" s="2" t="s">
        <v>150</v>
      </c>
    </row>
    <row r="3223" ht="15.75" customHeight="1">
      <c r="A3223" s="4" t="s">
        <v>7006</v>
      </c>
      <c r="B3223" s="2" t="s">
        <v>7007</v>
      </c>
      <c r="C3223" s="2">
        <v>102.0</v>
      </c>
      <c r="D3223" s="2">
        <v>99.0</v>
      </c>
      <c r="E3223" s="2" t="s">
        <v>150</v>
      </c>
      <c r="F3223" s="2" t="s">
        <v>150</v>
      </c>
    </row>
    <row r="3224" ht="15.75" customHeight="1">
      <c r="A3224" s="4" t="s">
        <v>4830</v>
      </c>
      <c r="B3224" s="2" t="s">
        <v>4831</v>
      </c>
      <c r="C3224" s="2">
        <v>303.0</v>
      </c>
      <c r="D3224" s="2">
        <v>304.0</v>
      </c>
      <c r="E3224" s="2">
        <v>24600.0</v>
      </c>
      <c r="F3224" s="2" t="s">
        <v>150</v>
      </c>
    </row>
    <row r="3225" ht="15.75" customHeight="1">
      <c r="A3225" s="4" t="s">
        <v>4840</v>
      </c>
      <c r="B3225" s="2" t="s">
        <v>4841</v>
      </c>
      <c r="C3225" s="2">
        <v>1436.0</v>
      </c>
      <c r="D3225" s="2">
        <v>1376.0</v>
      </c>
      <c r="E3225" s="2">
        <v>22980.0</v>
      </c>
      <c r="F3225" s="2" t="s">
        <v>150</v>
      </c>
    </row>
    <row r="3226" ht="15.75" customHeight="1">
      <c r="A3226" s="4" t="s">
        <v>7008</v>
      </c>
      <c r="B3226" s="2" t="s">
        <v>7009</v>
      </c>
      <c r="C3226" s="2">
        <v>121.0</v>
      </c>
      <c r="D3226" s="2">
        <v>115.0</v>
      </c>
      <c r="E3226" s="2" t="s">
        <v>150</v>
      </c>
      <c r="F3226" s="2" t="s">
        <v>150</v>
      </c>
    </row>
    <row r="3227" ht="15.75" customHeight="1">
      <c r="A3227" s="4" t="s">
        <v>7010</v>
      </c>
      <c r="B3227" s="2" t="s">
        <v>7011</v>
      </c>
      <c r="C3227" s="2">
        <v>123.0</v>
      </c>
      <c r="D3227" s="2">
        <v>127.0</v>
      </c>
      <c r="E3227" s="2">
        <v>25390.0</v>
      </c>
      <c r="F3227" s="2" t="s">
        <v>150</v>
      </c>
    </row>
    <row r="3228" ht="15.75" customHeight="1">
      <c r="A3228" s="4" t="s">
        <v>7012</v>
      </c>
      <c r="B3228" s="2" t="s">
        <v>7013</v>
      </c>
      <c r="C3228" s="2">
        <v>190.0</v>
      </c>
      <c r="D3228" s="2">
        <v>186.0</v>
      </c>
      <c r="E3228" s="2">
        <v>34520.0</v>
      </c>
      <c r="F3228" s="2" t="s">
        <v>150</v>
      </c>
    </row>
    <row r="3229" ht="15.75" customHeight="1">
      <c r="A3229" s="4" t="s">
        <v>4833</v>
      </c>
      <c r="B3229" s="2" t="s">
        <v>4834</v>
      </c>
      <c r="C3229" s="2">
        <v>278.0</v>
      </c>
      <c r="D3229" s="2">
        <v>270.0</v>
      </c>
      <c r="E3229" s="2">
        <v>23030.0</v>
      </c>
      <c r="F3229" s="2" t="s">
        <v>150</v>
      </c>
    </row>
    <row r="3230" ht="15.75" customHeight="1">
      <c r="A3230" s="4" t="s">
        <v>7014</v>
      </c>
      <c r="B3230" s="2" t="s">
        <v>7015</v>
      </c>
      <c r="C3230" s="2">
        <v>434.0</v>
      </c>
      <c r="D3230" s="2">
        <v>460.0</v>
      </c>
      <c r="E3230" s="2">
        <v>25900.0</v>
      </c>
      <c r="F3230" s="2" t="s">
        <v>150</v>
      </c>
    </row>
    <row r="3231" ht="15.75" customHeight="1">
      <c r="A3231" s="4" t="s">
        <v>5058</v>
      </c>
      <c r="B3231" s="2" t="s">
        <v>5059</v>
      </c>
      <c r="C3231" s="2">
        <v>2012.0</v>
      </c>
      <c r="D3231" s="2">
        <v>1958.0</v>
      </c>
      <c r="E3231" s="2">
        <v>23600.0</v>
      </c>
      <c r="F3231" s="2" t="s">
        <v>150</v>
      </c>
    </row>
    <row r="3232" ht="15.75" customHeight="1">
      <c r="A3232" s="4" t="s">
        <v>4836</v>
      </c>
      <c r="B3232" s="2" t="s">
        <v>4839</v>
      </c>
      <c r="C3232" s="2">
        <v>346.0</v>
      </c>
      <c r="D3232" s="2">
        <v>374.0</v>
      </c>
      <c r="E3232" s="2">
        <v>26280.0</v>
      </c>
      <c r="F3232" s="2" t="s">
        <v>150</v>
      </c>
    </row>
    <row r="3233" ht="15.75" customHeight="1">
      <c r="A3233" s="4" t="s">
        <v>7016</v>
      </c>
      <c r="B3233" s="2" t="s">
        <v>7017</v>
      </c>
      <c r="C3233" s="2">
        <v>298.0</v>
      </c>
      <c r="D3233" s="2">
        <v>281.0</v>
      </c>
      <c r="E3233" s="2">
        <v>24780.0</v>
      </c>
      <c r="F3233" s="2" t="s">
        <v>150</v>
      </c>
    </row>
    <row r="3234" ht="15.75" customHeight="1">
      <c r="A3234" s="4" t="s">
        <v>7018</v>
      </c>
      <c r="B3234" s="2" t="s">
        <v>7019</v>
      </c>
      <c r="C3234" s="2">
        <v>168.0</v>
      </c>
      <c r="D3234" s="2">
        <v>152.0</v>
      </c>
      <c r="E3234" s="2">
        <v>27920.0</v>
      </c>
      <c r="F3234" s="2" t="s">
        <v>150</v>
      </c>
    </row>
    <row r="3235" ht="15.75" customHeight="1">
      <c r="A3235" s="4" t="s">
        <v>7020</v>
      </c>
      <c r="B3235" s="2" t="s">
        <v>7021</v>
      </c>
      <c r="C3235" s="2">
        <v>235.0</v>
      </c>
      <c r="D3235" s="2">
        <v>215.0</v>
      </c>
      <c r="E3235" s="2">
        <v>24560.0</v>
      </c>
      <c r="F3235" s="2" t="s">
        <v>150</v>
      </c>
    </row>
    <row r="3236" ht="15.75" customHeight="1">
      <c r="A3236" s="4" t="s">
        <v>7022</v>
      </c>
      <c r="B3236" s="2" t="s">
        <v>7023</v>
      </c>
      <c r="C3236" s="2">
        <v>155.0</v>
      </c>
      <c r="D3236" s="2">
        <v>150.0</v>
      </c>
      <c r="E3236" s="2">
        <v>27990.0</v>
      </c>
      <c r="F3236" s="2" t="s">
        <v>150</v>
      </c>
    </row>
    <row r="3237" ht="15.75" customHeight="1">
      <c r="A3237" s="4" t="s">
        <v>4842</v>
      </c>
      <c r="B3237" s="2" t="s">
        <v>4843</v>
      </c>
      <c r="C3237" s="2">
        <v>797.0</v>
      </c>
      <c r="D3237" s="2">
        <v>737.0</v>
      </c>
      <c r="E3237" s="2">
        <v>26520.0</v>
      </c>
      <c r="F3237" s="2" t="s">
        <v>150</v>
      </c>
    </row>
    <row r="3238" ht="15.75" customHeight="1">
      <c r="A3238" s="4" t="s">
        <v>4846</v>
      </c>
      <c r="B3238" s="2" t="s">
        <v>4847</v>
      </c>
      <c r="C3238" s="2">
        <v>1246.0</v>
      </c>
      <c r="D3238" s="2">
        <v>1174.0</v>
      </c>
      <c r="E3238" s="2">
        <v>21720.0</v>
      </c>
      <c r="F3238" s="2" t="s">
        <v>150</v>
      </c>
    </row>
    <row r="3239" ht="15.75" customHeight="1">
      <c r="A3239" s="4" t="s">
        <v>4849</v>
      </c>
      <c r="B3239" s="2" t="s">
        <v>4850</v>
      </c>
      <c r="C3239" s="2">
        <v>563.0</v>
      </c>
      <c r="D3239" s="2">
        <v>555.0</v>
      </c>
      <c r="E3239" s="2">
        <v>23580.0</v>
      </c>
      <c r="F3239" s="2" t="s">
        <v>150</v>
      </c>
    </row>
    <row r="3240" ht="15.75" customHeight="1">
      <c r="A3240" s="4" t="s">
        <v>4884</v>
      </c>
      <c r="B3240" s="2" t="s">
        <v>4885</v>
      </c>
      <c r="C3240" s="2">
        <v>493.0</v>
      </c>
      <c r="D3240" s="2">
        <v>524.0</v>
      </c>
      <c r="E3240" s="2">
        <v>27000.0</v>
      </c>
      <c r="F3240" s="2" t="s">
        <v>150</v>
      </c>
    </row>
    <row r="3241" ht="15.75" customHeight="1">
      <c r="A3241" s="4" t="s">
        <v>4852</v>
      </c>
      <c r="B3241" s="2" t="s">
        <v>4854</v>
      </c>
      <c r="C3241" s="2">
        <v>540.0</v>
      </c>
      <c r="D3241" s="2">
        <v>517.0</v>
      </c>
      <c r="E3241" s="2">
        <v>28400.0</v>
      </c>
      <c r="F3241" s="2" t="s">
        <v>150</v>
      </c>
    </row>
    <row r="3242" ht="15.75" customHeight="1">
      <c r="A3242" s="4" t="s">
        <v>7024</v>
      </c>
      <c r="B3242" s="2" t="s">
        <v>7025</v>
      </c>
      <c r="C3242" s="2">
        <v>50.0</v>
      </c>
      <c r="D3242" s="2">
        <v>59.0</v>
      </c>
      <c r="E3242" s="2" t="s">
        <v>150</v>
      </c>
      <c r="F3242" s="2" t="s">
        <v>150</v>
      </c>
    </row>
    <row r="3243" ht="15.75" customHeight="1">
      <c r="A3243" s="4" t="s">
        <v>4856</v>
      </c>
      <c r="B3243" s="2" t="s">
        <v>4857</v>
      </c>
      <c r="C3243" s="2">
        <v>1427.0</v>
      </c>
      <c r="D3243" s="2">
        <v>1389.0</v>
      </c>
      <c r="E3243" s="2">
        <v>26280.0</v>
      </c>
      <c r="F3243" s="2" t="s">
        <v>150</v>
      </c>
    </row>
    <row r="3244" ht="15.75" customHeight="1">
      <c r="A3244" s="4" t="s">
        <v>4860</v>
      </c>
      <c r="B3244" s="2" t="s">
        <v>4861</v>
      </c>
      <c r="C3244" s="2">
        <v>1094.0</v>
      </c>
      <c r="D3244" s="2">
        <v>1081.0</v>
      </c>
      <c r="E3244" s="2">
        <v>23650.0</v>
      </c>
      <c r="F3244" s="2" t="s">
        <v>150</v>
      </c>
    </row>
    <row r="3245" ht="15.75" customHeight="1">
      <c r="A3245" s="4" t="s">
        <v>7026</v>
      </c>
      <c r="B3245" s="2" t="s">
        <v>7027</v>
      </c>
      <c r="C3245" s="2">
        <v>419.0</v>
      </c>
      <c r="D3245" s="2">
        <v>403.0</v>
      </c>
      <c r="E3245" s="2">
        <v>26830.0</v>
      </c>
      <c r="F3245" s="2" t="s">
        <v>150</v>
      </c>
    </row>
    <row r="3246" ht="15.75" customHeight="1">
      <c r="A3246" s="4" t="s">
        <v>7028</v>
      </c>
      <c r="B3246" s="2" t="s">
        <v>7029</v>
      </c>
      <c r="C3246" s="2">
        <v>45.0</v>
      </c>
      <c r="D3246" s="2">
        <v>44.0</v>
      </c>
      <c r="E3246" s="2" t="s">
        <v>150</v>
      </c>
      <c r="F3246" s="2" t="s">
        <v>150</v>
      </c>
    </row>
    <row r="3247" ht="15.75" customHeight="1">
      <c r="A3247" s="4" t="s">
        <v>7030</v>
      </c>
      <c r="B3247" s="2" t="s">
        <v>7031</v>
      </c>
      <c r="C3247" s="2">
        <v>177.0</v>
      </c>
      <c r="D3247" s="2">
        <v>168.0</v>
      </c>
      <c r="E3247" s="2">
        <v>25110.0</v>
      </c>
      <c r="F3247" s="2" t="s">
        <v>150</v>
      </c>
    </row>
    <row r="3248" ht="15.75" customHeight="1">
      <c r="A3248" s="4" t="s">
        <v>4862</v>
      </c>
      <c r="B3248" s="2" t="s">
        <v>4863</v>
      </c>
      <c r="C3248" s="2">
        <v>302.0</v>
      </c>
      <c r="D3248" s="2">
        <v>287.0</v>
      </c>
      <c r="E3248" s="2">
        <v>24920.0</v>
      </c>
      <c r="F3248" s="2" t="s">
        <v>150</v>
      </c>
    </row>
    <row r="3249" ht="15.75" customHeight="1">
      <c r="A3249" s="4" t="s">
        <v>7032</v>
      </c>
      <c r="B3249" s="2" t="s">
        <v>7033</v>
      </c>
      <c r="C3249" s="2">
        <v>350.0</v>
      </c>
      <c r="D3249" s="2">
        <v>346.0</v>
      </c>
      <c r="E3249" s="2">
        <v>27960.0</v>
      </c>
      <c r="F3249" s="2" t="s">
        <v>150</v>
      </c>
    </row>
    <row r="3250" ht="15.75" customHeight="1">
      <c r="A3250" s="4" t="s">
        <v>4866</v>
      </c>
      <c r="B3250" s="2" t="s">
        <v>4868</v>
      </c>
      <c r="C3250" s="2">
        <v>706.0</v>
      </c>
      <c r="D3250" s="2">
        <v>709.0</v>
      </c>
      <c r="E3250" s="2">
        <v>23400.0</v>
      </c>
      <c r="F3250" s="2" t="s">
        <v>150</v>
      </c>
    </row>
    <row r="3251" ht="15.75" customHeight="1">
      <c r="A3251" s="4" t="s">
        <v>4870</v>
      </c>
      <c r="B3251" s="2" t="s">
        <v>4871</v>
      </c>
      <c r="C3251" s="2">
        <v>401.0</v>
      </c>
      <c r="D3251" s="2">
        <v>417.0</v>
      </c>
      <c r="E3251" s="2">
        <v>21920.0</v>
      </c>
      <c r="F3251" s="2" t="s">
        <v>150</v>
      </c>
    </row>
    <row r="3252" ht="15.75" customHeight="1">
      <c r="A3252" s="4" t="s">
        <v>7034</v>
      </c>
      <c r="B3252" s="2" t="s">
        <v>7035</v>
      </c>
      <c r="C3252" s="2">
        <v>311.0</v>
      </c>
      <c r="D3252" s="2">
        <v>308.0</v>
      </c>
      <c r="E3252" s="2">
        <v>25870.0</v>
      </c>
      <c r="F3252" s="2" t="s">
        <v>150</v>
      </c>
    </row>
    <row r="3253" ht="15.75" customHeight="1">
      <c r="A3253" s="4" t="s">
        <v>4872</v>
      </c>
      <c r="B3253" s="2" t="s">
        <v>4873</v>
      </c>
      <c r="C3253" s="2">
        <v>350.0</v>
      </c>
      <c r="D3253" s="2">
        <v>333.0</v>
      </c>
      <c r="E3253" s="2">
        <v>27440.0</v>
      </c>
      <c r="F3253" s="2" t="s">
        <v>150</v>
      </c>
    </row>
    <row r="3254" ht="15.75" customHeight="1">
      <c r="A3254" s="4" t="s">
        <v>7036</v>
      </c>
      <c r="B3254" s="2" t="s">
        <v>7037</v>
      </c>
      <c r="C3254" s="2">
        <v>339.0</v>
      </c>
      <c r="D3254" s="2">
        <v>363.0</v>
      </c>
      <c r="E3254" s="2">
        <v>23660.0</v>
      </c>
      <c r="F3254" s="2" t="s">
        <v>150</v>
      </c>
    </row>
    <row r="3255" ht="15.75" customHeight="1">
      <c r="A3255" s="4" t="s">
        <v>7038</v>
      </c>
      <c r="B3255" s="2" t="s">
        <v>7039</v>
      </c>
      <c r="C3255" s="2">
        <v>240.0</v>
      </c>
      <c r="D3255" s="2">
        <v>250.0</v>
      </c>
      <c r="E3255" s="2">
        <v>22530.0</v>
      </c>
      <c r="F3255" s="2" t="s">
        <v>150</v>
      </c>
    </row>
    <row r="3256" ht="15.75" hidden="1" customHeight="1">
      <c r="A3256" s="4" t="s">
        <v>4876</v>
      </c>
      <c r="B3256" s="2" t="s">
        <v>4877</v>
      </c>
      <c r="C3256" s="2">
        <v>6106.0</v>
      </c>
      <c r="D3256" s="2">
        <v>5751.0</v>
      </c>
      <c r="E3256" s="2">
        <v>20460.0</v>
      </c>
      <c r="F3256" s="2">
        <v>28.0</v>
      </c>
    </row>
    <row r="3257" ht="15.75" customHeight="1">
      <c r="A3257" s="4" t="s">
        <v>4879</v>
      </c>
      <c r="B3257" s="2" t="s">
        <v>4880</v>
      </c>
      <c r="C3257" s="2">
        <v>1653.0</v>
      </c>
      <c r="D3257" s="2">
        <v>1576.0</v>
      </c>
      <c r="E3257" s="2">
        <v>26330.0</v>
      </c>
      <c r="F3257" s="2" t="s">
        <v>150</v>
      </c>
    </row>
    <row r="3258" ht="15.75" customHeight="1">
      <c r="A3258" s="4" t="s">
        <v>7040</v>
      </c>
      <c r="B3258" s="2" t="s">
        <v>7041</v>
      </c>
      <c r="C3258" s="2">
        <v>92.0</v>
      </c>
      <c r="D3258" s="2">
        <v>78.0</v>
      </c>
      <c r="E3258" s="2" t="s">
        <v>150</v>
      </c>
      <c r="F3258" s="2" t="s">
        <v>150</v>
      </c>
    </row>
    <row r="3259" ht="15.75" customHeight="1">
      <c r="A3259" s="4" t="s">
        <v>7042</v>
      </c>
      <c r="B3259" s="2" t="s">
        <v>7043</v>
      </c>
      <c r="C3259" s="2">
        <v>94.0</v>
      </c>
      <c r="D3259" s="2">
        <v>82.0</v>
      </c>
      <c r="E3259" s="2" t="s">
        <v>150</v>
      </c>
      <c r="F3259" s="2" t="s">
        <v>150</v>
      </c>
    </row>
    <row r="3260" ht="15.75" customHeight="1">
      <c r="A3260" s="4" t="s">
        <v>4881</v>
      </c>
      <c r="B3260" s="2" t="s">
        <v>4882</v>
      </c>
      <c r="C3260" s="2">
        <v>921.0</v>
      </c>
      <c r="D3260" s="2">
        <v>887.0</v>
      </c>
      <c r="E3260" s="2">
        <v>31010.0</v>
      </c>
      <c r="F3260" s="2" t="s">
        <v>150</v>
      </c>
    </row>
    <row r="3261" ht="15.75" customHeight="1">
      <c r="A3261" s="4" t="s">
        <v>4883</v>
      </c>
      <c r="B3261" s="2" t="s">
        <v>1148</v>
      </c>
      <c r="C3261" s="2">
        <v>1430.0</v>
      </c>
      <c r="D3261" s="2">
        <v>1441.0</v>
      </c>
      <c r="E3261" s="2">
        <v>38400.0</v>
      </c>
      <c r="F3261" s="2" t="s">
        <v>150</v>
      </c>
    </row>
    <row r="3262" ht="15.75" customHeight="1">
      <c r="A3262" s="4" t="s">
        <v>7044</v>
      </c>
      <c r="B3262" s="2" t="s">
        <v>7045</v>
      </c>
      <c r="C3262" s="2">
        <v>424.0</v>
      </c>
      <c r="D3262" s="2">
        <v>357.0</v>
      </c>
      <c r="E3262" s="2">
        <v>26090.0</v>
      </c>
      <c r="F3262" s="2" t="s">
        <v>150</v>
      </c>
    </row>
    <row r="3263" ht="15.75" customHeight="1">
      <c r="A3263" s="4" t="s">
        <v>7046</v>
      </c>
      <c r="B3263" s="2" t="s">
        <v>7047</v>
      </c>
      <c r="C3263" s="2">
        <v>53.0</v>
      </c>
      <c r="D3263" s="2">
        <v>43.0</v>
      </c>
      <c r="E3263" s="2" t="s">
        <v>150</v>
      </c>
      <c r="F3263" s="2" t="s">
        <v>150</v>
      </c>
    </row>
    <row r="3264" ht="15.75" customHeight="1">
      <c r="A3264" s="4" t="s">
        <v>7048</v>
      </c>
      <c r="B3264" s="2" t="s">
        <v>7049</v>
      </c>
      <c r="C3264" s="2">
        <v>81.0</v>
      </c>
      <c r="D3264" s="2">
        <v>85.0</v>
      </c>
      <c r="E3264" s="2" t="s">
        <v>150</v>
      </c>
      <c r="F3264" s="2" t="s">
        <v>150</v>
      </c>
    </row>
    <row r="3265" ht="15.75" customHeight="1">
      <c r="A3265" s="4" t="s">
        <v>4888</v>
      </c>
      <c r="B3265" s="2" t="s">
        <v>4889</v>
      </c>
      <c r="C3265" s="2">
        <v>557.0</v>
      </c>
      <c r="D3265" s="2">
        <v>560.0</v>
      </c>
      <c r="E3265" s="2">
        <v>23580.0</v>
      </c>
      <c r="F3265" s="2" t="s">
        <v>150</v>
      </c>
    </row>
    <row r="3266" ht="15.75" customHeight="1">
      <c r="A3266" s="4" t="s">
        <v>7050</v>
      </c>
      <c r="B3266" s="2" t="s">
        <v>7051</v>
      </c>
      <c r="C3266" s="2">
        <v>299.0</v>
      </c>
      <c r="D3266" s="2">
        <v>282.0</v>
      </c>
      <c r="E3266" s="2">
        <v>24590.0</v>
      </c>
      <c r="F3266" s="2" t="s">
        <v>150</v>
      </c>
    </row>
    <row r="3267" ht="15.75" customHeight="1">
      <c r="A3267" s="4" t="s">
        <v>7052</v>
      </c>
      <c r="B3267" s="2" t="s">
        <v>7053</v>
      </c>
      <c r="C3267" s="2">
        <v>262.0</v>
      </c>
      <c r="D3267" s="2">
        <v>241.0</v>
      </c>
      <c r="E3267" s="2">
        <v>24640.0</v>
      </c>
      <c r="F3267" s="2" t="s">
        <v>150</v>
      </c>
    </row>
    <row r="3268" ht="15.75" customHeight="1">
      <c r="A3268" s="4" t="s">
        <v>5361</v>
      </c>
      <c r="B3268" s="2" t="s">
        <v>5362</v>
      </c>
      <c r="C3268" s="2">
        <v>544.0</v>
      </c>
      <c r="D3268" s="2">
        <v>510.0</v>
      </c>
      <c r="E3268" s="2">
        <v>27840.0</v>
      </c>
      <c r="F3268" s="2" t="s">
        <v>150</v>
      </c>
    </row>
    <row r="3269" ht="15.75" customHeight="1">
      <c r="A3269" s="4" t="s">
        <v>7054</v>
      </c>
      <c r="B3269" s="2" t="s">
        <v>7055</v>
      </c>
      <c r="C3269" s="2">
        <v>133.0</v>
      </c>
      <c r="D3269" s="2">
        <v>104.0</v>
      </c>
      <c r="E3269" s="2">
        <v>22310.0</v>
      </c>
      <c r="F3269" s="2" t="s">
        <v>150</v>
      </c>
    </row>
    <row r="3270" ht="15.75" customHeight="1">
      <c r="A3270" s="4" t="s">
        <v>7056</v>
      </c>
      <c r="B3270" s="2" t="s">
        <v>7057</v>
      </c>
      <c r="C3270" s="2">
        <v>5.0</v>
      </c>
      <c r="D3270" s="2">
        <v>7.0</v>
      </c>
      <c r="E3270" s="2" t="s">
        <v>150</v>
      </c>
      <c r="F3270" s="2" t="s">
        <v>150</v>
      </c>
    </row>
    <row r="3271" ht="15.75" customHeight="1">
      <c r="A3271" s="4" t="s">
        <v>5364</v>
      </c>
      <c r="B3271" s="2" t="s">
        <v>5366</v>
      </c>
      <c r="C3271" s="2">
        <v>1145.0</v>
      </c>
      <c r="D3271" s="2">
        <v>1099.0</v>
      </c>
      <c r="E3271" s="2">
        <v>22400.0</v>
      </c>
      <c r="F3271" s="2" t="s">
        <v>150</v>
      </c>
    </row>
    <row r="3272" ht="15.75" customHeight="1">
      <c r="A3272" s="4" t="s">
        <v>7058</v>
      </c>
      <c r="B3272" s="2" t="s">
        <v>7059</v>
      </c>
      <c r="C3272" s="2">
        <v>123.0</v>
      </c>
      <c r="D3272" s="2">
        <v>129.0</v>
      </c>
      <c r="E3272" s="2">
        <v>23620.0</v>
      </c>
      <c r="F3272" s="2" t="s">
        <v>150</v>
      </c>
    </row>
    <row r="3273" ht="15.75" customHeight="1">
      <c r="A3273" s="4" t="s">
        <v>7060</v>
      </c>
      <c r="B3273" s="2" t="s">
        <v>7061</v>
      </c>
      <c r="C3273" s="2">
        <v>361.0</v>
      </c>
      <c r="D3273" s="2">
        <v>342.0</v>
      </c>
      <c r="E3273" s="2">
        <v>27180.0</v>
      </c>
      <c r="F3273" s="2" t="s">
        <v>150</v>
      </c>
    </row>
    <row r="3274" ht="15.75" customHeight="1">
      <c r="A3274" s="4" t="s">
        <v>4890</v>
      </c>
      <c r="B3274" s="2" t="s">
        <v>4891</v>
      </c>
      <c r="C3274" s="2">
        <v>1816.0</v>
      </c>
      <c r="D3274" s="2">
        <v>1704.0</v>
      </c>
      <c r="E3274" s="2">
        <v>22880.0</v>
      </c>
      <c r="F3274" s="2" t="s">
        <v>150</v>
      </c>
    </row>
    <row r="3275" ht="15.75" customHeight="1">
      <c r="A3275" s="4" t="s">
        <v>7062</v>
      </c>
      <c r="B3275" s="2" t="s">
        <v>7063</v>
      </c>
      <c r="C3275" s="2">
        <v>298.0</v>
      </c>
      <c r="D3275" s="2">
        <v>300.0</v>
      </c>
      <c r="E3275" s="2">
        <v>24910.0</v>
      </c>
      <c r="F3275" s="2" t="s">
        <v>150</v>
      </c>
    </row>
    <row r="3276" ht="15.75" customHeight="1">
      <c r="A3276" s="4" t="s">
        <v>7064</v>
      </c>
      <c r="B3276" s="2" t="s">
        <v>7065</v>
      </c>
      <c r="C3276" s="2">
        <v>296.0</v>
      </c>
      <c r="D3276" s="2">
        <v>276.0</v>
      </c>
      <c r="E3276" s="2">
        <v>27370.0</v>
      </c>
      <c r="F3276" s="2" t="s">
        <v>150</v>
      </c>
    </row>
    <row r="3277" ht="15.75" customHeight="1">
      <c r="A3277" s="4" t="s">
        <v>7066</v>
      </c>
      <c r="B3277" s="2" t="s">
        <v>7067</v>
      </c>
      <c r="C3277" s="2">
        <v>187.0</v>
      </c>
      <c r="D3277" s="2">
        <v>201.0</v>
      </c>
      <c r="E3277" s="2">
        <v>25970.0</v>
      </c>
      <c r="F3277" s="2" t="s">
        <v>150</v>
      </c>
    </row>
    <row r="3278" ht="15.75" customHeight="1">
      <c r="A3278" s="4" t="s">
        <v>7068</v>
      </c>
      <c r="B3278" s="2" t="s">
        <v>7069</v>
      </c>
      <c r="C3278" s="2">
        <v>785.0</v>
      </c>
      <c r="D3278" s="2">
        <v>751.0</v>
      </c>
      <c r="E3278" s="2">
        <v>24060.0</v>
      </c>
      <c r="F3278" s="2" t="s">
        <v>150</v>
      </c>
    </row>
    <row r="3279" ht="15.75" customHeight="1">
      <c r="A3279" s="4" t="s">
        <v>7070</v>
      </c>
      <c r="B3279" s="2" t="s">
        <v>7071</v>
      </c>
      <c r="C3279" s="2">
        <v>122.0</v>
      </c>
      <c r="D3279" s="2">
        <v>132.0</v>
      </c>
      <c r="E3279" s="2">
        <v>21770.0</v>
      </c>
      <c r="F3279" s="2" t="s">
        <v>150</v>
      </c>
    </row>
    <row r="3280" ht="15.75" customHeight="1">
      <c r="A3280" s="4" t="s">
        <v>7072</v>
      </c>
      <c r="B3280" s="2" t="s">
        <v>7073</v>
      </c>
      <c r="C3280" s="2">
        <v>180.0</v>
      </c>
      <c r="D3280" s="2">
        <v>159.0</v>
      </c>
      <c r="E3280" s="2">
        <v>26360.0</v>
      </c>
      <c r="F3280" s="2" t="s">
        <v>150</v>
      </c>
    </row>
    <row r="3281" ht="15.75" customHeight="1">
      <c r="A3281" s="4" t="s">
        <v>5368</v>
      </c>
      <c r="B3281" s="2" t="s">
        <v>5370</v>
      </c>
      <c r="C3281" s="2">
        <v>511.0</v>
      </c>
      <c r="D3281" s="2">
        <v>504.0</v>
      </c>
      <c r="E3281" s="2">
        <v>25760.0</v>
      </c>
      <c r="F3281" s="2" t="s">
        <v>150</v>
      </c>
    </row>
    <row r="3282" ht="15.75" customHeight="1">
      <c r="A3282" s="4" t="s">
        <v>7074</v>
      </c>
      <c r="B3282" s="2" t="s">
        <v>7075</v>
      </c>
      <c r="C3282" s="2">
        <v>167.0</v>
      </c>
      <c r="D3282" s="2">
        <v>159.0</v>
      </c>
      <c r="E3282" s="2">
        <v>25470.0</v>
      </c>
      <c r="F3282" s="2" t="s">
        <v>150</v>
      </c>
    </row>
    <row r="3283" ht="15.75" customHeight="1">
      <c r="A3283" s="4" t="s">
        <v>4892</v>
      </c>
      <c r="B3283" s="2" t="s">
        <v>4893</v>
      </c>
      <c r="C3283" s="2">
        <v>767.0</v>
      </c>
      <c r="D3283" s="2">
        <v>715.0</v>
      </c>
      <c r="E3283" s="2">
        <v>23880.0</v>
      </c>
      <c r="F3283" s="2" t="s">
        <v>150</v>
      </c>
    </row>
    <row r="3284" ht="15.75" customHeight="1">
      <c r="A3284" s="4" t="s">
        <v>7076</v>
      </c>
      <c r="B3284" s="2" t="s">
        <v>7077</v>
      </c>
      <c r="C3284" s="2">
        <v>262.0</v>
      </c>
      <c r="D3284" s="2">
        <v>270.0</v>
      </c>
      <c r="E3284" s="2">
        <v>28500.0</v>
      </c>
      <c r="F3284" s="2" t="s">
        <v>150</v>
      </c>
    </row>
    <row r="3285" ht="15.75" customHeight="1">
      <c r="A3285" s="4" t="s">
        <v>7078</v>
      </c>
      <c r="B3285" s="2" t="s">
        <v>7079</v>
      </c>
      <c r="C3285" s="2">
        <v>243.0</v>
      </c>
      <c r="D3285" s="2">
        <v>244.0</v>
      </c>
      <c r="E3285" s="2">
        <v>26470.0</v>
      </c>
      <c r="F3285" s="2" t="s">
        <v>150</v>
      </c>
    </row>
    <row r="3286" ht="15.75" customHeight="1">
      <c r="A3286" s="4" t="s">
        <v>4894</v>
      </c>
      <c r="B3286" s="2" t="s">
        <v>4895</v>
      </c>
      <c r="C3286" s="2">
        <v>330.0</v>
      </c>
      <c r="D3286" s="2">
        <v>379.0</v>
      </c>
      <c r="E3286" s="2">
        <v>24240.0</v>
      </c>
      <c r="F3286" s="2" t="s">
        <v>150</v>
      </c>
    </row>
    <row r="3287" ht="15.75" customHeight="1">
      <c r="A3287" s="4" t="s">
        <v>7080</v>
      </c>
      <c r="B3287" s="2" t="s">
        <v>7081</v>
      </c>
      <c r="C3287" s="2">
        <v>391.0</v>
      </c>
      <c r="D3287" s="2">
        <v>398.0</v>
      </c>
      <c r="E3287" s="2">
        <v>22130.0</v>
      </c>
      <c r="F3287" s="2" t="s">
        <v>150</v>
      </c>
    </row>
    <row r="3288" ht="15.75" customHeight="1">
      <c r="A3288" s="4" t="s">
        <v>7082</v>
      </c>
      <c r="B3288" s="2" t="s">
        <v>7083</v>
      </c>
      <c r="C3288" s="2">
        <v>270.0</v>
      </c>
      <c r="D3288" s="2">
        <v>287.0</v>
      </c>
      <c r="E3288" s="2">
        <v>31750.0</v>
      </c>
      <c r="F3288" s="2" t="s">
        <v>150</v>
      </c>
    </row>
    <row r="3289" ht="15.75" customHeight="1">
      <c r="A3289" s="4" t="s">
        <v>7084</v>
      </c>
      <c r="B3289" s="2" t="s">
        <v>7085</v>
      </c>
      <c r="C3289" s="2">
        <v>136.0</v>
      </c>
      <c r="D3289" s="2">
        <v>126.0</v>
      </c>
      <c r="E3289" s="2">
        <v>27540.0</v>
      </c>
      <c r="F3289" s="2" t="s">
        <v>150</v>
      </c>
    </row>
    <row r="3290" ht="15.75" customHeight="1">
      <c r="A3290" s="4" t="s">
        <v>7086</v>
      </c>
      <c r="B3290" s="2" t="s">
        <v>7087</v>
      </c>
      <c r="C3290" s="2">
        <v>378.0</v>
      </c>
      <c r="D3290" s="2">
        <v>348.0</v>
      </c>
      <c r="E3290" s="2">
        <v>28130.0</v>
      </c>
      <c r="F3290" s="2" t="s">
        <v>150</v>
      </c>
    </row>
    <row r="3291" ht="15.75" customHeight="1">
      <c r="A3291" s="4" t="s">
        <v>7088</v>
      </c>
      <c r="B3291" s="2" t="s">
        <v>6130</v>
      </c>
      <c r="C3291" s="2">
        <v>168.0</v>
      </c>
      <c r="D3291" s="2">
        <v>166.0</v>
      </c>
      <c r="E3291" s="2">
        <v>22580.0</v>
      </c>
      <c r="F3291" s="2" t="s">
        <v>150</v>
      </c>
    </row>
    <row r="3292" ht="15.75" customHeight="1">
      <c r="A3292" s="4" t="s">
        <v>5372</v>
      </c>
      <c r="B3292" s="2" t="s">
        <v>5373</v>
      </c>
      <c r="C3292" s="2">
        <v>592.0</v>
      </c>
      <c r="D3292" s="2">
        <v>589.0</v>
      </c>
      <c r="E3292" s="2">
        <v>25070.0</v>
      </c>
      <c r="F3292" s="2" t="s">
        <v>150</v>
      </c>
    </row>
    <row r="3293" ht="15.75" customHeight="1">
      <c r="A3293" s="4" t="s">
        <v>5032</v>
      </c>
      <c r="B3293" s="2" t="s">
        <v>5033</v>
      </c>
      <c r="C3293" s="2">
        <v>1194.0</v>
      </c>
      <c r="D3293" s="2">
        <v>1128.0</v>
      </c>
      <c r="E3293" s="2">
        <v>21430.0</v>
      </c>
      <c r="F3293" s="2" t="s">
        <v>150</v>
      </c>
    </row>
    <row r="3294" ht="15.75" customHeight="1">
      <c r="A3294" s="4" t="s">
        <v>7089</v>
      </c>
      <c r="B3294" s="2" t="s">
        <v>7090</v>
      </c>
      <c r="C3294" s="2">
        <v>44.0</v>
      </c>
      <c r="D3294" s="2">
        <v>42.0</v>
      </c>
      <c r="E3294" s="2" t="s">
        <v>150</v>
      </c>
      <c r="F3294" s="2" t="s">
        <v>150</v>
      </c>
    </row>
    <row r="3295" ht="15.75" customHeight="1">
      <c r="A3295" s="4" t="s">
        <v>7091</v>
      </c>
      <c r="B3295" s="2" t="s">
        <v>7092</v>
      </c>
      <c r="C3295" s="2">
        <v>531.0</v>
      </c>
      <c r="D3295" s="2">
        <v>510.0</v>
      </c>
      <c r="E3295" s="2">
        <v>24740.0</v>
      </c>
      <c r="F3295" s="2" t="s">
        <v>150</v>
      </c>
    </row>
    <row r="3296" ht="15.75" customHeight="1">
      <c r="A3296" s="4" t="s">
        <v>5038</v>
      </c>
      <c r="B3296" s="2" t="s">
        <v>5039</v>
      </c>
      <c r="C3296" s="2">
        <v>231.0</v>
      </c>
      <c r="D3296" s="2">
        <v>204.0</v>
      </c>
      <c r="E3296" s="2">
        <v>24180.0</v>
      </c>
      <c r="F3296" s="2" t="s">
        <v>150</v>
      </c>
    </row>
    <row r="3297" ht="15.75" customHeight="1">
      <c r="A3297" s="4" t="s">
        <v>7093</v>
      </c>
      <c r="B3297" s="2" t="s">
        <v>7094</v>
      </c>
      <c r="C3297" s="2">
        <v>150.0</v>
      </c>
      <c r="D3297" s="2">
        <v>163.0</v>
      </c>
      <c r="E3297" s="2">
        <v>25430.0</v>
      </c>
      <c r="F3297" s="2" t="s">
        <v>150</v>
      </c>
    </row>
    <row r="3298" ht="15.75" customHeight="1">
      <c r="A3298" s="4" t="s">
        <v>7095</v>
      </c>
      <c r="B3298" s="2" t="s">
        <v>6134</v>
      </c>
      <c r="C3298" s="2">
        <v>266.0</v>
      </c>
      <c r="D3298" s="2">
        <v>270.0</v>
      </c>
      <c r="E3298" s="2">
        <v>26340.0</v>
      </c>
      <c r="F3298" s="2" t="s">
        <v>150</v>
      </c>
    </row>
    <row r="3299" ht="15.75" customHeight="1">
      <c r="A3299" s="4" t="s">
        <v>7096</v>
      </c>
      <c r="B3299" s="2" t="s">
        <v>1228</v>
      </c>
      <c r="C3299" s="2">
        <v>161.0</v>
      </c>
      <c r="D3299" s="2">
        <v>171.0</v>
      </c>
      <c r="E3299" s="2">
        <v>26480.0</v>
      </c>
      <c r="F3299" s="2" t="s">
        <v>150</v>
      </c>
    </row>
    <row r="3300" ht="15.75" customHeight="1">
      <c r="A3300" s="4" t="s">
        <v>4902</v>
      </c>
      <c r="B3300" s="2" t="s">
        <v>4903</v>
      </c>
      <c r="C3300" s="2">
        <v>462.0</v>
      </c>
      <c r="D3300" s="2">
        <v>453.0</v>
      </c>
      <c r="E3300" s="2">
        <v>25780.0</v>
      </c>
      <c r="F3300" s="2" t="s">
        <v>150</v>
      </c>
    </row>
    <row r="3301" ht="15.75" customHeight="1">
      <c r="A3301" s="4" t="s">
        <v>7097</v>
      </c>
      <c r="B3301" s="2" t="s">
        <v>7098</v>
      </c>
      <c r="C3301" s="2">
        <v>103.0</v>
      </c>
      <c r="D3301" s="2">
        <v>91.0</v>
      </c>
      <c r="E3301" s="2">
        <v>23850.0</v>
      </c>
      <c r="F3301" s="2" t="s">
        <v>150</v>
      </c>
    </row>
    <row r="3302" ht="15.75" customHeight="1">
      <c r="A3302" s="4" t="s">
        <v>7099</v>
      </c>
      <c r="B3302" s="2" t="s">
        <v>5378</v>
      </c>
      <c r="C3302" s="2">
        <v>477.0</v>
      </c>
      <c r="D3302" s="2">
        <v>496.0</v>
      </c>
      <c r="E3302" s="2">
        <v>31800.0</v>
      </c>
      <c r="F3302" s="2" t="s">
        <v>150</v>
      </c>
    </row>
    <row r="3303" ht="15.75" customHeight="1">
      <c r="A3303" s="4" t="s">
        <v>7100</v>
      </c>
      <c r="B3303" s="2" t="s">
        <v>7101</v>
      </c>
      <c r="C3303" s="2">
        <v>138.0</v>
      </c>
      <c r="D3303" s="2">
        <v>136.0</v>
      </c>
      <c r="E3303" s="2">
        <v>24000.0</v>
      </c>
      <c r="F3303" s="2" t="s">
        <v>150</v>
      </c>
    </row>
    <row r="3304" ht="15.75" customHeight="1">
      <c r="A3304" s="4" t="s">
        <v>7102</v>
      </c>
      <c r="B3304" s="2" t="s">
        <v>7103</v>
      </c>
      <c r="C3304" s="2">
        <v>147.0</v>
      </c>
      <c r="D3304" s="2">
        <v>155.0</v>
      </c>
      <c r="E3304" s="2">
        <v>23270.0</v>
      </c>
      <c r="F3304" s="2" t="s">
        <v>150</v>
      </c>
    </row>
    <row r="3305" ht="15.75" hidden="1" customHeight="1">
      <c r="A3305" s="4" t="s">
        <v>4914</v>
      </c>
      <c r="B3305" s="2" t="s">
        <v>4915</v>
      </c>
      <c r="C3305" s="2">
        <v>2570.0</v>
      </c>
      <c r="D3305" s="2">
        <v>2414.0</v>
      </c>
      <c r="E3305" s="2">
        <v>22930.0</v>
      </c>
      <c r="F3305" s="2">
        <v>16.0</v>
      </c>
    </row>
    <row r="3306" ht="15.75" customHeight="1">
      <c r="A3306" s="4" t="s">
        <v>4920</v>
      </c>
      <c r="B3306" s="2" t="s">
        <v>4921</v>
      </c>
      <c r="C3306" s="2">
        <v>686.0</v>
      </c>
      <c r="D3306" s="2">
        <v>663.0</v>
      </c>
      <c r="E3306" s="2">
        <v>23910.0</v>
      </c>
      <c r="F3306" s="2" t="s">
        <v>150</v>
      </c>
    </row>
    <row r="3307" ht="15.75" customHeight="1">
      <c r="A3307" s="4" t="s">
        <v>7104</v>
      </c>
      <c r="B3307" s="2" t="s">
        <v>7105</v>
      </c>
      <c r="C3307" s="2">
        <v>154.0</v>
      </c>
      <c r="D3307" s="2">
        <v>142.0</v>
      </c>
      <c r="E3307" s="2">
        <v>28050.0</v>
      </c>
      <c r="F3307" s="2" t="s">
        <v>150</v>
      </c>
    </row>
    <row r="3308" ht="15.75" customHeight="1">
      <c r="A3308" s="4" t="s">
        <v>7106</v>
      </c>
      <c r="B3308" s="2" t="s">
        <v>7107</v>
      </c>
      <c r="C3308" s="2">
        <v>277.0</v>
      </c>
      <c r="D3308" s="2">
        <v>278.0</v>
      </c>
      <c r="E3308" s="2">
        <v>24370.0</v>
      </c>
      <c r="F3308" s="2" t="s">
        <v>150</v>
      </c>
    </row>
    <row r="3309" ht="15.75" customHeight="1">
      <c r="A3309" s="4" t="s">
        <v>7108</v>
      </c>
      <c r="B3309" s="2" t="s">
        <v>7109</v>
      </c>
      <c r="C3309" s="2">
        <v>291.0</v>
      </c>
      <c r="D3309" s="2">
        <v>299.0</v>
      </c>
      <c r="E3309" s="2">
        <v>25530.0</v>
      </c>
      <c r="F3309" s="2" t="s">
        <v>150</v>
      </c>
    </row>
    <row r="3310" ht="15.75" customHeight="1">
      <c r="A3310" s="4" t="s">
        <v>7110</v>
      </c>
      <c r="B3310" s="2" t="s">
        <v>6146</v>
      </c>
      <c r="C3310" s="2">
        <v>195.0</v>
      </c>
      <c r="D3310" s="2">
        <v>190.0</v>
      </c>
      <c r="E3310" s="2">
        <v>25010.0</v>
      </c>
      <c r="F3310" s="2" t="s">
        <v>150</v>
      </c>
    </row>
    <row r="3311" ht="15.75" customHeight="1">
      <c r="A3311" s="4" t="s">
        <v>4924</v>
      </c>
      <c r="B3311" s="2" t="s">
        <v>4925</v>
      </c>
      <c r="C3311" s="2">
        <v>506.0</v>
      </c>
      <c r="D3311" s="2">
        <v>531.0</v>
      </c>
      <c r="E3311" s="2">
        <v>29880.0</v>
      </c>
      <c r="F3311" s="2" t="s">
        <v>150</v>
      </c>
    </row>
    <row r="3312" ht="15.75" customHeight="1">
      <c r="A3312" s="4" t="s">
        <v>4926</v>
      </c>
      <c r="B3312" s="2" t="s">
        <v>4927</v>
      </c>
      <c r="C3312" s="2">
        <v>2063.0</v>
      </c>
      <c r="D3312" s="2">
        <v>1937.0</v>
      </c>
      <c r="E3312" s="2">
        <v>26460.0</v>
      </c>
      <c r="F3312" s="2" t="s">
        <v>150</v>
      </c>
    </row>
    <row r="3313" ht="15.75" customHeight="1">
      <c r="A3313" s="4" t="s">
        <v>7111</v>
      </c>
      <c r="B3313" s="2" t="s">
        <v>1260</v>
      </c>
      <c r="C3313" s="2">
        <v>223.0</v>
      </c>
      <c r="D3313" s="2">
        <v>206.0</v>
      </c>
      <c r="E3313" s="2">
        <v>26200.0</v>
      </c>
      <c r="F3313" s="2" t="s">
        <v>150</v>
      </c>
    </row>
    <row r="3314" ht="15.75" hidden="1" customHeight="1">
      <c r="A3314" s="4" t="s">
        <v>4930</v>
      </c>
      <c r="B3314" s="2" t="s">
        <v>4931</v>
      </c>
      <c r="C3314" s="2">
        <v>3173.0</v>
      </c>
      <c r="D3314" s="2">
        <v>3221.0</v>
      </c>
      <c r="E3314" s="2">
        <v>21580.0</v>
      </c>
      <c r="F3314" s="2">
        <v>20.0</v>
      </c>
    </row>
    <row r="3315" ht="15.75" customHeight="1">
      <c r="A3315" s="4" t="s">
        <v>7112</v>
      </c>
      <c r="B3315" s="2" t="s">
        <v>7113</v>
      </c>
      <c r="C3315" s="2">
        <v>332.0</v>
      </c>
      <c r="D3315" s="2">
        <v>320.0</v>
      </c>
      <c r="E3315" s="2">
        <v>29260.0</v>
      </c>
      <c r="F3315" s="2" t="s">
        <v>150</v>
      </c>
    </row>
    <row r="3316" ht="15.75" customHeight="1">
      <c r="A3316" s="4" t="s">
        <v>7114</v>
      </c>
      <c r="B3316" s="2" t="s">
        <v>7115</v>
      </c>
      <c r="C3316" s="2">
        <v>146.0</v>
      </c>
      <c r="D3316" s="2">
        <v>152.0</v>
      </c>
      <c r="E3316" s="2">
        <v>26960.0</v>
      </c>
      <c r="F3316" s="2" t="s">
        <v>150</v>
      </c>
    </row>
    <row r="3317" ht="15.75" customHeight="1">
      <c r="A3317" s="4" t="s">
        <v>7116</v>
      </c>
      <c r="B3317" s="2" t="s">
        <v>7117</v>
      </c>
      <c r="C3317" s="2">
        <v>146.0</v>
      </c>
      <c r="D3317" s="2">
        <v>154.0</v>
      </c>
      <c r="E3317" s="2">
        <v>26710.0</v>
      </c>
      <c r="F3317" s="2" t="s">
        <v>150</v>
      </c>
    </row>
    <row r="3318" ht="15.75" customHeight="1">
      <c r="A3318" s="4" t="s">
        <v>4932</v>
      </c>
      <c r="B3318" s="2" t="s">
        <v>4933</v>
      </c>
      <c r="C3318" s="2">
        <v>164.0</v>
      </c>
      <c r="D3318" s="2">
        <v>168.0</v>
      </c>
      <c r="E3318" s="2">
        <v>20870.0</v>
      </c>
      <c r="F3318" s="2" t="s">
        <v>150</v>
      </c>
    </row>
    <row r="3319" ht="15.75" customHeight="1">
      <c r="A3319" s="4" t="s">
        <v>7118</v>
      </c>
      <c r="B3319" s="2" t="s">
        <v>7119</v>
      </c>
      <c r="C3319" s="2">
        <v>154.0</v>
      </c>
      <c r="D3319" s="2">
        <v>143.0</v>
      </c>
      <c r="E3319" s="2">
        <v>26630.0</v>
      </c>
      <c r="F3319" s="2" t="s">
        <v>150</v>
      </c>
    </row>
    <row r="3320" ht="15.75" customHeight="1">
      <c r="A3320" s="4" t="s">
        <v>7120</v>
      </c>
      <c r="B3320" s="2" t="s">
        <v>7121</v>
      </c>
      <c r="C3320" s="2">
        <v>51.0</v>
      </c>
      <c r="D3320" s="2">
        <v>54.0</v>
      </c>
      <c r="E3320" s="2" t="s">
        <v>150</v>
      </c>
      <c r="F3320" s="2" t="s">
        <v>150</v>
      </c>
    </row>
    <row r="3321" ht="15.75" customHeight="1">
      <c r="A3321" s="4" t="s">
        <v>7122</v>
      </c>
      <c r="B3321" s="2" t="s">
        <v>7123</v>
      </c>
      <c r="C3321" s="2">
        <v>108.0</v>
      </c>
      <c r="D3321" s="2">
        <v>97.0</v>
      </c>
      <c r="E3321" s="2" t="s">
        <v>150</v>
      </c>
      <c r="F3321" s="2" t="s">
        <v>150</v>
      </c>
    </row>
    <row r="3322" ht="15.75" customHeight="1">
      <c r="A3322" s="4" t="s">
        <v>7124</v>
      </c>
      <c r="B3322" s="2" t="s">
        <v>7125</v>
      </c>
      <c r="C3322" s="2">
        <v>161.0</v>
      </c>
      <c r="D3322" s="2">
        <v>162.0</v>
      </c>
      <c r="E3322" s="2">
        <v>26980.0</v>
      </c>
      <c r="F3322" s="2" t="s">
        <v>150</v>
      </c>
    </row>
    <row r="3323" ht="15.75" customHeight="1">
      <c r="A3323" s="4" t="s">
        <v>4935</v>
      </c>
      <c r="B3323" s="2" t="s">
        <v>4936</v>
      </c>
      <c r="C3323" s="2">
        <v>518.0</v>
      </c>
      <c r="D3323" s="2">
        <v>502.0</v>
      </c>
      <c r="E3323" s="2">
        <v>23590.0</v>
      </c>
      <c r="F3323" s="2" t="s">
        <v>150</v>
      </c>
    </row>
    <row r="3324" ht="15.75" customHeight="1">
      <c r="A3324" s="4" t="s">
        <v>7126</v>
      </c>
      <c r="B3324" s="2" t="s">
        <v>7127</v>
      </c>
      <c r="C3324" s="2">
        <v>175.0</v>
      </c>
      <c r="D3324" s="2">
        <v>163.0</v>
      </c>
      <c r="E3324" s="2">
        <v>25700.0</v>
      </c>
      <c r="F3324" s="2" t="s">
        <v>150</v>
      </c>
    </row>
    <row r="3325" ht="15.75" customHeight="1">
      <c r="A3325" s="4" t="s">
        <v>7128</v>
      </c>
      <c r="B3325" s="2" t="s">
        <v>7129</v>
      </c>
      <c r="C3325" s="2">
        <v>238.0</v>
      </c>
      <c r="D3325" s="2">
        <v>226.0</v>
      </c>
      <c r="E3325" s="2">
        <v>24870.0</v>
      </c>
      <c r="F3325" s="2" t="s">
        <v>150</v>
      </c>
    </row>
    <row r="3326" ht="15.75" customHeight="1">
      <c r="A3326" s="4" t="s">
        <v>4938</v>
      </c>
      <c r="B3326" s="2" t="s">
        <v>4939</v>
      </c>
      <c r="C3326" s="2">
        <v>301.0</v>
      </c>
      <c r="D3326" s="2">
        <v>314.0</v>
      </c>
      <c r="E3326" s="2">
        <v>25420.0</v>
      </c>
      <c r="F3326" s="2" t="s">
        <v>150</v>
      </c>
    </row>
    <row r="3327" ht="15.75" customHeight="1">
      <c r="A3327" s="4" t="s">
        <v>7130</v>
      </c>
      <c r="B3327" s="2" t="s">
        <v>7131</v>
      </c>
      <c r="C3327" s="2">
        <v>399.0</v>
      </c>
      <c r="D3327" s="2">
        <v>382.0</v>
      </c>
      <c r="E3327" s="2">
        <v>24450.0</v>
      </c>
      <c r="F3327" s="2" t="s">
        <v>150</v>
      </c>
    </row>
    <row r="3328" ht="15.75" customHeight="1">
      <c r="A3328" s="4" t="s">
        <v>4941</v>
      </c>
      <c r="B3328" s="2" t="s">
        <v>4943</v>
      </c>
      <c r="C3328" s="2">
        <v>1259.0</v>
      </c>
      <c r="D3328" s="2">
        <v>1363.0</v>
      </c>
      <c r="E3328" s="2">
        <v>25320.0</v>
      </c>
      <c r="F3328" s="2" t="s">
        <v>150</v>
      </c>
    </row>
    <row r="3329" ht="15.75" customHeight="1">
      <c r="A3329" s="4" t="s">
        <v>7132</v>
      </c>
      <c r="B3329" s="2" t="s">
        <v>7133</v>
      </c>
      <c r="C3329" s="2">
        <v>93.0</v>
      </c>
      <c r="D3329" s="2">
        <v>100.0</v>
      </c>
      <c r="E3329" s="2" t="s">
        <v>150</v>
      </c>
      <c r="F3329" s="2" t="s">
        <v>150</v>
      </c>
    </row>
    <row r="3330" ht="15.75" customHeight="1">
      <c r="A3330" s="4" t="s">
        <v>7134</v>
      </c>
      <c r="B3330" s="2" t="s">
        <v>7135</v>
      </c>
      <c r="C3330" s="2">
        <v>268.0</v>
      </c>
      <c r="D3330" s="2">
        <v>235.0</v>
      </c>
      <c r="E3330" s="2">
        <v>26160.0</v>
      </c>
      <c r="F3330" s="2" t="s">
        <v>150</v>
      </c>
    </row>
    <row r="3331" ht="15.75" customHeight="1">
      <c r="A3331" s="4" t="s">
        <v>7136</v>
      </c>
      <c r="B3331" s="2" t="s">
        <v>7137</v>
      </c>
      <c r="C3331" s="2">
        <v>80.0</v>
      </c>
      <c r="D3331" s="2">
        <v>79.0</v>
      </c>
      <c r="E3331" s="2" t="s">
        <v>150</v>
      </c>
      <c r="F3331" s="2" t="s">
        <v>150</v>
      </c>
    </row>
    <row r="3332" ht="15.75" customHeight="1">
      <c r="A3332" s="4" t="s">
        <v>7138</v>
      </c>
      <c r="B3332" s="2" t="s">
        <v>7139</v>
      </c>
      <c r="C3332" s="2">
        <v>208.0</v>
      </c>
      <c r="D3332" s="2">
        <v>216.0</v>
      </c>
      <c r="E3332" s="2">
        <v>28070.0</v>
      </c>
      <c r="F3332" s="2" t="s">
        <v>150</v>
      </c>
    </row>
    <row r="3333" ht="15.75" customHeight="1">
      <c r="A3333" s="4" t="s">
        <v>4944</v>
      </c>
      <c r="B3333" s="2" t="s">
        <v>4945</v>
      </c>
      <c r="C3333" s="2">
        <v>1837.0</v>
      </c>
      <c r="D3333" s="2">
        <v>1723.0</v>
      </c>
      <c r="E3333" s="2">
        <v>26060.0</v>
      </c>
      <c r="F3333" s="2" t="s">
        <v>150</v>
      </c>
    </row>
    <row r="3334" ht="15.75" customHeight="1">
      <c r="A3334" s="4" t="s">
        <v>7140</v>
      </c>
      <c r="B3334" s="2" t="s">
        <v>7141</v>
      </c>
      <c r="C3334" s="2">
        <v>158.0</v>
      </c>
      <c r="D3334" s="2">
        <v>154.0</v>
      </c>
      <c r="E3334" s="2">
        <v>24660.0</v>
      </c>
      <c r="F3334" s="2" t="s">
        <v>150</v>
      </c>
    </row>
    <row r="3335" ht="15.75" customHeight="1">
      <c r="A3335" s="4" t="s">
        <v>7142</v>
      </c>
      <c r="B3335" s="2" t="s">
        <v>7143</v>
      </c>
      <c r="C3335" s="2">
        <v>193.0</v>
      </c>
      <c r="D3335" s="2">
        <v>181.0</v>
      </c>
      <c r="E3335" s="2">
        <v>24170.0</v>
      </c>
      <c r="F3335" s="2" t="s">
        <v>150</v>
      </c>
    </row>
    <row r="3336" ht="15.75" customHeight="1">
      <c r="A3336" s="4" t="s">
        <v>7144</v>
      </c>
      <c r="B3336" s="2" t="s">
        <v>7145</v>
      </c>
      <c r="C3336" s="2">
        <v>417.0</v>
      </c>
      <c r="D3336" s="2">
        <v>380.0</v>
      </c>
      <c r="E3336" s="2">
        <v>27750.0</v>
      </c>
      <c r="F3336" s="2" t="s">
        <v>150</v>
      </c>
    </row>
    <row r="3337" ht="15.75" customHeight="1">
      <c r="A3337" s="4" t="s">
        <v>4946</v>
      </c>
      <c r="B3337" s="2" t="s">
        <v>4948</v>
      </c>
      <c r="C3337" s="2">
        <v>461.0</v>
      </c>
      <c r="D3337" s="2">
        <v>443.0</v>
      </c>
      <c r="E3337" s="2">
        <v>26380.0</v>
      </c>
      <c r="F3337" s="2" t="s">
        <v>150</v>
      </c>
    </row>
    <row r="3338" ht="15.75" customHeight="1">
      <c r="A3338" s="4" t="s">
        <v>7146</v>
      </c>
      <c r="B3338" s="2" t="s">
        <v>7147</v>
      </c>
      <c r="C3338" s="2">
        <v>176.0</v>
      </c>
      <c r="D3338" s="2">
        <v>151.0</v>
      </c>
      <c r="E3338" s="2">
        <v>24880.0</v>
      </c>
      <c r="F3338" s="2" t="s">
        <v>150</v>
      </c>
    </row>
    <row r="3339" ht="15.75" customHeight="1">
      <c r="A3339" s="4" t="s">
        <v>7148</v>
      </c>
      <c r="B3339" s="2" t="s">
        <v>5405</v>
      </c>
      <c r="C3339" s="2">
        <v>194.0</v>
      </c>
      <c r="D3339" s="2">
        <v>176.0</v>
      </c>
      <c r="E3339" s="2">
        <v>27190.0</v>
      </c>
      <c r="F3339" s="2" t="s">
        <v>150</v>
      </c>
    </row>
    <row r="3340" ht="15.75" customHeight="1">
      <c r="A3340" s="4" t="s">
        <v>7149</v>
      </c>
      <c r="B3340" s="2" t="s">
        <v>7150</v>
      </c>
      <c r="C3340" s="2">
        <v>552.0</v>
      </c>
      <c r="D3340" s="2">
        <v>501.0</v>
      </c>
      <c r="E3340" s="2">
        <v>23950.0</v>
      </c>
      <c r="F3340" s="2" t="s">
        <v>150</v>
      </c>
    </row>
    <row r="3341" ht="15.75" customHeight="1">
      <c r="A3341" s="4" t="s">
        <v>7151</v>
      </c>
      <c r="B3341" s="2" t="s">
        <v>1300</v>
      </c>
      <c r="C3341" s="2">
        <v>177.0</v>
      </c>
      <c r="D3341" s="2">
        <v>163.0</v>
      </c>
      <c r="E3341" s="2">
        <v>24660.0</v>
      </c>
      <c r="F3341" s="2" t="s">
        <v>150</v>
      </c>
    </row>
    <row r="3342" ht="15.75" customHeight="1">
      <c r="A3342" s="4" t="s">
        <v>7152</v>
      </c>
      <c r="B3342" s="2" t="s">
        <v>7153</v>
      </c>
      <c r="C3342" s="2">
        <v>151.0</v>
      </c>
      <c r="D3342" s="2">
        <v>163.0</v>
      </c>
      <c r="E3342" s="2">
        <v>24880.0</v>
      </c>
      <c r="F3342" s="2" t="s">
        <v>150</v>
      </c>
    </row>
    <row r="3343" ht="15.75" customHeight="1">
      <c r="A3343" s="4" t="s">
        <v>7154</v>
      </c>
      <c r="B3343" s="2" t="s">
        <v>7155</v>
      </c>
      <c r="C3343" s="2">
        <v>176.0</v>
      </c>
      <c r="D3343" s="2">
        <v>193.0</v>
      </c>
      <c r="E3343" s="2">
        <v>23890.0</v>
      </c>
      <c r="F3343" s="2" t="s">
        <v>150</v>
      </c>
    </row>
    <row r="3344" ht="15.75" customHeight="1">
      <c r="A3344" s="4" t="s">
        <v>7156</v>
      </c>
      <c r="B3344" s="2" t="s">
        <v>7157</v>
      </c>
      <c r="C3344" s="2">
        <v>133.0</v>
      </c>
      <c r="D3344" s="2">
        <v>125.0</v>
      </c>
      <c r="E3344" s="2">
        <v>27020.0</v>
      </c>
      <c r="F3344" s="2" t="s">
        <v>150</v>
      </c>
    </row>
    <row r="3345" ht="15.75" customHeight="1">
      <c r="A3345" s="4" t="s">
        <v>7158</v>
      </c>
      <c r="B3345" s="2" t="s">
        <v>7159</v>
      </c>
      <c r="C3345" s="2">
        <v>513.0</v>
      </c>
      <c r="D3345" s="2">
        <v>558.0</v>
      </c>
      <c r="E3345" s="2">
        <v>26660.0</v>
      </c>
      <c r="F3345" s="2" t="s">
        <v>150</v>
      </c>
    </row>
    <row r="3346" ht="15.75" customHeight="1">
      <c r="A3346" s="4" t="s">
        <v>7160</v>
      </c>
      <c r="B3346" s="2" t="s">
        <v>7161</v>
      </c>
      <c r="C3346" s="2">
        <v>263.0</v>
      </c>
      <c r="D3346" s="2">
        <v>250.0</v>
      </c>
      <c r="E3346" s="2">
        <v>27270.0</v>
      </c>
      <c r="F3346" s="2" t="s">
        <v>150</v>
      </c>
    </row>
    <row r="3347" ht="15.75" customHeight="1">
      <c r="A3347" s="4" t="s">
        <v>7162</v>
      </c>
      <c r="B3347" s="2" t="s">
        <v>7163</v>
      </c>
      <c r="C3347" s="2">
        <v>154.0</v>
      </c>
      <c r="D3347" s="2">
        <v>166.0</v>
      </c>
      <c r="E3347" s="2">
        <v>25360.0</v>
      </c>
      <c r="F3347" s="2" t="s">
        <v>150</v>
      </c>
    </row>
    <row r="3348" ht="15.75" customHeight="1">
      <c r="A3348" s="4" t="s">
        <v>7164</v>
      </c>
      <c r="B3348" s="2" t="s">
        <v>7165</v>
      </c>
      <c r="C3348" s="2">
        <v>139.0</v>
      </c>
      <c r="D3348" s="2">
        <v>158.0</v>
      </c>
      <c r="E3348" s="2">
        <v>24240.0</v>
      </c>
      <c r="F3348" s="2" t="s">
        <v>150</v>
      </c>
    </row>
    <row r="3349" ht="15.75" customHeight="1">
      <c r="A3349" s="4" t="s">
        <v>7166</v>
      </c>
      <c r="B3349" s="2" t="s">
        <v>7167</v>
      </c>
      <c r="C3349" s="2">
        <v>203.0</v>
      </c>
      <c r="D3349" s="2">
        <v>211.0</v>
      </c>
      <c r="E3349" s="2">
        <v>23570.0</v>
      </c>
      <c r="F3349" s="2" t="s">
        <v>150</v>
      </c>
    </row>
    <row r="3350" ht="15.75" customHeight="1">
      <c r="A3350" s="4" t="s">
        <v>7168</v>
      </c>
      <c r="B3350" s="2" t="s">
        <v>7169</v>
      </c>
      <c r="C3350" s="2">
        <v>105.0</v>
      </c>
      <c r="D3350" s="2">
        <v>104.0</v>
      </c>
      <c r="E3350" s="2">
        <v>22650.0</v>
      </c>
      <c r="F3350" s="2" t="s">
        <v>150</v>
      </c>
    </row>
    <row r="3351" ht="15.75" customHeight="1">
      <c r="A3351" s="4" t="s">
        <v>7170</v>
      </c>
      <c r="B3351" s="2" t="s">
        <v>7171</v>
      </c>
      <c r="C3351" s="2">
        <v>86.0</v>
      </c>
      <c r="D3351" s="2">
        <v>96.0</v>
      </c>
      <c r="E3351" s="2" t="s">
        <v>150</v>
      </c>
      <c r="F3351" s="2" t="s">
        <v>150</v>
      </c>
    </row>
    <row r="3352" ht="15.75" customHeight="1">
      <c r="A3352" s="4" t="s">
        <v>7172</v>
      </c>
      <c r="B3352" s="2" t="s">
        <v>7173</v>
      </c>
      <c r="C3352" s="2">
        <v>243.0</v>
      </c>
      <c r="D3352" s="2">
        <v>223.0</v>
      </c>
      <c r="E3352" s="2">
        <v>27190.0</v>
      </c>
      <c r="F3352" s="2" t="s">
        <v>150</v>
      </c>
    </row>
    <row r="3353" ht="15.75" customHeight="1">
      <c r="A3353" s="4" t="s">
        <v>7174</v>
      </c>
      <c r="B3353" s="2" t="s">
        <v>7175</v>
      </c>
      <c r="C3353" s="2">
        <v>148.0</v>
      </c>
      <c r="D3353" s="2">
        <v>138.0</v>
      </c>
      <c r="E3353" s="2">
        <v>26750.0</v>
      </c>
      <c r="F3353" s="2" t="s">
        <v>150</v>
      </c>
    </row>
    <row r="3354" ht="15.75" customHeight="1">
      <c r="A3354" s="4" t="s">
        <v>7176</v>
      </c>
      <c r="B3354" s="2" t="s">
        <v>7177</v>
      </c>
      <c r="C3354" s="2">
        <v>293.0</v>
      </c>
      <c r="D3354" s="2">
        <v>286.0</v>
      </c>
      <c r="E3354" s="2">
        <v>26090.0</v>
      </c>
      <c r="F3354" s="2" t="s">
        <v>150</v>
      </c>
    </row>
    <row r="3355" ht="15.75" customHeight="1">
      <c r="A3355" s="4" t="s">
        <v>4950</v>
      </c>
      <c r="B3355" s="2" t="s">
        <v>4952</v>
      </c>
      <c r="C3355" s="2">
        <v>2207.0</v>
      </c>
      <c r="D3355" s="2">
        <v>2045.0</v>
      </c>
      <c r="E3355" s="2">
        <v>22920.0</v>
      </c>
      <c r="F3355" s="2" t="s">
        <v>150</v>
      </c>
    </row>
    <row r="3356" ht="15.75" customHeight="1">
      <c r="A3356" s="4" t="s">
        <v>7178</v>
      </c>
      <c r="B3356" s="2" t="s">
        <v>7179</v>
      </c>
      <c r="C3356" s="2">
        <v>74.0</v>
      </c>
      <c r="D3356" s="2">
        <v>69.0</v>
      </c>
      <c r="E3356" s="2" t="s">
        <v>150</v>
      </c>
      <c r="F3356" s="2" t="s">
        <v>150</v>
      </c>
    </row>
    <row r="3357" ht="15.75" customHeight="1">
      <c r="A3357" s="4" t="s">
        <v>7180</v>
      </c>
      <c r="B3357" s="2" t="s">
        <v>7181</v>
      </c>
      <c r="C3357" s="2">
        <v>324.0</v>
      </c>
      <c r="D3357" s="2">
        <v>296.0</v>
      </c>
      <c r="E3357" s="2">
        <v>26100.0</v>
      </c>
      <c r="F3357" s="2" t="s">
        <v>150</v>
      </c>
    </row>
    <row r="3358" ht="15.75" customHeight="1">
      <c r="A3358" s="4" t="s">
        <v>4954</v>
      </c>
      <c r="B3358" s="2" t="s">
        <v>4955</v>
      </c>
      <c r="C3358" s="2">
        <v>742.0</v>
      </c>
      <c r="D3358" s="2">
        <v>695.0</v>
      </c>
      <c r="E3358" s="2">
        <v>26260.0</v>
      </c>
      <c r="F3358" s="2" t="s">
        <v>150</v>
      </c>
    </row>
    <row r="3359" ht="15.75" customHeight="1">
      <c r="A3359" s="4" t="s">
        <v>7182</v>
      </c>
      <c r="B3359" s="2" t="s">
        <v>7183</v>
      </c>
      <c r="C3359" s="2">
        <v>176.0</v>
      </c>
      <c r="D3359" s="2">
        <v>177.0</v>
      </c>
      <c r="E3359" s="2">
        <v>25660.0</v>
      </c>
      <c r="F3359" s="2" t="s">
        <v>150</v>
      </c>
    </row>
    <row r="3360" ht="15.75" customHeight="1">
      <c r="A3360" s="4" t="s">
        <v>7184</v>
      </c>
      <c r="B3360" s="2" t="s">
        <v>7185</v>
      </c>
      <c r="C3360" s="2">
        <v>490.0</v>
      </c>
      <c r="D3360" s="2">
        <v>457.0</v>
      </c>
      <c r="E3360" s="2">
        <v>26090.0</v>
      </c>
      <c r="F3360" s="2" t="s">
        <v>150</v>
      </c>
    </row>
    <row r="3361" ht="15.75" customHeight="1">
      <c r="A3361" s="4" t="s">
        <v>4958</v>
      </c>
      <c r="B3361" s="2" t="s">
        <v>4959</v>
      </c>
      <c r="C3361" s="2">
        <v>183.0</v>
      </c>
      <c r="D3361" s="2">
        <v>176.0</v>
      </c>
      <c r="E3361" s="2">
        <v>28640.0</v>
      </c>
      <c r="F3361" s="2" t="s">
        <v>150</v>
      </c>
    </row>
    <row r="3362" ht="15.75" hidden="1" customHeight="1">
      <c r="A3362" s="4" t="s">
        <v>4962</v>
      </c>
      <c r="B3362" s="2" t="s">
        <v>4963</v>
      </c>
      <c r="C3362" s="2">
        <v>4569.0</v>
      </c>
      <c r="D3362" s="2">
        <v>4306.0</v>
      </c>
      <c r="E3362" s="2">
        <v>22080.0</v>
      </c>
      <c r="F3362" s="2">
        <v>18.0</v>
      </c>
    </row>
    <row r="3363" ht="15.75" customHeight="1">
      <c r="A3363" s="4" t="s">
        <v>7186</v>
      </c>
      <c r="B3363" s="2" t="s">
        <v>7187</v>
      </c>
      <c r="C3363" s="2">
        <v>233.0</v>
      </c>
      <c r="D3363" s="2">
        <v>244.0</v>
      </c>
      <c r="E3363" s="2">
        <v>21540.0</v>
      </c>
      <c r="F3363" s="2" t="s">
        <v>150</v>
      </c>
    </row>
    <row r="3364" ht="15.75" customHeight="1">
      <c r="A3364" s="4" t="s">
        <v>7188</v>
      </c>
      <c r="B3364" s="2" t="s">
        <v>7189</v>
      </c>
      <c r="C3364" s="2">
        <v>105.0</v>
      </c>
      <c r="D3364" s="2">
        <v>96.0</v>
      </c>
      <c r="E3364" s="2" t="s">
        <v>150</v>
      </c>
      <c r="F3364" s="2" t="s">
        <v>150</v>
      </c>
    </row>
    <row r="3365" ht="15.75" customHeight="1">
      <c r="A3365" s="4" t="s">
        <v>7190</v>
      </c>
      <c r="B3365" s="2" t="s">
        <v>7191</v>
      </c>
      <c r="C3365" s="2">
        <v>132.0</v>
      </c>
      <c r="D3365" s="2">
        <v>121.0</v>
      </c>
      <c r="E3365" s="2">
        <v>25090.0</v>
      </c>
      <c r="F3365" s="2" t="s">
        <v>150</v>
      </c>
    </row>
    <row r="3366" ht="15.75" hidden="1" customHeight="1">
      <c r="A3366" s="4" t="s">
        <v>4964</v>
      </c>
      <c r="B3366" s="2" t="s">
        <v>4965</v>
      </c>
      <c r="C3366" s="2">
        <v>2548.0</v>
      </c>
      <c r="D3366" s="2">
        <v>2397.0</v>
      </c>
      <c r="E3366" s="2">
        <v>20970.0</v>
      </c>
      <c r="F3366" s="2">
        <v>23.0</v>
      </c>
    </row>
    <row r="3367" ht="15.75" customHeight="1">
      <c r="A3367" s="4" t="s">
        <v>7192</v>
      </c>
      <c r="B3367" s="2" t="s">
        <v>7193</v>
      </c>
      <c r="C3367" s="2">
        <v>281.0</v>
      </c>
      <c r="D3367" s="2">
        <v>270.0</v>
      </c>
      <c r="E3367" s="2">
        <v>24850.0</v>
      </c>
      <c r="F3367" s="2" t="s">
        <v>150</v>
      </c>
    </row>
    <row r="3368" ht="15.75" customHeight="1">
      <c r="A3368" s="4" t="s">
        <v>7194</v>
      </c>
      <c r="B3368" s="2" t="s">
        <v>7195</v>
      </c>
      <c r="C3368" s="2">
        <v>346.0</v>
      </c>
      <c r="D3368" s="2">
        <v>327.0</v>
      </c>
      <c r="E3368" s="2">
        <v>24650.0</v>
      </c>
      <c r="F3368" s="2" t="s">
        <v>150</v>
      </c>
    </row>
    <row r="3369" ht="15.75" customHeight="1">
      <c r="A3369" s="4" t="s">
        <v>4967</v>
      </c>
      <c r="B3369" s="2" t="s">
        <v>4969</v>
      </c>
      <c r="C3369" s="2">
        <v>640.0</v>
      </c>
      <c r="D3369" s="2">
        <v>627.0</v>
      </c>
      <c r="E3369" s="2">
        <v>29900.0</v>
      </c>
      <c r="F3369" s="2" t="s">
        <v>150</v>
      </c>
    </row>
    <row r="3370" ht="15.75" customHeight="1">
      <c r="A3370" s="4" t="s">
        <v>4982</v>
      </c>
      <c r="B3370" s="2" t="s">
        <v>4983</v>
      </c>
      <c r="C3370" s="2">
        <v>428.0</v>
      </c>
      <c r="D3370" s="2">
        <v>399.0</v>
      </c>
      <c r="E3370" s="2">
        <v>24120.0</v>
      </c>
      <c r="F3370" s="2" t="s">
        <v>150</v>
      </c>
    </row>
    <row r="3371" ht="15.75" customHeight="1">
      <c r="A3371" s="4" t="s">
        <v>7196</v>
      </c>
      <c r="B3371" s="2" t="s">
        <v>7197</v>
      </c>
      <c r="C3371" s="2">
        <v>61.0</v>
      </c>
      <c r="D3371" s="2">
        <v>75.0</v>
      </c>
      <c r="E3371" s="2" t="s">
        <v>150</v>
      </c>
      <c r="F3371" s="2" t="s">
        <v>150</v>
      </c>
    </row>
    <row r="3372" ht="15.75" customHeight="1">
      <c r="A3372" s="4" t="s">
        <v>7198</v>
      </c>
      <c r="B3372" s="2" t="s">
        <v>7199</v>
      </c>
      <c r="C3372" s="2">
        <v>771.0</v>
      </c>
      <c r="D3372" s="2">
        <v>791.0</v>
      </c>
      <c r="E3372" s="2">
        <v>31380.0</v>
      </c>
      <c r="F3372" s="2" t="s">
        <v>150</v>
      </c>
    </row>
    <row r="3373" ht="15.75" customHeight="1">
      <c r="A3373" s="4" t="s">
        <v>7200</v>
      </c>
      <c r="B3373" s="2" t="s">
        <v>7201</v>
      </c>
      <c r="C3373" s="2">
        <v>254.0</v>
      </c>
      <c r="D3373" s="2">
        <v>234.0</v>
      </c>
      <c r="E3373" s="2">
        <v>26380.0</v>
      </c>
      <c r="F3373" s="2" t="s">
        <v>150</v>
      </c>
    </row>
    <row r="3374" ht="15.75" customHeight="1">
      <c r="A3374" s="4" t="s">
        <v>7202</v>
      </c>
      <c r="B3374" s="2" t="s">
        <v>7203</v>
      </c>
      <c r="C3374" s="2">
        <v>40.0</v>
      </c>
      <c r="D3374" s="2">
        <v>40.0</v>
      </c>
      <c r="E3374" s="2" t="s">
        <v>150</v>
      </c>
      <c r="F3374" s="2" t="s">
        <v>150</v>
      </c>
    </row>
    <row r="3375" ht="15.75" customHeight="1">
      <c r="A3375" s="4" t="s">
        <v>7204</v>
      </c>
      <c r="B3375" s="2" t="s">
        <v>7205</v>
      </c>
      <c r="C3375" s="2">
        <v>94.0</v>
      </c>
      <c r="D3375" s="2">
        <v>99.0</v>
      </c>
      <c r="E3375" s="2" t="s">
        <v>150</v>
      </c>
      <c r="F3375" s="2" t="s">
        <v>150</v>
      </c>
    </row>
    <row r="3376" ht="15.75" customHeight="1">
      <c r="A3376" s="4" t="s">
        <v>7206</v>
      </c>
      <c r="B3376" s="2" t="s">
        <v>7207</v>
      </c>
      <c r="C3376" s="2">
        <v>176.0</v>
      </c>
      <c r="D3376" s="2">
        <v>178.0</v>
      </c>
      <c r="E3376" s="2">
        <v>26560.0</v>
      </c>
      <c r="F3376" s="2" t="s">
        <v>150</v>
      </c>
    </row>
    <row r="3377" ht="15.75" customHeight="1">
      <c r="A3377" s="4" t="s">
        <v>4971</v>
      </c>
      <c r="B3377" s="2" t="s">
        <v>4973</v>
      </c>
      <c r="C3377" s="2">
        <v>433.0</v>
      </c>
      <c r="D3377" s="2">
        <v>465.0</v>
      </c>
      <c r="E3377" s="2">
        <v>28700.0</v>
      </c>
      <c r="F3377" s="2" t="s">
        <v>150</v>
      </c>
    </row>
    <row r="3378" ht="15.75" customHeight="1">
      <c r="A3378" s="4" t="s">
        <v>7208</v>
      </c>
      <c r="B3378" s="2" t="s">
        <v>7209</v>
      </c>
      <c r="C3378" s="2">
        <v>182.0</v>
      </c>
      <c r="D3378" s="2">
        <v>175.0</v>
      </c>
      <c r="E3378" s="2">
        <v>25910.0</v>
      </c>
      <c r="F3378" s="2" t="s">
        <v>150</v>
      </c>
    </row>
    <row r="3379" ht="15.75" customHeight="1">
      <c r="A3379" s="4" t="s">
        <v>7210</v>
      </c>
      <c r="B3379" s="2" t="s">
        <v>7211</v>
      </c>
      <c r="C3379" s="2">
        <v>318.0</v>
      </c>
      <c r="D3379" s="2">
        <v>321.0</v>
      </c>
      <c r="E3379" s="2">
        <v>28940.0</v>
      </c>
      <c r="F3379" s="2" t="s">
        <v>150</v>
      </c>
    </row>
    <row r="3380" ht="15.75" customHeight="1">
      <c r="A3380" s="4" t="s">
        <v>7212</v>
      </c>
      <c r="B3380" s="2" t="s">
        <v>7213</v>
      </c>
      <c r="C3380" s="2">
        <v>220.0</v>
      </c>
      <c r="D3380" s="2">
        <v>204.0</v>
      </c>
      <c r="E3380" s="2">
        <v>23780.0</v>
      </c>
      <c r="F3380" s="2" t="s">
        <v>150</v>
      </c>
    </row>
    <row r="3381" ht="15.75" customHeight="1">
      <c r="A3381" s="4" t="s">
        <v>7214</v>
      </c>
      <c r="B3381" s="2" t="s">
        <v>7215</v>
      </c>
      <c r="C3381" s="2">
        <v>407.0</v>
      </c>
      <c r="D3381" s="2">
        <v>409.0</v>
      </c>
      <c r="E3381" s="2">
        <v>26840.0</v>
      </c>
      <c r="F3381" s="2" t="s">
        <v>150</v>
      </c>
    </row>
    <row r="3382" ht="15.75" customHeight="1">
      <c r="A3382" s="4" t="s">
        <v>7216</v>
      </c>
      <c r="B3382" s="2" t="s">
        <v>7217</v>
      </c>
      <c r="C3382" s="2">
        <v>86.0</v>
      </c>
      <c r="D3382" s="2">
        <v>91.0</v>
      </c>
      <c r="E3382" s="2" t="s">
        <v>150</v>
      </c>
      <c r="F3382" s="2" t="s">
        <v>150</v>
      </c>
    </row>
    <row r="3383" ht="15.75" customHeight="1">
      <c r="A3383" s="4" t="s">
        <v>7218</v>
      </c>
      <c r="B3383" s="2" t="s">
        <v>7219</v>
      </c>
      <c r="C3383" s="2">
        <v>586.0</v>
      </c>
      <c r="D3383" s="2">
        <v>572.0</v>
      </c>
      <c r="E3383" s="2">
        <v>25560.0</v>
      </c>
      <c r="F3383" s="2" t="s">
        <v>150</v>
      </c>
    </row>
    <row r="3384" ht="15.75" customHeight="1">
      <c r="A3384" s="4" t="s">
        <v>7220</v>
      </c>
      <c r="B3384" s="2" t="s">
        <v>7221</v>
      </c>
      <c r="C3384" s="2">
        <v>324.0</v>
      </c>
      <c r="D3384" s="2">
        <v>303.0</v>
      </c>
      <c r="E3384" s="2">
        <v>25350.0</v>
      </c>
      <c r="F3384" s="2" t="s">
        <v>150</v>
      </c>
    </row>
    <row r="3385" ht="15.75" customHeight="1">
      <c r="A3385" s="4" t="s">
        <v>4976</v>
      </c>
      <c r="B3385" s="2" t="s">
        <v>4977</v>
      </c>
      <c r="C3385" s="2">
        <v>293.0</v>
      </c>
      <c r="D3385" s="2">
        <v>275.0</v>
      </c>
      <c r="E3385" s="2">
        <v>26580.0</v>
      </c>
      <c r="F3385" s="2" t="s">
        <v>150</v>
      </c>
    </row>
    <row r="3386" ht="15.75" customHeight="1">
      <c r="A3386" s="4" t="s">
        <v>7222</v>
      </c>
      <c r="B3386" s="2" t="s">
        <v>7223</v>
      </c>
      <c r="C3386" s="2">
        <v>335.0</v>
      </c>
      <c r="D3386" s="2">
        <v>361.0</v>
      </c>
      <c r="E3386" s="2">
        <v>23750.0</v>
      </c>
      <c r="F3386" s="2" t="s">
        <v>150</v>
      </c>
    </row>
    <row r="3387" ht="15.75" customHeight="1">
      <c r="A3387" s="4" t="s">
        <v>7224</v>
      </c>
      <c r="B3387" s="2" t="s">
        <v>7225</v>
      </c>
      <c r="C3387" s="2">
        <v>94.0</v>
      </c>
      <c r="D3387" s="2">
        <v>101.0</v>
      </c>
      <c r="E3387" s="2">
        <v>26930.0</v>
      </c>
      <c r="F3387" s="2" t="s">
        <v>150</v>
      </c>
    </row>
    <row r="3388" ht="15.75" customHeight="1">
      <c r="A3388" s="4" t="s">
        <v>7226</v>
      </c>
      <c r="B3388" s="2" t="s">
        <v>7227</v>
      </c>
      <c r="C3388" s="2">
        <v>360.0</v>
      </c>
      <c r="D3388" s="2">
        <v>386.0</v>
      </c>
      <c r="E3388" s="2">
        <v>31780.0</v>
      </c>
      <c r="F3388" s="2" t="s">
        <v>150</v>
      </c>
    </row>
    <row r="3389" ht="15.75" customHeight="1">
      <c r="A3389" s="4" t="s">
        <v>4980</v>
      </c>
      <c r="B3389" s="2" t="s">
        <v>4981</v>
      </c>
      <c r="C3389" s="2">
        <v>440.0</v>
      </c>
      <c r="D3389" s="2">
        <v>386.0</v>
      </c>
      <c r="E3389" s="2">
        <v>25080.0</v>
      </c>
      <c r="F3389" s="2" t="s">
        <v>150</v>
      </c>
    </row>
    <row r="3390" ht="15.75" customHeight="1">
      <c r="A3390" s="4" t="s">
        <v>7228</v>
      </c>
      <c r="B3390" s="2" t="s">
        <v>7229</v>
      </c>
      <c r="C3390" s="2">
        <v>137.0</v>
      </c>
      <c r="D3390" s="2">
        <v>126.0</v>
      </c>
      <c r="E3390" s="2">
        <v>26480.0</v>
      </c>
      <c r="F3390" s="2" t="s">
        <v>150</v>
      </c>
    </row>
    <row r="3391" ht="15.75" customHeight="1">
      <c r="A3391" s="4" t="s">
        <v>7230</v>
      </c>
      <c r="B3391" s="2" t="s">
        <v>7231</v>
      </c>
      <c r="C3391" s="2">
        <v>127.0</v>
      </c>
      <c r="D3391" s="2">
        <v>113.0</v>
      </c>
      <c r="E3391" s="2">
        <v>29800.0</v>
      </c>
      <c r="F3391" s="2" t="s">
        <v>150</v>
      </c>
    </row>
    <row r="3392" ht="15.75" customHeight="1">
      <c r="A3392" s="4" t="s">
        <v>7232</v>
      </c>
      <c r="B3392" s="2" t="s">
        <v>7233</v>
      </c>
      <c r="C3392" s="2">
        <v>177.0</v>
      </c>
      <c r="D3392" s="2">
        <v>161.0</v>
      </c>
      <c r="E3392" s="2">
        <v>29090.0</v>
      </c>
      <c r="F3392" s="2" t="s">
        <v>150</v>
      </c>
    </row>
    <row r="3393" ht="15.75" customHeight="1">
      <c r="A3393" s="4" t="s">
        <v>7234</v>
      </c>
      <c r="B3393" s="2" t="s">
        <v>7235</v>
      </c>
      <c r="C3393" s="2">
        <v>140.0</v>
      </c>
      <c r="D3393" s="2">
        <v>145.0</v>
      </c>
      <c r="E3393" s="2">
        <v>25520.0</v>
      </c>
      <c r="F3393" s="2" t="s">
        <v>150</v>
      </c>
    </row>
    <row r="3394" ht="15.75" customHeight="1">
      <c r="A3394" s="4" t="s">
        <v>7236</v>
      </c>
      <c r="B3394" s="2" t="s">
        <v>7237</v>
      </c>
      <c r="C3394" s="2">
        <v>422.0</v>
      </c>
      <c r="D3394" s="2">
        <v>404.0</v>
      </c>
      <c r="E3394" s="2">
        <v>29730.0</v>
      </c>
      <c r="F3394" s="2" t="s">
        <v>150</v>
      </c>
    </row>
    <row r="3395" ht="15.75" customHeight="1">
      <c r="A3395" s="4" t="s">
        <v>4984</v>
      </c>
      <c r="B3395" s="2" t="s">
        <v>4985</v>
      </c>
      <c r="C3395" s="2">
        <v>1325.0</v>
      </c>
      <c r="D3395" s="2">
        <v>1351.0</v>
      </c>
      <c r="E3395" s="2">
        <v>22940.0</v>
      </c>
      <c r="F3395" s="2" t="s">
        <v>150</v>
      </c>
    </row>
    <row r="3396" ht="15.75" customHeight="1">
      <c r="A3396" s="4" t="s">
        <v>7238</v>
      </c>
      <c r="B3396" s="2" t="s">
        <v>7239</v>
      </c>
      <c r="C3396" s="2">
        <v>149.0</v>
      </c>
      <c r="D3396" s="2">
        <v>142.0</v>
      </c>
      <c r="E3396" s="2">
        <v>27130.0</v>
      </c>
      <c r="F3396" s="2" t="s">
        <v>150</v>
      </c>
    </row>
    <row r="3397" ht="15.75" customHeight="1">
      <c r="A3397" s="4" t="s">
        <v>7240</v>
      </c>
      <c r="B3397" s="2" t="s">
        <v>7241</v>
      </c>
      <c r="C3397" s="2">
        <v>343.0</v>
      </c>
      <c r="D3397" s="2">
        <v>322.0</v>
      </c>
      <c r="E3397" s="2">
        <v>25360.0</v>
      </c>
      <c r="F3397" s="2" t="s">
        <v>150</v>
      </c>
    </row>
    <row r="3398" ht="15.75" customHeight="1">
      <c r="A3398" s="4" t="s">
        <v>7242</v>
      </c>
      <c r="B3398" s="2" t="s">
        <v>7243</v>
      </c>
      <c r="C3398" s="2">
        <v>177.0</v>
      </c>
      <c r="D3398" s="2">
        <v>143.0</v>
      </c>
      <c r="E3398" s="2">
        <v>26230.0</v>
      </c>
      <c r="F3398" s="2" t="s">
        <v>150</v>
      </c>
    </row>
    <row r="3399" ht="15.75" hidden="1" customHeight="1">
      <c r="A3399" s="4" t="s">
        <v>4986</v>
      </c>
      <c r="B3399" s="2" t="s">
        <v>4987</v>
      </c>
      <c r="C3399" s="2">
        <v>4611.0</v>
      </c>
      <c r="D3399" s="2">
        <v>4378.0</v>
      </c>
      <c r="E3399" s="2">
        <v>19330.0</v>
      </c>
      <c r="F3399" s="2">
        <v>32.0</v>
      </c>
    </row>
    <row r="3400" ht="15.75" customHeight="1">
      <c r="A3400" s="4" t="s">
        <v>5062</v>
      </c>
      <c r="B3400" s="2" t="s">
        <v>3222</v>
      </c>
      <c r="C3400" s="2">
        <v>501.0</v>
      </c>
      <c r="D3400" s="2">
        <v>492.0</v>
      </c>
      <c r="E3400" s="2">
        <v>25520.0</v>
      </c>
      <c r="F3400" s="2" t="s">
        <v>150</v>
      </c>
    </row>
    <row r="3401" ht="15.75" customHeight="1">
      <c r="A3401" s="4" t="s">
        <v>4988</v>
      </c>
      <c r="B3401" s="2" t="s">
        <v>4989</v>
      </c>
      <c r="C3401" s="2">
        <v>630.0</v>
      </c>
      <c r="D3401" s="2">
        <v>624.0</v>
      </c>
      <c r="E3401" s="2">
        <v>28590.0</v>
      </c>
      <c r="F3401" s="2" t="s">
        <v>150</v>
      </c>
    </row>
    <row r="3402" ht="15.75" customHeight="1">
      <c r="A3402" s="4" t="s">
        <v>7244</v>
      </c>
      <c r="B3402" s="2" t="s">
        <v>7245</v>
      </c>
      <c r="C3402" s="2">
        <v>92.0</v>
      </c>
      <c r="D3402" s="2">
        <v>94.0</v>
      </c>
      <c r="E3402" s="2" t="s">
        <v>150</v>
      </c>
      <c r="F3402" s="2" t="s">
        <v>150</v>
      </c>
    </row>
    <row r="3403" ht="15.75" customHeight="1">
      <c r="A3403" s="4" t="s">
        <v>7246</v>
      </c>
      <c r="B3403" s="2" t="s">
        <v>7247</v>
      </c>
      <c r="C3403" s="2">
        <v>124.0</v>
      </c>
      <c r="D3403" s="2">
        <v>115.0</v>
      </c>
      <c r="E3403" s="2">
        <v>32780.0</v>
      </c>
      <c r="F3403" s="2" t="s">
        <v>150</v>
      </c>
    </row>
    <row r="3404" ht="15.75" customHeight="1">
      <c r="A3404" s="4" t="s">
        <v>4990</v>
      </c>
      <c r="B3404" s="2" t="s">
        <v>4991</v>
      </c>
      <c r="C3404" s="2">
        <v>1016.0</v>
      </c>
      <c r="D3404" s="2">
        <v>1027.0</v>
      </c>
      <c r="E3404" s="2">
        <v>27050.0</v>
      </c>
      <c r="F3404" s="2" t="s">
        <v>150</v>
      </c>
    </row>
    <row r="3405" ht="15.75" customHeight="1">
      <c r="A3405" s="4" t="s">
        <v>4992</v>
      </c>
      <c r="B3405" s="2" t="s">
        <v>4993</v>
      </c>
      <c r="C3405" s="2">
        <v>775.0</v>
      </c>
      <c r="D3405" s="2">
        <v>760.0</v>
      </c>
      <c r="E3405" s="2">
        <v>26140.0</v>
      </c>
      <c r="F3405" s="2" t="s">
        <v>150</v>
      </c>
    </row>
    <row r="3406" ht="15.75" customHeight="1">
      <c r="A3406" s="4" t="s">
        <v>4996</v>
      </c>
      <c r="B3406" s="2" t="s">
        <v>4997</v>
      </c>
      <c r="C3406" s="2">
        <v>1641.0</v>
      </c>
      <c r="D3406" s="2">
        <v>1640.0</v>
      </c>
      <c r="E3406" s="2">
        <v>21750.0</v>
      </c>
      <c r="F3406" s="2" t="s">
        <v>150</v>
      </c>
    </row>
    <row r="3407" ht="15.75" customHeight="1">
      <c r="A3407" s="4" t="s">
        <v>7248</v>
      </c>
      <c r="B3407" s="2" t="s">
        <v>7249</v>
      </c>
      <c r="C3407" s="2">
        <v>84.0</v>
      </c>
      <c r="D3407" s="2">
        <v>84.0</v>
      </c>
      <c r="E3407" s="2" t="s">
        <v>150</v>
      </c>
      <c r="F3407" s="2" t="s">
        <v>150</v>
      </c>
    </row>
    <row r="3408" ht="15.75" customHeight="1">
      <c r="A3408" s="4" t="s">
        <v>7250</v>
      </c>
      <c r="B3408" s="2" t="s">
        <v>7251</v>
      </c>
      <c r="C3408" s="2">
        <v>180.0</v>
      </c>
      <c r="D3408" s="2">
        <v>170.0</v>
      </c>
      <c r="E3408" s="2">
        <v>24950.0</v>
      </c>
      <c r="F3408" s="2" t="s">
        <v>150</v>
      </c>
    </row>
    <row r="3409" ht="15.75" customHeight="1">
      <c r="A3409" s="4" t="s">
        <v>4998</v>
      </c>
      <c r="B3409" s="2" t="s">
        <v>4999</v>
      </c>
      <c r="C3409" s="2">
        <v>291.0</v>
      </c>
      <c r="D3409" s="2">
        <v>302.0</v>
      </c>
      <c r="E3409" s="2">
        <v>23800.0</v>
      </c>
      <c r="F3409" s="2" t="s">
        <v>150</v>
      </c>
    </row>
    <row r="3410" ht="15.75" customHeight="1">
      <c r="A3410" s="4" t="s">
        <v>5002</v>
      </c>
      <c r="B3410" s="2" t="s">
        <v>5004</v>
      </c>
      <c r="C3410" s="2">
        <v>580.0</v>
      </c>
      <c r="D3410" s="2">
        <v>527.0</v>
      </c>
      <c r="E3410" s="2">
        <v>26360.0</v>
      </c>
      <c r="F3410" s="2" t="s">
        <v>150</v>
      </c>
    </row>
    <row r="3411" ht="15.75" customHeight="1">
      <c r="A3411" s="4" t="s">
        <v>5006</v>
      </c>
      <c r="B3411" s="2" t="s">
        <v>5007</v>
      </c>
      <c r="C3411" s="2">
        <v>394.0</v>
      </c>
      <c r="D3411" s="2">
        <v>378.0</v>
      </c>
      <c r="E3411" s="2">
        <v>29510.0</v>
      </c>
      <c r="F3411" s="2" t="s">
        <v>150</v>
      </c>
    </row>
    <row r="3412" ht="15.75" customHeight="1">
      <c r="A3412" s="4" t="s">
        <v>7252</v>
      </c>
      <c r="B3412" s="2" t="s">
        <v>7253</v>
      </c>
      <c r="C3412" s="2">
        <v>538.0</v>
      </c>
      <c r="D3412" s="2">
        <v>576.0</v>
      </c>
      <c r="E3412" s="2">
        <v>32870.0</v>
      </c>
      <c r="F3412" s="2" t="s">
        <v>150</v>
      </c>
    </row>
    <row r="3413" ht="15.75" customHeight="1">
      <c r="A3413" s="4" t="s">
        <v>7254</v>
      </c>
      <c r="B3413" s="2" t="s">
        <v>7255</v>
      </c>
      <c r="C3413" s="2">
        <v>126.0</v>
      </c>
      <c r="D3413" s="2">
        <v>106.0</v>
      </c>
      <c r="E3413" s="2">
        <v>25650.0</v>
      </c>
      <c r="F3413" s="2" t="s">
        <v>150</v>
      </c>
    </row>
    <row r="3414" ht="15.75" customHeight="1">
      <c r="A3414" s="4" t="s">
        <v>7256</v>
      </c>
      <c r="B3414" s="2" t="s">
        <v>7257</v>
      </c>
      <c r="C3414" s="2">
        <v>424.0</v>
      </c>
      <c r="D3414" s="2">
        <v>438.0</v>
      </c>
      <c r="E3414" s="2">
        <v>28060.0</v>
      </c>
      <c r="F3414" s="2" t="s">
        <v>150</v>
      </c>
    </row>
    <row r="3415" ht="15.75" customHeight="1">
      <c r="A3415" s="4" t="s">
        <v>7258</v>
      </c>
      <c r="B3415" s="2" t="s">
        <v>7259</v>
      </c>
      <c r="C3415" s="2">
        <v>363.0</v>
      </c>
      <c r="D3415" s="2">
        <v>347.0</v>
      </c>
      <c r="E3415" s="2">
        <v>26470.0</v>
      </c>
      <c r="F3415" s="2" t="s">
        <v>150</v>
      </c>
    </row>
    <row r="3416" ht="15.75" customHeight="1">
      <c r="A3416" s="4" t="s">
        <v>7260</v>
      </c>
      <c r="B3416" s="2" t="s">
        <v>7261</v>
      </c>
      <c r="C3416" s="2">
        <v>128.0</v>
      </c>
      <c r="D3416" s="2">
        <v>137.0</v>
      </c>
      <c r="E3416" s="2">
        <v>26790.0</v>
      </c>
      <c r="F3416" s="2" t="s">
        <v>150</v>
      </c>
    </row>
    <row r="3417" ht="15.75" customHeight="1">
      <c r="A3417" s="4" t="s">
        <v>7262</v>
      </c>
      <c r="B3417" s="2" t="s">
        <v>7263</v>
      </c>
      <c r="C3417" s="2">
        <v>195.0</v>
      </c>
      <c r="D3417" s="2">
        <v>194.0</v>
      </c>
      <c r="E3417" s="2">
        <v>27230.0</v>
      </c>
      <c r="F3417" s="2" t="s">
        <v>150</v>
      </c>
    </row>
    <row r="3418" ht="15.75" customHeight="1">
      <c r="A3418" s="4" t="s">
        <v>7264</v>
      </c>
      <c r="B3418" s="2" t="s">
        <v>7265</v>
      </c>
      <c r="C3418" s="2">
        <v>224.0</v>
      </c>
      <c r="D3418" s="2">
        <v>178.0</v>
      </c>
      <c r="E3418" s="2">
        <v>23660.0</v>
      </c>
      <c r="F3418" s="2" t="s">
        <v>150</v>
      </c>
    </row>
    <row r="3419" ht="15.75" customHeight="1">
      <c r="A3419" s="4" t="s">
        <v>5030</v>
      </c>
      <c r="B3419" s="2" t="s">
        <v>5031</v>
      </c>
      <c r="C3419" s="2">
        <v>614.0</v>
      </c>
      <c r="D3419" s="2">
        <v>764.0</v>
      </c>
      <c r="E3419" s="2">
        <v>28180.0</v>
      </c>
      <c r="F3419" s="2" t="s">
        <v>150</v>
      </c>
    </row>
    <row r="3420" ht="15.75" customHeight="1">
      <c r="A3420" s="4" t="s">
        <v>7266</v>
      </c>
      <c r="B3420" s="2" t="s">
        <v>7267</v>
      </c>
      <c r="C3420" s="2">
        <v>183.0</v>
      </c>
      <c r="D3420" s="2">
        <v>192.0</v>
      </c>
      <c r="E3420" s="2">
        <v>27090.0</v>
      </c>
      <c r="F3420" s="2" t="s">
        <v>150</v>
      </c>
    </row>
    <row r="3421" ht="15.75" customHeight="1">
      <c r="A3421" s="4" t="s">
        <v>7268</v>
      </c>
      <c r="B3421" s="2" t="s">
        <v>6249</v>
      </c>
      <c r="C3421" s="2">
        <v>45.0</v>
      </c>
      <c r="D3421" s="2">
        <v>38.0</v>
      </c>
      <c r="E3421" s="2" t="s">
        <v>150</v>
      </c>
      <c r="F3421" s="2" t="s">
        <v>150</v>
      </c>
    </row>
    <row r="3422" ht="15.75" customHeight="1">
      <c r="A3422" s="4" t="s">
        <v>7269</v>
      </c>
      <c r="B3422" s="2" t="s">
        <v>7270</v>
      </c>
      <c r="C3422" s="2">
        <v>189.0</v>
      </c>
      <c r="D3422" s="2">
        <v>184.0</v>
      </c>
      <c r="E3422" s="2">
        <v>25490.0</v>
      </c>
      <c r="F3422" s="2" t="s">
        <v>150</v>
      </c>
    </row>
    <row r="3423" ht="15.75" customHeight="1">
      <c r="A3423" s="4" t="s">
        <v>7271</v>
      </c>
      <c r="B3423" s="2" t="s">
        <v>7272</v>
      </c>
      <c r="C3423" s="2">
        <v>57.0</v>
      </c>
      <c r="D3423" s="2">
        <v>45.0</v>
      </c>
      <c r="E3423" s="2" t="s">
        <v>150</v>
      </c>
      <c r="F3423" s="2" t="s">
        <v>150</v>
      </c>
    </row>
    <row r="3424" ht="15.75" customHeight="1">
      <c r="A3424" s="4" t="s">
        <v>5009</v>
      </c>
      <c r="B3424" s="2" t="s">
        <v>5011</v>
      </c>
      <c r="C3424" s="2">
        <v>516.0</v>
      </c>
      <c r="D3424" s="2">
        <v>522.0</v>
      </c>
      <c r="E3424" s="2">
        <v>26980.0</v>
      </c>
      <c r="F3424" s="2" t="s">
        <v>150</v>
      </c>
    </row>
    <row r="3425" ht="15.75" customHeight="1">
      <c r="A3425" s="4" t="s">
        <v>7273</v>
      </c>
      <c r="B3425" s="2" t="s">
        <v>7274</v>
      </c>
      <c r="C3425" s="2">
        <v>117.0</v>
      </c>
      <c r="D3425" s="2">
        <v>108.0</v>
      </c>
      <c r="E3425" s="2">
        <v>24500.0</v>
      </c>
      <c r="F3425" s="2" t="s">
        <v>150</v>
      </c>
    </row>
    <row r="3426" ht="15.75" customHeight="1">
      <c r="A3426" s="4" t="s">
        <v>5014</v>
      </c>
      <c r="B3426" s="2" t="s">
        <v>5015</v>
      </c>
      <c r="C3426" s="2">
        <v>507.0</v>
      </c>
      <c r="D3426" s="2">
        <v>527.0</v>
      </c>
      <c r="E3426" s="2">
        <v>22880.0</v>
      </c>
      <c r="F3426" s="2" t="s">
        <v>150</v>
      </c>
    </row>
    <row r="3427" ht="15.75" customHeight="1">
      <c r="A3427" s="4" t="s">
        <v>7275</v>
      </c>
      <c r="B3427" s="2" t="s">
        <v>7276</v>
      </c>
      <c r="C3427" s="2">
        <v>169.0</v>
      </c>
      <c r="D3427" s="2">
        <v>165.0</v>
      </c>
      <c r="E3427" s="2">
        <v>25210.0</v>
      </c>
      <c r="F3427" s="2" t="s">
        <v>150</v>
      </c>
    </row>
    <row r="3428" ht="15.75" customHeight="1">
      <c r="A3428" s="4" t="s">
        <v>7277</v>
      </c>
      <c r="B3428" s="2" t="s">
        <v>7278</v>
      </c>
      <c r="C3428" s="2">
        <v>150.0</v>
      </c>
      <c r="D3428" s="2">
        <v>150.0</v>
      </c>
      <c r="E3428" s="2">
        <v>20740.0</v>
      </c>
      <c r="F3428" s="2" t="s">
        <v>150</v>
      </c>
    </row>
    <row r="3429" ht="15.75" customHeight="1">
      <c r="A3429" s="4" t="s">
        <v>5016</v>
      </c>
      <c r="B3429" s="2" t="s">
        <v>5017</v>
      </c>
      <c r="C3429" s="2">
        <v>1180.0</v>
      </c>
      <c r="D3429" s="2">
        <v>1111.0</v>
      </c>
      <c r="E3429" s="2">
        <v>23550.0</v>
      </c>
      <c r="F3429" s="2" t="s">
        <v>150</v>
      </c>
    </row>
    <row r="3430" ht="15.75" customHeight="1">
      <c r="A3430" s="4" t="s">
        <v>5018</v>
      </c>
      <c r="B3430" s="2" t="s">
        <v>5019</v>
      </c>
      <c r="C3430" s="2">
        <v>1679.0</v>
      </c>
      <c r="D3430" s="2">
        <v>1622.0</v>
      </c>
      <c r="E3430" s="2">
        <v>24230.0</v>
      </c>
      <c r="F3430" s="2" t="s">
        <v>150</v>
      </c>
    </row>
    <row r="3431" ht="15.75" customHeight="1">
      <c r="A3431" s="4" t="s">
        <v>5022</v>
      </c>
      <c r="B3431" s="2" t="s">
        <v>5023</v>
      </c>
      <c r="C3431" s="2">
        <v>665.0</v>
      </c>
      <c r="D3431" s="2">
        <v>679.0</v>
      </c>
      <c r="E3431" s="2">
        <v>25630.0</v>
      </c>
      <c r="F3431" s="2" t="s">
        <v>150</v>
      </c>
    </row>
    <row r="3432" ht="15.75" customHeight="1">
      <c r="A3432" s="4" t="s">
        <v>7279</v>
      </c>
      <c r="B3432" s="2" t="s">
        <v>7280</v>
      </c>
      <c r="C3432" s="2">
        <v>268.0</v>
      </c>
      <c r="D3432" s="2">
        <v>247.0</v>
      </c>
      <c r="E3432" s="2">
        <v>21420.0</v>
      </c>
      <c r="F3432" s="2" t="s">
        <v>150</v>
      </c>
    </row>
    <row r="3433" ht="15.75" customHeight="1">
      <c r="A3433" s="4" t="s">
        <v>5026</v>
      </c>
      <c r="B3433" s="2" t="s">
        <v>5027</v>
      </c>
      <c r="C3433" s="2">
        <v>785.0</v>
      </c>
      <c r="D3433" s="2">
        <v>749.0</v>
      </c>
      <c r="E3433" s="2">
        <v>25550.0</v>
      </c>
      <c r="F3433" s="2" t="s">
        <v>150</v>
      </c>
    </row>
    <row r="3434" ht="15.75" customHeight="1">
      <c r="A3434" s="4" t="s">
        <v>7281</v>
      </c>
      <c r="B3434" s="2" t="s">
        <v>7282</v>
      </c>
      <c r="C3434" s="2">
        <v>76.0</v>
      </c>
      <c r="D3434" s="2">
        <v>65.0</v>
      </c>
      <c r="E3434" s="2" t="s">
        <v>150</v>
      </c>
      <c r="F3434" s="2" t="s">
        <v>150</v>
      </c>
    </row>
    <row r="3435" ht="15.75" customHeight="1">
      <c r="A3435" s="4" t="s">
        <v>7283</v>
      </c>
      <c r="B3435" s="2" t="s">
        <v>7284</v>
      </c>
      <c r="C3435" s="2">
        <v>113.0</v>
      </c>
      <c r="D3435" s="2">
        <v>118.0</v>
      </c>
      <c r="E3435" s="2" t="s">
        <v>150</v>
      </c>
      <c r="F3435" s="2" t="s">
        <v>150</v>
      </c>
    </row>
    <row r="3436" ht="15.75" customHeight="1">
      <c r="A3436" s="4" t="s">
        <v>7285</v>
      </c>
      <c r="B3436" s="2" t="s">
        <v>7286</v>
      </c>
      <c r="C3436" s="2">
        <v>113.0</v>
      </c>
      <c r="D3436" s="2">
        <v>111.0</v>
      </c>
      <c r="E3436" s="2">
        <v>24640.0</v>
      </c>
      <c r="F3436" s="2" t="s">
        <v>150</v>
      </c>
    </row>
    <row r="3437" ht="15.75" customHeight="1">
      <c r="A3437" s="4" t="s">
        <v>7287</v>
      </c>
      <c r="B3437" s="2" t="s">
        <v>7288</v>
      </c>
      <c r="C3437" s="2">
        <v>518.0</v>
      </c>
      <c r="D3437" s="2">
        <v>532.0</v>
      </c>
      <c r="E3437" s="2">
        <v>28360.0</v>
      </c>
      <c r="F3437" s="2" t="s">
        <v>150</v>
      </c>
    </row>
    <row r="3438" ht="15.75" customHeight="1">
      <c r="A3438" s="4" t="s">
        <v>7289</v>
      </c>
      <c r="B3438" s="2" t="s">
        <v>7290</v>
      </c>
      <c r="C3438" s="2">
        <v>150.0</v>
      </c>
      <c r="D3438" s="2">
        <v>134.0</v>
      </c>
      <c r="E3438" s="2">
        <v>26170.0</v>
      </c>
      <c r="F3438" s="2" t="s">
        <v>150</v>
      </c>
    </row>
    <row r="3439" ht="15.75" customHeight="1">
      <c r="A3439" s="4" t="s">
        <v>7291</v>
      </c>
      <c r="B3439" s="2" t="s">
        <v>7292</v>
      </c>
      <c r="C3439" s="2">
        <v>85.0</v>
      </c>
      <c r="D3439" s="2">
        <v>87.0</v>
      </c>
      <c r="E3439" s="2" t="s">
        <v>150</v>
      </c>
      <c r="F3439" s="2" t="s">
        <v>150</v>
      </c>
    </row>
    <row r="3440" ht="15.75" customHeight="1">
      <c r="A3440" s="4" t="s">
        <v>5042</v>
      </c>
      <c r="B3440" s="2" t="s">
        <v>5044</v>
      </c>
      <c r="C3440" s="2">
        <v>550.0</v>
      </c>
      <c r="D3440" s="2">
        <v>553.0</v>
      </c>
      <c r="E3440" s="2">
        <v>26240.0</v>
      </c>
      <c r="F3440" s="2" t="s">
        <v>150</v>
      </c>
    </row>
    <row r="3441" ht="15.75" customHeight="1">
      <c r="A3441" s="4" t="s">
        <v>7293</v>
      </c>
      <c r="B3441" s="2" t="s">
        <v>7294</v>
      </c>
      <c r="C3441" s="2">
        <v>471.0</v>
      </c>
      <c r="D3441" s="2">
        <v>442.0</v>
      </c>
      <c r="E3441" s="2">
        <v>28570.0</v>
      </c>
      <c r="F3441" s="2" t="s">
        <v>150</v>
      </c>
    </row>
    <row r="3442" ht="15.75" customHeight="1">
      <c r="A3442" s="4" t="s">
        <v>7295</v>
      </c>
      <c r="B3442" s="2" t="s">
        <v>7296</v>
      </c>
      <c r="C3442" s="2">
        <v>117.0</v>
      </c>
      <c r="D3442" s="2">
        <v>98.0</v>
      </c>
      <c r="E3442" s="2" t="s">
        <v>150</v>
      </c>
      <c r="F3442" s="2" t="s">
        <v>150</v>
      </c>
    </row>
    <row r="3443" ht="15.75" customHeight="1">
      <c r="A3443" s="4" t="s">
        <v>7297</v>
      </c>
      <c r="B3443" s="2" t="s">
        <v>7298</v>
      </c>
      <c r="C3443" s="2">
        <v>65.0</v>
      </c>
      <c r="D3443" s="2">
        <v>51.0</v>
      </c>
      <c r="E3443" s="2" t="s">
        <v>150</v>
      </c>
      <c r="F3443" s="2" t="s">
        <v>150</v>
      </c>
    </row>
    <row r="3444" ht="15.75" customHeight="1">
      <c r="A3444" s="4" t="s">
        <v>7299</v>
      </c>
      <c r="B3444" s="2" t="s">
        <v>7300</v>
      </c>
      <c r="C3444" s="2">
        <v>222.0</v>
      </c>
      <c r="D3444" s="2">
        <v>260.0</v>
      </c>
      <c r="E3444" s="2">
        <v>28990.0</v>
      </c>
      <c r="F3444" s="2" t="s">
        <v>150</v>
      </c>
    </row>
    <row r="3445" ht="15.75" customHeight="1">
      <c r="A3445" s="4" t="s">
        <v>7301</v>
      </c>
      <c r="B3445" s="2" t="s">
        <v>7302</v>
      </c>
      <c r="C3445" s="2">
        <v>352.0</v>
      </c>
      <c r="D3445" s="2">
        <v>328.0</v>
      </c>
      <c r="E3445" s="2">
        <v>26420.0</v>
      </c>
      <c r="F3445" s="2" t="s">
        <v>150</v>
      </c>
    </row>
    <row r="3446" ht="15.75" customHeight="1">
      <c r="A3446" s="4" t="s">
        <v>5048</v>
      </c>
      <c r="B3446" s="2" t="s">
        <v>5049</v>
      </c>
      <c r="C3446" s="2">
        <v>703.0</v>
      </c>
      <c r="D3446" s="2">
        <v>725.0</v>
      </c>
      <c r="E3446" s="2">
        <v>26500.0</v>
      </c>
      <c r="F3446" s="2" t="s">
        <v>150</v>
      </c>
    </row>
    <row r="3447" ht="15.75" customHeight="1">
      <c r="A3447" s="4" t="s">
        <v>5050</v>
      </c>
      <c r="B3447" s="2" t="s">
        <v>5051</v>
      </c>
      <c r="C3447" s="2">
        <v>915.0</v>
      </c>
      <c r="D3447" s="2">
        <v>859.0</v>
      </c>
      <c r="E3447" s="2">
        <v>23950.0</v>
      </c>
      <c r="F3447" s="2" t="s">
        <v>150</v>
      </c>
    </row>
    <row r="3448" ht="15.75" customHeight="1">
      <c r="A3448" s="4" t="s">
        <v>7303</v>
      </c>
      <c r="B3448" s="2" t="s">
        <v>7304</v>
      </c>
      <c r="C3448" s="2">
        <v>195.0</v>
      </c>
      <c r="D3448" s="2">
        <v>192.0</v>
      </c>
      <c r="E3448" s="2">
        <v>24400.0</v>
      </c>
      <c r="F3448" s="2" t="s">
        <v>150</v>
      </c>
    </row>
    <row r="3449" ht="15.75" customHeight="1">
      <c r="A3449" s="4" t="s">
        <v>7305</v>
      </c>
      <c r="B3449" s="2" t="s">
        <v>7306</v>
      </c>
      <c r="C3449" s="2">
        <v>131.0</v>
      </c>
      <c r="D3449" s="2">
        <v>133.0</v>
      </c>
      <c r="E3449" s="2">
        <v>22840.0</v>
      </c>
      <c r="F3449" s="2" t="s">
        <v>150</v>
      </c>
    </row>
    <row r="3450" ht="15.75" customHeight="1">
      <c r="A3450" s="4" t="s">
        <v>7307</v>
      </c>
      <c r="B3450" s="2" t="s">
        <v>7308</v>
      </c>
      <c r="C3450" s="2">
        <v>203.0</v>
      </c>
      <c r="D3450" s="2">
        <v>183.0</v>
      </c>
      <c r="E3450" s="2">
        <v>24030.0</v>
      </c>
      <c r="F3450" s="2" t="s">
        <v>150</v>
      </c>
    </row>
    <row r="3451" ht="15.75" customHeight="1">
      <c r="A3451" s="4" t="s">
        <v>7309</v>
      </c>
      <c r="B3451" s="2" t="s">
        <v>7310</v>
      </c>
      <c r="C3451" s="2">
        <v>171.0</v>
      </c>
      <c r="D3451" s="2">
        <v>170.0</v>
      </c>
      <c r="E3451" s="2">
        <v>25910.0</v>
      </c>
      <c r="F3451" s="2" t="s">
        <v>150</v>
      </c>
    </row>
    <row r="3452" ht="15.75" customHeight="1">
      <c r="A3452" s="4" t="s">
        <v>7311</v>
      </c>
      <c r="B3452" s="2" t="s">
        <v>7312</v>
      </c>
      <c r="C3452" s="2">
        <v>173.0</v>
      </c>
      <c r="D3452" s="2">
        <v>154.0</v>
      </c>
      <c r="E3452" s="2">
        <v>28200.0</v>
      </c>
      <c r="F3452" s="2" t="s">
        <v>150</v>
      </c>
    </row>
    <row r="3453" ht="15.75" customHeight="1">
      <c r="A3453" s="4" t="s">
        <v>7313</v>
      </c>
      <c r="B3453" s="2" t="s">
        <v>7314</v>
      </c>
      <c r="C3453" s="2">
        <v>167.0</v>
      </c>
      <c r="D3453" s="2">
        <v>156.0</v>
      </c>
      <c r="E3453" s="2">
        <v>25830.0</v>
      </c>
      <c r="F3453" s="2" t="s">
        <v>150</v>
      </c>
    </row>
    <row r="3454" ht="15.75" customHeight="1">
      <c r="A3454" s="4" t="s">
        <v>7315</v>
      </c>
      <c r="B3454" s="2" t="s">
        <v>7316</v>
      </c>
      <c r="C3454" s="2">
        <v>182.0</v>
      </c>
      <c r="D3454" s="2">
        <v>166.0</v>
      </c>
      <c r="E3454" s="2">
        <v>24620.0</v>
      </c>
      <c r="F3454" s="2" t="s">
        <v>150</v>
      </c>
    </row>
    <row r="3455" ht="15.75" customHeight="1">
      <c r="A3455" s="4" t="s">
        <v>5073</v>
      </c>
      <c r="B3455" s="2" t="s">
        <v>5074</v>
      </c>
      <c r="C3455" s="2">
        <v>301.0</v>
      </c>
      <c r="D3455" s="2">
        <v>292.0</v>
      </c>
      <c r="E3455" s="2">
        <v>24550.0</v>
      </c>
      <c r="F3455" s="2" t="s">
        <v>150</v>
      </c>
    </row>
    <row r="3456" ht="15.75" customHeight="1">
      <c r="A3456" s="4" t="s">
        <v>5075</v>
      </c>
      <c r="B3456" s="2" t="s">
        <v>5076</v>
      </c>
      <c r="C3456" s="2">
        <v>400.0</v>
      </c>
      <c r="D3456" s="2">
        <v>395.0</v>
      </c>
      <c r="E3456" s="2">
        <v>24850.0</v>
      </c>
      <c r="F3456" s="2" t="s">
        <v>150</v>
      </c>
    </row>
    <row r="3457" ht="15.75" customHeight="1">
      <c r="A3457" s="4" t="s">
        <v>5085</v>
      </c>
      <c r="B3457" s="2" t="s">
        <v>5086</v>
      </c>
      <c r="C3457" s="2">
        <v>227.0</v>
      </c>
      <c r="D3457" s="2">
        <v>217.0</v>
      </c>
      <c r="E3457" s="2">
        <v>24520.0</v>
      </c>
      <c r="F3457" s="2" t="s">
        <v>150</v>
      </c>
    </row>
    <row r="3458" ht="15.75" customHeight="1">
      <c r="A3458" s="4" t="s">
        <v>5077</v>
      </c>
      <c r="B3458" s="2" t="s">
        <v>5078</v>
      </c>
      <c r="C3458" s="2">
        <v>359.0</v>
      </c>
      <c r="D3458" s="2">
        <v>327.0</v>
      </c>
      <c r="E3458" s="2">
        <v>22960.0</v>
      </c>
      <c r="F3458" s="2" t="s">
        <v>150</v>
      </c>
    </row>
    <row r="3459" ht="15.75" customHeight="1">
      <c r="A3459" s="4" t="s">
        <v>7317</v>
      </c>
      <c r="B3459" s="2" t="s">
        <v>7318</v>
      </c>
      <c r="C3459" s="2">
        <v>219.0</v>
      </c>
      <c r="D3459" s="2">
        <v>223.0</v>
      </c>
      <c r="E3459" s="2">
        <v>22530.0</v>
      </c>
      <c r="F3459" s="2" t="s">
        <v>150</v>
      </c>
    </row>
    <row r="3460" ht="15.75" customHeight="1">
      <c r="A3460" s="4" t="s">
        <v>7319</v>
      </c>
      <c r="B3460" s="2" t="s">
        <v>7320</v>
      </c>
      <c r="C3460" s="2">
        <v>137.0</v>
      </c>
      <c r="D3460" s="2">
        <v>142.0</v>
      </c>
      <c r="E3460" s="2">
        <v>24410.0</v>
      </c>
      <c r="F3460" s="2" t="s">
        <v>150</v>
      </c>
    </row>
    <row r="3461" ht="15.75" customHeight="1">
      <c r="A3461" s="4" t="s">
        <v>7321</v>
      </c>
      <c r="B3461" s="2" t="s">
        <v>7322</v>
      </c>
      <c r="C3461" s="2">
        <v>385.0</v>
      </c>
      <c r="D3461" s="2">
        <v>346.0</v>
      </c>
      <c r="E3461" s="2">
        <v>24200.0</v>
      </c>
      <c r="F3461" s="2" t="s">
        <v>150</v>
      </c>
    </row>
    <row r="3462" ht="15.75" customHeight="1">
      <c r="A3462" s="4" t="s">
        <v>7323</v>
      </c>
      <c r="B3462" s="2" t="s">
        <v>7324</v>
      </c>
      <c r="C3462" s="2">
        <v>111.0</v>
      </c>
      <c r="D3462" s="2">
        <v>108.0</v>
      </c>
      <c r="E3462" s="2" t="s">
        <v>150</v>
      </c>
      <c r="F3462" s="2" t="s">
        <v>150</v>
      </c>
    </row>
    <row r="3463" ht="15.75" customHeight="1">
      <c r="A3463" s="4" t="s">
        <v>5079</v>
      </c>
      <c r="B3463" s="2" t="s">
        <v>5080</v>
      </c>
      <c r="C3463" s="2">
        <v>442.0</v>
      </c>
      <c r="D3463" s="2">
        <v>463.0</v>
      </c>
      <c r="E3463" s="2">
        <v>22070.0</v>
      </c>
      <c r="F3463" s="2" t="s">
        <v>150</v>
      </c>
    </row>
    <row r="3464" ht="15.75" customHeight="1">
      <c r="A3464" s="4" t="s">
        <v>7325</v>
      </c>
      <c r="B3464" s="2" t="s">
        <v>7326</v>
      </c>
      <c r="C3464" s="2">
        <v>141.0</v>
      </c>
      <c r="D3464" s="2">
        <v>142.0</v>
      </c>
      <c r="E3464" s="2">
        <v>25250.0</v>
      </c>
      <c r="F3464" s="2" t="s">
        <v>150</v>
      </c>
    </row>
    <row r="3465" ht="15.75" customHeight="1">
      <c r="A3465" s="4" t="s">
        <v>5081</v>
      </c>
      <c r="B3465" s="2" t="s">
        <v>5082</v>
      </c>
      <c r="C3465" s="2">
        <v>397.0</v>
      </c>
      <c r="D3465" s="2">
        <v>374.0</v>
      </c>
      <c r="E3465" s="2">
        <v>21620.0</v>
      </c>
      <c r="F3465" s="2" t="s">
        <v>150</v>
      </c>
    </row>
    <row r="3466" ht="15.75" customHeight="1">
      <c r="A3466" s="4" t="s">
        <v>7327</v>
      </c>
      <c r="B3466" s="2" t="s">
        <v>7328</v>
      </c>
      <c r="C3466" s="2">
        <v>1205.0</v>
      </c>
      <c r="D3466" s="2">
        <v>1148.0</v>
      </c>
      <c r="E3466" s="2">
        <v>27800.0</v>
      </c>
      <c r="F3466" s="2" t="s">
        <v>150</v>
      </c>
    </row>
    <row r="3467" ht="15.75" customHeight="1">
      <c r="A3467" s="4" t="s">
        <v>5087</v>
      </c>
      <c r="B3467" s="2" t="s">
        <v>5088</v>
      </c>
      <c r="C3467" s="2">
        <v>621.0</v>
      </c>
      <c r="D3467" s="2">
        <v>590.0</v>
      </c>
      <c r="E3467" s="2">
        <v>22630.0</v>
      </c>
      <c r="F3467" s="2" t="s">
        <v>150</v>
      </c>
    </row>
    <row r="3468" ht="15.75" customHeight="1">
      <c r="A3468" s="4" t="s">
        <v>7329</v>
      </c>
      <c r="B3468" s="2" t="s">
        <v>7330</v>
      </c>
      <c r="C3468" s="2">
        <v>86.0</v>
      </c>
      <c r="D3468" s="2">
        <v>77.0</v>
      </c>
      <c r="E3468" s="2">
        <v>22220.0</v>
      </c>
      <c r="F3468" s="2" t="s">
        <v>150</v>
      </c>
    </row>
    <row r="3469" ht="15.75" customHeight="1">
      <c r="A3469" s="4" t="s">
        <v>5089</v>
      </c>
      <c r="B3469" s="2" t="s">
        <v>5090</v>
      </c>
      <c r="C3469" s="2">
        <v>1660.0</v>
      </c>
      <c r="D3469" s="2">
        <v>1500.0</v>
      </c>
      <c r="E3469" s="2">
        <v>23350.0</v>
      </c>
      <c r="F3469" s="2" t="s">
        <v>150</v>
      </c>
    </row>
    <row r="3470" ht="15.75" hidden="1" customHeight="1">
      <c r="A3470" s="4" t="s">
        <v>5091</v>
      </c>
      <c r="B3470" s="2" t="s">
        <v>5092</v>
      </c>
      <c r="C3470" s="2">
        <v>5621.0</v>
      </c>
      <c r="D3470" s="2">
        <v>5680.0</v>
      </c>
      <c r="E3470" s="2">
        <v>24150.0</v>
      </c>
      <c r="F3470" s="2">
        <v>15.0</v>
      </c>
    </row>
    <row r="3471" ht="15.75" customHeight="1">
      <c r="A3471" s="4" t="s">
        <v>7331</v>
      </c>
      <c r="B3471" s="2" t="s">
        <v>7332</v>
      </c>
      <c r="C3471" s="2">
        <v>271.0</v>
      </c>
      <c r="D3471" s="2">
        <v>292.0</v>
      </c>
      <c r="E3471" s="2">
        <v>24660.0</v>
      </c>
      <c r="F3471" s="2" t="s">
        <v>150</v>
      </c>
    </row>
    <row r="3472" ht="15.75" customHeight="1">
      <c r="A3472" s="4" t="s">
        <v>7333</v>
      </c>
      <c r="B3472" s="2" t="s">
        <v>7334</v>
      </c>
      <c r="C3472" s="2">
        <v>77.0</v>
      </c>
      <c r="D3472" s="2">
        <v>67.0</v>
      </c>
      <c r="E3472" s="2" t="s">
        <v>150</v>
      </c>
      <c r="F3472" s="2" t="s">
        <v>150</v>
      </c>
    </row>
    <row r="3473" ht="15.75" customHeight="1">
      <c r="A3473" s="4" t="s">
        <v>7335</v>
      </c>
      <c r="B3473" s="2" t="s">
        <v>7336</v>
      </c>
      <c r="C3473" s="2">
        <v>281.0</v>
      </c>
      <c r="D3473" s="2">
        <v>289.0</v>
      </c>
      <c r="E3473" s="2">
        <v>22690.0</v>
      </c>
      <c r="F3473" s="2" t="s">
        <v>150</v>
      </c>
    </row>
    <row r="3474" ht="15.75" customHeight="1">
      <c r="A3474" s="4" t="s">
        <v>7337</v>
      </c>
      <c r="B3474" s="2" t="s">
        <v>7338</v>
      </c>
      <c r="C3474" s="2">
        <v>200.0</v>
      </c>
      <c r="D3474" s="2">
        <v>197.0</v>
      </c>
      <c r="E3474" s="2">
        <v>25230.0</v>
      </c>
      <c r="F3474" s="2" t="s">
        <v>150</v>
      </c>
    </row>
    <row r="3475" ht="15.75" customHeight="1">
      <c r="A3475" s="4" t="s">
        <v>7339</v>
      </c>
      <c r="B3475" s="2" t="s">
        <v>7340</v>
      </c>
      <c r="C3475" s="2">
        <v>534.0</v>
      </c>
      <c r="D3475" s="2">
        <v>521.0</v>
      </c>
      <c r="E3475" s="2">
        <v>22150.0</v>
      </c>
      <c r="F3475" s="2" t="s">
        <v>150</v>
      </c>
    </row>
    <row r="3476" ht="15.75" customHeight="1">
      <c r="A3476" s="4" t="s">
        <v>7341</v>
      </c>
      <c r="B3476" s="2" t="s">
        <v>7342</v>
      </c>
      <c r="C3476" s="2">
        <v>156.0</v>
      </c>
      <c r="D3476" s="2">
        <v>151.0</v>
      </c>
      <c r="E3476" s="2">
        <v>25080.0</v>
      </c>
      <c r="F3476" s="2" t="s">
        <v>150</v>
      </c>
    </row>
    <row r="3477" ht="15.75" customHeight="1">
      <c r="A3477" s="4" t="s">
        <v>5093</v>
      </c>
      <c r="B3477" s="2" t="s">
        <v>5094</v>
      </c>
      <c r="C3477" s="2">
        <v>127.0</v>
      </c>
      <c r="D3477" s="2">
        <v>117.0</v>
      </c>
      <c r="E3477" s="2">
        <v>26530.0</v>
      </c>
      <c r="F3477" s="2" t="s">
        <v>150</v>
      </c>
    </row>
    <row r="3478" ht="15.75" customHeight="1">
      <c r="A3478" s="4" t="s">
        <v>5095</v>
      </c>
      <c r="B3478" s="2" t="s">
        <v>5096</v>
      </c>
      <c r="C3478" s="2">
        <v>624.0</v>
      </c>
      <c r="D3478" s="2">
        <v>628.0</v>
      </c>
      <c r="E3478" s="2">
        <v>24430.0</v>
      </c>
      <c r="F3478" s="2" t="s">
        <v>150</v>
      </c>
    </row>
    <row r="3479" ht="15.75" customHeight="1">
      <c r="A3479" s="4" t="s">
        <v>7343</v>
      </c>
      <c r="B3479" s="2" t="s">
        <v>7344</v>
      </c>
      <c r="C3479" s="2">
        <v>299.0</v>
      </c>
      <c r="D3479" s="2">
        <v>290.0</v>
      </c>
      <c r="E3479" s="2">
        <v>28070.0</v>
      </c>
      <c r="F3479" s="2" t="s">
        <v>150</v>
      </c>
    </row>
    <row r="3480" ht="15.75" customHeight="1">
      <c r="A3480" s="4" t="s">
        <v>7345</v>
      </c>
      <c r="B3480" s="2" t="s">
        <v>7346</v>
      </c>
      <c r="C3480" s="2">
        <v>516.0</v>
      </c>
      <c r="D3480" s="2">
        <v>472.0</v>
      </c>
      <c r="E3480" s="2">
        <v>23110.0</v>
      </c>
      <c r="F3480" s="2" t="s">
        <v>150</v>
      </c>
    </row>
    <row r="3481" ht="15.75" customHeight="1">
      <c r="A3481" s="4" t="s">
        <v>7347</v>
      </c>
      <c r="B3481" s="2" t="s">
        <v>7348</v>
      </c>
      <c r="C3481" s="2">
        <v>274.0</v>
      </c>
      <c r="D3481" s="2">
        <v>280.0</v>
      </c>
      <c r="E3481" s="2">
        <v>19300.0</v>
      </c>
      <c r="F3481" s="2" t="s">
        <v>150</v>
      </c>
    </row>
    <row r="3482" ht="15.75" customHeight="1">
      <c r="A3482" s="4" t="s">
        <v>7349</v>
      </c>
      <c r="B3482" s="2" t="s">
        <v>7350</v>
      </c>
      <c r="C3482" s="2">
        <v>106.0</v>
      </c>
      <c r="D3482" s="2">
        <v>97.0</v>
      </c>
      <c r="E3482" s="2" t="s">
        <v>150</v>
      </c>
      <c r="F3482" s="2" t="s">
        <v>150</v>
      </c>
    </row>
    <row r="3483" ht="15.75" customHeight="1">
      <c r="A3483" s="4" t="s">
        <v>7351</v>
      </c>
      <c r="B3483" s="2" t="s">
        <v>7352</v>
      </c>
      <c r="C3483" s="2">
        <v>192.0</v>
      </c>
      <c r="D3483" s="2">
        <v>182.0</v>
      </c>
      <c r="E3483" s="2">
        <v>26150.0</v>
      </c>
      <c r="F3483" s="2" t="s">
        <v>150</v>
      </c>
    </row>
    <row r="3484" ht="15.75" customHeight="1">
      <c r="A3484" s="4" t="s">
        <v>7353</v>
      </c>
      <c r="B3484" s="2" t="s">
        <v>7354</v>
      </c>
      <c r="C3484" s="2">
        <v>78.0</v>
      </c>
      <c r="D3484" s="2">
        <v>70.0</v>
      </c>
      <c r="E3484" s="2" t="s">
        <v>150</v>
      </c>
      <c r="F3484" s="2" t="s">
        <v>150</v>
      </c>
    </row>
    <row r="3485" ht="15.75" customHeight="1">
      <c r="A3485" s="4" t="s">
        <v>7355</v>
      </c>
      <c r="B3485" s="2" t="s">
        <v>7356</v>
      </c>
      <c r="C3485" s="2">
        <v>285.0</v>
      </c>
      <c r="D3485" s="2">
        <v>255.0</v>
      </c>
      <c r="E3485" s="2">
        <v>27440.0</v>
      </c>
      <c r="F3485" s="2" t="s">
        <v>150</v>
      </c>
    </row>
    <row r="3486" ht="15.75" customHeight="1">
      <c r="A3486" s="4" t="s">
        <v>5097</v>
      </c>
      <c r="B3486" s="2" t="s">
        <v>5098</v>
      </c>
      <c r="C3486" s="2">
        <v>1239.0</v>
      </c>
      <c r="D3486" s="2">
        <v>1302.0</v>
      </c>
      <c r="E3486" s="2">
        <v>26680.0</v>
      </c>
      <c r="F3486" s="2" t="s">
        <v>150</v>
      </c>
    </row>
    <row r="3487" ht="15.75" customHeight="1">
      <c r="A3487" s="4" t="s">
        <v>7357</v>
      </c>
      <c r="B3487" s="2" t="s">
        <v>7358</v>
      </c>
      <c r="C3487" s="2">
        <v>53.0</v>
      </c>
      <c r="D3487" s="2">
        <v>51.0</v>
      </c>
      <c r="E3487" s="2" t="s">
        <v>150</v>
      </c>
      <c r="F3487" s="2" t="s">
        <v>150</v>
      </c>
    </row>
    <row r="3488" ht="15.75" customHeight="1">
      <c r="A3488" s="4" t="s">
        <v>7359</v>
      </c>
      <c r="B3488" s="2" t="s">
        <v>7360</v>
      </c>
      <c r="C3488" s="2">
        <v>599.0</v>
      </c>
      <c r="D3488" s="2">
        <v>575.0</v>
      </c>
      <c r="E3488" s="2">
        <v>23290.0</v>
      </c>
      <c r="F3488" s="2" t="s">
        <v>150</v>
      </c>
    </row>
    <row r="3489" ht="15.75" customHeight="1">
      <c r="A3489" s="4" t="s">
        <v>7361</v>
      </c>
      <c r="B3489" s="2" t="s">
        <v>7362</v>
      </c>
      <c r="C3489" s="2">
        <v>113.0</v>
      </c>
      <c r="D3489" s="2">
        <v>120.0</v>
      </c>
      <c r="E3489" s="2">
        <v>27630.0</v>
      </c>
      <c r="F3489" s="2" t="s">
        <v>150</v>
      </c>
    </row>
    <row r="3490" ht="15.75" customHeight="1">
      <c r="A3490" s="4" t="s">
        <v>5099</v>
      </c>
      <c r="B3490" s="2" t="s">
        <v>5100</v>
      </c>
      <c r="C3490" s="2">
        <v>825.0</v>
      </c>
      <c r="D3490" s="2">
        <v>840.0</v>
      </c>
      <c r="E3490" s="2">
        <v>23920.0</v>
      </c>
      <c r="F3490" s="2" t="s">
        <v>150</v>
      </c>
    </row>
    <row r="3491" ht="15.75" customHeight="1">
      <c r="A3491" s="4" t="s">
        <v>7363</v>
      </c>
      <c r="B3491" s="2" t="s">
        <v>7364</v>
      </c>
      <c r="C3491" s="2">
        <v>178.0</v>
      </c>
      <c r="D3491" s="2">
        <v>184.0</v>
      </c>
      <c r="E3491" s="2">
        <v>26270.0</v>
      </c>
      <c r="F3491" s="2" t="s">
        <v>150</v>
      </c>
    </row>
    <row r="3492" ht="15.75" customHeight="1">
      <c r="A3492" s="4" t="s">
        <v>7365</v>
      </c>
      <c r="B3492" s="2" t="s">
        <v>7366</v>
      </c>
      <c r="C3492" s="2">
        <v>122.0</v>
      </c>
      <c r="D3492" s="2">
        <v>128.0</v>
      </c>
      <c r="E3492" s="2">
        <v>25470.0</v>
      </c>
      <c r="F3492" s="2" t="s">
        <v>150</v>
      </c>
    </row>
    <row r="3493" ht="15.75" customHeight="1">
      <c r="A3493" s="4" t="s">
        <v>7367</v>
      </c>
      <c r="B3493" s="2" t="s">
        <v>7368</v>
      </c>
      <c r="C3493" s="2">
        <v>141.0</v>
      </c>
      <c r="D3493" s="2">
        <v>149.0</v>
      </c>
      <c r="E3493" s="2">
        <v>27780.0</v>
      </c>
      <c r="F3493" s="2" t="s">
        <v>150</v>
      </c>
    </row>
    <row r="3494" ht="15.75" customHeight="1">
      <c r="A3494" s="4" t="s">
        <v>7369</v>
      </c>
      <c r="B3494" s="2" t="s">
        <v>7370</v>
      </c>
      <c r="C3494" s="2">
        <v>200.0</v>
      </c>
      <c r="D3494" s="2">
        <v>190.0</v>
      </c>
      <c r="E3494" s="2">
        <v>25590.0</v>
      </c>
      <c r="F3494" s="2" t="s">
        <v>150</v>
      </c>
    </row>
    <row r="3495" ht="15.75" customHeight="1">
      <c r="A3495" s="4" t="s">
        <v>7371</v>
      </c>
      <c r="B3495" s="2" t="s">
        <v>7372</v>
      </c>
      <c r="C3495" s="2">
        <v>188.0</v>
      </c>
      <c r="D3495" s="2">
        <v>189.0</v>
      </c>
      <c r="E3495" s="2">
        <v>24510.0</v>
      </c>
      <c r="F3495" s="2" t="s">
        <v>150</v>
      </c>
    </row>
    <row r="3496" ht="15.75" customHeight="1">
      <c r="A3496" s="4" t="s">
        <v>7373</v>
      </c>
      <c r="B3496" s="2" t="s">
        <v>7374</v>
      </c>
      <c r="C3496" s="2">
        <v>422.0</v>
      </c>
      <c r="D3496" s="2">
        <v>410.0</v>
      </c>
      <c r="E3496" s="2">
        <v>23600.0</v>
      </c>
      <c r="F3496" s="2" t="s">
        <v>150</v>
      </c>
    </row>
    <row r="3497" ht="15.75" customHeight="1">
      <c r="A3497" s="4" t="s">
        <v>7375</v>
      </c>
      <c r="B3497" s="2" t="s">
        <v>7376</v>
      </c>
      <c r="C3497" s="2">
        <v>503.0</v>
      </c>
      <c r="D3497" s="2">
        <v>505.0</v>
      </c>
      <c r="E3497" s="2">
        <v>23290.0</v>
      </c>
      <c r="F3497" s="2" t="s">
        <v>150</v>
      </c>
    </row>
    <row r="3498" ht="15.75" customHeight="1">
      <c r="A3498" s="4" t="s">
        <v>7377</v>
      </c>
      <c r="B3498" s="2" t="s">
        <v>5544</v>
      </c>
      <c r="C3498" s="2">
        <v>180.0</v>
      </c>
      <c r="D3498" s="2">
        <v>205.0</v>
      </c>
      <c r="E3498" s="2">
        <v>24050.0</v>
      </c>
      <c r="F3498" s="2" t="s">
        <v>150</v>
      </c>
    </row>
    <row r="3499" ht="15.75" customHeight="1">
      <c r="A3499" s="4" t="s">
        <v>7378</v>
      </c>
      <c r="B3499" s="2" t="s">
        <v>7379</v>
      </c>
      <c r="C3499" s="2">
        <v>197.0</v>
      </c>
      <c r="D3499" s="2">
        <v>216.0</v>
      </c>
      <c r="E3499" s="2">
        <v>24570.0</v>
      </c>
      <c r="F3499" s="2" t="s">
        <v>150</v>
      </c>
    </row>
    <row r="3500" ht="15.75" customHeight="1">
      <c r="A3500" s="4" t="s">
        <v>7380</v>
      </c>
      <c r="B3500" s="2" t="s">
        <v>7381</v>
      </c>
      <c r="C3500" s="2">
        <v>106.0</v>
      </c>
      <c r="D3500" s="2">
        <v>107.0</v>
      </c>
      <c r="E3500" s="2" t="s">
        <v>150</v>
      </c>
      <c r="F3500" s="2" t="s">
        <v>150</v>
      </c>
    </row>
    <row r="3501" ht="15.75" customHeight="1">
      <c r="A3501" s="4" t="s">
        <v>5140</v>
      </c>
      <c r="B3501" s="2" t="s">
        <v>5141</v>
      </c>
      <c r="C3501" s="2">
        <v>1254.0</v>
      </c>
      <c r="D3501" s="2">
        <v>1285.0</v>
      </c>
      <c r="E3501" s="2">
        <v>26520.0</v>
      </c>
      <c r="F3501" s="2" t="s">
        <v>150</v>
      </c>
    </row>
    <row r="3502" ht="15.75" customHeight="1">
      <c r="A3502" s="4" t="s">
        <v>5142</v>
      </c>
      <c r="B3502" s="2" t="s">
        <v>5143</v>
      </c>
      <c r="C3502" s="2">
        <v>589.0</v>
      </c>
      <c r="D3502" s="2">
        <v>546.0</v>
      </c>
      <c r="E3502" s="2">
        <v>23430.0</v>
      </c>
      <c r="F3502" s="2" t="s">
        <v>150</v>
      </c>
    </row>
    <row r="3503" ht="15.75" customHeight="1">
      <c r="A3503" s="4" t="s">
        <v>7382</v>
      </c>
      <c r="B3503" s="2" t="s">
        <v>7383</v>
      </c>
      <c r="C3503" s="2">
        <v>175.0</v>
      </c>
      <c r="D3503" s="2">
        <v>183.0</v>
      </c>
      <c r="E3503" s="2">
        <v>26500.0</v>
      </c>
      <c r="F3503" s="2" t="s">
        <v>150</v>
      </c>
    </row>
    <row r="3504" ht="15.75" customHeight="1">
      <c r="A3504" s="4" t="s">
        <v>7384</v>
      </c>
      <c r="B3504" s="2" t="s">
        <v>7385</v>
      </c>
      <c r="C3504" s="2">
        <v>154.0</v>
      </c>
      <c r="D3504" s="2">
        <v>154.0</v>
      </c>
      <c r="E3504" s="2">
        <v>26330.0</v>
      </c>
      <c r="F3504" s="2" t="s">
        <v>150</v>
      </c>
    </row>
    <row r="3505" ht="15.75" customHeight="1">
      <c r="A3505" s="4" t="s">
        <v>7386</v>
      </c>
      <c r="B3505" s="2" t="s">
        <v>7387</v>
      </c>
      <c r="C3505" s="2">
        <v>310.0</v>
      </c>
      <c r="D3505" s="2">
        <v>298.0</v>
      </c>
      <c r="E3505" s="2">
        <v>25570.0</v>
      </c>
      <c r="F3505" s="2" t="s">
        <v>150</v>
      </c>
    </row>
    <row r="3506" ht="15.75" customHeight="1">
      <c r="A3506" s="4" t="s">
        <v>7388</v>
      </c>
      <c r="B3506" s="2" t="s">
        <v>7389</v>
      </c>
      <c r="C3506" s="2">
        <v>6.0</v>
      </c>
      <c r="D3506" s="2">
        <v>9.0</v>
      </c>
      <c r="E3506" s="2" t="s">
        <v>150</v>
      </c>
      <c r="F3506" s="2" t="s">
        <v>150</v>
      </c>
    </row>
    <row r="3507" ht="15.75" customHeight="1">
      <c r="A3507" s="4" t="s">
        <v>7390</v>
      </c>
      <c r="B3507" s="2" t="s">
        <v>7391</v>
      </c>
      <c r="C3507" s="2">
        <v>197.0</v>
      </c>
      <c r="D3507" s="2">
        <v>183.0</v>
      </c>
      <c r="E3507" s="2">
        <v>23900.0</v>
      </c>
      <c r="F3507" s="2" t="s">
        <v>150</v>
      </c>
    </row>
    <row r="3508" ht="15.75" customHeight="1">
      <c r="A3508" s="4" t="s">
        <v>5144</v>
      </c>
      <c r="B3508" s="2" t="s">
        <v>5145</v>
      </c>
      <c r="C3508" s="2">
        <v>604.0</v>
      </c>
      <c r="D3508" s="2">
        <v>587.0</v>
      </c>
      <c r="E3508" s="2">
        <v>25310.0</v>
      </c>
      <c r="F3508" s="2" t="s">
        <v>150</v>
      </c>
    </row>
    <row r="3509" ht="15.75" customHeight="1">
      <c r="A3509" s="4" t="s">
        <v>7392</v>
      </c>
      <c r="B3509" s="2" t="s">
        <v>7393</v>
      </c>
      <c r="C3509" s="2">
        <v>103.0</v>
      </c>
      <c r="D3509" s="2">
        <v>106.0</v>
      </c>
      <c r="E3509" s="2">
        <v>24240.0</v>
      </c>
      <c r="F3509" s="2" t="s">
        <v>150</v>
      </c>
    </row>
    <row r="3510" ht="15.75" hidden="1" customHeight="1">
      <c r="A3510" s="4" t="s">
        <v>5101</v>
      </c>
      <c r="B3510" s="2" t="s">
        <v>5102</v>
      </c>
      <c r="C3510" s="2">
        <v>2825.0</v>
      </c>
      <c r="D3510" s="2">
        <v>2540.0</v>
      </c>
      <c r="E3510" s="2">
        <v>22890.0</v>
      </c>
      <c r="F3510" s="2">
        <v>22.0</v>
      </c>
    </row>
    <row r="3511" ht="15.75" customHeight="1">
      <c r="A3511" s="4" t="s">
        <v>7394</v>
      </c>
      <c r="B3511" s="2" t="s">
        <v>7395</v>
      </c>
      <c r="C3511" s="2">
        <v>176.0</v>
      </c>
      <c r="D3511" s="2">
        <v>144.0</v>
      </c>
      <c r="E3511" s="2">
        <v>24370.0</v>
      </c>
      <c r="F3511" s="2" t="s">
        <v>150</v>
      </c>
    </row>
    <row r="3512" ht="15.75" customHeight="1">
      <c r="A3512" s="4" t="s">
        <v>7396</v>
      </c>
      <c r="B3512" s="2" t="s">
        <v>7397</v>
      </c>
      <c r="C3512" s="2">
        <v>288.0</v>
      </c>
      <c r="D3512" s="2">
        <v>290.0</v>
      </c>
      <c r="E3512" s="2">
        <v>25260.0</v>
      </c>
      <c r="F3512" s="2" t="s">
        <v>150</v>
      </c>
    </row>
    <row r="3513" ht="15.75" customHeight="1">
      <c r="A3513" s="4" t="s">
        <v>7398</v>
      </c>
      <c r="B3513" s="2" t="s">
        <v>7399</v>
      </c>
      <c r="C3513" s="2">
        <v>88.0</v>
      </c>
      <c r="D3513" s="2">
        <v>88.0</v>
      </c>
      <c r="E3513" s="2" t="s">
        <v>150</v>
      </c>
      <c r="F3513" s="2" t="s">
        <v>150</v>
      </c>
    </row>
    <row r="3514" ht="15.75" customHeight="1">
      <c r="A3514" s="4" t="s">
        <v>7400</v>
      </c>
      <c r="B3514" s="2" t="s">
        <v>7401</v>
      </c>
      <c r="C3514" s="2">
        <v>126.0</v>
      </c>
      <c r="D3514" s="2">
        <v>105.0</v>
      </c>
      <c r="E3514" s="2" t="s">
        <v>150</v>
      </c>
      <c r="F3514" s="2" t="s">
        <v>150</v>
      </c>
    </row>
    <row r="3515" ht="15.75" customHeight="1">
      <c r="A3515" s="4" t="s">
        <v>7402</v>
      </c>
      <c r="B3515" s="2" t="s">
        <v>7403</v>
      </c>
      <c r="C3515" s="2">
        <v>238.0</v>
      </c>
      <c r="D3515" s="2">
        <v>237.0</v>
      </c>
      <c r="E3515" s="2">
        <v>25900.0</v>
      </c>
      <c r="F3515" s="2" t="s">
        <v>150</v>
      </c>
    </row>
    <row r="3516" ht="15.75" customHeight="1">
      <c r="A3516" s="4" t="s">
        <v>7404</v>
      </c>
      <c r="B3516" s="2" t="s">
        <v>7405</v>
      </c>
      <c r="C3516" s="2">
        <v>188.0</v>
      </c>
      <c r="D3516" s="2">
        <v>217.0</v>
      </c>
      <c r="E3516" s="2">
        <v>24870.0</v>
      </c>
      <c r="F3516" s="2" t="s">
        <v>150</v>
      </c>
    </row>
    <row r="3517" ht="15.75" customHeight="1">
      <c r="A3517" s="4" t="s">
        <v>5105</v>
      </c>
      <c r="B3517" s="2" t="s">
        <v>5106</v>
      </c>
      <c r="C3517" s="2">
        <v>561.0</v>
      </c>
      <c r="D3517" s="2">
        <v>569.0</v>
      </c>
      <c r="E3517" s="2">
        <v>24580.0</v>
      </c>
      <c r="F3517" s="2" t="s">
        <v>150</v>
      </c>
    </row>
    <row r="3518" ht="15.75" customHeight="1">
      <c r="A3518" s="4" t="s">
        <v>7406</v>
      </c>
      <c r="B3518" s="2" t="s">
        <v>7407</v>
      </c>
      <c r="C3518" s="2">
        <v>118.0</v>
      </c>
      <c r="D3518" s="2">
        <v>122.0</v>
      </c>
      <c r="E3518" s="2">
        <v>25440.0</v>
      </c>
      <c r="F3518" s="2" t="s">
        <v>150</v>
      </c>
    </row>
    <row r="3519" ht="15.75" customHeight="1">
      <c r="A3519" s="4" t="s">
        <v>7408</v>
      </c>
      <c r="B3519" s="2" t="s">
        <v>7409</v>
      </c>
      <c r="C3519" s="2">
        <v>188.0</v>
      </c>
      <c r="D3519" s="2">
        <v>184.0</v>
      </c>
      <c r="E3519" s="2">
        <v>23090.0</v>
      </c>
      <c r="F3519" s="2" t="s">
        <v>150</v>
      </c>
    </row>
    <row r="3520" ht="15.75" customHeight="1">
      <c r="A3520" s="4" t="s">
        <v>7410</v>
      </c>
      <c r="B3520" s="2" t="s">
        <v>7411</v>
      </c>
      <c r="C3520" s="2">
        <v>589.0</v>
      </c>
      <c r="D3520" s="2">
        <v>521.0</v>
      </c>
      <c r="E3520" s="2">
        <v>27330.0</v>
      </c>
      <c r="F3520" s="2" t="s">
        <v>150</v>
      </c>
    </row>
    <row r="3521" ht="15.75" customHeight="1">
      <c r="A3521" s="4" t="s">
        <v>5107</v>
      </c>
      <c r="B3521" s="2" t="s">
        <v>5108</v>
      </c>
      <c r="C3521" s="2">
        <v>564.0</v>
      </c>
      <c r="D3521" s="2">
        <v>604.0</v>
      </c>
      <c r="E3521" s="2">
        <v>27120.0</v>
      </c>
      <c r="F3521" s="2" t="s">
        <v>150</v>
      </c>
    </row>
    <row r="3522" ht="15.75" customHeight="1">
      <c r="A3522" s="4" t="s">
        <v>7412</v>
      </c>
      <c r="B3522" s="2" t="s">
        <v>7413</v>
      </c>
      <c r="C3522" s="2">
        <v>211.0</v>
      </c>
      <c r="D3522" s="2">
        <v>202.0</v>
      </c>
      <c r="E3522" s="2">
        <v>25370.0</v>
      </c>
      <c r="F3522" s="2" t="s">
        <v>150</v>
      </c>
    </row>
    <row r="3523" ht="15.75" customHeight="1">
      <c r="A3523" s="4" t="s">
        <v>7414</v>
      </c>
      <c r="B3523" s="2" t="s">
        <v>7415</v>
      </c>
      <c r="C3523" s="2">
        <v>359.0</v>
      </c>
      <c r="D3523" s="2">
        <v>337.0</v>
      </c>
      <c r="E3523" s="2">
        <v>24430.0</v>
      </c>
      <c r="F3523" s="2" t="s">
        <v>150</v>
      </c>
    </row>
    <row r="3524" ht="15.75" customHeight="1">
      <c r="A3524" s="4" t="s">
        <v>7416</v>
      </c>
      <c r="B3524" s="2" t="s">
        <v>7417</v>
      </c>
      <c r="C3524" s="2">
        <v>664.0</v>
      </c>
      <c r="D3524" s="2">
        <v>620.0</v>
      </c>
      <c r="E3524" s="2">
        <v>24410.0</v>
      </c>
      <c r="F3524" s="2" t="s">
        <v>150</v>
      </c>
    </row>
    <row r="3525" ht="15.75" customHeight="1">
      <c r="A3525" s="4" t="s">
        <v>7418</v>
      </c>
      <c r="B3525" s="2" t="s">
        <v>7419</v>
      </c>
      <c r="C3525" s="2">
        <v>144.0</v>
      </c>
      <c r="D3525" s="2">
        <v>121.0</v>
      </c>
      <c r="E3525" s="2">
        <v>27490.0</v>
      </c>
      <c r="F3525" s="2" t="s">
        <v>150</v>
      </c>
    </row>
    <row r="3526" ht="15.75" customHeight="1">
      <c r="A3526" s="4" t="s">
        <v>5109</v>
      </c>
      <c r="B3526" s="2" t="s">
        <v>5110</v>
      </c>
      <c r="C3526" s="2">
        <v>1201.0</v>
      </c>
      <c r="D3526" s="2">
        <v>1109.0</v>
      </c>
      <c r="E3526" s="2">
        <v>22940.0</v>
      </c>
      <c r="F3526" s="2" t="s">
        <v>150</v>
      </c>
    </row>
    <row r="3527" ht="15.75" customHeight="1">
      <c r="A3527" s="4" t="s">
        <v>5115</v>
      </c>
      <c r="B3527" s="2" t="s">
        <v>5116</v>
      </c>
      <c r="C3527" s="2">
        <v>322.0</v>
      </c>
      <c r="D3527" s="2">
        <v>349.0</v>
      </c>
      <c r="E3527" s="2">
        <v>30130.0</v>
      </c>
      <c r="F3527" s="2" t="s">
        <v>150</v>
      </c>
    </row>
    <row r="3528" ht="15.75" customHeight="1">
      <c r="A3528" s="4" t="s">
        <v>5111</v>
      </c>
      <c r="B3528" s="2" t="s">
        <v>5112</v>
      </c>
      <c r="C3528" s="2">
        <v>958.0</v>
      </c>
      <c r="D3528" s="2">
        <v>921.0</v>
      </c>
      <c r="E3528" s="2">
        <v>25280.0</v>
      </c>
      <c r="F3528" s="2" t="s">
        <v>150</v>
      </c>
    </row>
    <row r="3529" ht="15.75" customHeight="1">
      <c r="A3529" s="4" t="s">
        <v>5117</v>
      </c>
      <c r="B3529" s="2" t="s">
        <v>5118</v>
      </c>
      <c r="C3529" s="2">
        <v>643.0</v>
      </c>
      <c r="D3529" s="2">
        <v>593.0</v>
      </c>
      <c r="E3529" s="2">
        <v>24880.0</v>
      </c>
      <c r="F3529" s="2" t="s">
        <v>150</v>
      </c>
    </row>
    <row r="3530" ht="15.75" customHeight="1">
      <c r="A3530" s="4" t="s">
        <v>5119</v>
      </c>
      <c r="B3530" s="2" t="s">
        <v>5120</v>
      </c>
      <c r="C3530" s="2">
        <v>558.0</v>
      </c>
      <c r="D3530" s="2">
        <v>585.0</v>
      </c>
      <c r="E3530" s="2">
        <v>25180.0</v>
      </c>
      <c r="F3530" s="2" t="s">
        <v>150</v>
      </c>
    </row>
    <row r="3531" ht="15.75" customHeight="1">
      <c r="A3531" s="4" t="s">
        <v>4898</v>
      </c>
      <c r="B3531" s="2" t="s">
        <v>4899</v>
      </c>
      <c r="C3531" s="2">
        <v>606.0</v>
      </c>
      <c r="D3531" s="2">
        <v>594.0</v>
      </c>
      <c r="E3531" s="2">
        <v>25010.0</v>
      </c>
      <c r="F3531" s="2" t="s">
        <v>150</v>
      </c>
    </row>
    <row r="3532" ht="15.75" customHeight="1">
      <c r="A3532" s="4" t="s">
        <v>5121</v>
      </c>
      <c r="B3532" s="2" t="s">
        <v>5122</v>
      </c>
      <c r="C3532" s="2">
        <v>227.0</v>
      </c>
      <c r="D3532" s="2">
        <v>216.0</v>
      </c>
      <c r="E3532" s="2">
        <v>26520.0</v>
      </c>
      <c r="F3532" s="2" t="s">
        <v>150</v>
      </c>
    </row>
    <row r="3533" ht="15.75" customHeight="1">
      <c r="A3533" s="4" t="s">
        <v>7420</v>
      </c>
      <c r="B3533" s="2" t="s">
        <v>7421</v>
      </c>
      <c r="C3533" s="2">
        <v>145.0</v>
      </c>
      <c r="D3533" s="2">
        <v>146.0</v>
      </c>
      <c r="E3533" s="2">
        <v>25330.0</v>
      </c>
      <c r="F3533" s="2" t="s">
        <v>150</v>
      </c>
    </row>
    <row r="3534" ht="15.75" customHeight="1">
      <c r="A3534" s="4" t="s">
        <v>7422</v>
      </c>
      <c r="B3534" s="2" t="s">
        <v>7423</v>
      </c>
      <c r="C3534" s="2">
        <v>214.0</v>
      </c>
      <c r="D3534" s="2">
        <v>217.0</v>
      </c>
      <c r="E3534" s="2">
        <v>26770.0</v>
      </c>
      <c r="F3534" s="2" t="s">
        <v>150</v>
      </c>
    </row>
    <row r="3535" ht="15.75" hidden="1" customHeight="1">
      <c r="A3535" s="4" t="s">
        <v>5123</v>
      </c>
      <c r="B3535" s="2" t="s">
        <v>5124</v>
      </c>
      <c r="C3535" s="2">
        <v>6255.0</v>
      </c>
      <c r="D3535" s="2">
        <v>5935.0</v>
      </c>
      <c r="E3535" s="2">
        <v>21880.0</v>
      </c>
      <c r="F3535" s="2">
        <v>23.0</v>
      </c>
    </row>
    <row r="3536" ht="15.75" customHeight="1">
      <c r="A3536" s="4" t="s">
        <v>7424</v>
      </c>
      <c r="B3536" s="2" t="s">
        <v>7425</v>
      </c>
      <c r="C3536" s="2">
        <v>205.0</v>
      </c>
      <c r="D3536" s="2">
        <v>175.0</v>
      </c>
      <c r="E3536" s="2">
        <v>30960.0</v>
      </c>
      <c r="F3536" s="2" t="s">
        <v>150</v>
      </c>
    </row>
    <row r="3537" ht="15.75" customHeight="1">
      <c r="A3537" s="4" t="s">
        <v>7426</v>
      </c>
      <c r="B3537" s="2" t="s">
        <v>7427</v>
      </c>
      <c r="C3537" s="2">
        <v>95.0</v>
      </c>
      <c r="D3537" s="2">
        <v>102.0</v>
      </c>
      <c r="E3537" s="2">
        <v>22060.0</v>
      </c>
      <c r="F3537" s="2" t="s">
        <v>150</v>
      </c>
    </row>
    <row r="3538" ht="15.75" customHeight="1">
      <c r="A3538" s="4" t="s">
        <v>7428</v>
      </c>
      <c r="B3538" s="2" t="s">
        <v>7429</v>
      </c>
      <c r="C3538" s="2">
        <v>82.0</v>
      </c>
      <c r="D3538" s="2">
        <v>93.0</v>
      </c>
      <c r="E3538" s="2" t="s">
        <v>150</v>
      </c>
      <c r="F3538" s="2" t="s">
        <v>150</v>
      </c>
    </row>
    <row r="3539" ht="15.75" customHeight="1">
      <c r="A3539" s="4" t="s">
        <v>4917</v>
      </c>
      <c r="B3539" s="2" t="s">
        <v>4919</v>
      </c>
      <c r="C3539" s="2">
        <v>327.0</v>
      </c>
      <c r="D3539" s="2">
        <v>339.0</v>
      </c>
      <c r="E3539" s="2">
        <v>26160.0</v>
      </c>
      <c r="F3539" s="2" t="s">
        <v>150</v>
      </c>
    </row>
    <row r="3540" ht="15.75" customHeight="1">
      <c r="A3540" s="4" t="s">
        <v>5126</v>
      </c>
      <c r="B3540" s="2" t="s">
        <v>5127</v>
      </c>
      <c r="C3540" s="2">
        <v>352.0</v>
      </c>
      <c r="D3540" s="2">
        <v>362.0</v>
      </c>
      <c r="E3540" s="2">
        <v>23660.0</v>
      </c>
      <c r="F3540" s="2" t="s">
        <v>150</v>
      </c>
    </row>
    <row r="3541" ht="15.75" customHeight="1">
      <c r="A3541" s="4" t="s">
        <v>7430</v>
      </c>
      <c r="B3541" s="2" t="s">
        <v>1961</v>
      </c>
      <c r="C3541" s="2">
        <v>312.0</v>
      </c>
      <c r="D3541" s="2">
        <v>327.0</v>
      </c>
      <c r="E3541" s="2">
        <v>22990.0</v>
      </c>
      <c r="F3541" s="2" t="s">
        <v>150</v>
      </c>
    </row>
    <row r="3542" ht="15.75" hidden="1" customHeight="1">
      <c r="A3542" s="4" t="s">
        <v>5129</v>
      </c>
      <c r="B3542" s="2" t="s">
        <v>5130</v>
      </c>
      <c r="C3542" s="2">
        <v>3980.0</v>
      </c>
      <c r="D3542" s="2">
        <v>3936.0</v>
      </c>
      <c r="E3542" s="2">
        <v>23770.0</v>
      </c>
      <c r="F3542" s="2">
        <v>15.0</v>
      </c>
    </row>
    <row r="3543" ht="15.75" customHeight="1">
      <c r="A3543" s="4" t="s">
        <v>7431</v>
      </c>
      <c r="B3543" s="2" t="s">
        <v>7432</v>
      </c>
      <c r="C3543" s="2">
        <v>518.0</v>
      </c>
      <c r="D3543" s="2">
        <v>469.0</v>
      </c>
      <c r="E3543" s="2">
        <v>24740.0</v>
      </c>
      <c r="F3543" s="2" t="s">
        <v>150</v>
      </c>
    </row>
    <row r="3544" ht="15.75" customHeight="1">
      <c r="A3544" s="4" t="s">
        <v>5133</v>
      </c>
      <c r="B3544" s="2" t="s">
        <v>5134</v>
      </c>
      <c r="C3544" s="2">
        <v>371.0</v>
      </c>
      <c r="D3544" s="2">
        <v>382.0</v>
      </c>
      <c r="E3544" s="2">
        <v>25850.0</v>
      </c>
      <c r="F3544" s="2" t="s">
        <v>150</v>
      </c>
    </row>
    <row r="3545" ht="15.75" customHeight="1">
      <c r="A3545" s="4" t="s">
        <v>5135</v>
      </c>
      <c r="B3545" s="2" t="s">
        <v>5136</v>
      </c>
      <c r="C3545" s="2">
        <v>406.0</v>
      </c>
      <c r="D3545" s="2">
        <v>372.0</v>
      </c>
      <c r="E3545" s="2">
        <v>25320.0</v>
      </c>
      <c r="F3545" s="2" t="s">
        <v>150</v>
      </c>
    </row>
    <row r="3546" ht="15.75" customHeight="1">
      <c r="A3546" s="4" t="s">
        <v>7433</v>
      </c>
      <c r="B3546" s="2" t="s">
        <v>7434</v>
      </c>
      <c r="C3546" s="2">
        <v>93.0</v>
      </c>
      <c r="D3546" s="2">
        <v>96.0</v>
      </c>
      <c r="E3546" s="2" t="s">
        <v>150</v>
      </c>
      <c r="F3546" s="2" t="s">
        <v>150</v>
      </c>
    </row>
    <row r="3547" ht="15.75" customHeight="1">
      <c r="A3547" s="4" t="s">
        <v>7435</v>
      </c>
      <c r="B3547" s="2" t="s">
        <v>7436</v>
      </c>
      <c r="C3547" s="2">
        <v>86.0</v>
      </c>
      <c r="D3547" s="2">
        <v>75.0</v>
      </c>
      <c r="E3547" s="2" t="s">
        <v>150</v>
      </c>
      <c r="F3547" s="2" t="s">
        <v>150</v>
      </c>
    </row>
    <row r="3548" ht="15.75" customHeight="1">
      <c r="A3548" s="4" t="s">
        <v>7437</v>
      </c>
      <c r="B3548" s="2" t="s">
        <v>7438</v>
      </c>
      <c r="C3548" s="2">
        <v>317.0</v>
      </c>
      <c r="D3548" s="2">
        <v>314.0</v>
      </c>
      <c r="E3548" s="2">
        <v>24910.0</v>
      </c>
      <c r="F3548" s="2" t="s">
        <v>150</v>
      </c>
    </row>
    <row r="3549" ht="15.75" customHeight="1">
      <c r="A3549" s="4" t="s">
        <v>7439</v>
      </c>
      <c r="B3549" s="2" t="s">
        <v>7440</v>
      </c>
      <c r="C3549" s="2">
        <v>181.0</v>
      </c>
      <c r="D3549" s="2">
        <v>165.0</v>
      </c>
      <c r="E3549" s="2">
        <v>26190.0</v>
      </c>
      <c r="F3549" s="2" t="s">
        <v>150</v>
      </c>
    </row>
    <row r="3550" ht="15.75" customHeight="1">
      <c r="A3550" s="4" t="s">
        <v>5137</v>
      </c>
      <c r="B3550" s="2" t="s">
        <v>3337</v>
      </c>
      <c r="C3550" s="2">
        <v>716.0</v>
      </c>
      <c r="D3550" s="2">
        <v>693.0</v>
      </c>
      <c r="E3550" s="2">
        <v>25830.0</v>
      </c>
      <c r="F3550" s="2" t="s">
        <v>150</v>
      </c>
    </row>
    <row r="3551" ht="15.75" customHeight="1">
      <c r="A3551" s="4" t="s">
        <v>5138</v>
      </c>
      <c r="B3551" s="2" t="s">
        <v>5139</v>
      </c>
      <c r="C3551" s="2">
        <v>831.0</v>
      </c>
      <c r="D3551" s="2">
        <v>789.0</v>
      </c>
      <c r="E3551" s="2">
        <v>23310.0</v>
      </c>
      <c r="F3551" s="2" t="s">
        <v>150</v>
      </c>
    </row>
    <row r="3552" ht="15.75" customHeight="1">
      <c r="A3552" s="4" t="s">
        <v>7441</v>
      </c>
      <c r="B3552" s="2" t="s">
        <v>7442</v>
      </c>
      <c r="C3552" s="2">
        <v>248.0</v>
      </c>
      <c r="D3552" s="2">
        <v>261.0</v>
      </c>
      <c r="E3552" s="2">
        <v>24860.0</v>
      </c>
      <c r="F3552" s="2" t="s">
        <v>150</v>
      </c>
    </row>
    <row r="3553" ht="15.75" customHeight="1">
      <c r="A3553" s="4" t="s">
        <v>5147</v>
      </c>
      <c r="B3553" s="2" t="s">
        <v>5149</v>
      </c>
      <c r="C3553" s="2">
        <v>987.0</v>
      </c>
      <c r="D3553" s="2">
        <v>1013.0</v>
      </c>
      <c r="E3553" s="2">
        <v>27150.0</v>
      </c>
      <c r="F3553" s="2" t="s">
        <v>150</v>
      </c>
    </row>
    <row r="3554" ht="15.75" customHeight="1">
      <c r="A3554" s="4" t="s">
        <v>7443</v>
      </c>
      <c r="B3554" s="2" t="s">
        <v>7444</v>
      </c>
      <c r="C3554" s="2">
        <v>289.0</v>
      </c>
      <c r="D3554" s="2">
        <v>277.0</v>
      </c>
      <c r="E3554" s="2">
        <v>31160.0</v>
      </c>
      <c r="F3554" s="2" t="s">
        <v>150</v>
      </c>
    </row>
    <row r="3555" ht="15.75" customHeight="1">
      <c r="A3555" s="4" t="s">
        <v>5150</v>
      </c>
      <c r="B3555" s="2" t="s">
        <v>5151</v>
      </c>
      <c r="C3555" s="2">
        <v>1080.0</v>
      </c>
      <c r="D3555" s="2">
        <v>1047.0</v>
      </c>
      <c r="E3555" s="2">
        <v>28690.0</v>
      </c>
      <c r="F3555" s="2" t="s">
        <v>150</v>
      </c>
    </row>
    <row r="3556" ht="15.75" hidden="1" customHeight="1">
      <c r="A3556" s="4" t="s">
        <v>5152</v>
      </c>
      <c r="B3556" s="2" t="s">
        <v>5153</v>
      </c>
      <c r="C3556" s="2">
        <v>2339.0</v>
      </c>
      <c r="D3556" s="2">
        <v>2284.0</v>
      </c>
      <c r="E3556" s="2">
        <v>22030.0</v>
      </c>
      <c r="F3556" s="2">
        <v>21.0</v>
      </c>
    </row>
    <row r="3557" ht="15.75" customHeight="1">
      <c r="A3557" s="4" t="s">
        <v>7445</v>
      </c>
      <c r="B3557" s="2" t="s">
        <v>7446</v>
      </c>
      <c r="C3557" s="2">
        <v>156.0</v>
      </c>
      <c r="D3557" s="2">
        <v>174.0</v>
      </c>
      <c r="E3557" s="2">
        <v>22000.0</v>
      </c>
      <c r="F3557" s="2" t="s">
        <v>150</v>
      </c>
    </row>
    <row r="3558" ht="15.75" customHeight="1">
      <c r="A3558" s="4" t="s">
        <v>7447</v>
      </c>
      <c r="B3558" s="2" t="s">
        <v>7448</v>
      </c>
      <c r="C3558" s="2">
        <v>81.0</v>
      </c>
      <c r="D3558" s="2">
        <v>89.0</v>
      </c>
      <c r="E3558" s="2" t="s">
        <v>150</v>
      </c>
      <c r="F3558" s="2" t="s">
        <v>150</v>
      </c>
    </row>
    <row r="3559" ht="15.75" customHeight="1">
      <c r="A3559" s="4" t="s">
        <v>7449</v>
      </c>
      <c r="B3559" s="2" t="s">
        <v>7450</v>
      </c>
      <c r="C3559" s="2">
        <v>361.0</v>
      </c>
      <c r="D3559" s="2">
        <v>368.0</v>
      </c>
      <c r="E3559" s="2">
        <v>26030.0</v>
      </c>
      <c r="F3559" s="2" t="s">
        <v>150</v>
      </c>
    </row>
    <row r="3560" ht="15.75" customHeight="1">
      <c r="A3560" s="4" t="s">
        <v>7451</v>
      </c>
      <c r="B3560" s="2" t="s">
        <v>7452</v>
      </c>
      <c r="C3560" s="2">
        <v>96.0</v>
      </c>
      <c r="D3560" s="2">
        <v>106.0</v>
      </c>
      <c r="E3560" s="2" t="s">
        <v>150</v>
      </c>
      <c r="F3560" s="2" t="s">
        <v>150</v>
      </c>
    </row>
    <row r="3561" ht="15.75" customHeight="1">
      <c r="A3561" s="4" t="s">
        <v>5156</v>
      </c>
      <c r="B3561" s="2" t="s">
        <v>5157</v>
      </c>
      <c r="C3561" s="2">
        <v>323.0</v>
      </c>
      <c r="D3561" s="2">
        <v>334.0</v>
      </c>
      <c r="E3561" s="2">
        <v>27230.0</v>
      </c>
      <c r="F3561" s="2" t="s">
        <v>150</v>
      </c>
    </row>
    <row r="3562" ht="15.75" customHeight="1">
      <c r="A3562" s="4" t="s">
        <v>7453</v>
      </c>
      <c r="B3562" s="2" t="s">
        <v>7454</v>
      </c>
      <c r="C3562" s="2">
        <v>153.0</v>
      </c>
      <c r="D3562" s="2">
        <v>144.0</v>
      </c>
      <c r="E3562" s="2">
        <v>23110.0</v>
      </c>
      <c r="F3562" s="2" t="s">
        <v>150</v>
      </c>
    </row>
    <row r="3563" ht="15.75" customHeight="1">
      <c r="A3563" s="4" t="s">
        <v>5160</v>
      </c>
      <c r="B3563" s="2" t="s">
        <v>5161</v>
      </c>
      <c r="C3563" s="2">
        <v>521.0</v>
      </c>
      <c r="D3563" s="2">
        <v>509.0</v>
      </c>
      <c r="E3563" s="2">
        <v>22750.0</v>
      </c>
      <c r="F3563" s="2" t="s">
        <v>150</v>
      </c>
    </row>
    <row r="3564" ht="15.75" customHeight="1">
      <c r="A3564" s="4" t="s">
        <v>5040</v>
      </c>
      <c r="B3564" s="2" t="s">
        <v>5041</v>
      </c>
      <c r="C3564" s="2">
        <v>266.0</v>
      </c>
      <c r="D3564" s="2">
        <v>263.0</v>
      </c>
      <c r="E3564" s="2">
        <v>26010.0</v>
      </c>
      <c r="F3564" s="2" t="s">
        <v>150</v>
      </c>
    </row>
    <row r="3565" ht="15.75" customHeight="1">
      <c r="A3565" s="4" t="s">
        <v>7455</v>
      </c>
      <c r="B3565" s="2" t="s">
        <v>7456</v>
      </c>
      <c r="C3565" s="2">
        <v>285.0</v>
      </c>
      <c r="D3565" s="2">
        <v>263.0</v>
      </c>
      <c r="E3565" s="2">
        <v>26100.0</v>
      </c>
      <c r="F3565" s="2" t="s">
        <v>150</v>
      </c>
    </row>
    <row r="3566" ht="15.75" customHeight="1">
      <c r="A3566" s="4" t="s">
        <v>5163</v>
      </c>
      <c r="B3566" s="2" t="s">
        <v>2069</v>
      </c>
      <c r="C3566" s="2">
        <v>222.0</v>
      </c>
      <c r="D3566" s="2">
        <v>212.0</v>
      </c>
      <c r="E3566" s="2">
        <v>23240.0</v>
      </c>
      <c r="F3566" s="2" t="s">
        <v>150</v>
      </c>
    </row>
    <row r="3567" ht="15.75" customHeight="1">
      <c r="A3567" s="4" t="s">
        <v>7457</v>
      </c>
      <c r="B3567" s="2" t="s">
        <v>7458</v>
      </c>
      <c r="C3567" s="2">
        <v>853.0</v>
      </c>
      <c r="D3567" s="2">
        <v>828.0</v>
      </c>
      <c r="E3567" s="2">
        <v>24540.0</v>
      </c>
      <c r="F3567" s="2" t="s">
        <v>150</v>
      </c>
    </row>
    <row r="3568" ht="15.75" customHeight="1">
      <c r="A3568" s="4" t="s">
        <v>5165</v>
      </c>
      <c r="B3568" s="2" t="s">
        <v>5166</v>
      </c>
      <c r="C3568" s="2">
        <v>1316.0</v>
      </c>
      <c r="D3568" s="2">
        <v>1196.0</v>
      </c>
      <c r="E3568" s="2">
        <v>23150.0</v>
      </c>
      <c r="F3568" s="2" t="s">
        <v>150</v>
      </c>
    </row>
    <row r="3569" ht="15.75" customHeight="1">
      <c r="A3569" s="4" t="s">
        <v>7459</v>
      </c>
      <c r="B3569" s="2" t="s">
        <v>7460</v>
      </c>
      <c r="C3569" s="2">
        <v>243.0</v>
      </c>
      <c r="D3569" s="2">
        <v>242.0</v>
      </c>
      <c r="E3569" s="2">
        <v>22800.0</v>
      </c>
      <c r="F3569" s="2" t="s">
        <v>150</v>
      </c>
    </row>
    <row r="3570" ht="15.75" customHeight="1">
      <c r="A3570" s="4" t="s">
        <v>5167</v>
      </c>
      <c r="B3570" s="2" t="s">
        <v>5168</v>
      </c>
      <c r="C3570" s="2">
        <v>730.0</v>
      </c>
      <c r="D3570" s="2">
        <v>636.0</v>
      </c>
      <c r="E3570" s="2">
        <v>24530.0</v>
      </c>
      <c r="F3570" s="2" t="s">
        <v>150</v>
      </c>
    </row>
    <row r="3571" ht="15.75" customHeight="1">
      <c r="A3571" s="4" t="s">
        <v>5170</v>
      </c>
      <c r="B3571" s="2" t="s">
        <v>5172</v>
      </c>
      <c r="C3571" s="2">
        <v>387.0</v>
      </c>
      <c r="D3571" s="2">
        <v>373.0</v>
      </c>
      <c r="E3571" s="2">
        <v>24250.0</v>
      </c>
      <c r="F3571" s="2" t="s">
        <v>150</v>
      </c>
    </row>
    <row r="3572" ht="15.75" customHeight="1">
      <c r="A3572" s="4" t="s">
        <v>7461</v>
      </c>
      <c r="B3572" s="2" t="s">
        <v>7462</v>
      </c>
      <c r="C3572" s="2">
        <v>127.0</v>
      </c>
      <c r="D3572" s="2">
        <v>121.0</v>
      </c>
      <c r="E3572" s="2">
        <v>25940.0</v>
      </c>
      <c r="F3572" s="2" t="s">
        <v>150</v>
      </c>
    </row>
    <row r="3573" ht="15.75" customHeight="1">
      <c r="A3573" s="4" t="s">
        <v>7463</v>
      </c>
      <c r="B3573" s="2" t="s">
        <v>7464</v>
      </c>
      <c r="C3573" s="2">
        <v>317.0</v>
      </c>
      <c r="D3573" s="2">
        <v>322.0</v>
      </c>
      <c r="E3573" s="2">
        <v>25730.0</v>
      </c>
      <c r="F3573" s="2" t="s">
        <v>150</v>
      </c>
    </row>
    <row r="3574" ht="15.75" customHeight="1">
      <c r="A3574" s="4" t="s">
        <v>7465</v>
      </c>
      <c r="B3574" s="2" t="s">
        <v>7466</v>
      </c>
      <c r="C3574" s="2">
        <v>74.0</v>
      </c>
      <c r="D3574" s="2">
        <v>83.0</v>
      </c>
      <c r="E3574" s="2" t="s">
        <v>150</v>
      </c>
      <c r="F3574" s="2" t="s">
        <v>150</v>
      </c>
    </row>
    <row r="3575" ht="15.75" customHeight="1">
      <c r="A3575" s="4" t="s">
        <v>7467</v>
      </c>
      <c r="B3575" s="2" t="s">
        <v>5624</v>
      </c>
      <c r="C3575" s="2">
        <v>217.0</v>
      </c>
      <c r="D3575" s="2">
        <v>196.0</v>
      </c>
      <c r="E3575" s="2">
        <v>25180.0</v>
      </c>
      <c r="F3575" s="2" t="s">
        <v>150</v>
      </c>
    </row>
    <row r="3576" ht="15.75" customHeight="1">
      <c r="A3576" s="4" t="s">
        <v>5173</v>
      </c>
      <c r="B3576" s="2" t="s">
        <v>5174</v>
      </c>
      <c r="C3576" s="2">
        <v>1171.0</v>
      </c>
      <c r="D3576" s="2">
        <v>1127.0</v>
      </c>
      <c r="E3576" s="2">
        <v>23580.0</v>
      </c>
      <c r="F3576" s="2" t="s">
        <v>150</v>
      </c>
    </row>
    <row r="3577" ht="15.75" customHeight="1">
      <c r="A3577" s="4" t="s">
        <v>7468</v>
      </c>
      <c r="B3577" s="2" t="s">
        <v>7469</v>
      </c>
      <c r="C3577" s="2">
        <v>221.0</v>
      </c>
      <c r="D3577" s="2">
        <v>206.0</v>
      </c>
      <c r="E3577" s="2">
        <v>28750.0</v>
      </c>
      <c r="F3577" s="2" t="s">
        <v>150</v>
      </c>
    </row>
    <row r="3578" ht="15.75" customHeight="1">
      <c r="A3578" s="4" t="s">
        <v>7470</v>
      </c>
      <c r="B3578" s="2" t="s">
        <v>7471</v>
      </c>
      <c r="C3578" s="2">
        <v>389.0</v>
      </c>
      <c r="D3578" s="2">
        <v>434.0</v>
      </c>
      <c r="E3578" s="2">
        <v>25800.0</v>
      </c>
      <c r="F3578" s="2" t="s">
        <v>150</v>
      </c>
    </row>
    <row r="3579" ht="15.75" customHeight="1">
      <c r="A3579" s="4" t="s">
        <v>5175</v>
      </c>
      <c r="B3579" s="2" t="s">
        <v>5176</v>
      </c>
      <c r="C3579" s="2">
        <v>930.0</v>
      </c>
      <c r="D3579" s="2">
        <v>998.0</v>
      </c>
      <c r="E3579" s="2">
        <v>27080.0</v>
      </c>
      <c r="F3579" s="2" t="s">
        <v>150</v>
      </c>
    </row>
    <row r="3580" ht="15.75" customHeight="1">
      <c r="A3580" s="4" t="s">
        <v>7472</v>
      </c>
      <c r="B3580" s="2" t="s">
        <v>7473</v>
      </c>
      <c r="C3580" s="2">
        <v>630.0</v>
      </c>
      <c r="D3580" s="2">
        <v>608.0</v>
      </c>
      <c r="E3580" s="2">
        <v>23910.0</v>
      </c>
      <c r="F3580" s="2" t="s">
        <v>150</v>
      </c>
    </row>
    <row r="3581" ht="15.75" customHeight="1">
      <c r="A3581" s="4" t="s">
        <v>7474</v>
      </c>
      <c r="B3581" s="2" t="s">
        <v>7475</v>
      </c>
      <c r="C3581" s="2">
        <v>312.0</v>
      </c>
      <c r="D3581" s="2">
        <v>313.0</v>
      </c>
      <c r="E3581" s="2">
        <v>24090.0</v>
      </c>
      <c r="F3581" s="2" t="s">
        <v>150</v>
      </c>
    </row>
    <row r="3582" ht="15.75" customHeight="1">
      <c r="A3582" s="4" t="s">
        <v>7476</v>
      </c>
      <c r="B3582" s="2" t="s">
        <v>7477</v>
      </c>
      <c r="C3582" s="2">
        <v>446.0</v>
      </c>
      <c r="D3582" s="2">
        <v>431.0</v>
      </c>
      <c r="E3582" s="2">
        <v>27160.0</v>
      </c>
      <c r="F3582" s="2" t="s">
        <v>150</v>
      </c>
    </row>
    <row r="3583" ht="15.75" customHeight="1">
      <c r="A3583" s="4" t="s">
        <v>7478</v>
      </c>
      <c r="B3583" s="2" t="s">
        <v>7479</v>
      </c>
      <c r="C3583" s="2">
        <v>205.0</v>
      </c>
      <c r="D3583" s="2">
        <v>198.0</v>
      </c>
      <c r="E3583" s="2">
        <v>24550.0</v>
      </c>
      <c r="F3583" s="2" t="s">
        <v>150</v>
      </c>
    </row>
    <row r="3584" ht="15.75" customHeight="1">
      <c r="A3584" s="4" t="s">
        <v>7480</v>
      </c>
      <c r="B3584" s="2" t="s">
        <v>7481</v>
      </c>
      <c r="C3584" s="2">
        <v>233.0</v>
      </c>
      <c r="D3584" s="2">
        <v>244.0</v>
      </c>
      <c r="E3584" s="2">
        <v>28880.0</v>
      </c>
      <c r="F3584" s="2" t="s">
        <v>150</v>
      </c>
    </row>
    <row r="3585" ht="15.75" customHeight="1">
      <c r="A3585" s="4" t="s">
        <v>5178</v>
      </c>
      <c r="B3585" s="2" t="s">
        <v>5180</v>
      </c>
      <c r="C3585" s="2">
        <v>1069.0</v>
      </c>
      <c r="D3585" s="2">
        <v>1025.0</v>
      </c>
      <c r="E3585" s="2">
        <v>23780.0</v>
      </c>
      <c r="F3585" s="2" t="s">
        <v>150</v>
      </c>
    </row>
    <row r="3586" ht="15.75" customHeight="1">
      <c r="A3586" s="4" t="s">
        <v>5181</v>
      </c>
      <c r="B3586" s="2" t="s">
        <v>5182</v>
      </c>
      <c r="C3586" s="2">
        <v>735.0</v>
      </c>
      <c r="D3586" s="2">
        <v>686.0</v>
      </c>
      <c r="E3586" s="2">
        <v>26120.0</v>
      </c>
      <c r="F3586" s="2" t="s">
        <v>150</v>
      </c>
    </row>
    <row r="3587" ht="15.75" hidden="1" customHeight="1">
      <c r="A3587" s="4" t="s">
        <v>5201</v>
      </c>
      <c r="B3587" s="2" t="s">
        <v>5202</v>
      </c>
      <c r="C3587" s="2">
        <v>7579.0</v>
      </c>
      <c r="D3587" s="2">
        <v>7090.0</v>
      </c>
      <c r="E3587" s="2">
        <v>21030.0</v>
      </c>
      <c r="F3587" s="2">
        <v>27.0</v>
      </c>
    </row>
    <row r="3588" ht="15.75" customHeight="1">
      <c r="A3588" s="4" t="s">
        <v>5028</v>
      </c>
      <c r="B3588" s="2" t="s">
        <v>5029</v>
      </c>
      <c r="C3588" s="2">
        <v>731.0</v>
      </c>
      <c r="D3588" s="2">
        <v>679.0</v>
      </c>
      <c r="E3588" s="2">
        <v>24840.0</v>
      </c>
      <c r="F3588" s="2" t="s">
        <v>150</v>
      </c>
    </row>
    <row r="3589" ht="15.75" customHeight="1">
      <c r="A3589" s="4" t="s">
        <v>5183</v>
      </c>
      <c r="B3589" s="2" t="s">
        <v>5184</v>
      </c>
      <c r="C3589" s="2">
        <v>1337.0</v>
      </c>
      <c r="D3589" s="2">
        <v>1273.0</v>
      </c>
      <c r="E3589" s="2">
        <v>24160.0</v>
      </c>
      <c r="F3589" s="2" t="s">
        <v>150</v>
      </c>
    </row>
    <row r="3590" ht="15.75" customHeight="1">
      <c r="A3590" s="4" t="s">
        <v>7482</v>
      </c>
      <c r="B3590" s="2" t="s">
        <v>7483</v>
      </c>
      <c r="C3590" s="2">
        <v>363.0</v>
      </c>
      <c r="D3590" s="2">
        <v>391.0</v>
      </c>
      <c r="E3590" s="2">
        <v>24280.0</v>
      </c>
      <c r="F3590" s="2" t="s">
        <v>150</v>
      </c>
    </row>
    <row r="3591" ht="15.75" customHeight="1">
      <c r="A3591" s="4" t="s">
        <v>7484</v>
      </c>
      <c r="B3591" s="2" t="s">
        <v>7485</v>
      </c>
      <c r="C3591" s="2">
        <v>280.0</v>
      </c>
      <c r="D3591" s="2">
        <v>280.0</v>
      </c>
      <c r="E3591" s="2">
        <v>28010.0</v>
      </c>
      <c r="F3591" s="2" t="s">
        <v>150</v>
      </c>
    </row>
    <row r="3592" ht="15.75" customHeight="1">
      <c r="A3592" s="4" t="s">
        <v>5312</v>
      </c>
      <c r="B3592" s="2" t="s">
        <v>5313</v>
      </c>
      <c r="C3592" s="2">
        <v>1504.0</v>
      </c>
      <c r="D3592" s="2">
        <v>1482.0</v>
      </c>
      <c r="E3592" s="2">
        <v>25720.0</v>
      </c>
      <c r="F3592" s="2" t="s">
        <v>150</v>
      </c>
    </row>
    <row r="3593" ht="15.75" customHeight="1">
      <c r="A3593" s="4" t="s">
        <v>7486</v>
      </c>
      <c r="B3593" s="2" t="s">
        <v>7487</v>
      </c>
      <c r="C3593" s="2">
        <v>281.0</v>
      </c>
      <c r="D3593" s="2">
        <v>284.0</v>
      </c>
      <c r="E3593" s="2">
        <v>28170.0</v>
      </c>
      <c r="F3593" s="2" t="s">
        <v>150</v>
      </c>
    </row>
    <row r="3594" ht="15.75" customHeight="1">
      <c r="A3594" s="4" t="s">
        <v>5186</v>
      </c>
      <c r="B3594" s="2" t="s">
        <v>5187</v>
      </c>
      <c r="C3594" s="2">
        <v>878.0</v>
      </c>
      <c r="D3594" s="2">
        <v>897.0</v>
      </c>
      <c r="E3594" s="2">
        <v>31330.0</v>
      </c>
      <c r="F3594" s="2" t="s">
        <v>150</v>
      </c>
    </row>
    <row r="3595" ht="15.75" customHeight="1">
      <c r="A3595" s="4" t="s">
        <v>5063</v>
      </c>
      <c r="B3595" s="2" t="s">
        <v>5064</v>
      </c>
      <c r="C3595" s="2">
        <v>755.0</v>
      </c>
      <c r="D3595" s="2">
        <v>753.0</v>
      </c>
      <c r="E3595" s="2">
        <v>24360.0</v>
      </c>
      <c r="F3595" s="2" t="s">
        <v>150</v>
      </c>
    </row>
    <row r="3596" ht="15.75" customHeight="1">
      <c r="A3596" s="4" t="s">
        <v>7488</v>
      </c>
      <c r="B3596" s="2" t="s">
        <v>7489</v>
      </c>
      <c r="C3596" s="2">
        <v>121.0</v>
      </c>
      <c r="D3596" s="2">
        <v>107.0</v>
      </c>
      <c r="E3596" s="2">
        <v>25010.0</v>
      </c>
      <c r="F3596" s="2" t="s">
        <v>150</v>
      </c>
    </row>
    <row r="3597" ht="15.75" hidden="1" customHeight="1">
      <c r="A3597" s="4" t="s">
        <v>5189</v>
      </c>
      <c r="B3597" s="2" t="s">
        <v>5190</v>
      </c>
      <c r="C3597" s="2">
        <v>2408.0</v>
      </c>
      <c r="D3597" s="2">
        <v>2282.0</v>
      </c>
      <c r="E3597" s="2">
        <v>23890.0</v>
      </c>
      <c r="F3597" s="2">
        <v>18.0</v>
      </c>
    </row>
    <row r="3598" ht="15.75" customHeight="1">
      <c r="A3598" s="4" t="s">
        <v>7490</v>
      </c>
      <c r="B3598" s="2" t="s">
        <v>7491</v>
      </c>
      <c r="C3598" s="2">
        <v>101.0</v>
      </c>
      <c r="D3598" s="2">
        <v>127.0</v>
      </c>
      <c r="E3598" s="2">
        <v>21530.0</v>
      </c>
      <c r="F3598" s="2" t="s">
        <v>150</v>
      </c>
    </row>
    <row r="3599" ht="15.75" hidden="1" customHeight="1">
      <c r="A3599" s="4" t="s">
        <v>5193</v>
      </c>
      <c r="B3599" s="2" t="s">
        <v>5194</v>
      </c>
      <c r="C3599" s="2">
        <v>2467.0</v>
      </c>
      <c r="D3599" s="2">
        <v>2425.0</v>
      </c>
      <c r="E3599" s="2">
        <v>28970.0</v>
      </c>
      <c r="F3599" s="2">
        <v>13.0</v>
      </c>
    </row>
    <row r="3600" ht="15.75" customHeight="1">
      <c r="A3600" s="4" t="s">
        <v>7492</v>
      </c>
      <c r="B3600" s="2" t="s">
        <v>7493</v>
      </c>
      <c r="C3600" s="2">
        <v>615.0</v>
      </c>
      <c r="D3600" s="2">
        <v>563.0</v>
      </c>
      <c r="E3600" s="2">
        <v>25290.0</v>
      </c>
      <c r="F3600" s="2" t="s">
        <v>150</v>
      </c>
    </row>
    <row r="3601" ht="15.75" customHeight="1">
      <c r="A3601" s="4" t="s">
        <v>7494</v>
      </c>
      <c r="B3601" s="2" t="s">
        <v>7495</v>
      </c>
      <c r="C3601" s="2">
        <v>840.0</v>
      </c>
      <c r="D3601" s="2">
        <v>826.0</v>
      </c>
      <c r="E3601" s="2">
        <v>28730.0</v>
      </c>
      <c r="F3601" s="2" t="s">
        <v>150</v>
      </c>
    </row>
    <row r="3602" ht="15.75" customHeight="1">
      <c r="A3602" s="4" t="s">
        <v>5191</v>
      </c>
      <c r="B3602" s="2" t="s">
        <v>5192</v>
      </c>
      <c r="C3602" s="2">
        <v>1469.0</v>
      </c>
      <c r="D3602" s="2">
        <v>1438.0</v>
      </c>
      <c r="E3602" s="2">
        <v>21250.0</v>
      </c>
      <c r="F3602" s="2" t="s">
        <v>150</v>
      </c>
    </row>
    <row r="3603" ht="15.75" customHeight="1">
      <c r="A3603" s="4" t="s">
        <v>7496</v>
      </c>
      <c r="B3603" s="2" t="s">
        <v>7497</v>
      </c>
      <c r="C3603" s="2">
        <v>283.0</v>
      </c>
      <c r="D3603" s="2">
        <v>268.0</v>
      </c>
      <c r="E3603" s="2">
        <v>26230.0</v>
      </c>
      <c r="F3603" s="2" t="s">
        <v>150</v>
      </c>
    </row>
    <row r="3604" ht="15.75" customHeight="1">
      <c r="A3604" s="4" t="s">
        <v>7498</v>
      </c>
      <c r="B3604" s="2" t="s">
        <v>7499</v>
      </c>
      <c r="C3604" s="2">
        <v>103.0</v>
      </c>
      <c r="D3604" s="2">
        <v>111.0</v>
      </c>
      <c r="E3604" s="2" t="s">
        <v>150</v>
      </c>
      <c r="F3604" s="2" t="s">
        <v>150</v>
      </c>
    </row>
    <row r="3605" ht="15.75" customHeight="1">
      <c r="A3605" s="4" t="s">
        <v>5195</v>
      </c>
      <c r="B3605" s="2" t="s">
        <v>5196</v>
      </c>
      <c r="C3605" s="2">
        <v>1211.0</v>
      </c>
      <c r="D3605" s="2">
        <v>1335.0</v>
      </c>
      <c r="E3605" s="2">
        <v>27370.0</v>
      </c>
      <c r="F3605" s="2" t="s">
        <v>150</v>
      </c>
    </row>
    <row r="3606" ht="15.75" customHeight="1">
      <c r="A3606" s="4" t="s">
        <v>7500</v>
      </c>
      <c r="B3606" s="2" t="s">
        <v>7501</v>
      </c>
      <c r="C3606" s="2">
        <v>266.0</v>
      </c>
      <c r="D3606" s="2">
        <v>263.0</v>
      </c>
      <c r="E3606" s="2">
        <v>25430.0</v>
      </c>
      <c r="F3606" s="2" t="s">
        <v>150</v>
      </c>
    </row>
    <row r="3607" ht="15.75" customHeight="1">
      <c r="A3607" s="4" t="s">
        <v>7502</v>
      </c>
      <c r="B3607" s="2" t="s">
        <v>7503</v>
      </c>
      <c r="C3607" s="2">
        <v>314.0</v>
      </c>
      <c r="D3607" s="2">
        <v>304.0</v>
      </c>
      <c r="E3607" s="2">
        <v>23290.0</v>
      </c>
      <c r="F3607" s="2" t="s">
        <v>150</v>
      </c>
    </row>
    <row r="3608" ht="15.75" customHeight="1">
      <c r="A3608" s="4" t="s">
        <v>7504</v>
      </c>
      <c r="B3608" s="2" t="s">
        <v>7505</v>
      </c>
      <c r="C3608" s="2">
        <v>552.0</v>
      </c>
      <c r="D3608" s="2">
        <v>572.0</v>
      </c>
      <c r="E3608" s="2">
        <v>30870.0</v>
      </c>
      <c r="F3608" s="2" t="s">
        <v>150</v>
      </c>
    </row>
    <row r="3609" ht="15.75" customHeight="1">
      <c r="A3609" s="4" t="s">
        <v>5197</v>
      </c>
      <c r="B3609" s="2" t="s">
        <v>5198</v>
      </c>
      <c r="C3609" s="2">
        <v>695.0</v>
      </c>
      <c r="D3609" s="2">
        <v>761.0</v>
      </c>
      <c r="E3609" s="2">
        <v>24710.0</v>
      </c>
      <c r="F3609" s="2" t="s">
        <v>150</v>
      </c>
    </row>
    <row r="3610" ht="15.75" customHeight="1">
      <c r="A3610" s="4" t="s">
        <v>5199</v>
      </c>
      <c r="B3610" s="2" t="s">
        <v>5200</v>
      </c>
      <c r="C3610" s="2">
        <v>555.0</v>
      </c>
      <c r="D3610" s="2">
        <v>572.0</v>
      </c>
      <c r="E3610" s="2">
        <v>25200.0</v>
      </c>
      <c r="F3610" s="2" t="s">
        <v>150</v>
      </c>
    </row>
    <row r="3611" ht="15.75" customHeight="1">
      <c r="A3611" s="4" t="s">
        <v>7506</v>
      </c>
      <c r="B3611" s="2" t="s">
        <v>7507</v>
      </c>
      <c r="C3611" s="2">
        <v>87.0</v>
      </c>
      <c r="D3611" s="2">
        <v>79.0</v>
      </c>
      <c r="E3611" s="2" t="s">
        <v>150</v>
      </c>
      <c r="F3611" s="2" t="s">
        <v>150</v>
      </c>
    </row>
    <row r="3612" ht="15.75" customHeight="1">
      <c r="A3612" s="4" t="s">
        <v>7508</v>
      </c>
      <c r="B3612" s="2" t="s">
        <v>7509</v>
      </c>
      <c r="C3612" s="2">
        <v>298.0</v>
      </c>
      <c r="D3612" s="2">
        <v>278.0</v>
      </c>
      <c r="E3612" s="2">
        <v>24560.0</v>
      </c>
      <c r="F3612" s="2" t="s">
        <v>150</v>
      </c>
    </row>
    <row r="3613" ht="15.75" customHeight="1">
      <c r="A3613" s="4" t="s">
        <v>7510</v>
      </c>
      <c r="B3613" s="2" t="s">
        <v>7511</v>
      </c>
      <c r="C3613" s="2">
        <v>120.0</v>
      </c>
      <c r="D3613" s="2">
        <v>125.0</v>
      </c>
      <c r="E3613" s="2">
        <v>20930.0</v>
      </c>
      <c r="F3613" s="2" t="s">
        <v>150</v>
      </c>
    </row>
    <row r="3614" ht="15.75" customHeight="1">
      <c r="A3614" s="4" t="s">
        <v>5205</v>
      </c>
      <c r="B3614" s="2" t="s">
        <v>5206</v>
      </c>
      <c r="C3614" s="2">
        <v>1396.0</v>
      </c>
      <c r="D3614" s="2">
        <v>1280.0</v>
      </c>
      <c r="E3614" s="2">
        <v>25160.0</v>
      </c>
      <c r="F3614" s="2" t="s">
        <v>150</v>
      </c>
    </row>
    <row r="3615" ht="15.75" customHeight="1">
      <c r="A3615" s="4" t="s">
        <v>7512</v>
      </c>
      <c r="B3615" s="2" t="s">
        <v>7513</v>
      </c>
      <c r="C3615" s="2">
        <v>648.0</v>
      </c>
      <c r="D3615" s="2">
        <v>626.0</v>
      </c>
      <c r="E3615" s="2">
        <v>29260.0</v>
      </c>
      <c r="F3615" s="2" t="s">
        <v>150</v>
      </c>
    </row>
    <row r="3616" ht="15.75" customHeight="1">
      <c r="A3616" s="4" t="s">
        <v>5065</v>
      </c>
      <c r="B3616" s="2" t="s">
        <v>5066</v>
      </c>
      <c r="C3616" s="2">
        <v>267.0</v>
      </c>
      <c r="D3616" s="2">
        <v>233.0</v>
      </c>
      <c r="E3616" s="2">
        <v>23000.0</v>
      </c>
      <c r="F3616" s="2" t="s">
        <v>150</v>
      </c>
    </row>
    <row r="3617" ht="15.75" customHeight="1">
      <c r="A3617" s="4" t="s">
        <v>5069</v>
      </c>
      <c r="B3617" s="2" t="s">
        <v>5070</v>
      </c>
      <c r="C3617" s="2">
        <v>792.0</v>
      </c>
      <c r="D3617" s="2">
        <v>764.0</v>
      </c>
      <c r="E3617" s="2">
        <v>25700.0</v>
      </c>
      <c r="F3617" s="2" t="s">
        <v>150</v>
      </c>
    </row>
    <row r="3618" ht="15.75" customHeight="1">
      <c r="A3618" s="4" t="s">
        <v>5207</v>
      </c>
      <c r="B3618" s="2" t="s">
        <v>5208</v>
      </c>
      <c r="C3618" s="2">
        <v>564.0</v>
      </c>
      <c r="D3618" s="2">
        <v>514.0</v>
      </c>
      <c r="E3618" s="2">
        <v>26370.0</v>
      </c>
      <c r="F3618" s="2" t="s">
        <v>150</v>
      </c>
    </row>
    <row r="3619" ht="15.75" customHeight="1">
      <c r="A3619" s="4" t="s">
        <v>5210</v>
      </c>
      <c r="B3619" s="2" t="s">
        <v>5212</v>
      </c>
      <c r="C3619" s="2">
        <v>441.0</v>
      </c>
      <c r="D3619" s="2">
        <v>427.0</v>
      </c>
      <c r="E3619" s="2">
        <v>24800.0</v>
      </c>
      <c r="F3619" s="2" t="s">
        <v>150</v>
      </c>
    </row>
    <row r="3620" ht="15.75" customHeight="1">
      <c r="A3620" s="4" t="s">
        <v>5213</v>
      </c>
      <c r="B3620" s="2" t="s">
        <v>5214</v>
      </c>
      <c r="C3620" s="2">
        <v>1102.0</v>
      </c>
      <c r="D3620" s="2">
        <v>1102.0</v>
      </c>
      <c r="E3620" s="2">
        <v>25980.0</v>
      </c>
      <c r="F3620" s="2" t="s">
        <v>150</v>
      </c>
    </row>
    <row r="3621" ht="15.75" customHeight="1">
      <c r="A3621" s="4" t="s">
        <v>7514</v>
      </c>
      <c r="B3621" s="2" t="s">
        <v>7515</v>
      </c>
      <c r="C3621" s="2">
        <v>325.0</v>
      </c>
      <c r="D3621" s="2">
        <v>311.0</v>
      </c>
      <c r="E3621" s="2">
        <v>25920.0</v>
      </c>
      <c r="F3621" s="2" t="s">
        <v>150</v>
      </c>
    </row>
    <row r="3622" ht="15.75" customHeight="1">
      <c r="A3622" s="4" t="s">
        <v>7516</v>
      </c>
      <c r="B3622" s="2" t="s">
        <v>7517</v>
      </c>
      <c r="C3622" s="2">
        <v>142.0</v>
      </c>
      <c r="D3622" s="2">
        <v>139.0</v>
      </c>
      <c r="E3622" s="2">
        <v>23470.0</v>
      </c>
      <c r="F3622" s="2" t="s">
        <v>150</v>
      </c>
    </row>
    <row r="3623" ht="15.75" customHeight="1">
      <c r="A3623" s="4" t="s">
        <v>5215</v>
      </c>
      <c r="B3623" s="2" t="s">
        <v>5216</v>
      </c>
      <c r="C3623" s="2">
        <v>282.0</v>
      </c>
      <c r="D3623" s="2">
        <v>269.0</v>
      </c>
      <c r="E3623" s="2">
        <v>26500.0</v>
      </c>
      <c r="F3623" s="2" t="s">
        <v>150</v>
      </c>
    </row>
    <row r="3624" ht="15.75" customHeight="1">
      <c r="A3624" s="4" t="s">
        <v>5217</v>
      </c>
      <c r="B3624" s="2" t="s">
        <v>5220</v>
      </c>
      <c r="C3624" s="2">
        <v>997.0</v>
      </c>
      <c r="D3624" s="2">
        <v>1123.0</v>
      </c>
      <c r="E3624" s="2">
        <v>28130.0</v>
      </c>
      <c r="F3624" s="2" t="s">
        <v>150</v>
      </c>
    </row>
    <row r="3625" ht="15.75" customHeight="1">
      <c r="A3625" s="4" t="s">
        <v>7518</v>
      </c>
      <c r="B3625" s="2" t="s">
        <v>7519</v>
      </c>
      <c r="C3625" s="2">
        <v>280.0</v>
      </c>
      <c r="D3625" s="2">
        <v>262.0</v>
      </c>
      <c r="E3625" s="2">
        <v>24460.0</v>
      </c>
      <c r="F3625" s="2" t="s">
        <v>150</v>
      </c>
    </row>
    <row r="3626" ht="15.75" customHeight="1">
      <c r="A3626" s="4" t="s">
        <v>7520</v>
      </c>
      <c r="B3626" s="2" t="s">
        <v>7521</v>
      </c>
      <c r="C3626" s="2">
        <v>343.0</v>
      </c>
      <c r="D3626" s="2">
        <v>379.0</v>
      </c>
      <c r="E3626" s="2">
        <v>23220.0</v>
      </c>
      <c r="F3626" s="2" t="s">
        <v>150</v>
      </c>
    </row>
    <row r="3627" ht="15.75" customHeight="1">
      <c r="A3627" s="4" t="s">
        <v>7522</v>
      </c>
      <c r="B3627" s="2" t="s">
        <v>7523</v>
      </c>
      <c r="C3627" s="2">
        <v>198.0</v>
      </c>
      <c r="D3627" s="2">
        <v>188.0</v>
      </c>
      <c r="E3627" s="2">
        <v>25730.0</v>
      </c>
      <c r="F3627" s="2" t="s">
        <v>150</v>
      </c>
    </row>
    <row r="3628" ht="15.75" customHeight="1">
      <c r="A3628" s="4" t="s">
        <v>7524</v>
      </c>
      <c r="B3628" s="2" t="s">
        <v>7525</v>
      </c>
      <c r="C3628" s="2">
        <v>126.0</v>
      </c>
      <c r="D3628" s="2">
        <v>139.0</v>
      </c>
      <c r="E3628" s="2">
        <v>23340.0</v>
      </c>
      <c r="F3628" s="2" t="s">
        <v>150</v>
      </c>
    </row>
    <row r="3629" ht="15.75" customHeight="1">
      <c r="A3629" s="4" t="s">
        <v>7526</v>
      </c>
      <c r="B3629" s="2" t="s">
        <v>7527</v>
      </c>
      <c r="C3629" s="2">
        <v>29.0</v>
      </c>
      <c r="D3629" s="2">
        <v>28.0</v>
      </c>
      <c r="E3629" s="2" t="s">
        <v>150</v>
      </c>
      <c r="F3629" s="2" t="s">
        <v>150</v>
      </c>
    </row>
    <row r="3630" ht="15.75" customHeight="1">
      <c r="A3630" s="4" t="s">
        <v>7528</v>
      </c>
      <c r="B3630" s="2" t="s">
        <v>7529</v>
      </c>
      <c r="C3630" s="2">
        <v>132.0</v>
      </c>
      <c r="D3630" s="2">
        <v>137.0</v>
      </c>
      <c r="E3630" s="2">
        <v>24120.0</v>
      </c>
      <c r="F3630" s="2" t="s">
        <v>150</v>
      </c>
    </row>
    <row r="3631" ht="15.75" customHeight="1">
      <c r="A3631" s="4" t="s">
        <v>7530</v>
      </c>
      <c r="B3631" s="2" t="s">
        <v>7531</v>
      </c>
      <c r="C3631" s="2">
        <v>175.0</v>
      </c>
      <c r="D3631" s="2">
        <v>164.0</v>
      </c>
      <c r="E3631" s="2">
        <v>24500.0</v>
      </c>
      <c r="F3631" s="2" t="s">
        <v>150</v>
      </c>
    </row>
    <row r="3632" ht="15.75" customHeight="1">
      <c r="A3632" s="4" t="s">
        <v>5222</v>
      </c>
      <c r="B3632" s="2" t="s">
        <v>5223</v>
      </c>
      <c r="C3632" s="2">
        <v>366.0</v>
      </c>
      <c r="D3632" s="2">
        <v>346.0</v>
      </c>
      <c r="E3632" s="2">
        <v>25990.0</v>
      </c>
      <c r="F3632" s="2" t="s">
        <v>150</v>
      </c>
    </row>
    <row r="3633" ht="15.75" customHeight="1">
      <c r="A3633" s="4" t="s">
        <v>7532</v>
      </c>
      <c r="B3633" s="2" t="s">
        <v>7533</v>
      </c>
      <c r="C3633" s="2">
        <v>515.0</v>
      </c>
      <c r="D3633" s="2">
        <v>530.0</v>
      </c>
      <c r="E3633" s="2">
        <v>29190.0</v>
      </c>
      <c r="F3633" s="2" t="s">
        <v>150</v>
      </c>
    </row>
    <row r="3634" ht="15.75" customHeight="1">
      <c r="A3634" s="4" t="s">
        <v>7534</v>
      </c>
      <c r="B3634" s="2" t="s">
        <v>7535</v>
      </c>
      <c r="C3634" s="2">
        <v>250.0</v>
      </c>
      <c r="D3634" s="2">
        <v>223.0</v>
      </c>
      <c r="E3634" s="2">
        <v>23320.0</v>
      </c>
      <c r="F3634" s="2" t="s">
        <v>150</v>
      </c>
    </row>
    <row r="3635" ht="15.75" customHeight="1">
      <c r="A3635" s="4" t="s">
        <v>5225</v>
      </c>
      <c r="B3635" s="2" t="s">
        <v>5226</v>
      </c>
      <c r="C3635" s="2">
        <v>679.0</v>
      </c>
      <c r="D3635" s="2">
        <v>609.0</v>
      </c>
      <c r="E3635" s="2">
        <v>25210.0</v>
      </c>
      <c r="F3635" s="2" t="s">
        <v>150</v>
      </c>
    </row>
    <row r="3636" ht="15.75" customHeight="1">
      <c r="A3636" s="4" t="s">
        <v>7536</v>
      </c>
      <c r="B3636" s="2" t="s">
        <v>7537</v>
      </c>
      <c r="C3636" s="2">
        <v>178.0</v>
      </c>
      <c r="D3636" s="2">
        <v>181.0</v>
      </c>
      <c r="E3636" s="2">
        <v>25670.0</v>
      </c>
      <c r="F3636" s="2" t="s">
        <v>150</v>
      </c>
    </row>
    <row r="3637" ht="15.75" hidden="1" customHeight="1">
      <c r="A3637" s="4" t="s">
        <v>5229</v>
      </c>
      <c r="B3637" s="2" t="s">
        <v>5230</v>
      </c>
      <c r="C3637" s="2">
        <v>3552.0</v>
      </c>
      <c r="D3637" s="2">
        <v>3636.0</v>
      </c>
      <c r="E3637" s="2">
        <v>26090.0</v>
      </c>
      <c r="F3637" s="2">
        <v>15.0</v>
      </c>
    </row>
    <row r="3638" ht="15.75" customHeight="1">
      <c r="A3638" s="4" t="s">
        <v>7538</v>
      </c>
      <c r="B3638" s="2" t="s">
        <v>7539</v>
      </c>
      <c r="C3638" s="2">
        <v>126.0</v>
      </c>
      <c r="D3638" s="2">
        <v>149.0</v>
      </c>
      <c r="E3638" s="2">
        <v>25590.0</v>
      </c>
      <c r="F3638" s="2" t="s">
        <v>150</v>
      </c>
    </row>
    <row r="3639" ht="15.75" customHeight="1">
      <c r="A3639" s="4" t="s">
        <v>7540</v>
      </c>
      <c r="B3639" s="2" t="s">
        <v>7541</v>
      </c>
      <c r="C3639" s="2">
        <v>155.0</v>
      </c>
      <c r="D3639" s="2">
        <v>152.0</v>
      </c>
      <c r="E3639" s="2">
        <v>24220.0</v>
      </c>
      <c r="F3639" s="2" t="s">
        <v>150</v>
      </c>
    </row>
    <row r="3640" ht="15.75" customHeight="1">
      <c r="A3640" s="4" t="s">
        <v>5231</v>
      </c>
      <c r="B3640" s="2" t="s">
        <v>5232</v>
      </c>
      <c r="C3640" s="2">
        <v>1613.0</v>
      </c>
      <c r="D3640" s="2">
        <v>1626.0</v>
      </c>
      <c r="E3640" s="2">
        <v>22930.0</v>
      </c>
      <c r="F3640" s="2" t="s">
        <v>150</v>
      </c>
    </row>
    <row r="3641" ht="15.75" customHeight="1">
      <c r="A3641" s="4" t="s">
        <v>5235</v>
      </c>
      <c r="B3641" s="2" t="s">
        <v>5236</v>
      </c>
      <c r="C3641" s="2">
        <v>751.0</v>
      </c>
      <c r="D3641" s="2">
        <v>755.0</v>
      </c>
      <c r="E3641" s="2">
        <v>24770.0</v>
      </c>
      <c r="F3641" s="2" t="s">
        <v>150</v>
      </c>
    </row>
    <row r="3642" ht="15.75" customHeight="1">
      <c r="A3642" s="4" t="s">
        <v>5237</v>
      </c>
      <c r="B3642" s="2" t="s">
        <v>5238</v>
      </c>
      <c r="C3642" s="2">
        <v>587.0</v>
      </c>
      <c r="D3642" s="2">
        <v>577.0</v>
      </c>
      <c r="E3642" s="2">
        <v>24540.0</v>
      </c>
      <c r="F3642" s="2" t="s">
        <v>150</v>
      </c>
    </row>
    <row r="3643" ht="15.75" hidden="1" customHeight="1">
      <c r="A3643" s="4" t="s">
        <v>5239</v>
      </c>
      <c r="B3643" s="2" t="s">
        <v>5240</v>
      </c>
      <c r="C3643" s="2">
        <v>3008.0</v>
      </c>
      <c r="D3643" s="2">
        <v>2894.0</v>
      </c>
      <c r="E3643" s="2">
        <v>22780.0</v>
      </c>
      <c r="F3643" s="2">
        <v>21.0</v>
      </c>
    </row>
    <row r="3644" ht="15.75" customHeight="1">
      <c r="A3644" s="4" t="s">
        <v>7542</v>
      </c>
      <c r="B3644" s="2" t="s">
        <v>7543</v>
      </c>
      <c r="C3644" s="2">
        <v>306.0</v>
      </c>
      <c r="D3644" s="2">
        <v>304.0</v>
      </c>
      <c r="E3644" s="2">
        <v>26430.0</v>
      </c>
      <c r="F3644" s="2" t="s">
        <v>150</v>
      </c>
    </row>
    <row r="3645" ht="15.75" customHeight="1">
      <c r="A3645" s="4" t="s">
        <v>7544</v>
      </c>
      <c r="B3645" s="2" t="s">
        <v>7545</v>
      </c>
      <c r="C3645" s="2">
        <v>212.0</v>
      </c>
      <c r="D3645" s="2">
        <v>209.0</v>
      </c>
      <c r="E3645" s="2">
        <v>26600.0</v>
      </c>
      <c r="F3645" s="2" t="s">
        <v>150</v>
      </c>
    </row>
    <row r="3646" ht="15.75" customHeight="1">
      <c r="A3646" s="4" t="s">
        <v>7546</v>
      </c>
      <c r="B3646" s="2" t="s">
        <v>7547</v>
      </c>
      <c r="C3646" s="2">
        <v>107.0</v>
      </c>
      <c r="D3646" s="2">
        <v>100.0</v>
      </c>
      <c r="E3646" s="2" t="s">
        <v>150</v>
      </c>
      <c r="F3646" s="2" t="s">
        <v>150</v>
      </c>
    </row>
    <row r="3647" ht="15.75" customHeight="1">
      <c r="A3647" s="4" t="s">
        <v>7548</v>
      </c>
      <c r="B3647" s="2" t="s">
        <v>7549</v>
      </c>
      <c r="C3647" s="2">
        <v>112.0</v>
      </c>
      <c r="D3647" s="2">
        <v>101.0</v>
      </c>
      <c r="E3647" s="2">
        <v>24890.0</v>
      </c>
      <c r="F3647" s="2" t="s">
        <v>150</v>
      </c>
    </row>
    <row r="3648" ht="15.75" hidden="1" customHeight="1">
      <c r="A3648" s="4" t="s">
        <v>5241</v>
      </c>
      <c r="B3648" s="2" t="s">
        <v>5242</v>
      </c>
      <c r="C3648" s="2">
        <v>5786.0</v>
      </c>
      <c r="D3648" s="2">
        <v>5833.0</v>
      </c>
      <c r="E3648" s="2">
        <v>20760.0</v>
      </c>
      <c r="F3648" s="2">
        <v>27.0</v>
      </c>
    </row>
    <row r="3649" ht="15.75" customHeight="1">
      <c r="A3649" s="4" t="s">
        <v>5243</v>
      </c>
      <c r="B3649" s="2" t="s">
        <v>5244</v>
      </c>
      <c r="C3649" s="2">
        <v>726.0</v>
      </c>
      <c r="D3649" s="2">
        <v>720.0</v>
      </c>
      <c r="E3649" s="2">
        <v>27560.0</v>
      </c>
      <c r="F3649" s="2" t="s">
        <v>150</v>
      </c>
    </row>
    <row r="3650" ht="15.75" customHeight="1">
      <c r="A3650" s="4" t="s">
        <v>7550</v>
      </c>
      <c r="B3650" s="2" t="s">
        <v>7551</v>
      </c>
      <c r="C3650" s="2">
        <v>134.0</v>
      </c>
      <c r="D3650" s="2">
        <v>129.0</v>
      </c>
      <c r="E3650" s="2">
        <v>25950.0</v>
      </c>
      <c r="F3650" s="2" t="s">
        <v>150</v>
      </c>
    </row>
    <row r="3651" ht="15.75" hidden="1" customHeight="1">
      <c r="A3651" s="4" t="s">
        <v>5245</v>
      </c>
      <c r="B3651" s="2" t="s">
        <v>5246</v>
      </c>
      <c r="C3651" s="2">
        <v>3101.0</v>
      </c>
      <c r="D3651" s="2">
        <v>2987.0</v>
      </c>
      <c r="E3651" s="2">
        <v>22740.0</v>
      </c>
      <c r="F3651" s="2">
        <v>17.0</v>
      </c>
    </row>
    <row r="3652" ht="15.75" customHeight="1">
      <c r="A3652" s="4" t="s">
        <v>5248</v>
      </c>
      <c r="B3652" s="2" t="s">
        <v>5250</v>
      </c>
      <c r="C3652" s="2">
        <v>611.0</v>
      </c>
      <c r="D3652" s="2">
        <v>613.0</v>
      </c>
      <c r="E3652" s="2">
        <v>31620.0</v>
      </c>
      <c r="F3652" s="2" t="s">
        <v>150</v>
      </c>
    </row>
    <row r="3653" ht="15.75" customHeight="1">
      <c r="A3653" s="4" t="s">
        <v>7552</v>
      </c>
      <c r="B3653" s="2" t="s">
        <v>7553</v>
      </c>
      <c r="C3653" s="2">
        <v>393.0</v>
      </c>
      <c r="D3653" s="2">
        <v>344.0</v>
      </c>
      <c r="E3653" s="2">
        <v>24820.0</v>
      </c>
      <c r="F3653" s="2" t="s">
        <v>150</v>
      </c>
    </row>
    <row r="3654" ht="15.75" customHeight="1">
      <c r="A3654" s="4" t="s">
        <v>5252</v>
      </c>
      <c r="B3654" s="2" t="s">
        <v>5254</v>
      </c>
      <c r="C3654" s="2">
        <v>1037.0</v>
      </c>
      <c r="D3654" s="2">
        <v>991.0</v>
      </c>
      <c r="E3654" s="2">
        <v>24100.0</v>
      </c>
      <c r="F3654" s="2" t="s">
        <v>150</v>
      </c>
    </row>
    <row r="3655" ht="15.75" customHeight="1">
      <c r="A3655" s="4" t="s">
        <v>7554</v>
      </c>
      <c r="B3655" s="2" t="s">
        <v>7555</v>
      </c>
      <c r="C3655" s="2">
        <v>314.0</v>
      </c>
      <c r="D3655" s="2">
        <v>333.0</v>
      </c>
      <c r="E3655" s="2">
        <v>25380.0</v>
      </c>
      <c r="F3655" s="2" t="s">
        <v>150</v>
      </c>
    </row>
    <row r="3656" ht="15.75" customHeight="1">
      <c r="A3656" s="4" t="s">
        <v>7556</v>
      </c>
      <c r="B3656" s="2" t="s">
        <v>7557</v>
      </c>
      <c r="C3656" s="2">
        <v>352.0</v>
      </c>
      <c r="D3656" s="2">
        <v>351.0</v>
      </c>
      <c r="E3656" s="2">
        <v>26450.0</v>
      </c>
      <c r="F3656" s="2" t="s">
        <v>150</v>
      </c>
    </row>
    <row r="3657" ht="15.75" customHeight="1">
      <c r="A3657" s="4" t="s">
        <v>5255</v>
      </c>
      <c r="B3657" s="2" t="s">
        <v>5256</v>
      </c>
      <c r="C3657" s="2">
        <v>477.0</v>
      </c>
      <c r="D3657" s="2">
        <v>469.0</v>
      </c>
      <c r="E3657" s="2">
        <v>20550.0</v>
      </c>
      <c r="F3657" s="2" t="s">
        <v>150</v>
      </c>
    </row>
    <row r="3658" ht="15.75" customHeight="1">
      <c r="A3658" s="4" t="s">
        <v>5257</v>
      </c>
      <c r="B3658" s="2" t="s">
        <v>5259</v>
      </c>
      <c r="C3658" s="2">
        <v>1205.0</v>
      </c>
      <c r="D3658" s="2">
        <v>1187.0</v>
      </c>
      <c r="E3658" s="2">
        <v>35360.0</v>
      </c>
      <c r="F3658" s="2" t="s">
        <v>150</v>
      </c>
    </row>
    <row r="3659" ht="15.75" customHeight="1">
      <c r="A3659" s="4" t="s">
        <v>7558</v>
      </c>
      <c r="B3659" s="2" t="s">
        <v>7559</v>
      </c>
      <c r="C3659" s="2">
        <v>27.0</v>
      </c>
      <c r="D3659" s="2">
        <v>36.0</v>
      </c>
      <c r="E3659" s="2" t="s">
        <v>150</v>
      </c>
      <c r="F3659" s="2" t="s">
        <v>150</v>
      </c>
    </row>
    <row r="3660" ht="15.75" customHeight="1">
      <c r="A3660" s="4" t="s">
        <v>7560</v>
      </c>
      <c r="B3660" s="2" t="s">
        <v>7561</v>
      </c>
      <c r="C3660" s="2">
        <v>225.0</v>
      </c>
      <c r="D3660" s="2">
        <v>218.0</v>
      </c>
      <c r="E3660" s="2">
        <v>27430.0</v>
      </c>
      <c r="F3660" s="2" t="s">
        <v>150</v>
      </c>
    </row>
    <row r="3661" ht="15.75" customHeight="1">
      <c r="A3661" s="4" t="s">
        <v>7562</v>
      </c>
      <c r="B3661" s="2" t="s">
        <v>7563</v>
      </c>
      <c r="C3661" s="2">
        <v>111.0</v>
      </c>
      <c r="D3661" s="2">
        <v>116.0</v>
      </c>
      <c r="E3661" s="2">
        <v>25890.0</v>
      </c>
      <c r="F3661" s="2" t="s">
        <v>150</v>
      </c>
    </row>
    <row r="3662" ht="15.75" customHeight="1">
      <c r="A3662" s="4" t="s">
        <v>7564</v>
      </c>
      <c r="B3662" s="2" t="s">
        <v>7565</v>
      </c>
      <c r="C3662" s="2">
        <v>878.0</v>
      </c>
      <c r="D3662" s="2">
        <v>883.0</v>
      </c>
      <c r="E3662" s="2">
        <v>24170.0</v>
      </c>
      <c r="F3662" s="2" t="s">
        <v>150</v>
      </c>
    </row>
    <row r="3663" ht="15.75" customHeight="1">
      <c r="A3663" s="4" t="s">
        <v>7566</v>
      </c>
      <c r="B3663" s="2" t="s">
        <v>7567</v>
      </c>
      <c r="C3663" s="2">
        <v>437.0</v>
      </c>
      <c r="D3663" s="2">
        <v>425.0</v>
      </c>
      <c r="E3663" s="2">
        <v>25790.0</v>
      </c>
      <c r="F3663" s="2" t="s">
        <v>150</v>
      </c>
    </row>
    <row r="3664" ht="15.75" customHeight="1">
      <c r="A3664" s="4" t="s">
        <v>5261</v>
      </c>
      <c r="B3664" s="2" t="s">
        <v>5262</v>
      </c>
      <c r="C3664" s="2">
        <v>1170.0</v>
      </c>
      <c r="D3664" s="2">
        <v>1409.0</v>
      </c>
      <c r="E3664" s="2">
        <v>39460.0</v>
      </c>
      <c r="F3664" s="2" t="s">
        <v>150</v>
      </c>
    </row>
    <row r="3665" ht="15.75" customHeight="1">
      <c r="A3665" s="4" t="s">
        <v>7568</v>
      </c>
      <c r="B3665" s="2" t="s">
        <v>7569</v>
      </c>
      <c r="C3665" s="2">
        <v>206.0</v>
      </c>
      <c r="D3665" s="2">
        <v>224.0</v>
      </c>
      <c r="E3665" s="2">
        <v>25300.0</v>
      </c>
      <c r="F3665" s="2" t="s">
        <v>150</v>
      </c>
    </row>
    <row r="3666" ht="15.75" customHeight="1">
      <c r="A3666" s="4" t="s">
        <v>7570</v>
      </c>
      <c r="B3666" s="2" t="s">
        <v>7571</v>
      </c>
      <c r="C3666" s="2">
        <v>377.0</v>
      </c>
      <c r="D3666" s="2">
        <v>383.0</v>
      </c>
      <c r="E3666" s="2">
        <v>27700.0</v>
      </c>
      <c r="F3666" s="2" t="s">
        <v>150</v>
      </c>
    </row>
    <row r="3667" ht="15.75" customHeight="1">
      <c r="A3667" s="4" t="s">
        <v>7572</v>
      </c>
      <c r="B3667" s="2" t="s">
        <v>7573</v>
      </c>
      <c r="C3667" s="2">
        <v>89.0</v>
      </c>
      <c r="D3667" s="2">
        <v>79.0</v>
      </c>
      <c r="E3667" s="2" t="s">
        <v>150</v>
      </c>
      <c r="F3667" s="2" t="s">
        <v>150</v>
      </c>
    </row>
    <row r="3668" ht="15.75" customHeight="1">
      <c r="A3668" s="4" t="s">
        <v>5263</v>
      </c>
      <c r="B3668" s="2" t="s">
        <v>5264</v>
      </c>
      <c r="C3668" s="2">
        <v>1855.0</v>
      </c>
      <c r="D3668" s="2">
        <v>1809.0</v>
      </c>
      <c r="E3668" s="2">
        <v>22500.0</v>
      </c>
      <c r="F3668" s="2" t="s">
        <v>150</v>
      </c>
    </row>
    <row r="3669" ht="15.75" customHeight="1">
      <c r="A3669" s="4" t="s">
        <v>7574</v>
      </c>
      <c r="B3669" s="2" t="s">
        <v>7575</v>
      </c>
      <c r="C3669" s="2">
        <v>81.0</v>
      </c>
      <c r="D3669" s="2">
        <v>80.0</v>
      </c>
      <c r="E3669" s="2" t="s">
        <v>150</v>
      </c>
      <c r="F3669" s="2" t="s">
        <v>150</v>
      </c>
    </row>
    <row r="3670" ht="15.75" customHeight="1">
      <c r="A3670" s="4" t="s">
        <v>7576</v>
      </c>
      <c r="B3670" s="2" t="s">
        <v>2549</v>
      </c>
      <c r="C3670" s="2">
        <v>165.0</v>
      </c>
      <c r="D3670" s="2">
        <v>155.0</v>
      </c>
      <c r="E3670" s="2">
        <v>24990.0</v>
      </c>
      <c r="F3670" s="2" t="s">
        <v>150</v>
      </c>
    </row>
    <row r="3671" ht="15.75" customHeight="1">
      <c r="A3671" s="4" t="s">
        <v>7577</v>
      </c>
      <c r="B3671" s="2" t="s">
        <v>7578</v>
      </c>
      <c r="C3671" s="2">
        <v>267.0</v>
      </c>
      <c r="D3671" s="2">
        <v>279.0</v>
      </c>
      <c r="E3671" s="2">
        <v>23120.0</v>
      </c>
      <c r="F3671" s="2" t="s">
        <v>150</v>
      </c>
    </row>
    <row r="3672" ht="15.75" customHeight="1">
      <c r="A3672" s="4" t="s">
        <v>7579</v>
      </c>
      <c r="B3672" s="2" t="s">
        <v>7580</v>
      </c>
      <c r="C3672" s="2">
        <v>392.0</v>
      </c>
      <c r="D3672" s="2">
        <v>390.0</v>
      </c>
      <c r="E3672" s="2">
        <v>24850.0</v>
      </c>
      <c r="F3672" s="2" t="s">
        <v>150</v>
      </c>
    </row>
    <row r="3673" ht="15.75" customHeight="1">
      <c r="A3673" s="4" t="s">
        <v>5265</v>
      </c>
      <c r="B3673" s="2" t="s">
        <v>5266</v>
      </c>
      <c r="C3673" s="2">
        <v>1907.0</v>
      </c>
      <c r="D3673" s="2">
        <v>1772.0</v>
      </c>
      <c r="E3673" s="2">
        <v>20700.0</v>
      </c>
      <c r="F3673" s="2" t="s">
        <v>150</v>
      </c>
    </row>
    <row r="3674" ht="15.75" customHeight="1">
      <c r="A3674" s="4" t="s">
        <v>5267</v>
      </c>
      <c r="B3674" s="2" t="s">
        <v>5268</v>
      </c>
      <c r="C3674" s="2">
        <v>282.0</v>
      </c>
      <c r="D3674" s="2">
        <v>302.0</v>
      </c>
      <c r="E3674" s="2">
        <v>24040.0</v>
      </c>
      <c r="F3674" s="2" t="s">
        <v>150</v>
      </c>
    </row>
    <row r="3675" ht="15.75" customHeight="1">
      <c r="A3675" s="4" t="s">
        <v>5269</v>
      </c>
      <c r="B3675" s="2" t="s">
        <v>5271</v>
      </c>
      <c r="C3675" s="2">
        <v>1291.0</v>
      </c>
      <c r="D3675" s="2">
        <v>1252.0</v>
      </c>
      <c r="E3675" s="2">
        <v>25500.0</v>
      </c>
      <c r="F3675" s="2" t="s">
        <v>150</v>
      </c>
    </row>
    <row r="3676" ht="15.75" customHeight="1">
      <c r="A3676" s="4" t="s">
        <v>5273</v>
      </c>
      <c r="B3676" s="2" t="s">
        <v>5274</v>
      </c>
      <c r="C3676" s="2">
        <v>1258.0</v>
      </c>
      <c r="D3676" s="2">
        <v>1279.0</v>
      </c>
      <c r="E3676" s="2">
        <v>25970.0</v>
      </c>
      <c r="F3676" s="2" t="s">
        <v>150</v>
      </c>
    </row>
    <row r="3677" ht="15.75" customHeight="1">
      <c r="A3677" s="4" t="s">
        <v>5275</v>
      </c>
      <c r="B3677" s="2" t="s">
        <v>5276</v>
      </c>
      <c r="C3677" s="2">
        <v>995.0</v>
      </c>
      <c r="D3677" s="2">
        <v>976.0</v>
      </c>
      <c r="E3677" s="2">
        <v>29770.0</v>
      </c>
      <c r="F3677" s="2" t="s">
        <v>150</v>
      </c>
    </row>
    <row r="3678" ht="15.75" customHeight="1">
      <c r="A3678" s="4" t="s">
        <v>5277</v>
      </c>
      <c r="B3678" s="2" t="s">
        <v>3509</v>
      </c>
      <c r="C3678" s="2">
        <v>1376.0</v>
      </c>
      <c r="D3678" s="2">
        <v>1344.0</v>
      </c>
      <c r="E3678" s="2">
        <v>26500.0</v>
      </c>
      <c r="F3678" s="2" t="s">
        <v>150</v>
      </c>
    </row>
    <row r="3679" ht="15.75" customHeight="1">
      <c r="A3679" s="4" t="s">
        <v>7581</v>
      </c>
      <c r="B3679" s="2" t="s">
        <v>7582</v>
      </c>
      <c r="C3679" s="2">
        <v>57.0</v>
      </c>
      <c r="D3679" s="2">
        <v>47.0</v>
      </c>
      <c r="E3679" s="2" t="s">
        <v>150</v>
      </c>
      <c r="F3679" s="2" t="s">
        <v>150</v>
      </c>
    </row>
    <row r="3680" ht="15.75" customHeight="1">
      <c r="A3680" s="4" t="s">
        <v>5282</v>
      </c>
      <c r="B3680" s="2" t="s">
        <v>5283</v>
      </c>
      <c r="C3680" s="2">
        <v>2510.0</v>
      </c>
      <c r="D3680" s="2">
        <v>2306.0</v>
      </c>
      <c r="E3680" s="2">
        <v>25760.0</v>
      </c>
      <c r="F3680" s="2" t="s">
        <v>150</v>
      </c>
    </row>
    <row r="3681" ht="15.75" customHeight="1">
      <c r="A3681" s="4" t="s">
        <v>5278</v>
      </c>
      <c r="B3681" s="2" t="s">
        <v>5280</v>
      </c>
      <c r="C3681" s="2">
        <v>495.0</v>
      </c>
      <c r="D3681" s="2">
        <v>504.0</v>
      </c>
      <c r="E3681" s="2">
        <v>27920.0</v>
      </c>
      <c r="F3681" s="2" t="s">
        <v>150</v>
      </c>
    </row>
    <row r="3682" ht="15.75" customHeight="1">
      <c r="A3682" s="4" t="s">
        <v>7583</v>
      </c>
      <c r="B3682" s="2" t="s">
        <v>7584</v>
      </c>
      <c r="C3682" s="2">
        <v>239.0</v>
      </c>
      <c r="D3682" s="2">
        <v>263.0</v>
      </c>
      <c r="E3682" s="2">
        <v>30830.0</v>
      </c>
      <c r="F3682" s="2" t="s">
        <v>150</v>
      </c>
    </row>
    <row r="3683" ht="15.75" hidden="1" customHeight="1">
      <c r="A3683" s="4" t="s">
        <v>5286</v>
      </c>
      <c r="B3683" s="2" t="s">
        <v>5287</v>
      </c>
      <c r="C3683" s="2">
        <v>2846.0</v>
      </c>
      <c r="D3683" s="2">
        <v>2739.0</v>
      </c>
      <c r="E3683" s="2">
        <v>27190.0</v>
      </c>
      <c r="F3683" s="2">
        <v>11.0</v>
      </c>
    </row>
    <row r="3684" ht="15.75" hidden="1" customHeight="1">
      <c r="A3684" s="4" t="s">
        <v>5290</v>
      </c>
      <c r="B3684" s="2" t="s">
        <v>5291</v>
      </c>
      <c r="C3684" s="2">
        <v>3979.0</v>
      </c>
      <c r="D3684" s="2">
        <v>4179.0</v>
      </c>
      <c r="E3684" s="2">
        <v>28780.0</v>
      </c>
      <c r="F3684" s="2">
        <v>9.0</v>
      </c>
    </row>
    <row r="3685" ht="15.75" customHeight="1">
      <c r="A3685" s="4" t="s">
        <v>7585</v>
      </c>
      <c r="B3685" s="2" t="s">
        <v>4241</v>
      </c>
      <c r="C3685" s="2">
        <v>267.0</v>
      </c>
      <c r="D3685" s="2">
        <v>269.0</v>
      </c>
      <c r="E3685" s="2">
        <v>27240.0</v>
      </c>
      <c r="F3685" s="2" t="s">
        <v>150</v>
      </c>
    </row>
    <row r="3686" ht="15.75" customHeight="1">
      <c r="A3686" s="4" t="s">
        <v>7586</v>
      </c>
      <c r="B3686" s="2" t="s">
        <v>7587</v>
      </c>
      <c r="C3686" s="2">
        <v>71.0</v>
      </c>
      <c r="D3686" s="2">
        <v>74.0</v>
      </c>
      <c r="E3686" s="2" t="s">
        <v>150</v>
      </c>
      <c r="F3686" s="2" t="s">
        <v>150</v>
      </c>
    </row>
    <row r="3687" ht="15.75" customHeight="1">
      <c r="A3687" s="4" t="s">
        <v>7588</v>
      </c>
      <c r="B3687" s="2" t="s">
        <v>7589</v>
      </c>
      <c r="C3687" s="2">
        <v>175.0</v>
      </c>
      <c r="D3687" s="2">
        <v>178.0</v>
      </c>
      <c r="E3687" s="2">
        <v>26230.0</v>
      </c>
      <c r="F3687" s="2" t="s">
        <v>150</v>
      </c>
    </row>
    <row r="3688" ht="15.75" customHeight="1">
      <c r="A3688" s="4" t="s">
        <v>5292</v>
      </c>
      <c r="B3688" s="2" t="s">
        <v>5293</v>
      </c>
      <c r="C3688" s="2">
        <v>932.0</v>
      </c>
      <c r="D3688" s="2">
        <v>1096.0</v>
      </c>
      <c r="E3688" s="2">
        <v>30760.0</v>
      </c>
      <c r="F3688" s="2" t="s">
        <v>150</v>
      </c>
    </row>
    <row r="3689" ht="15.75" customHeight="1">
      <c r="A3689" s="4" t="s">
        <v>7590</v>
      </c>
      <c r="B3689" s="2" t="s">
        <v>7591</v>
      </c>
      <c r="C3689" s="2">
        <v>647.0</v>
      </c>
      <c r="D3689" s="2">
        <v>623.0</v>
      </c>
      <c r="E3689" s="2">
        <v>23750.0</v>
      </c>
      <c r="F3689" s="2" t="s">
        <v>150</v>
      </c>
    </row>
    <row r="3690" ht="15.75" customHeight="1">
      <c r="A3690" s="4" t="s">
        <v>7592</v>
      </c>
      <c r="B3690" s="2" t="s">
        <v>7593</v>
      </c>
      <c r="C3690" s="2">
        <v>294.0</v>
      </c>
      <c r="D3690" s="2">
        <v>324.0</v>
      </c>
      <c r="E3690" s="2">
        <v>25040.0</v>
      </c>
      <c r="F3690" s="2" t="s">
        <v>150</v>
      </c>
    </row>
    <row r="3691" ht="15.75" customHeight="1">
      <c r="A3691" s="4" t="s">
        <v>7594</v>
      </c>
      <c r="B3691" s="2" t="s">
        <v>7595</v>
      </c>
      <c r="C3691" s="2">
        <v>208.0</v>
      </c>
      <c r="D3691" s="2">
        <v>217.0</v>
      </c>
      <c r="E3691" s="2">
        <v>23950.0</v>
      </c>
      <c r="F3691" s="2" t="s">
        <v>150</v>
      </c>
    </row>
    <row r="3692" ht="15.75" customHeight="1">
      <c r="A3692" s="4" t="s">
        <v>7596</v>
      </c>
      <c r="B3692" s="2" t="s">
        <v>7597</v>
      </c>
      <c r="C3692" s="2">
        <v>168.0</v>
      </c>
      <c r="D3692" s="2">
        <v>162.0</v>
      </c>
      <c r="E3692" s="2">
        <v>27540.0</v>
      </c>
      <c r="F3692" s="2" t="s">
        <v>150</v>
      </c>
    </row>
    <row r="3693" ht="15.75" customHeight="1">
      <c r="A3693" s="4" t="s">
        <v>7598</v>
      </c>
      <c r="B3693" s="2" t="s">
        <v>7599</v>
      </c>
      <c r="C3693" s="2">
        <v>213.0</v>
      </c>
      <c r="D3693" s="2">
        <v>235.0</v>
      </c>
      <c r="E3693" s="2">
        <v>25330.0</v>
      </c>
      <c r="F3693" s="2" t="s">
        <v>150</v>
      </c>
    </row>
    <row r="3694" ht="15.75" customHeight="1">
      <c r="A3694" s="4" t="s">
        <v>7600</v>
      </c>
      <c r="B3694" s="2" t="s">
        <v>7601</v>
      </c>
      <c r="C3694" s="2">
        <v>162.0</v>
      </c>
      <c r="D3694" s="2">
        <v>162.0</v>
      </c>
      <c r="E3694" s="2">
        <v>21050.0</v>
      </c>
      <c r="F3694" s="2" t="s">
        <v>150</v>
      </c>
    </row>
    <row r="3695" ht="15.75" customHeight="1">
      <c r="A3695" s="4" t="s">
        <v>7602</v>
      </c>
      <c r="B3695" s="2" t="s">
        <v>7603</v>
      </c>
      <c r="C3695" s="2">
        <v>125.0</v>
      </c>
      <c r="D3695" s="2">
        <v>124.0</v>
      </c>
      <c r="E3695" s="2">
        <v>29620.0</v>
      </c>
      <c r="F3695" s="2" t="s">
        <v>150</v>
      </c>
    </row>
    <row r="3696" ht="15.75" customHeight="1">
      <c r="A3696" s="4" t="s">
        <v>7604</v>
      </c>
      <c r="B3696" s="2" t="s">
        <v>7605</v>
      </c>
      <c r="C3696" s="2">
        <v>325.0</v>
      </c>
      <c r="D3696" s="2">
        <v>288.0</v>
      </c>
      <c r="E3696" s="2">
        <v>27840.0</v>
      </c>
      <c r="F3696" s="2" t="s">
        <v>150</v>
      </c>
    </row>
    <row r="3697" ht="15.75" customHeight="1">
      <c r="A3697" s="4" t="s">
        <v>7606</v>
      </c>
      <c r="B3697" s="2" t="s">
        <v>7607</v>
      </c>
      <c r="C3697" s="2">
        <v>182.0</v>
      </c>
      <c r="D3697" s="2">
        <v>186.0</v>
      </c>
      <c r="E3697" s="2">
        <v>25710.0</v>
      </c>
      <c r="F3697" s="2" t="s">
        <v>150</v>
      </c>
    </row>
    <row r="3698" ht="15.75" customHeight="1">
      <c r="A3698" s="4" t="s">
        <v>7608</v>
      </c>
      <c r="B3698" s="2" t="s">
        <v>7609</v>
      </c>
      <c r="C3698" s="2">
        <v>64.0</v>
      </c>
      <c r="D3698" s="2">
        <v>84.0</v>
      </c>
      <c r="E3698" s="2" t="s">
        <v>150</v>
      </c>
      <c r="F3698" s="2" t="s">
        <v>150</v>
      </c>
    </row>
    <row r="3699" ht="15.75" customHeight="1">
      <c r="A3699" s="4" t="s">
        <v>7610</v>
      </c>
      <c r="B3699" s="2" t="s">
        <v>7611</v>
      </c>
      <c r="C3699" s="2">
        <v>186.0</v>
      </c>
      <c r="D3699" s="2">
        <v>190.0</v>
      </c>
      <c r="E3699" s="2">
        <v>25990.0</v>
      </c>
      <c r="F3699" s="2" t="s">
        <v>150</v>
      </c>
    </row>
    <row r="3700" ht="15.75" customHeight="1">
      <c r="A3700" s="4" t="s">
        <v>7612</v>
      </c>
      <c r="B3700" s="2" t="s">
        <v>7613</v>
      </c>
      <c r="C3700" s="2">
        <v>59.0</v>
      </c>
      <c r="D3700" s="2">
        <v>58.0</v>
      </c>
      <c r="E3700" s="2" t="s">
        <v>150</v>
      </c>
      <c r="F3700" s="2" t="s">
        <v>150</v>
      </c>
    </row>
    <row r="3701" ht="15.75" customHeight="1">
      <c r="A3701" s="4" t="s">
        <v>5296</v>
      </c>
      <c r="B3701" s="2" t="s">
        <v>5298</v>
      </c>
      <c r="C3701" s="2">
        <v>1067.0</v>
      </c>
      <c r="D3701" s="2">
        <v>1085.0</v>
      </c>
      <c r="E3701" s="2">
        <v>29210.0</v>
      </c>
      <c r="F3701" s="2" t="s">
        <v>150</v>
      </c>
    </row>
    <row r="3702" ht="15.75" customHeight="1">
      <c r="A3702" s="4" t="s">
        <v>7614</v>
      </c>
      <c r="B3702" s="2" t="s">
        <v>7615</v>
      </c>
      <c r="C3702" s="2">
        <v>140.0</v>
      </c>
      <c r="D3702" s="2">
        <v>139.0</v>
      </c>
      <c r="E3702" s="2">
        <v>22400.0</v>
      </c>
      <c r="F3702" s="2" t="s">
        <v>150</v>
      </c>
    </row>
    <row r="3703" ht="15.75" customHeight="1">
      <c r="A3703" s="4" t="s">
        <v>7616</v>
      </c>
      <c r="B3703" s="2" t="s">
        <v>7617</v>
      </c>
      <c r="C3703" s="2">
        <v>172.0</v>
      </c>
      <c r="D3703" s="2">
        <v>198.0</v>
      </c>
      <c r="E3703" s="2">
        <v>21120.0</v>
      </c>
      <c r="F3703" s="2" t="s">
        <v>150</v>
      </c>
    </row>
    <row r="3704" ht="15.75" customHeight="1">
      <c r="A3704" s="4" t="s">
        <v>7618</v>
      </c>
      <c r="B3704" s="2" t="s">
        <v>7619</v>
      </c>
      <c r="C3704" s="2">
        <v>310.0</v>
      </c>
      <c r="D3704" s="2">
        <v>323.0</v>
      </c>
      <c r="E3704" s="2">
        <v>24110.0</v>
      </c>
      <c r="F3704" s="2" t="s">
        <v>150</v>
      </c>
    </row>
    <row r="3705" ht="15.75" customHeight="1">
      <c r="A3705" s="4" t="s">
        <v>7620</v>
      </c>
      <c r="B3705" s="2" t="s">
        <v>7621</v>
      </c>
      <c r="C3705" s="2">
        <v>156.0</v>
      </c>
      <c r="D3705" s="2">
        <v>145.0</v>
      </c>
      <c r="E3705" s="2">
        <v>24280.0</v>
      </c>
      <c r="F3705" s="2" t="s">
        <v>150</v>
      </c>
    </row>
    <row r="3706" ht="15.75" customHeight="1">
      <c r="A3706" s="4" t="s">
        <v>5300</v>
      </c>
      <c r="B3706" s="2" t="s">
        <v>5301</v>
      </c>
      <c r="C3706" s="2">
        <v>563.0</v>
      </c>
      <c r="D3706" s="2">
        <v>552.0</v>
      </c>
      <c r="E3706" s="2">
        <v>28060.0</v>
      </c>
      <c r="F3706" s="2" t="s">
        <v>150</v>
      </c>
    </row>
    <row r="3707" ht="15.75" customHeight="1">
      <c r="A3707" s="4" t="s">
        <v>7622</v>
      </c>
      <c r="B3707" s="2" t="s">
        <v>7623</v>
      </c>
      <c r="C3707" s="2">
        <v>662.0</v>
      </c>
      <c r="D3707" s="2">
        <v>661.0</v>
      </c>
      <c r="E3707" s="2">
        <v>30690.0</v>
      </c>
      <c r="F3707" s="2" t="s">
        <v>150</v>
      </c>
    </row>
    <row r="3708" ht="15.75" customHeight="1">
      <c r="A3708" s="4" t="s">
        <v>7624</v>
      </c>
      <c r="B3708" s="2" t="s">
        <v>7625</v>
      </c>
      <c r="C3708" s="2">
        <v>129.0</v>
      </c>
      <c r="D3708" s="2">
        <v>124.0</v>
      </c>
      <c r="E3708" s="2">
        <v>22400.0</v>
      </c>
      <c r="F3708" s="2" t="s">
        <v>150</v>
      </c>
    </row>
    <row r="3709" ht="15.75" customHeight="1">
      <c r="A3709" s="4" t="s">
        <v>5302</v>
      </c>
      <c r="B3709" s="2" t="s">
        <v>5303</v>
      </c>
      <c r="C3709" s="2">
        <v>372.0</v>
      </c>
      <c r="D3709" s="2">
        <v>380.0</v>
      </c>
      <c r="E3709" s="2">
        <v>26890.0</v>
      </c>
      <c r="F3709" s="2" t="s">
        <v>150</v>
      </c>
    </row>
    <row r="3710" ht="15.75" customHeight="1">
      <c r="A3710" s="4" t="s">
        <v>7626</v>
      </c>
      <c r="B3710" s="2" t="s">
        <v>7627</v>
      </c>
      <c r="C3710" s="2">
        <v>144.0</v>
      </c>
      <c r="D3710" s="2">
        <v>141.0</v>
      </c>
      <c r="E3710" s="2">
        <v>23020.0</v>
      </c>
      <c r="F3710" s="2" t="s">
        <v>150</v>
      </c>
    </row>
    <row r="3711" ht="15.75" customHeight="1">
      <c r="A3711" s="4" t="s">
        <v>7628</v>
      </c>
      <c r="B3711" s="2" t="s">
        <v>6622</v>
      </c>
      <c r="C3711" s="2">
        <v>62.0</v>
      </c>
      <c r="D3711" s="2">
        <v>54.0</v>
      </c>
      <c r="E3711" s="2" t="s">
        <v>150</v>
      </c>
      <c r="F3711" s="2" t="s">
        <v>150</v>
      </c>
    </row>
    <row r="3712" ht="15.75" customHeight="1">
      <c r="A3712" s="4" t="s">
        <v>7629</v>
      </c>
      <c r="B3712" s="2" t="s">
        <v>7630</v>
      </c>
      <c r="C3712" s="2">
        <v>144.0</v>
      </c>
      <c r="D3712" s="2">
        <v>147.0</v>
      </c>
      <c r="E3712" s="2">
        <v>27710.0</v>
      </c>
      <c r="F3712" s="2" t="s">
        <v>150</v>
      </c>
    </row>
    <row r="3713" ht="15.75" customHeight="1">
      <c r="A3713" s="4" t="s">
        <v>7631</v>
      </c>
      <c r="B3713" s="2" t="s">
        <v>7632</v>
      </c>
      <c r="C3713" s="2">
        <v>195.0</v>
      </c>
      <c r="D3713" s="2">
        <v>207.0</v>
      </c>
      <c r="E3713" s="2">
        <v>26940.0</v>
      </c>
      <c r="F3713" s="2" t="s">
        <v>150</v>
      </c>
    </row>
    <row r="3714" ht="15.75" customHeight="1">
      <c r="A3714" s="4" t="s">
        <v>5305</v>
      </c>
      <c r="B3714" s="2" t="s">
        <v>5307</v>
      </c>
      <c r="C3714" s="2">
        <v>353.0</v>
      </c>
      <c r="D3714" s="2">
        <v>318.0</v>
      </c>
      <c r="E3714" s="2">
        <v>26540.0</v>
      </c>
      <c r="F3714" s="2" t="s">
        <v>150</v>
      </c>
    </row>
    <row r="3715" ht="15.75" customHeight="1">
      <c r="A3715" s="4" t="s">
        <v>7633</v>
      </c>
      <c r="B3715" s="2" t="s">
        <v>7634</v>
      </c>
      <c r="C3715" s="2">
        <v>393.0</v>
      </c>
      <c r="D3715" s="2">
        <v>353.0</v>
      </c>
      <c r="E3715" s="2">
        <v>24800.0</v>
      </c>
      <c r="F3715" s="2" t="s">
        <v>150</v>
      </c>
    </row>
    <row r="3716" ht="15.75" customHeight="1">
      <c r="A3716" s="4" t="s">
        <v>5308</v>
      </c>
      <c r="B3716" s="2" t="s">
        <v>5309</v>
      </c>
      <c r="C3716" s="2">
        <v>356.0</v>
      </c>
      <c r="D3716" s="2">
        <v>334.0</v>
      </c>
      <c r="E3716" s="2">
        <v>24140.0</v>
      </c>
      <c r="F3716" s="2" t="s">
        <v>150</v>
      </c>
    </row>
    <row r="3717" ht="15.75" customHeight="1">
      <c r="A3717" s="4" t="s">
        <v>7635</v>
      </c>
      <c r="B3717" s="2" t="s">
        <v>7636</v>
      </c>
      <c r="C3717" s="2">
        <v>358.0</v>
      </c>
      <c r="D3717" s="2">
        <v>332.0</v>
      </c>
      <c r="E3717" s="2">
        <v>25080.0</v>
      </c>
      <c r="F3717" s="2" t="s">
        <v>150</v>
      </c>
    </row>
    <row r="3718" ht="15.75" customHeight="1">
      <c r="A3718" s="4" t="s">
        <v>7637</v>
      </c>
      <c r="B3718" s="2" t="s">
        <v>7638</v>
      </c>
      <c r="C3718" s="2">
        <v>299.0</v>
      </c>
      <c r="D3718" s="2">
        <v>308.0</v>
      </c>
      <c r="E3718" s="2">
        <v>23890.0</v>
      </c>
      <c r="F3718" s="2" t="s">
        <v>150</v>
      </c>
    </row>
    <row r="3719" ht="15.75" customHeight="1">
      <c r="A3719" s="4" t="s">
        <v>5310</v>
      </c>
      <c r="B3719" s="2" t="s">
        <v>5311</v>
      </c>
      <c r="C3719" s="2">
        <v>818.0</v>
      </c>
      <c r="D3719" s="2">
        <v>805.0</v>
      </c>
      <c r="E3719" s="2">
        <v>24630.0</v>
      </c>
      <c r="F3719" s="2" t="s">
        <v>150</v>
      </c>
    </row>
    <row r="3720" ht="15.75" customHeight="1">
      <c r="A3720" s="4" t="s">
        <v>7639</v>
      </c>
      <c r="B3720" s="2" t="s">
        <v>7640</v>
      </c>
      <c r="C3720" s="2">
        <v>461.0</v>
      </c>
      <c r="D3720" s="2">
        <v>435.0</v>
      </c>
      <c r="E3720" s="2">
        <v>25990.0</v>
      </c>
      <c r="F3720" s="2" t="s">
        <v>150</v>
      </c>
    </row>
    <row r="3721" ht="15.75" customHeight="1">
      <c r="A3721" s="4" t="s">
        <v>7641</v>
      </c>
      <c r="B3721" s="2" t="s">
        <v>7642</v>
      </c>
      <c r="C3721" s="2">
        <v>248.0</v>
      </c>
      <c r="D3721" s="2">
        <v>234.0</v>
      </c>
      <c r="E3721" s="2">
        <v>23610.0</v>
      </c>
      <c r="F3721" s="2" t="s">
        <v>150</v>
      </c>
    </row>
    <row r="3722" ht="15.75" customHeight="1">
      <c r="A3722" s="4" t="s">
        <v>7643</v>
      </c>
      <c r="B3722" s="2" t="s">
        <v>7644</v>
      </c>
      <c r="C3722" s="2">
        <v>249.0</v>
      </c>
      <c r="D3722" s="2">
        <v>220.0</v>
      </c>
      <c r="E3722" s="2">
        <v>25190.0</v>
      </c>
      <c r="F3722" s="2" t="s">
        <v>150</v>
      </c>
    </row>
    <row r="3723" ht="15.75" customHeight="1">
      <c r="A3723" s="4" t="s">
        <v>5315</v>
      </c>
      <c r="B3723" s="2" t="s">
        <v>5317</v>
      </c>
      <c r="C3723" s="2">
        <v>548.0</v>
      </c>
      <c r="D3723" s="2">
        <v>549.0</v>
      </c>
      <c r="E3723" s="2">
        <v>22290.0</v>
      </c>
      <c r="F3723" s="2" t="s">
        <v>150</v>
      </c>
    </row>
    <row r="3724" ht="15.75" customHeight="1">
      <c r="A3724" s="4" t="s">
        <v>7645</v>
      </c>
      <c r="B3724" s="2" t="s">
        <v>7646</v>
      </c>
      <c r="C3724" s="2">
        <v>40.0</v>
      </c>
      <c r="D3724" s="2">
        <v>29.0</v>
      </c>
      <c r="E3724" s="2" t="s">
        <v>150</v>
      </c>
      <c r="F3724" s="2" t="s">
        <v>150</v>
      </c>
    </row>
    <row r="3725" ht="15.75" customHeight="1">
      <c r="A3725" s="4" t="s">
        <v>7647</v>
      </c>
      <c r="B3725" s="2" t="s">
        <v>765</v>
      </c>
      <c r="C3725" s="2">
        <v>100.0</v>
      </c>
      <c r="D3725" s="2">
        <v>98.0</v>
      </c>
      <c r="E3725" s="2" t="s">
        <v>150</v>
      </c>
      <c r="F3725" s="2" t="s">
        <v>150</v>
      </c>
    </row>
    <row r="3726" ht="15.75" customHeight="1">
      <c r="A3726" s="4" t="s">
        <v>7648</v>
      </c>
      <c r="B3726" s="2" t="s">
        <v>7649</v>
      </c>
      <c r="C3726" s="2">
        <v>288.0</v>
      </c>
      <c r="D3726" s="2">
        <v>288.0</v>
      </c>
      <c r="E3726" s="2">
        <v>27150.0</v>
      </c>
      <c r="F3726" s="2" t="s">
        <v>150</v>
      </c>
    </row>
    <row r="3727" ht="15.75" customHeight="1">
      <c r="A3727" s="4" t="s">
        <v>7650</v>
      </c>
      <c r="B3727" s="2" t="s">
        <v>7651</v>
      </c>
      <c r="C3727" s="2">
        <v>636.0</v>
      </c>
      <c r="D3727" s="2">
        <v>655.0</v>
      </c>
      <c r="E3727" s="2">
        <v>24460.0</v>
      </c>
      <c r="F3727" s="2" t="s">
        <v>150</v>
      </c>
    </row>
    <row r="3728" ht="15.75" customHeight="1">
      <c r="A3728" s="4" t="s">
        <v>7652</v>
      </c>
      <c r="B3728" s="2" t="s">
        <v>7653</v>
      </c>
      <c r="C3728" s="2">
        <v>220.0</v>
      </c>
      <c r="D3728" s="2">
        <v>222.0</v>
      </c>
      <c r="E3728" s="2">
        <v>25660.0</v>
      </c>
      <c r="F3728" s="2" t="s">
        <v>150</v>
      </c>
    </row>
    <row r="3729" ht="15.75" customHeight="1">
      <c r="A3729" s="4" t="s">
        <v>7654</v>
      </c>
      <c r="B3729" s="2" t="s">
        <v>7655</v>
      </c>
      <c r="C3729" s="2">
        <v>151.0</v>
      </c>
      <c r="D3729" s="2">
        <v>132.0</v>
      </c>
      <c r="E3729" s="2">
        <v>24500.0</v>
      </c>
      <c r="F3729" s="2" t="s">
        <v>150</v>
      </c>
    </row>
    <row r="3730" ht="15.75" customHeight="1">
      <c r="A3730" s="4" t="s">
        <v>7656</v>
      </c>
      <c r="B3730" s="2" t="s">
        <v>7657</v>
      </c>
      <c r="C3730" s="2">
        <v>125.0</v>
      </c>
      <c r="D3730" s="2">
        <v>120.0</v>
      </c>
      <c r="E3730" s="2">
        <v>27260.0</v>
      </c>
      <c r="F3730" s="2" t="s">
        <v>150</v>
      </c>
    </row>
    <row r="3731" ht="15.75" customHeight="1">
      <c r="A3731" s="4" t="s">
        <v>5319</v>
      </c>
      <c r="B3731" s="2" t="s">
        <v>5321</v>
      </c>
      <c r="C3731" s="2">
        <v>851.0</v>
      </c>
      <c r="D3731" s="2">
        <v>815.0</v>
      </c>
      <c r="E3731" s="2">
        <v>25570.0</v>
      </c>
      <c r="F3731" s="2" t="s">
        <v>150</v>
      </c>
    </row>
    <row r="3732" ht="15.75" customHeight="1">
      <c r="A3732" s="4" t="s">
        <v>5322</v>
      </c>
      <c r="B3732" s="2" t="s">
        <v>4566</v>
      </c>
      <c r="C3732" s="2">
        <v>395.0</v>
      </c>
      <c r="D3732" s="2">
        <v>414.0</v>
      </c>
      <c r="E3732" s="2">
        <v>24760.0</v>
      </c>
      <c r="F3732" s="2" t="s">
        <v>150</v>
      </c>
    </row>
    <row r="3733" ht="15.75" customHeight="1">
      <c r="A3733" s="4" t="s">
        <v>7658</v>
      </c>
      <c r="B3733" s="2" t="s">
        <v>7659</v>
      </c>
      <c r="C3733" s="2">
        <v>246.0</v>
      </c>
      <c r="D3733" s="2">
        <v>233.0</v>
      </c>
      <c r="E3733" s="2">
        <v>26690.0</v>
      </c>
      <c r="F3733" s="2" t="s">
        <v>150</v>
      </c>
    </row>
    <row r="3734" ht="15.75" customHeight="1">
      <c r="A3734" s="4" t="s">
        <v>7660</v>
      </c>
      <c r="B3734" s="2" t="s">
        <v>7661</v>
      </c>
      <c r="C3734" s="2">
        <v>406.0</v>
      </c>
      <c r="D3734" s="2">
        <v>444.0</v>
      </c>
      <c r="E3734" s="2">
        <v>28020.0</v>
      </c>
      <c r="F3734" s="2" t="s">
        <v>150</v>
      </c>
    </row>
    <row r="3735" ht="15.75" customHeight="1">
      <c r="A3735" s="4" t="s">
        <v>7662</v>
      </c>
      <c r="B3735" s="2" t="s">
        <v>7663</v>
      </c>
      <c r="C3735" s="2">
        <v>87.0</v>
      </c>
      <c r="D3735" s="2">
        <v>79.0</v>
      </c>
      <c r="E3735" s="2" t="s">
        <v>150</v>
      </c>
      <c r="F3735" s="2" t="s">
        <v>150</v>
      </c>
    </row>
    <row r="3736" ht="15.75" customHeight="1">
      <c r="A3736" s="4" t="s">
        <v>7664</v>
      </c>
      <c r="B3736" s="2" t="s">
        <v>7665</v>
      </c>
      <c r="C3736" s="2">
        <v>308.0</v>
      </c>
      <c r="D3736" s="2">
        <v>268.0</v>
      </c>
      <c r="E3736" s="2">
        <v>28110.0</v>
      </c>
      <c r="F3736" s="2" t="s">
        <v>150</v>
      </c>
    </row>
    <row r="3737" ht="15.75" customHeight="1">
      <c r="A3737" s="4" t="s">
        <v>5325</v>
      </c>
      <c r="B3737" s="2" t="s">
        <v>5326</v>
      </c>
      <c r="C3737" s="2">
        <v>540.0</v>
      </c>
      <c r="D3737" s="2">
        <v>531.0</v>
      </c>
      <c r="E3737" s="2">
        <v>27980.0</v>
      </c>
      <c r="F3737" s="2" t="s">
        <v>150</v>
      </c>
    </row>
    <row r="3738" ht="15.75" customHeight="1">
      <c r="A3738" s="4" t="s">
        <v>7666</v>
      </c>
      <c r="B3738" s="2" t="s">
        <v>5803</v>
      </c>
      <c r="C3738" s="2">
        <v>149.0</v>
      </c>
      <c r="D3738" s="2">
        <v>141.0</v>
      </c>
      <c r="E3738" s="2">
        <v>23190.0</v>
      </c>
      <c r="F3738" s="2" t="s">
        <v>150</v>
      </c>
    </row>
    <row r="3739" ht="15.75" customHeight="1">
      <c r="A3739" s="4" t="s">
        <v>7667</v>
      </c>
      <c r="B3739" s="2" t="s">
        <v>7668</v>
      </c>
      <c r="C3739" s="2">
        <v>93.0</v>
      </c>
      <c r="D3739" s="2">
        <v>97.0</v>
      </c>
      <c r="E3739" s="2" t="s">
        <v>150</v>
      </c>
      <c r="F3739" s="2" t="s">
        <v>150</v>
      </c>
    </row>
    <row r="3740" ht="15.75" customHeight="1">
      <c r="A3740" s="4" t="s">
        <v>7669</v>
      </c>
      <c r="B3740" s="2" t="s">
        <v>7670</v>
      </c>
      <c r="C3740" s="2">
        <v>163.0</v>
      </c>
      <c r="D3740" s="2">
        <v>174.0</v>
      </c>
      <c r="E3740" s="2">
        <v>24690.0</v>
      </c>
      <c r="F3740" s="2" t="s">
        <v>150</v>
      </c>
    </row>
    <row r="3741" ht="15.75" customHeight="1">
      <c r="A3741" s="4" t="s">
        <v>7671</v>
      </c>
      <c r="B3741" s="2" t="s">
        <v>7672</v>
      </c>
      <c r="C3741" s="2">
        <v>150.0</v>
      </c>
      <c r="D3741" s="2">
        <v>147.0</v>
      </c>
      <c r="E3741" s="2">
        <v>24060.0</v>
      </c>
      <c r="F3741" s="2" t="s">
        <v>150</v>
      </c>
    </row>
    <row r="3742" ht="15.75" customHeight="1">
      <c r="A3742" s="4" t="s">
        <v>7673</v>
      </c>
      <c r="B3742" s="2" t="s">
        <v>7674</v>
      </c>
      <c r="C3742" s="2">
        <v>165.0</v>
      </c>
      <c r="D3742" s="2">
        <v>168.0</v>
      </c>
      <c r="E3742" s="2">
        <v>25830.0</v>
      </c>
      <c r="F3742" s="2" t="s">
        <v>150</v>
      </c>
    </row>
    <row r="3743" ht="15.75" customHeight="1">
      <c r="A3743" s="4" t="s">
        <v>5329</v>
      </c>
      <c r="B3743" s="2" t="s">
        <v>5330</v>
      </c>
      <c r="C3743" s="2">
        <v>735.0</v>
      </c>
      <c r="D3743" s="2">
        <v>929.0</v>
      </c>
      <c r="E3743" s="2">
        <v>30270.0</v>
      </c>
      <c r="F3743" s="2" t="s">
        <v>150</v>
      </c>
    </row>
    <row r="3744" ht="15.75" customHeight="1">
      <c r="A3744" s="4" t="s">
        <v>7675</v>
      </c>
      <c r="B3744" s="2" t="s">
        <v>7676</v>
      </c>
      <c r="C3744" s="2">
        <v>252.0</v>
      </c>
      <c r="D3744" s="2">
        <v>241.0</v>
      </c>
      <c r="E3744" s="2">
        <v>28660.0</v>
      </c>
      <c r="F3744" s="2" t="s">
        <v>150</v>
      </c>
    </row>
    <row r="3745" ht="15.75" hidden="1" customHeight="1">
      <c r="A3745" s="4" t="s">
        <v>5331</v>
      </c>
      <c r="B3745" s="2" t="s">
        <v>5332</v>
      </c>
      <c r="C3745" s="2">
        <v>2368.0</v>
      </c>
      <c r="D3745" s="2">
        <v>2263.0</v>
      </c>
      <c r="E3745" s="2">
        <v>26490.0</v>
      </c>
      <c r="F3745" s="2">
        <v>8.0</v>
      </c>
    </row>
    <row r="3746" ht="15.75" customHeight="1">
      <c r="A3746" s="4" t="s">
        <v>7677</v>
      </c>
      <c r="B3746" s="2" t="s">
        <v>7678</v>
      </c>
      <c r="C3746" s="2">
        <v>58.0</v>
      </c>
      <c r="D3746" s="2">
        <v>46.0</v>
      </c>
      <c r="E3746" s="2" t="s">
        <v>150</v>
      </c>
      <c r="F3746" s="2" t="s">
        <v>150</v>
      </c>
    </row>
    <row r="3747" ht="15.75" customHeight="1">
      <c r="A3747" s="4" t="s">
        <v>5333</v>
      </c>
      <c r="B3747" s="2" t="s">
        <v>5334</v>
      </c>
      <c r="C3747" s="2">
        <v>473.0</v>
      </c>
      <c r="D3747" s="2">
        <v>461.0</v>
      </c>
      <c r="E3747" s="2">
        <v>24640.0</v>
      </c>
      <c r="F3747" s="2" t="s">
        <v>150</v>
      </c>
    </row>
    <row r="3748" ht="15.75" customHeight="1">
      <c r="A3748" s="4" t="s">
        <v>7679</v>
      </c>
      <c r="B3748" s="2" t="s">
        <v>7680</v>
      </c>
      <c r="C3748" s="2">
        <v>190.0</v>
      </c>
      <c r="D3748" s="2">
        <v>177.0</v>
      </c>
      <c r="E3748" s="2">
        <v>23670.0</v>
      </c>
      <c r="F3748" s="2" t="s">
        <v>150</v>
      </c>
    </row>
    <row r="3749" ht="15.75" customHeight="1">
      <c r="A3749" s="4" t="s">
        <v>7681</v>
      </c>
      <c r="B3749" s="2" t="s">
        <v>7682</v>
      </c>
      <c r="C3749" s="2">
        <v>127.0</v>
      </c>
      <c r="D3749" s="2">
        <v>137.0</v>
      </c>
      <c r="E3749" s="2">
        <v>26870.0</v>
      </c>
      <c r="F3749" s="2" t="s">
        <v>150</v>
      </c>
    </row>
    <row r="3750" ht="15.75" customHeight="1">
      <c r="A3750" s="4" t="s">
        <v>5340</v>
      </c>
      <c r="B3750" s="2" t="s">
        <v>5341</v>
      </c>
      <c r="C3750" s="2">
        <v>1422.0</v>
      </c>
      <c r="D3750" s="2">
        <v>1545.0</v>
      </c>
      <c r="E3750" s="2">
        <v>29640.0</v>
      </c>
      <c r="F3750" s="2" t="s">
        <v>150</v>
      </c>
    </row>
    <row r="3751" ht="15.75" hidden="1" customHeight="1">
      <c r="A3751" s="4" t="s">
        <v>5343</v>
      </c>
      <c r="B3751" s="2" t="s">
        <v>5344</v>
      </c>
      <c r="C3751" s="2">
        <v>4464.0</v>
      </c>
      <c r="D3751" s="2">
        <v>4647.0</v>
      </c>
      <c r="E3751" s="2">
        <v>26170.0</v>
      </c>
      <c r="F3751" s="2">
        <v>8.0</v>
      </c>
    </row>
    <row r="3752" ht="15.75" customHeight="1">
      <c r="A3752" s="4" t="s">
        <v>7683</v>
      </c>
      <c r="B3752" s="2" t="s">
        <v>7684</v>
      </c>
      <c r="C3752" s="2">
        <v>152.0</v>
      </c>
      <c r="D3752" s="2">
        <v>138.0</v>
      </c>
      <c r="E3752" s="2">
        <v>26000.0</v>
      </c>
      <c r="F3752" s="2" t="s">
        <v>150</v>
      </c>
    </row>
    <row r="3753" ht="15.75" customHeight="1">
      <c r="A3753" s="4" t="s">
        <v>7685</v>
      </c>
      <c r="B3753" s="2" t="s">
        <v>7686</v>
      </c>
      <c r="C3753" s="2">
        <v>366.0</v>
      </c>
      <c r="D3753" s="2">
        <v>294.0</v>
      </c>
      <c r="E3753" s="2">
        <v>24360.0</v>
      </c>
      <c r="F3753" s="2" t="s">
        <v>150</v>
      </c>
    </row>
    <row r="3754" ht="15.75" customHeight="1">
      <c r="A3754" s="4" t="s">
        <v>5345</v>
      </c>
      <c r="B3754" s="2" t="s">
        <v>5346</v>
      </c>
      <c r="C3754" s="2">
        <v>588.0</v>
      </c>
      <c r="D3754" s="2">
        <v>530.0</v>
      </c>
      <c r="E3754" s="2">
        <v>24650.0</v>
      </c>
      <c r="F3754" s="2" t="s">
        <v>150</v>
      </c>
    </row>
    <row r="3755" ht="15.75" customHeight="1">
      <c r="A3755" s="4" t="s">
        <v>7687</v>
      </c>
      <c r="B3755" s="2" t="s">
        <v>7688</v>
      </c>
      <c r="C3755" s="2">
        <v>274.0</v>
      </c>
      <c r="D3755" s="2">
        <v>288.0</v>
      </c>
      <c r="E3755" s="2">
        <v>27290.0</v>
      </c>
      <c r="F3755" s="2" t="s">
        <v>150</v>
      </c>
    </row>
    <row r="3756" ht="15.75" customHeight="1">
      <c r="A3756" s="4" t="s">
        <v>7689</v>
      </c>
      <c r="B3756" s="2" t="s">
        <v>7690</v>
      </c>
      <c r="C3756" s="2">
        <v>181.0</v>
      </c>
      <c r="D3756" s="2">
        <v>167.0</v>
      </c>
      <c r="E3756" s="2">
        <v>25280.0</v>
      </c>
      <c r="F3756" s="2" t="s">
        <v>150</v>
      </c>
    </row>
    <row r="3757" ht="15.75" customHeight="1">
      <c r="A3757" s="4" t="s">
        <v>7691</v>
      </c>
      <c r="B3757" s="2" t="s">
        <v>7692</v>
      </c>
      <c r="C3757" s="2">
        <v>155.0</v>
      </c>
      <c r="D3757" s="2">
        <v>160.0</v>
      </c>
      <c r="E3757" s="2">
        <v>27080.0</v>
      </c>
      <c r="F3757" s="2" t="s">
        <v>150</v>
      </c>
    </row>
    <row r="3758" ht="15.75" customHeight="1">
      <c r="A3758" s="4" t="s">
        <v>7693</v>
      </c>
      <c r="B3758" s="2" t="s">
        <v>7694</v>
      </c>
      <c r="C3758" s="2">
        <v>474.0</v>
      </c>
      <c r="D3758" s="2">
        <v>468.0</v>
      </c>
      <c r="E3758" s="2">
        <v>24100.0</v>
      </c>
      <c r="F3758" s="2" t="s">
        <v>150</v>
      </c>
    </row>
    <row r="3759" ht="15.75" customHeight="1">
      <c r="A3759" s="4" t="s">
        <v>5337</v>
      </c>
      <c r="B3759" s="2" t="s">
        <v>5338</v>
      </c>
      <c r="C3759" s="2">
        <v>271.0</v>
      </c>
      <c r="D3759" s="2">
        <v>281.0</v>
      </c>
      <c r="E3759" s="2">
        <v>24370.0</v>
      </c>
      <c r="F3759" s="2" t="s">
        <v>150</v>
      </c>
    </row>
    <row r="3760" ht="15.75" customHeight="1">
      <c r="A3760" s="4" t="s">
        <v>7695</v>
      </c>
      <c r="B3760" s="2" t="s">
        <v>7696</v>
      </c>
      <c r="C3760" s="2">
        <v>491.0</v>
      </c>
      <c r="D3760" s="2">
        <v>503.0</v>
      </c>
      <c r="E3760" s="2">
        <v>22400.0</v>
      </c>
      <c r="F3760" s="2" t="s">
        <v>150</v>
      </c>
    </row>
    <row r="3761" ht="15.75" customHeight="1">
      <c r="A3761" s="4" t="s">
        <v>7697</v>
      </c>
      <c r="B3761" s="2" t="s">
        <v>7698</v>
      </c>
      <c r="C3761" s="2">
        <v>483.0</v>
      </c>
      <c r="D3761" s="2">
        <v>474.0</v>
      </c>
      <c r="E3761" s="2">
        <v>23720.0</v>
      </c>
      <c r="F3761" s="2" t="s">
        <v>150</v>
      </c>
    </row>
    <row r="3762" ht="15.75" customHeight="1">
      <c r="A3762" s="4" t="s">
        <v>7699</v>
      </c>
      <c r="B3762" s="2" t="s">
        <v>7700</v>
      </c>
      <c r="C3762" s="2">
        <v>127.0</v>
      </c>
      <c r="D3762" s="2">
        <v>136.0</v>
      </c>
      <c r="E3762" s="2">
        <v>22410.0</v>
      </c>
      <c r="F3762" s="2" t="s">
        <v>150</v>
      </c>
    </row>
    <row r="3763" ht="15.75" customHeight="1">
      <c r="A3763" s="4" t="s">
        <v>5347</v>
      </c>
      <c r="B3763" s="2" t="s">
        <v>5348</v>
      </c>
      <c r="C3763" s="2">
        <v>603.0</v>
      </c>
      <c r="D3763" s="2">
        <v>595.0</v>
      </c>
      <c r="E3763" s="2">
        <v>24940.0</v>
      </c>
      <c r="F3763" s="2" t="s">
        <v>150</v>
      </c>
    </row>
    <row r="3764" ht="15.75" customHeight="1">
      <c r="A3764" s="4" t="s">
        <v>7701</v>
      </c>
      <c r="B3764" s="2" t="s">
        <v>7702</v>
      </c>
      <c r="C3764" s="2">
        <v>142.0</v>
      </c>
      <c r="D3764" s="2">
        <v>130.0</v>
      </c>
      <c r="E3764" s="2">
        <v>27460.0</v>
      </c>
      <c r="F3764" s="2" t="s">
        <v>150</v>
      </c>
    </row>
    <row r="3765" ht="15.75" customHeight="1">
      <c r="A3765" s="4" t="s">
        <v>7703</v>
      </c>
      <c r="B3765" s="2" t="s">
        <v>7704</v>
      </c>
      <c r="C3765" s="2">
        <v>96.0</v>
      </c>
      <c r="D3765" s="2">
        <v>96.0</v>
      </c>
      <c r="E3765" s="2" t="s">
        <v>150</v>
      </c>
      <c r="F3765" s="2" t="s">
        <v>150</v>
      </c>
    </row>
    <row r="3766" ht="15.75" customHeight="1">
      <c r="A3766" s="4" t="s">
        <v>7705</v>
      </c>
      <c r="B3766" s="2" t="s">
        <v>7706</v>
      </c>
      <c r="C3766" s="2">
        <v>437.0</v>
      </c>
      <c r="D3766" s="2">
        <v>459.0</v>
      </c>
      <c r="E3766" s="2">
        <v>24710.0</v>
      </c>
      <c r="F3766" s="2" t="s">
        <v>150</v>
      </c>
    </row>
    <row r="3767" ht="15.75" customHeight="1">
      <c r="A3767" s="4" t="s">
        <v>5349</v>
      </c>
      <c r="B3767" s="2" t="s">
        <v>5350</v>
      </c>
      <c r="C3767" s="2">
        <v>837.0</v>
      </c>
      <c r="D3767" s="2">
        <v>839.0</v>
      </c>
      <c r="E3767" s="2">
        <v>24630.0</v>
      </c>
      <c r="F3767" s="2" t="s">
        <v>150</v>
      </c>
    </row>
    <row r="3768" ht="15.75" customHeight="1">
      <c r="A3768" s="4" t="s">
        <v>7707</v>
      </c>
      <c r="B3768" s="2" t="s">
        <v>7708</v>
      </c>
      <c r="C3768" s="2">
        <v>89.0</v>
      </c>
      <c r="D3768" s="2">
        <v>78.0</v>
      </c>
      <c r="E3768" s="2" t="s">
        <v>150</v>
      </c>
      <c r="F3768" s="2" t="s">
        <v>150</v>
      </c>
    </row>
    <row r="3769" ht="15.75" customHeight="1">
      <c r="A3769" s="4" t="s">
        <v>7709</v>
      </c>
      <c r="B3769" s="2" t="s">
        <v>7710</v>
      </c>
      <c r="C3769" s="2">
        <v>758.0</v>
      </c>
      <c r="D3769" s="2">
        <v>743.0</v>
      </c>
      <c r="E3769" s="2">
        <v>25230.0</v>
      </c>
      <c r="F3769" s="2" t="s">
        <v>150</v>
      </c>
    </row>
    <row r="3770" ht="15.75" customHeight="1">
      <c r="A3770" s="4" t="s">
        <v>7711</v>
      </c>
      <c r="B3770" s="2" t="s">
        <v>6696</v>
      </c>
      <c r="C3770" s="2">
        <v>222.0</v>
      </c>
      <c r="D3770" s="2">
        <v>230.0</v>
      </c>
      <c r="E3770" s="2">
        <v>23530.0</v>
      </c>
      <c r="F3770" s="2" t="s">
        <v>150</v>
      </c>
    </row>
    <row r="3771" ht="15.75" customHeight="1">
      <c r="A3771" s="4" t="s">
        <v>7712</v>
      </c>
      <c r="B3771" s="2" t="s">
        <v>7713</v>
      </c>
      <c r="C3771" s="2">
        <v>143.0</v>
      </c>
      <c r="D3771" s="2">
        <v>139.0</v>
      </c>
      <c r="E3771" s="2">
        <v>23190.0</v>
      </c>
      <c r="F3771" s="2" t="s">
        <v>150</v>
      </c>
    </row>
    <row r="3772" ht="15.75" customHeight="1">
      <c r="A3772" s="4" t="s">
        <v>7714</v>
      </c>
      <c r="B3772" s="2" t="s">
        <v>7715</v>
      </c>
      <c r="C3772" s="2">
        <v>150.0</v>
      </c>
      <c r="D3772" s="2">
        <v>121.0</v>
      </c>
      <c r="E3772" s="2">
        <v>27770.0</v>
      </c>
      <c r="F3772" s="2" t="s">
        <v>150</v>
      </c>
    </row>
    <row r="3773" ht="15.75" customHeight="1">
      <c r="A3773" s="4" t="s">
        <v>7716</v>
      </c>
      <c r="B3773" s="2" t="s">
        <v>7717</v>
      </c>
      <c r="C3773" s="2">
        <v>263.0</v>
      </c>
      <c r="D3773" s="2">
        <v>249.0</v>
      </c>
      <c r="E3773" s="2">
        <v>27710.0</v>
      </c>
      <c r="F3773" s="2" t="s">
        <v>150</v>
      </c>
    </row>
    <row r="3774" ht="15.75" customHeight="1">
      <c r="A3774" s="4" t="s">
        <v>7718</v>
      </c>
      <c r="B3774" s="2" t="s">
        <v>7719</v>
      </c>
      <c r="C3774" s="2">
        <v>121.0</v>
      </c>
      <c r="D3774" s="2">
        <v>103.0</v>
      </c>
      <c r="E3774" s="2">
        <v>22760.0</v>
      </c>
      <c r="F3774" s="2" t="s">
        <v>150</v>
      </c>
    </row>
    <row r="3775" ht="15.75" customHeight="1">
      <c r="A3775" s="4" t="s">
        <v>5351</v>
      </c>
      <c r="B3775" s="2" t="s">
        <v>5352</v>
      </c>
      <c r="C3775" s="2">
        <v>816.0</v>
      </c>
      <c r="D3775" s="2">
        <v>732.0</v>
      </c>
      <c r="E3775" s="2">
        <v>24360.0</v>
      </c>
      <c r="F3775" s="2" t="s">
        <v>150</v>
      </c>
    </row>
    <row r="3776" ht="15.75" customHeight="1">
      <c r="A3776" s="4" t="s">
        <v>5355</v>
      </c>
      <c r="B3776" s="2" t="s">
        <v>5356</v>
      </c>
      <c r="C3776" s="2">
        <v>1268.0</v>
      </c>
      <c r="D3776" s="2">
        <v>1302.0</v>
      </c>
      <c r="E3776" s="2">
        <v>21750.0</v>
      </c>
      <c r="F3776" s="2" t="s">
        <v>150</v>
      </c>
    </row>
    <row r="3777" ht="15.75" customHeight="1">
      <c r="A3777" s="4" t="s">
        <v>7720</v>
      </c>
      <c r="B3777" s="2" t="s">
        <v>7721</v>
      </c>
      <c r="C3777" s="2">
        <v>60.0</v>
      </c>
      <c r="D3777" s="2">
        <v>46.0</v>
      </c>
      <c r="E3777" s="2" t="s">
        <v>150</v>
      </c>
      <c r="F3777" s="2" t="s">
        <v>150</v>
      </c>
    </row>
    <row r="3778" ht="15.75" customHeight="1">
      <c r="A3778" s="4" t="s">
        <v>7722</v>
      </c>
      <c r="B3778" s="2" t="s">
        <v>7723</v>
      </c>
      <c r="C3778" s="2">
        <v>92.0</v>
      </c>
      <c r="D3778" s="2">
        <v>87.0</v>
      </c>
      <c r="E3778" s="2" t="s">
        <v>150</v>
      </c>
      <c r="F3778" s="2" t="s">
        <v>150</v>
      </c>
    </row>
    <row r="3779" ht="15.75" customHeight="1">
      <c r="A3779" s="4" t="s">
        <v>7724</v>
      </c>
      <c r="B3779" s="2" t="s">
        <v>7725</v>
      </c>
      <c r="C3779" s="2">
        <v>304.0</v>
      </c>
      <c r="D3779" s="2">
        <v>296.0</v>
      </c>
      <c r="E3779" s="2">
        <v>22430.0</v>
      </c>
      <c r="F3779" s="2" t="s">
        <v>150</v>
      </c>
    </row>
    <row r="3780" ht="15.75" customHeight="1">
      <c r="A3780" s="4" t="s">
        <v>7726</v>
      </c>
      <c r="B3780" s="2" t="s">
        <v>7727</v>
      </c>
      <c r="C3780" s="2">
        <v>127.0</v>
      </c>
      <c r="D3780" s="2">
        <v>130.0</v>
      </c>
      <c r="E3780" s="2">
        <v>25680.0</v>
      </c>
      <c r="F3780" s="2" t="s">
        <v>150</v>
      </c>
    </row>
    <row r="3781" ht="15.75" customHeight="1">
      <c r="A3781" s="4" t="s">
        <v>5357</v>
      </c>
      <c r="B3781" s="2" t="s">
        <v>5358</v>
      </c>
      <c r="C3781" s="2">
        <v>514.0</v>
      </c>
      <c r="D3781" s="2">
        <v>490.0</v>
      </c>
      <c r="E3781" s="2">
        <v>24910.0</v>
      </c>
      <c r="F3781" s="2" t="s">
        <v>150</v>
      </c>
    </row>
    <row r="3782" ht="15.75" customHeight="1">
      <c r="A3782" s="4" t="s">
        <v>7728</v>
      </c>
      <c r="B3782" s="2" t="s">
        <v>7729</v>
      </c>
      <c r="C3782" s="2">
        <v>267.0</v>
      </c>
      <c r="D3782" s="2">
        <v>264.0</v>
      </c>
      <c r="E3782" s="2">
        <v>31250.0</v>
      </c>
      <c r="F3782" s="2" t="s">
        <v>150</v>
      </c>
    </row>
    <row r="3783" ht="15.75" customHeight="1">
      <c r="A3783" s="4" t="s">
        <v>7730</v>
      </c>
      <c r="B3783" s="2" t="s">
        <v>7731</v>
      </c>
      <c r="C3783" s="2">
        <v>227.0</v>
      </c>
      <c r="D3783" s="2">
        <v>243.0</v>
      </c>
      <c r="E3783" s="2">
        <v>29150.0</v>
      </c>
      <c r="F3783" s="2" t="s">
        <v>150</v>
      </c>
    </row>
  </sheetData>
  <autoFilter ref="$F$1:$F$3783">
    <filterColumn colId="0">
      <filters>
        <filter val="26.1"/>
        <filter val="24.2"/>
        <filter val="47.4"/>
        <filter val="28.6"/>
        <filter val="28.5"/>
        <filter val="22.7"/>
        <filter val="43.5"/>
        <filter val="24.4"/>
        <filter val="non publié"/>
        <filter val="31.4"/>
        <filter val="12.1"/>
        <filter val="37.7"/>
        <filter val="31.2"/>
        <filter val="31.9"/>
        <filter val="14.3"/>
        <filter val="10.7"/>
        <filter val="35.4"/>
        <filter val="27.8"/>
        <filter val="25.7"/>
        <filter val="29.3"/>
        <filter val="23.8"/>
        <filter val="29.2"/>
        <filter val="27.3"/>
        <filter val="25.4"/>
        <filter val="17.8"/>
        <filter val="32.6"/>
        <filter val="32.5"/>
        <filter val="30.5"/>
        <filter val="11.1"/>
        <filter val="30.3"/>
        <filter val="30.1"/>
        <filter val="15.9"/>
      </filters>
    </filterColumn>
  </autoFilter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7.63"/>
    <col customWidth="1" min="2" max="2" width="33.13"/>
    <col customWidth="1" min="3" max="3" width="24.5"/>
    <col customWidth="1" min="4" max="4" width="25.88"/>
    <col customWidth="1" min="5" max="5" width="25.0"/>
    <col customWidth="1" min="6" max="6" width="19.25"/>
    <col customWidth="1" min="7" max="7" width="15.13"/>
    <col customWidth="1" min="8" max="25" width="7.63"/>
  </cols>
  <sheetData>
    <row r="1">
      <c r="A1" s="3" t="s">
        <v>8</v>
      </c>
      <c r="B1" s="3" t="s">
        <v>4316</v>
      </c>
      <c r="C1" s="3" t="s">
        <v>130</v>
      </c>
      <c r="D1" s="3" t="s">
        <v>133</v>
      </c>
      <c r="E1" s="3" t="s">
        <v>136</v>
      </c>
      <c r="F1" s="3" t="s">
        <v>140</v>
      </c>
    </row>
    <row r="2">
      <c r="A2" s="4" t="s">
        <v>775</v>
      </c>
      <c r="B2" s="2" t="s">
        <v>774</v>
      </c>
      <c r="C2" s="2">
        <v>180816.0</v>
      </c>
      <c r="D2" s="2">
        <v>184392.0</v>
      </c>
      <c r="E2" s="2">
        <v>23640.0</v>
      </c>
      <c r="F2" s="2">
        <v>23.5</v>
      </c>
    </row>
    <row r="3">
      <c r="A3" s="4" t="s">
        <v>23</v>
      </c>
      <c r="B3" s="2" t="s">
        <v>22</v>
      </c>
      <c r="C3" s="2">
        <v>55470.0</v>
      </c>
      <c r="D3" s="2">
        <v>54027.0</v>
      </c>
      <c r="E3" s="2">
        <v>22590.0</v>
      </c>
      <c r="F3" s="2">
        <v>21.6</v>
      </c>
    </row>
    <row r="4">
      <c r="A4" s="4" t="s">
        <v>779</v>
      </c>
      <c r="B4" s="2" t="s">
        <v>778</v>
      </c>
      <c r="C4" s="2">
        <v>70957.0</v>
      </c>
      <c r="D4" s="2">
        <v>69764.0</v>
      </c>
      <c r="E4" s="2">
        <v>22340.0</v>
      </c>
      <c r="F4" s="2">
        <v>21.1</v>
      </c>
    </row>
    <row r="5">
      <c r="A5" s="4" t="s">
        <v>782</v>
      </c>
      <c r="B5" s="2" t="s">
        <v>780</v>
      </c>
      <c r="C5" s="2">
        <v>102272.0</v>
      </c>
      <c r="D5" s="2">
        <v>102743.0</v>
      </c>
      <c r="E5" s="2">
        <v>25990.0</v>
      </c>
      <c r="F5" s="2">
        <v>11.1</v>
      </c>
    </row>
    <row r="6">
      <c r="A6" s="4" t="s">
        <v>787</v>
      </c>
      <c r="B6" s="2" t="s">
        <v>785</v>
      </c>
      <c r="C6" s="2">
        <v>86512.0</v>
      </c>
      <c r="D6" s="2">
        <v>90234.0</v>
      </c>
      <c r="E6" s="2">
        <v>19250.0</v>
      </c>
      <c r="F6" s="2">
        <v>33.5</v>
      </c>
    </row>
    <row r="7">
      <c r="A7" s="4" t="s">
        <v>814</v>
      </c>
      <c r="B7" s="2" t="s">
        <v>813</v>
      </c>
      <c r="C7" s="2">
        <v>149258.0</v>
      </c>
      <c r="D7" s="2">
        <v>149282.0</v>
      </c>
      <c r="E7" s="2">
        <v>22540.0</v>
      </c>
      <c r="F7" s="2">
        <v>22.4</v>
      </c>
    </row>
    <row r="8">
      <c r="A8" s="4" t="s">
        <v>842</v>
      </c>
      <c r="B8" s="2" t="s">
        <v>840</v>
      </c>
      <c r="C8" s="2">
        <v>105269.0</v>
      </c>
      <c r="D8" s="2">
        <v>98895.0</v>
      </c>
      <c r="E8" s="2">
        <v>22150.0</v>
      </c>
      <c r="F8" s="2">
        <v>23.0</v>
      </c>
    </row>
    <row r="9">
      <c r="A9" s="4" t="s">
        <v>36</v>
      </c>
      <c r="B9" s="2" t="s">
        <v>35</v>
      </c>
      <c r="C9" s="2">
        <v>52328.0</v>
      </c>
      <c r="D9" s="2">
        <v>51809.0</v>
      </c>
      <c r="E9" s="2">
        <v>22560.0</v>
      </c>
      <c r="F9" s="2">
        <v>23.9</v>
      </c>
    </row>
    <row r="10">
      <c r="A10" s="4" t="s">
        <v>848</v>
      </c>
      <c r="B10" s="2" t="s">
        <v>847</v>
      </c>
      <c r="C10" s="2">
        <v>125651.0</v>
      </c>
      <c r="D10" s="2">
        <v>122247.0</v>
      </c>
      <c r="E10" s="2">
        <v>20580.0</v>
      </c>
      <c r="F10" s="2">
        <v>28.6</v>
      </c>
    </row>
    <row r="11">
      <c r="A11" s="4" t="s">
        <v>852</v>
      </c>
      <c r="B11" s="2" t="s">
        <v>850</v>
      </c>
      <c r="C11" s="2">
        <v>192594.0</v>
      </c>
      <c r="D11" s="2">
        <v>191738.0</v>
      </c>
      <c r="E11" s="2">
        <v>22000.0</v>
      </c>
      <c r="F11" s="2">
        <v>25.0</v>
      </c>
    </row>
    <row r="12">
      <c r="A12" s="4" t="s">
        <v>790</v>
      </c>
      <c r="B12" s="2" t="s">
        <v>789</v>
      </c>
      <c r="C12" s="2">
        <v>125835.0</v>
      </c>
      <c r="D12" s="2">
        <v>125793.0</v>
      </c>
      <c r="E12" s="2">
        <v>21790.0</v>
      </c>
      <c r="F12" s="2">
        <v>23.3</v>
      </c>
    </row>
    <row r="13">
      <c r="A13" s="4" t="s">
        <v>793</v>
      </c>
      <c r="B13" s="2" t="s">
        <v>792</v>
      </c>
      <c r="C13" s="2">
        <v>276895.0</v>
      </c>
      <c r="D13" s="2">
        <v>275028.0</v>
      </c>
      <c r="E13" s="2">
        <v>22990.0</v>
      </c>
      <c r="F13" s="2">
        <v>19.4</v>
      </c>
    </row>
    <row r="14">
      <c r="A14" s="4" t="s">
        <v>795</v>
      </c>
      <c r="B14" s="2" t="s">
        <v>794</v>
      </c>
      <c r="C14" s="2">
        <v>81906.0</v>
      </c>
      <c r="D14" s="2">
        <v>80120.0</v>
      </c>
      <c r="E14" s="2">
        <v>23780.0</v>
      </c>
      <c r="F14" s="2">
        <v>17.6</v>
      </c>
    </row>
    <row r="15">
      <c r="A15" s="4" t="s">
        <v>808</v>
      </c>
      <c r="B15" s="2" t="s">
        <v>807</v>
      </c>
      <c r="C15" s="2">
        <v>241934.0</v>
      </c>
      <c r="D15" s="2">
        <v>242013.0</v>
      </c>
      <c r="E15" s="2">
        <v>21190.0</v>
      </c>
      <c r="F15" s="2">
        <v>25.3</v>
      </c>
    </row>
    <row r="16">
      <c r="A16" s="4" t="s">
        <v>797</v>
      </c>
      <c r="B16" s="2" t="s">
        <v>796</v>
      </c>
      <c r="C16" s="2">
        <v>49191.0</v>
      </c>
      <c r="D16" s="2">
        <v>47572.0</v>
      </c>
      <c r="E16" s="2">
        <v>23410.0</v>
      </c>
      <c r="F16" s="2">
        <v>18.5</v>
      </c>
    </row>
    <row r="17">
      <c r="A17" s="4" t="s">
        <v>801</v>
      </c>
      <c r="B17" s="2" t="s">
        <v>800</v>
      </c>
      <c r="C17" s="2">
        <v>158754.0</v>
      </c>
      <c r="D17" s="2">
        <v>158419.0</v>
      </c>
      <c r="E17" s="2">
        <v>21900.0</v>
      </c>
      <c r="F17" s="2">
        <v>23.6</v>
      </c>
    </row>
    <row r="18">
      <c r="A18" s="4" t="s">
        <v>175</v>
      </c>
      <c r="B18" s="2" t="s">
        <v>174</v>
      </c>
      <c r="C18" s="2">
        <v>54319.0</v>
      </c>
      <c r="D18" s="2">
        <v>54040.0</v>
      </c>
      <c r="E18" s="2">
        <v>24320.0</v>
      </c>
      <c r="F18" s="2">
        <v>17.0</v>
      </c>
    </row>
    <row r="19">
      <c r="A19" s="4" t="s">
        <v>806</v>
      </c>
      <c r="B19" s="2" t="s">
        <v>804</v>
      </c>
      <c r="C19" s="2">
        <v>82281.0</v>
      </c>
      <c r="D19" s="2">
        <v>83992.0</v>
      </c>
      <c r="E19" s="2">
        <v>25950.0</v>
      </c>
      <c r="F19" s="2">
        <v>16.3</v>
      </c>
    </row>
    <row r="20">
      <c r="A20" s="4" t="s">
        <v>811</v>
      </c>
      <c r="B20" s="2" t="s">
        <v>809</v>
      </c>
      <c r="C20" s="2">
        <v>66334.0</v>
      </c>
      <c r="D20" s="2">
        <v>64943.0</v>
      </c>
      <c r="E20" s="2">
        <v>25280.0</v>
      </c>
      <c r="F20" s="2">
        <v>13.7</v>
      </c>
    </row>
    <row r="21" ht="15.75" customHeight="1">
      <c r="A21" s="4" t="s">
        <v>818</v>
      </c>
      <c r="B21" s="2" t="s">
        <v>817</v>
      </c>
      <c r="C21" s="2">
        <v>102607.0</v>
      </c>
      <c r="D21" s="2">
        <v>103106.0</v>
      </c>
      <c r="E21" s="2">
        <v>24370.0</v>
      </c>
      <c r="F21" s="2">
        <v>19.2</v>
      </c>
    </row>
    <row r="22" ht="15.75" customHeight="1">
      <c r="A22" s="4" t="s">
        <v>824</v>
      </c>
      <c r="B22" s="2" t="s">
        <v>823</v>
      </c>
      <c r="C22" s="2">
        <v>113211.0</v>
      </c>
      <c r="D22" s="2">
        <v>111647.0</v>
      </c>
      <c r="E22" s="2">
        <v>22740.0</v>
      </c>
      <c r="F22" s="2">
        <v>20.6</v>
      </c>
    </row>
    <row r="23" ht="15.75" customHeight="1">
      <c r="A23" s="4" t="s">
        <v>829</v>
      </c>
      <c r="B23" s="2" t="s">
        <v>826</v>
      </c>
      <c r="C23" s="2">
        <v>64841.0</v>
      </c>
      <c r="D23" s="2">
        <v>62870.0</v>
      </c>
      <c r="E23" s="2">
        <v>21850.0</v>
      </c>
      <c r="F23" s="2">
        <v>22.3</v>
      </c>
    </row>
    <row r="24" ht="15.75" customHeight="1">
      <c r="A24" s="4" t="s">
        <v>184</v>
      </c>
      <c r="B24" s="2" t="s">
        <v>182</v>
      </c>
      <c r="C24" s="2">
        <v>42884.0</v>
      </c>
      <c r="D24" s="2">
        <v>41835.0</v>
      </c>
      <c r="E24" s="2">
        <v>23010.0</v>
      </c>
      <c r="F24" s="2">
        <v>22.4</v>
      </c>
    </row>
    <row r="25" ht="15.75" customHeight="1">
      <c r="A25" s="4" t="s">
        <v>835</v>
      </c>
      <c r="B25" s="2" t="s">
        <v>833</v>
      </c>
      <c r="C25" s="2">
        <v>105743.0</v>
      </c>
      <c r="D25" s="2">
        <v>104207.0</v>
      </c>
      <c r="E25" s="2">
        <v>23440.0</v>
      </c>
      <c r="F25" s="2">
        <v>17.6</v>
      </c>
    </row>
    <row r="26" ht="15.75" customHeight="1">
      <c r="A26" s="4" t="s">
        <v>146</v>
      </c>
      <c r="B26" s="2" t="s">
        <v>145</v>
      </c>
      <c r="C26" s="2">
        <v>80781.0</v>
      </c>
      <c r="D26" s="2">
        <v>79010.0</v>
      </c>
      <c r="E26" s="2">
        <v>22260.0</v>
      </c>
      <c r="F26" s="2">
        <v>24.0</v>
      </c>
    </row>
    <row r="27" ht="15.75" customHeight="1">
      <c r="A27" s="4" t="s">
        <v>854</v>
      </c>
      <c r="B27" s="2" t="s">
        <v>853</v>
      </c>
      <c r="C27" s="2">
        <v>21867.0</v>
      </c>
      <c r="D27" s="2">
        <v>21385.0</v>
      </c>
      <c r="E27" s="2">
        <v>26230.0</v>
      </c>
      <c r="F27" s="2">
        <v>10.3</v>
      </c>
    </row>
    <row r="28" ht="15.75" customHeight="1">
      <c r="A28" s="4" t="s">
        <v>859</v>
      </c>
      <c r="B28" s="2" t="s">
        <v>858</v>
      </c>
      <c r="C28" s="2">
        <v>30153.0</v>
      </c>
      <c r="D28" s="2">
        <v>28503.0</v>
      </c>
      <c r="E28" s="2">
        <v>22920.0</v>
      </c>
      <c r="F28" s="2">
        <v>20.9</v>
      </c>
    </row>
    <row r="29" ht="15.75" customHeight="1">
      <c r="A29" s="4" t="s">
        <v>1029</v>
      </c>
      <c r="B29" s="2" t="s">
        <v>1028</v>
      </c>
      <c r="C29" s="2">
        <v>39399.0</v>
      </c>
      <c r="D29" s="2">
        <v>40306.0</v>
      </c>
      <c r="E29" s="2">
        <v>25980.0</v>
      </c>
      <c r="F29" s="2">
        <v>11.6</v>
      </c>
    </row>
    <row r="30" ht="15.75" customHeight="1">
      <c r="A30" s="4" t="s">
        <v>1033</v>
      </c>
      <c r="B30" s="2" t="s">
        <v>1032</v>
      </c>
      <c r="C30" s="2">
        <v>21686.0</v>
      </c>
      <c r="D30" s="2">
        <v>21154.0</v>
      </c>
      <c r="E30" s="2">
        <v>23850.0</v>
      </c>
      <c r="F30" s="2">
        <v>14.0</v>
      </c>
    </row>
    <row r="31" ht="15.75" customHeight="1">
      <c r="A31" s="4" t="s">
        <v>1037</v>
      </c>
      <c r="B31" s="2" t="s">
        <v>1035</v>
      </c>
      <c r="C31" s="2">
        <v>28252.0</v>
      </c>
      <c r="D31" s="2">
        <v>27658.0</v>
      </c>
      <c r="E31" s="2">
        <v>24700.0</v>
      </c>
      <c r="F31" s="2">
        <v>13.0</v>
      </c>
    </row>
    <row r="32" ht="15.75" customHeight="1">
      <c r="A32" s="4" t="s">
        <v>1039</v>
      </c>
      <c r="B32" s="2" t="s">
        <v>1038</v>
      </c>
      <c r="C32" s="2">
        <v>42151.0</v>
      </c>
      <c r="D32" s="2">
        <v>42999.0</v>
      </c>
      <c r="E32" s="2">
        <v>25860.0</v>
      </c>
      <c r="F32" s="2">
        <v>10.6</v>
      </c>
    </row>
    <row r="33" ht="15.75" customHeight="1">
      <c r="A33" s="4" t="s">
        <v>1043</v>
      </c>
      <c r="B33" s="2" t="s">
        <v>1042</v>
      </c>
      <c r="C33" s="2">
        <v>25187.0</v>
      </c>
      <c r="D33" s="2">
        <v>25148.0</v>
      </c>
      <c r="E33" s="2">
        <v>24080.0</v>
      </c>
      <c r="F33" s="2">
        <v>14.7</v>
      </c>
    </row>
    <row r="34" ht="15.75" customHeight="1">
      <c r="A34" s="4" t="s">
        <v>135</v>
      </c>
      <c r="B34" s="2" t="s">
        <v>134</v>
      </c>
      <c r="C34" s="2">
        <v>17380.0</v>
      </c>
      <c r="D34" s="2">
        <v>16523.0</v>
      </c>
      <c r="E34" s="2">
        <v>24100.0</v>
      </c>
      <c r="F34" s="2">
        <v>16.0</v>
      </c>
    </row>
    <row r="35" ht="15.75" customHeight="1">
      <c r="A35" s="4" t="s">
        <v>1053</v>
      </c>
      <c r="B35" s="2" t="s">
        <v>1051</v>
      </c>
      <c r="C35" s="2">
        <v>33144.0</v>
      </c>
      <c r="D35" s="2">
        <v>32495.0</v>
      </c>
      <c r="E35" s="2">
        <v>24290.0</v>
      </c>
      <c r="F35" s="2">
        <v>14.2</v>
      </c>
    </row>
    <row r="36" ht="15.75" customHeight="1">
      <c r="A36" s="4" t="s">
        <v>1046</v>
      </c>
      <c r="B36" s="2" t="s">
        <v>1045</v>
      </c>
      <c r="C36" s="2">
        <v>95294.0</v>
      </c>
      <c r="D36" s="2">
        <v>99749.0</v>
      </c>
      <c r="E36" s="2">
        <v>29620.0</v>
      </c>
      <c r="F36" s="2">
        <v>8.0</v>
      </c>
    </row>
    <row r="37" ht="15.75" customHeight="1">
      <c r="A37" s="4" t="s">
        <v>91</v>
      </c>
      <c r="B37" s="2" t="s">
        <v>90</v>
      </c>
      <c r="C37" s="2">
        <v>29643.0</v>
      </c>
      <c r="D37" s="2">
        <v>29037.0</v>
      </c>
      <c r="E37" s="2">
        <v>25030.0</v>
      </c>
      <c r="F37" s="2">
        <v>13.0</v>
      </c>
    </row>
    <row r="38" ht="15.75" customHeight="1">
      <c r="A38" s="4" t="s">
        <v>1062</v>
      </c>
      <c r="B38" s="2" t="s">
        <v>1060</v>
      </c>
      <c r="C38" s="2">
        <v>23717.0</v>
      </c>
      <c r="D38" s="2">
        <v>24968.0</v>
      </c>
      <c r="E38" s="2">
        <v>31670.0</v>
      </c>
      <c r="F38" s="2">
        <v>8.8</v>
      </c>
    </row>
    <row r="39" ht="15.75" customHeight="1">
      <c r="A39" s="4" t="s">
        <v>1069</v>
      </c>
      <c r="B39" s="2" t="s">
        <v>1066</v>
      </c>
      <c r="C39" s="2">
        <v>38782.0</v>
      </c>
      <c r="D39" s="2">
        <v>37863.0</v>
      </c>
      <c r="E39" s="2">
        <v>25250.0</v>
      </c>
      <c r="F39" s="2">
        <v>12.5</v>
      </c>
    </row>
    <row r="40" ht="15.75" customHeight="1">
      <c r="A40" s="4" t="s">
        <v>1075</v>
      </c>
      <c r="B40" s="2" t="s">
        <v>1071</v>
      </c>
      <c r="C40" s="2">
        <v>18371.0</v>
      </c>
      <c r="D40" s="2">
        <v>17968.0</v>
      </c>
      <c r="E40" s="2">
        <v>23790.0</v>
      </c>
      <c r="F40" s="2">
        <v>16.0</v>
      </c>
    </row>
    <row r="41" ht="15.75" customHeight="1">
      <c r="A41" s="4" t="s">
        <v>1078</v>
      </c>
      <c r="B41" s="2" t="s">
        <v>1076</v>
      </c>
      <c r="C41" s="2">
        <v>60767.0</v>
      </c>
      <c r="D41" s="2">
        <v>61824.0</v>
      </c>
      <c r="E41" s="2">
        <v>27960.0</v>
      </c>
      <c r="F41" s="2">
        <v>8.1</v>
      </c>
    </row>
    <row r="42" ht="15.75" customHeight="1">
      <c r="A42" s="4" t="s">
        <v>59</v>
      </c>
      <c r="B42" s="2" t="s">
        <v>58</v>
      </c>
      <c r="C42" s="2">
        <v>16923.0</v>
      </c>
      <c r="D42" s="2">
        <v>16257.0</v>
      </c>
      <c r="E42" s="2">
        <v>21700.0</v>
      </c>
      <c r="F42" s="2">
        <v>24.0</v>
      </c>
    </row>
    <row r="43" ht="15.75" customHeight="1">
      <c r="A43" s="4" t="s">
        <v>862</v>
      </c>
      <c r="B43" s="2" t="s">
        <v>861</v>
      </c>
      <c r="C43" s="2">
        <v>23107.0</v>
      </c>
      <c r="D43" s="2">
        <v>23211.0</v>
      </c>
      <c r="E43" s="2">
        <v>24030.0</v>
      </c>
      <c r="F43" s="2">
        <v>14.1</v>
      </c>
    </row>
    <row r="44" ht="15.75" customHeight="1">
      <c r="A44" s="4" t="s">
        <v>866</v>
      </c>
      <c r="B44" s="2" t="s">
        <v>865</v>
      </c>
      <c r="C44" s="2">
        <v>44831.0</v>
      </c>
      <c r="D44" s="2">
        <v>44610.0</v>
      </c>
      <c r="E44" s="2">
        <v>34810.0</v>
      </c>
      <c r="F44" s="2">
        <v>7.1</v>
      </c>
    </row>
    <row r="45" ht="15.75" customHeight="1">
      <c r="A45" s="4" t="s">
        <v>870</v>
      </c>
      <c r="B45" s="2" t="s">
        <v>869</v>
      </c>
      <c r="C45" s="2">
        <v>20391.0</v>
      </c>
      <c r="D45" s="2">
        <v>19637.0</v>
      </c>
      <c r="E45" s="2">
        <v>23140.0</v>
      </c>
      <c r="F45" s="2">
        <v>17.0</v>
      </c>
    </row>
    <row r="46" ht="15.75" customHeight="1">
      <c r="A46" s="4" t="s">
        <v>876</v>
      </c>
      <c r="B46" s="2" t="s">
        <v>873</v>
      </c>
      <c r="C46" s="2">
        <v>21163.0</v>
      </c>
      <c r="D46" s="2">
        <v>20928.0</v>
      </c>
      <c r="E46" s="2">
        <v>24840.0</v>
      </c>
      <c r="F46" s="2">
        <v>13.4</v>
      </c>
    </row>
    <row r="47" ht="15.75" customHeight="1">
      <c r="A47" s="4" t="s">
        <v>53</v>
      </c>
      <c r="B47" s="2" t="s">
        <v>52</v>
      </c>
      <c r="C47" s="2">
        <v>20923.0</v>
      </c>
      <c r="D47" s="2">
        <v>20865.0</v>
      </c>
      <c r="E47" s="2">
        <v>24780.0</v>
      </c>
      <c r="F47" s="2">
        <v>12.7</v>
      </c>
    </row>
    <row r="48" ht="15.75" customHeight="1">
      <c r="A48" s="4" t="s">
        <v>881</v>
      </c>
      <c r="B48" s="2" t="s">
        <v>880</v>
      </c>
      <c r="C48" s="2">
        <v>27435.0</v>
      </c>
      <c r="D48" s="2">
        <v>26393.0</v>
      </c>
      <c r="E48" s="2">
        <v>23420.0</v>
      </c>
      <c r="F48" s="2">
        <v>17.2</v>
      </c>
    </row>
    <row r="49" ht="15.75" customHeight="1">
      <c r="A49" s="4" t="s">
        <v>885</v>
      </c>
      <c r="B49" s="2" t="s">
        <v>883</v>
      </c>
      <c r="C49" s="2">
        <v>32930.0</v>
      </c>
      <c r="D49" s="2">
        <v>32039.0</v>
      </c>
      <c r="E49" s="2">
        <v>24540.0</v>
      </c>
      <c r="F49" s="2">
        <v>13.6</v>
      </c>
    </row>
    <row r="50" ht="15.75" customHeight="1">
      <c r="A50" s="4" t="s">
        <v>887</v>
      </c>
      <c r="B50" s="2" t="s">
        <v>886</v>
      </c>
      <c r="C50" s="2">
        <v>17849.0</v>
      </c>
      <c r="D50" s="2">
        <v>18131.0</v>
      </c>
      <c r="E50" s="2">
        <v>28230.0</v>
      </c>
      <c r="F50" s="2">
        <v>7.0</v>
      </c>
    </row>
    <row r="51" ht="15.75" customHeight="1">
      <c r="A51" s="4" t="s">
        <v>889</v>
      </c>
      <c r="B51" s="2" t="s">
        <v>888</v>
      </c>
      <c r="C51" s="2">
        <v>27330.0</v>
      </c>
      <c r="D51" s="2">
        <v>28202.0</v>
      </c>
      <c r="E51" s="2">
        <v>25520.0</v>
      </c>
      <c r="F51" s="2">
        <v>12.0</v>
      </c>
    </row>
    <row r="52" ht="15.75" customHeight="1">
      <c r="A52" s="4" t="s">
        <v>893</v>
      </c>
      <c r="B52" s="2" t="s">
        <v>892</v>
      </c>
      <c r="C52" s="2">
        <v>22209.0</v>
      </c>
      <c r="D52" s="2">
        <v>22357.0</v>
      </c>
      <c r="E52" s="2">
        <v>24540.0</v>
      </c>
      <c r="F52" s="2">
        <v>13.8</v>
      </c>
    </row>
    <row r="53" ht="15.75" customHeight="1">
      <c r="A53" s="4" t="s">
        <v>251</v>
      </c>
      <c r="B53" s="2" t="s">
        <v>250</v>
      </c>
      <c r="C53" s="2">
        <v>26448.0</v>
      </c>
      <c r="D53" s="2">
        <v>25590.0</v>
      </c>
      <c r="E53" s="2">
        <v>22900.0</v>
      </c>
      <c r="F53" s="2">
        <v>19.3</v>
      </c>
    </row>
    <row r="54" ht="15.75" customHeight="1">
      <c r="A54" s="4" t="s">
        <v>900</v>
      </c>
      <c r="B54" s="2" t="s">
        <v>899</v>
      </c>
      <c r="C54" s="2">
        <v>29729.0</v>
      </c>
      <c r="D54" s="2">
        <v>29526.0</v>
      </c>
      <c r="E54" s="2">
        <v>23150.0</v>
      </c>
      <c r="F54" s="2">
        <v>17.9</v>
      </c>
    </row>
    <row r="55" ht="15.75" customHeight="1">
      <c r="A55" s="4" t="s">
        <v>906</v>
      </c>
      <c r="B55" s="2" t="s">
        <v>904</v>
      </c>
      <c r="C55" s="2">
        <v>33399.0</v>
      </c>
      <c r="D55" s="2">
        <v>33442.0</v>
      </c>
      <c r="E55" s="2">
        <v>26140.0</v>
      </c>
      <c r="F55" s="2">
        <v>10.1</v>
      </c>
    </row>
    <row r="56" ht="15.75" customHeight="1">
      <c r="A56" s="4" t="s">
        <v>909</v>
      </c>
      <c r="B56" s="2" t="s">
        <v>907</v>
      </c>
      <c r="C56" s="2">
        <v>22926.0</v>
      </c>
      <c r="D56" s="2">
        <v>22523.0</v>
      </c>
      <c r="E56" s="2">
        <v>25850.0</v>
      </c>
      <c r="F56" s="2">
        <v>11.8</v>
      </c>
    </row>
    <row r="57" ht="15.75" customHeight="1">
      <c r="A57" s="4" t="s">
        <v>914</v>
      </c>
      <c r="B57" s="2" t="s">
        <v>911</v>
      </c>
      <c r="C57" s="2">
        <v>53436.0</v>
      </c>
      <c r="D57" s="2">
        <v>53437.0</v>
      </c>
      <c r="E57" s="2">
        <v>26130.0</v>
      </c>
      <c r="F57" s="2">
        <v>10.3</v>
      </c>
    </row>
    <row r="58" ht="15.75" customHeight="1">
      <c r="A58" s="4" t="s">
        <v>918</v>
      </c>
      <c r="B58" s="2" t="s">
        <v>917</v>
      </c>
      <c r="C58" s="2">
        <v>16282.0</v>
      </c>
      <c r="D58" s="2">
        <v>15898.0</v>
      </c>
      <c r="E58" s="2">
        <v>26930.0</v>
      </c>
      <c r="F58" s="2">
        <v>10.0</v>
      </c>
    </row>
    <row r="59" ht="15.75" customHeight="1">
      <c r="A59" s="4" t="s">
        <v>924</v>
      </c>
      <c r="B59" s="2" t="s">
        <v>921</v>
      </c>
      <c r="C59" s="2">
        <v>33799.0</v>
      </c>
      <c r="D59" s="2">
        <v>34469.0</v>
      </c>
      <c r="E59" s="2">
        <v>27230.0</v>
      </c>
      <c r="F59" s="2">
        <v>11.1</v>
      </c>
    </row>
    <row r="60" ht="15.75" customHeight="1">
      <c r="A60" s="4" t="s">
        <v>161</v>
      </c>
      <c r="B60" s="2" t="s">
        <v>160</v>
      </c>
      <c r="C60" s="2">
        <v>6999.0</v>
      </c>
      <c r="D60" s="2">
        <v>6622.0</v>
      </c>
      <c r="E60" s="2">
        <v>21250.0</v>
      </c>
      <c r="F60" s="2">
        <v>24.0</v>
      </c>
    </row>
    <row r="61" ht="15.75" customHeight="1">
      <c r="A61" s="4" t="s">
        <v>928</v>
      </c>
      <c r="B61" s="2" t="s">
        <v>927</v>
      </c>
      <c r="C61" s="2">
        <v>38379.0</v>
      </c>
      <c r="D61" s="2">
        <v>38351.0</v>
      </c>
      <c r="E61" s="2">
        <v>26310.0</v>
      </c>
      <c r="F61" s="2">
        <v>12.7</v>
      </c>
    </row>
    <row r="62" ht="15.75" customHeight="1">
      <c r="A62" s="4" t="s">
        <v>153</v>
      </c>
      <c r="B62" s="2" t="s">
        <v>152</v>
      </c>
      <c r="C62" s="2">
        <v>21271.0</v>
      </c>
      <c r="D62" s="2">
        <v>20346.0</v>
      </c>
      <c r="E62" s="2">
        <v>20630.0</v>
      </c>
      <c r="F62" s="2">
        <v>26.0</v>
      </c>
    </row>
    <row r="63" ht="15.75" customHeight="1">
      <c r="A63" s="4" t="s">
        <v>937</v>
      </c>
      <c r="B63" s="2" t="s">
        <v>936</v>
      </c>
      <c r="C63" s="2">
        <v>37550.0</v>
      </c>
      <c r="D63" s="2">
        <v>35390.0</v>
      </c>
      <c r="E63" s="2">
        <v>24010.0</v>
      </c>
      <c r="F63" s="2">
        <v>14.9</v>
      </c>
    </row>
    <row r="64" ht="15.75" customHeight="1">
      <c r="A64" s="4" t="s">
        <v>100</v>
      </c>
      <c r="B64" s="2" t="s">
        <v>98</v>
      </c>
      <c r="C64" s="2">
        <v>5675.0</v>
      </c>
      <c r="D64" s="2">
        <v>5512.0</v>
      </c>
      <c r="E64" s="2">
        <v>25290.0</v>
      </c>
      <c r="F64" s="2">
        <v>10.0</v>
      </c>
    </row>
    <row r="65" ht="15.75" customHeight="1">
      <c r="A65" s="4" t="s">
        <v>691</v>
      </c>
      <c r="B65" s="2" t="s">
        <v>686</v>
      </c>
      <c r="C65" s="2">
        <v>15740.0</v>
      </c>
      <c r="D65" s="2">
        <v>15224.0</v>
      </c>
      <c r="E65" s="2">
        <v>25680.0</v>
      </c>
      <c r="F65" s="2">
        <v>12.0</v>
      </c>
    </row>
    <row r="66" ht="15.75" customHeight="1">
      <c r="A66" s="4" t="s">
        <v>67</v>
      </c>
      <c r="B66" s="2" t="s">
        <v>66</v>
      </c>
      <c r="C66" s="2">
        <v>5484.0</v>
      </c>
      <c r="D66" s="2">
        <v>5505.0</v>
      </c>
      <c r="E66" s="2">
        <v>25190.0</v>
      </c>
      <c r="F66" s="2">
        <v>13.0</v>
      </c>
    </row>
    <row r="67" ht="15.75" customHeight="1">
      <c r="A67" s="4" t="s">
        <v>945</v>
      </c>
      <c r="B67" s="2" t="s">
        <v>943</v>
      </c>
      <c r="C67" s="2">
        <v>37135.0</v>
      </c>
      <c r="D67" s="2">
        <v>37535.0</v>
      </c>
      <c r="E67" s="2">
        <v>26840.0</v>
      </c>
      <c r="F67" s="2">
        <v>11.0</v>
      </c>
    </row>
    <row r="68" ht="15.75" customHeight="1">
      <c r="A68" s="4" t="s">
        <v>950</v>
      </c>
      <c r="B68" s="2" t="s">
        <v>948</v>
      </c>
      <c r="C68" s="2">
        <v>25803.0</v>
      </c>
      <c r="D68" s="2">
        <v>25273.0</v>
      </c>
      <c r="E68" s="2">
        <v>23630.0</v>
      </c>
      <c r="F68" s="2">
        <v>16.9</v>
      </c>
    </row>
    <row r="69" ht="15.75" customHeight="1">
      <c r="A69" s="4" t="s">
        <v>953</v>
      </c>
      <c r="B69" s="2" t="s">
        <v>951</v>
      </c>
      <c r="C69" s="2">
        <v>15741.0</v>
      </c>
      <c r="D69" s="2">
        <v>15781.0</v>
      </c>
      <c r="E69" s="2">
        <v>23240.0</v>
      </c>
      <c r="F69" s="2">
        <v>17.0</v>
      </c>
    </row>
    <row r="70" ht="15.75" customHeight="1">
      <c r="A70" s="4" t="s">
        <v>956</v>
      </c>
      <c r="B70" s="2" t="s">
        <v>955</v>
      </c>
      <c r="C70" s="2">
        <v>23660.0</v>
      </c>
      <c r="D70" s="2">
        <v>23801.0</v>
      </c>
      <c r="E70" s="2">
        <v>25840.0</v>
      </c>
      <c r="F70" s="2">
        <v>13.0</v>
      </c>
    </row>
    <row r="71" ht="15.75" customHeight="1">
      <c r="A71" s="4" t="s">
        <v>988</v>
      </c>
      <c r="B71" s="2" t="s">
        <v>985</v>
      </c>
      <c r="C71" s="2">
        <v>32964.0</v>
      </c>
      <c r="D71" s="2">
        <v>31901.0</v>
      </c>
      <c r="E71" s="2">
        <v>23240.0</v>
      </c>
      <c r="F71" s="2">
        <v>20.1</v>
      </c>
    </row>
    <row r="72" ht="15.75" customHeight="1">
      <c r="A72" s="4" t="s">
        <v>991</v>
      </c>
      <c r="B72" s="2" t="s">
        <v>990</v>
      </c>
      <c r="C72" s="2">
        <v>14908.0</v>
      </c>
      <c r="D72" s="2">
        <v>14470.0</v>
      </c>
      <c r="E72" s="2">
        <v>24330.0</v>
      </c>
      <c r="F72" s="2">
        <v>15.0</v>
      </c>
    </row>
    <row r="73" ht="15.75" customHeight="1">
      <c r="A73" s="4" t="s">
        <v>958</v>
      </c>
      <c r="B73" s="2" t="s">
        <v>957</v>
      </c>
      <c r="C73" s="2">
        <v>18297.0</v>
      </c>
      <c r="D73" s="2">
        <v>18086.0</v>
      </c>
      <c r="E73" s="2">
        <v>25560.0</v>
      </c>
      <c r="F73" s="2">
        <v>12.0</v>
      </c>
    </row>
    <row r="74" ht="15.75" customHeight="1">
      <c r="A74" s="4" t="s">
        <v>965</v>
      </c>
      <c r="B74" s="2" t="s">
        <v>962</v>
      </c>
      <c r="C74" s="2">
        <v>24248.0</v>
      </c>
      <c r="D74" s="2">
        <v>24109.0</v>
      </c>
      <c r="E74" s="2">
        <v>24370.0</v>
      </c>
      <c r="F74" s="2">
        <v>12.8</v>
      </c>
    </row>
    <row r="75" ht="15.75" customHeight="1">
      <c r="A75" s="4" t="s">
        <v>971</v>
      </c>
      <c r="B75" s="2" t="s">
        <v>968</v>
      </c>
      <c r="C75" s="2">
        <v>48441.0</v>
      </c>
      <c r="D75" s="2">
        <v>48048.0</v>
      </c>
      <c r="E75" s="2">
        <v>25710.0</v>
      </c>
      <c r="F75" s="2">
        <v>14.3</v>
      </c>
    </row>
    <row r="76" ht="15.75" customHeight="1">
      <c r="A76" s="4" t="s">
        <v>974</v>
      </c>
      <c r="B76" s="2" t="s">
        <v>973</v>
      </c>
      <c r="C76" s="2">
        <v>55733.0</v>
      </c>
      <c r="D76" s="2">
        <v>55548.0</v>
      </c>
      <c r="E76" s="2">
        <v>28270.0</v>
      </c>
      <c r="F76" s="2">
        <v>8.0</v>
      </c>
    </row>
    <row r="77" ht="15.75" customHeight="1">
      <c r="A77" s="4" t="s">
        <v>44</v>
      </c>
      <c r="B77" s="2" t="s">
        <v>43</v>
      </c>
      <c r="C77" s="2">
        <v>14565.0</v>
      </c>
      <c r="D77" s="2">
        <v>14337.0</v>
      </c>
      <c r="E77" s="2">
        <v>23550.0</v>
      </c>
      <c r="F77" s="2">
        <v>15.0</v>
      </c>
    </row>
    <row r="78" ht="15.75" customHeight="1">
      <c r="A78" s="4" t="s">
        <v>978</v>
      </c>
      <c r="B78" s="2" t="s">
        <v>977</v>
      </c>
      <c r="C78" s="2">
        <v>22104.0</v>
      </c>
      <c r="D78" s="2">
        <v>22081.0</v>
      </c>
      <c r="E78" s="2">
        <v>27170.0</v>
      </c>
      <c r="F78" s="2">
        <v>9.0</v>
      </c>
    </row>
    <row r="79" ht="15.75" customHeight="1">
      <c r="A79" s="4" t="s">
        <v>981</v>
      </c>
      <c r="B79" s="2" t="s">
        <v>980</v>
      </c>
      <c r="C79" s="2">
        <v>28416.0</v>
      </c>
      <c r="D79" s="2">
        <v>27713.0</v>
      </c>
      <c r="E79" s="2">
        <v>24530.0</v>
      </c>
      <c r="F79" s="2">
        <v>14.1</v>
      </c>
    </row>
    <row r="80" ht="15.75" customHeight="1">
      <c r="A80" s="4" t="s">
        <v>205</v>
      </c>
      <c r="B80" s="2" t="s">
        <v>204</v>
      </c>
      <c r="C80" s="2">
        <v>31207.0</v>
      </c>
      <c r="D80" s="2">
        <v>30577.0</v>
      </c>
      <c r="E80" s="2">
        <v>23320.0</v>
      </c>
      <c r="F80" s="2">
        <v>18.2</v>
      </c>
    </row>
    <row r="81" ht="15.75" customHeight="1">
      <c r="A81" s="4" t="s">
        <v>994</v>
      </c>
      <c r="B81" s="2" t="s">
        <v>993</v>
      </c>
      <c r="C81" s="2">
        <v>30249.0</v>
      </c>
      <c r="D81" s="2">
        <v>29412.0</v>
      </c>
      <c r="E81" s="2">
        <v>25350.0</v>
      </c>
      <c r="F81" s="2">
        <v>11.5</v>
      </c>
    </row>
    <row r="82" ht="15.75" customHeight="1">
      <c r="A82" s="4" t="s">
        <v>999</v>
      </c>
      <c r="B82" s="2" t="s">
        <v>997</v>
      </c>
      <c r="C82" s="2">
        <v>27456.0</v>
      </c>
      <c r="D82" s="2">
        <v>26962.0</v>
      </c>
      <c r="E82" s="2">
        <v>24390.0</v>
      </c>
      <c r="F82" s="2">
        <v>13.5</v>
      </c>
    </row>
    <row r="83" ht="15.75" customHeight="1">
      <c r="A83" s="4" t="s">
        <v>1002</v>
      </c>
      <c r="B83" s="2" t="s">
        <v>1001</v>
      </c>
      <c r="C83" s="2">
        <v>25206.0</v>
      </c>
      <c r="D83" s="2">
        <v>24208.0</v>
      </c>
      <c r="E83" s="2">
        <v>20100.0</v>
      </c>
      <c r="F83" s="2">
        <v>29.7</v>
      </c>
    </row>
    <row r="84" ht="15.75" customHeight="1">
      <c r="A84" s="4" t="s">
        <v>1006</v>
      </c>
      <c r="B84" s="2" t="s">
        <v>1004</v>
      </c>
      <c r="C84" s="2">
        <v>38364.0</v>
      </c>
      <c r="D84" s="2">
        <v>36913.0</v>
      </c>
      <c r="E84" s="2">
        <v>23180.0</v>
      </c>
      <c r="F84" s="2">
        <v>18.9</v>
      </c>
    </row>
    <row r="85" ht="15.75" customHeight="1">
      <c r="A85" s="4" t="s">
        <v>1010</v>
      </c>
      <c r="B85" s="2" t="s">
        <v>1009</v>
      </c>
      <c r="C85" s="2">
        <v>31450.0</v>
      </c>
      <c r="D85" s="2">
        <v>30685.0</v>
      </c>
      <c r="E85" s="2">
        <v>24940.0</v>
      </c>
      <c r="F85" s="2">
        <v>13.9</v>
      </c>
    </row>
    <row r="86" ht="15.75" customHeight="1">
      <c r="A86" s="4" t="s">
        <v>1017</v>
      </c>
      <c r="B86" s="2" t="s">
        <v>1016</v>
      </c>
      <c r="C86" s="2">
        <v>26605.0</v>
      </c>
      <c r="D86" s="2">
        <v>26314.0</v>
      </c>
      <c r="E86" s="2">
        <v>26250.0</v>
      </c>
      <c r="F86" s="2">
        <v>9.6</v>
      </c>
    </row>
    <row r="87" ht="15.75" customHeight="1">
      <c r="A87" s="4" t="s">
        <v>75</v>
      </c>
      <c r="B87" s="2" t="s">
        <v>73</v>
      </c>
      <c r="C87" s="2">
        <v>20284.0</v>
      </c>
      <c r="D87" s="2">
        <v>20310.0</v>
      </c>
      <c r="E87" s="2">
        <v>25120.0</v>
      </c>
      <c r="F87" s="2">
        <v>12.0</v>
      </c>
    </row>
    <row r="88" ht="15.75" customHeight="1">
      <c r="A88" s="4" t="s">
        <v>81</v>
      </c>
      <c r="B88" s="2" t="s">
        <v>80</v>
      </c>
      <c r="C88" s="2">
        <v>16083.0</v>
      </c>
      <c r="D88" s="2">
        <v>15838.0</v>
      </c>
      <c r="E88" s="2">
        <v>24580.0</v>
      </c>
      <c r="F88" s="2">
        <v>14.0</v>
      </c>
    </row>
    <row r="89" ht="15.75" customHeight="1">
      <c r="A89" s="4" t="s">
        <v>1021</v>
      </c>
      <c r="B89" s="2" t="s">
        <v>1019</v>
      </c>
      <c r="C89" s="2">
        <v>20318.0</v>
      </c>
      <c r="D89" s="2">
        <v>20462.0</v>
      </c>
      <c r="E89" s="2">
        <v>28390.0</v>
      </c>
      <c r="F89" s="2">
        <v>7.0</v>
      </c>
    </row>
    <row r="90" ht="15.75" customHeight="1">
      <c r="A90" s="4" t="s">
        <v>1025</v>
      </c>
      <c r="B90" s="2" t="s">
        <v>1022</v>
      </c>
      <c r="C90" s="2">
        <v>22805.0</v>
      </c>
      <c r="D90" s="2">
        <v>22072.0</v>
      </c>
      <c r="E90" s="2">
        <v>23690.0</v>
      </c>
      <c r="F90" s="2">
        <v>14.1</v>
      </c>
    </row>
    <row r="91" ht="15.75" customHeight="1">
      <c r="A91" s="4" t="s">
        <v>1084</v>
      </c>
      <c r="B91" s="2" t="s">
        <v>1082</v>
      </c>
      <c r="C91" s="2">
        <v>107763.0</v>
      </c>
      <c r="D91" s="2">
        <v>109884.0</v>
      </c>
      <c r="E91" s="2">
        <v>25670.0</v>
      </c>
      <c r="F91" s="2">
        <v>16.5</v>
      </c>
    </row>
    <row r="92" ht="15.75" customHeight="1">
      <c r="A92" s="4" t="s">
        <v>1087</v>
      </c>
      <c r="B92" s="2" t="s">
        <v>1086</v>
      </c>
      <c r="C92" s="2">
        <v>196901.0</v>
      </c>
      <c r="D92" s="2">
        <v>191478.0</v>
      </c>
      <c r="E92" s="2">
        <v>23270.0</v>
      </c>
      <c r="F92" s="2">
        <v>20.3</v>
      </c>
    </row>
    <row r="93" ht="15.75" customHeight="1">
      <c r="A93" s="4" t="s">
        <v>1093</v>
      </c>
      <c r="B93" s="2" t="s">
        <v>1092</v>
      </c>
      <c r="C93" s="2">
        <v>1170630.0</v>
      </c>
      <c r="D93" s="2">
        <v>1195234.0</v>
      </c>
      <c r="E93" s="2">
        <v>24430.0</v>
      </c>
      <c r="F93" s="2">
        <v>21.4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7.25"/>
    <col customWidth="1" min="9" max="9" width="17.63"/>
  </cols>
  <sheetData>
    <row r="1">
      <c r="A1" s="6" t="s">
        <v>0</v>
      </c>
      <c r="B1" s="6" t="s">
        <v>1</v>
      </c>
      <c r="C1" s="6" t="s">
        <v>4705</v>
      </c>
    </row>
    <row r="2">
      <c r="A2" s="2" t="str">
        <f>Communes_HDF!A2</f>
        <v>02001</v>
      </c>
      <c r="B2" s="2" t="str">
        <f>Communes_HDF!B2</f>
        <v>Abbécourt</v>
      </c>
      <c r="C2" s="2" t="str">
        <f t="array" ref="C2">_xlfn.XLOOKUP(A2, INSEE_Communes!$A$2:$A$3783, INSEE_Communes!$F$2:$F$3783, "code introuvable")</f>
        <v>non publié</v>
      </c>
      <c r="G2" s="2">
        <f>COUNTA(Jointure!A2:A3783)  </f>
        <v>3782</v>
      </c>
      <c r="I2" s="6" t="s">
        <v>4758</v>
      </c>
      <c r="J2" s="2">
        <f>AVERAGE(INSEE_EPCI!F2:F93)        </f>
        <v>16.08695652</v>
      </c>
    </row>
    <row r="3">
      <c r="A3" s="2" t="str">
        <f>Communes_HDF!A3</f>
        <v>02002</v>
      </c>
      <c r="B3" s="2" t="str">
        <f>Communes_HDF!B3</f>
        <v>Achery</v>
      </c>
      <c r="C3" s="2" t="str">
        <f t="array" ref="C3">_xlfn.XLOOKUP(A3, INSEE_Communes!$A$2:$A$3783, INSEE_Communes!$F$2:$F$3783, "code introuvable")</f>
        <v>non publié</v>
      </c>
      <c r="G3" s="6">
        <f>COUNTIF(Jointure!C2:C3783, "code introuvable") </f>
        <v>0</v>
      </c>
      <c r="I3" s="6" t="s">
        <v>4775</v>
      </c>
      <c r="J3" s="2">
        <f>SUMPRODUCT(INSEE_EPCI!F2:F93, INSEE_EPCI!D2:D93) / SUM(INSEE_EPCI!D2:D93) </f>
        <v>19.06389504</v>
      </c>
    </row>
    <row r="4">
      <c r="A4" s="2" t="str">
        <f>Communes_HDF!A4</f>
        <v>02003</v>
      </c>
      <c r="B4" s="2" t="str">
        <f>Communes_HDF!B4</f>
        <v>Acy</v>
      </c>
      <c r="C4" s="2" t="str">
        <f t="array" ref="C4">_xlfn.XLOOKUP(A4, INSEE_Communes!$A$2:$A$3783, INSEE_Communes!$F$2:$F$3783, "code introuvable")</f>
        <v>non publié</v>
      </c>
      <c r="G4" s="2">
        <f>COUNTIF(Jointure!C2:C3783, "non publié")        </f>
        <v>3262</v>
      </c>
    </row>
    <row r="5">
      <c r="A5" s="2" t="str">
        <f>Communes_HDF!A5</f>
        <v>02004</v>
      </c>
      <c r="B5" s="2" t="str">
        <f>Communes_HDF!B5</f>
        <v>Agnicourt-et-Séchelles</v>
      </c>
      <c r="C5" s="2" t="str">
        <f t="array" ref="C5">_xlfn.XLOOKUP(A5, INSEE_Communes!$A$2:$A$3783, INSEE_Communes!$F$2:$F$3783, "code introuvable")</f>
        <v>non publié</v>
      </c>
    </row>
    <row r="6">
      <c r="A6" s="2" t="str">
        <f>Communes_HDF!A6</f>
        <v>02005</v>
      </c>
      <c r="B6" s="2" t="str">
        <f>Communes_HDF!B6</f>
        <v>Aguilcourt</v>
      </c>
      <c r="C6" s="2" t="str">
        <f t="array" ref="C6">_xlfn.XLOOKUP(A6, INSEE_Communes!$A$2:$A$3783, INSEE_Communes!$F$2:$F$3783, "code introuvable")</f>
        <v>non publié</v>
      </c>
    </row>
    <row r="7">
      <c r="A7" s="2" t="str">
        <f>Communes_HDF!A7</f>
        <v>02006</v>
      </c>
      <c r="B7" s="2" t="str">
        <f>Communes_HDF!B7</f>
        <v>Aisonville-et-Bernoville</v>
      </c>
      <c r="C7" s="2" t="str">
        <f t="array" ref="C7">_xlfn.XLOOKUP(A7, INSEE_Communes!$A$2:$A$3783, INSEE_Communes!$F$2:$F$3783, "code introuvable")</f>
        <v>non publié</v>
      </c>
    </row>
    <row r="8">
      <c r="A8" s="2" t="str">
        <f>Communes_HDF!A8</f>
        <v>02007</v>
      </c>
      <c r="B8" s="2" t="str">
        <f>Communes_HDF!B8</f>
        <v>Aizelles</v>
      </c>
      <c r="C8" s="2" t="str">
        <f t="array" ref="C8">_xlfn.XLOOKUP(A8, INSEE_Communes!$A$2:$A$3783, INSEE_Communes!$F$2:$F$3783, "code introuvable")</f>
        <v>non publié</v>
      </c>
    </row>
    <row r="9">
      <c r="A9" s="2" t="str">
        <f>Communes_HDF!A9</f>
        <v>02008</v>
      </c>
      <c r="B9" s="2" t="str">
        <f>Communes_HDF!B9</f>
        <v>Aizy-Jouy</v>
      </c>
      <c r="C9" s="2" t="str">
        <f t="array" ref="C9">_xlfn.XLOOKUP(A9, INSEE_Communes!$A$2:$A$3783, INSEE_Communes!$F$2:$F$3783, "code introuvable")</f>
        <v>non publié</v>
      </c>
    </row>
    <row r="10">
      <c r="A10" s="2" t="str">
        <f>Communes_HDF!A10</f>
        <v>02009</v>
      </c>
      <c r="B10" s="2" t="str">
        <f>Communes_HDF!B10</f>
        <v>Alaincourt</v>
      </c>
      <c r="C10" s="2" t="str">
        <f t="array" ref="C10">_xlfn.XLOOKUP(A10, INSEE_Communes!$A$2:$A$3783, INSEE_Communes!$F$2:$F$3783, "code introuvable")</f>
        <v>non publié</v>
      </c>
    </row>
    <row r="11">
      <c r="A11" s="2" t="str">
        <f>Communes_HDF!A11</f>
        <v>02010</v>
      </c>
      <c r="B11" s="2" t="str">
        <f>Communes_HDF!B11</f>
        <v>Allemant</v>
      </c>
      <c r="C11" s="2" t="str">
        <f t="array" ref="C11">_xlfn.XLOOKUP(A11, INSEE_Communes!$A$2:$A$3783, INSEE_Communes!$F$2:$F$3783, "code introuvable")</f>
        <v>non publié</v>
      </c>
    </row>
    <row r="12">
      <c r="A12" s="2" t="str">
        <f>Communes_HDF!A12</f>
        <v>02011</v>
      </c>
      <c r="B12" s="2" t="str">
        <f>Communes_HDF!B12</f>
        <v>Ambleny</v>
      </c>
      <c r="C12" s="2" t="str">
        <f t="array" ref="C12">_xlfn.XLOOKUP(A12, INSEE_Communes!$A$2:$A$3783, INSEE_Communes!$F$2:$F$3783, "code introuvable")</f>
        <v>non publié</v>
      </c>
    </row>
    <row r="13">
      <c r="A13" s="2" t="str">
        <f>Communes_HDF!A13</f>
        <v>02012</v>
      </c>
      <c r="B13" s="2" t="str">
        <f>Communes_HDF!B13</f>
        <v>Ambrief</v>
      </c>
      <c r="C13" s="2" t="str">
        <f t="array" ref="C13">_xlfn.XLOOKUP(A13, INSEE_Communes!$A$2:$A$3783, INSEE_Communes!$F$2:$F$3783, "code introuvable")</f>
        <v>non publié</v>
      </c>
    </row>
    <row r="14">
      <c r="A14" s="2" t="str">
        <f>Communes_HDF!A14</f>
        <v>02013</v>
      </c>
      <c r="B14" s="2" t="str">
        <f>Communes_HDF!B14</f>
        <v>Amifontaine</v>
      </c>
      <c r="C14" s="2" t="str">
        <f t="array" ref="C14">_xlfn.XLOOKUP(A14, INSEE_Communes!$A$2:$A$3783, INSEE_Communes!$F$2:$F$3783, "code introuvable")</f>
        <v>non publié</v>
      </c>
    </row>
    <row r="15">
      <c r="A15" s="2" t="str">
        <f>Communes_HDF!A15</f>
        <v>02014</v>
      </c>
      <c r="B15" s="2" t="str">
        <f>Communes_HDF!B15</f>
        <v>Amigny-Rouy</v>
      </c>
      <c r="C15" s="2" t="str">
        <f t="array" ref="C15">_xlfn.XLOOKUP(A15, INSEE_Communes!$A$2:$A$3783, INSEE_Communes!$F$2:$F$3783, "code introuvable")</f>
        <v>non publié</v>
      </c>
    </row>
    <row r="16">
      <c r="A16" s="2" t="str">
        <f>Communes_HDF!A16</f>
        <v>02015</v>
      </c>
      <c r="B16" s="2" t="str">
        <f>Communes_HDF!B16</f>
        <v>Ancienville</v>
      </c>
      <c r="C16" s="2" t="str">
        <f t="array" ref="C16">_xlfn.XLOOKUP(A16, INSEE_Communes!$A$2:$A$3783, INSEE_Communes!$F$2:$F$3783, "code introuvable")</f>
        <v>non publié</v>
      </c>
    </row>
    <row r="17">
      <c r="A17" s="2" t="str">
        <f>Communes_HDF!A17</f>
        <v>02016</v>
      </c>
      <c r="B17" s="2" t="str">
        <f>Communes_HDF!B17</f>
        <v>Andelain</v>
      </c>
      <c r="C17" s="2" t="str">
        <f t="array" ref="C17">_xlfn.XLOOKUP(A17, INSEE_Communes!$A$2:$A$3783, INSEE_Communes!$F$2:$F$3783, "code introuvable")</f>
        <v>non publié</v>
      </c>
    </row>
    <row r="18">
      <c r="A18" s="2" t="str">
        <f>Communes_HDF!A18</f>
        <v>02017</v>
      </c>
      <c r="B18" s="2" t="str">
        <f>Communes_HDF!B18</f>
        <v>Anguilcourt-le-Sart</v>
      </c>
      <c r="C18" s="2" t="str">
        <f t="array" ref="C18">_xlfn.XLOOKUP(A18, INSEE_Communes!$A$2:$A$3783, INSEE_Communes!$F$2:$F$3783, "code introuvable")</f>
        <v>non publié</v>
      </c>
    </row>
    <row r="19">
      <c r="A19" s="2" t="str">
        <f>Communes_HDF!A19</f>
        <v>02018</v>
      </c>
      <c r="B19" s="2" t="str">
        <f>Communes_HDF!B19</f>
        <v>Anizy-le-Grand</v>
      </c>
      <c r="C19" s="2">
        <f t="array" ref="C19">_xlfn.XLOOKUP(A19, INSEE_Communes!$A$2:$A$3783, INSEE_Communes!$F$2:$F$3783, "code introuvable")</f>
        <v>16</v>
      </c>
    </row>
    <row r="20">
      <c r="A20" s="2" t="str">
        <f>Communes_HDF!A20</f>
        <v>02019</v>
      </c>
      <c r="B20" s="2" t="str">
        <f>Communes_HDF!B20</f>
        <v>Annois</v>
      </c>
      <c r="C20" s="2" t="str">
        <f t="array" ref="C20">_xlfn.XLOOKUP(A20, INSEE_Communes!$A$2:$A$3783, INSEE_Communes!$F$2:$F$3783, "code introuvable")</f>
        <v>non publié</v>
      </c>
    </row>
    <row r="21">
      <c r="A21" s="2" t="str">
        <f>Communes_HDF!A21</f>
        <v>02020</v>
      </c>
      <c r="B21" s="2" t="str">
        <f>Communes_HDF!B21</f>
        <v>Any-Martin-Rieux</v>
      </c>
      <c r="C21" s="2" t="str">
        <f t="array" ref="C21">_xlfn.XLOOKUP(A21, INSEE_Communes!$A$2:$A$3783, INSEE_Communes!$F$2:$F$3783, "code introuvable")</f>
        <v>non publié</v>
      </c>
    </row>
    <row r="22">
      <c r="A22" s="2" t="str">
        <f>Communes_HDF!A22</f>
        <v>02021</v>
      </c>
      <c r="B22" s="2" t="str">
        <f>Communes_HDF!B22</f>
        <v>Archon</v>
      </c>
      <c r="C22" s="2" t="str">
        <f t="array" ref="C22">_xlfn.XLOOKUP(A22, INSEE_Communes!$A$2:$A$3783, INSEE_Communes!$F$2:$F$3783, "code introuvable")</f>
        <v>non publié</v>
      </c>
    </row>
    <row r="23">
      <c r="A23" s="2" t="str">
        <f>Communes_HDF!A23</f>
        <v>02022</v>
      </c>
      <c r="B23" s="2" t="str">
        <f>Communes_HDF!B23</f>
        <v>Arcy-Sainte-Restitue</v>
      </c>
      <c r="C23" s="2" t="str">
        <f t="array" ref="C23">_xlfn.XLOOKUP(A23, INSEE_Communes!$A$2:$A$3783, INSEE_Communes!$F$2:$F$3783, "code introuvable")</f>
        <v>non publié</v>
      </c>
    </row>
    <row r="24">
      <c r="A24" s="2" t="str">
        <f>Communes_HDF!A24</f>
        <v>02023</v>
      </c>
      <c r="B24" s="2" t="str">
        <f>Communes_HDF!B24</f>
        <v>Armentières-sur-Ourcq</v>
      </c>
      <c r="C24" s="2" t="str">
        <f t="array" ref="C24">_xlfn.XLOOKUP(A24, INSEE_Communes!$A$2:$A$3783, INSEE_Communes!$F$2:$F$3783, "code introuvable")</f>
        <v>non publié</v>
      </c>
    </row>
    <row r="25">
      <c r="A25" s="2" t="str">
        <f>Communes_HDF!A25</f>
        <v>02024</v>
      </c>
      <c r="B25" s="2" t="str">
        <f>Communes_HDF!B25</f>
        <v>Arrancy</v>
      </c>
      <c r="C25" s="2" t="str">
        <f t="array" ref="C25">_xlfn.XLOOKUP(A25, INSEE_Communes!$A$2:$A$3783, INSEE_Communes!$F$2:$F$3783, "code introuvable")</f>
        <v>non publié</v>
      </c>
    </row>
    <row r="26">
      <c r="A26" s="2" t="str">
        <f>Communes_HDF!A26</f>
        <v>02025</v>
      </c>
      <c r="B26" s="2" t="str">
        <f>Communes_HDF!B26</f>
        <v>Artemps</v>
      </c>
      <c r="C26" s="2" t="str">
        <f t="array" ref="C26">_xlfn.XLOOKUP(A26, INSEE_Communes!$A$2:$A$3783, INSEE_Communes!$F$2:$F$3783, "code introuvable")</f>
        <v>non publié</v>
      </c>
    </row>
    <row r="27">
      <c r="A27" s="2" t="str">
        <f>Communes_HDF!A27</f>
        <v>02027</v>
      </c>
      <c r="B27" s="2" t="str">
        <f>Communes_HDF!B27</f>
        <v>Assis-sur-Serre</v>
      </c>
      <c r="C27" s="2" t="str">
        <f t="array" ref="C27">_xlfn.XLOOKUP(A27, INSEE_Communes!$A$2:$A$3783, INSEE_Communes!$F$2:$F$3783, "code introuvable")</f>
        <v>non publié</v>
      </c>
    </row>
    <row r="28">
      <c r="A28" s="2" t="str">
        <f>Communes_HDF!A28</f>
        <v>02028</v>
      </c>
      <c r="B28" s="2" t="str">
        <f>Communes_HDF!B28</f>
        <v>Athies-sous-Laon</v>
      </c>
      <c r="C28" s="2">
        <f t="array" ref="C28">_xlfn.XLOOKUP(A28, INSEE_Communes!$A$2:$A$3783, INSEE_Communes!$F$2:$F$3783, "code introuvable")</f>
        <v>11</v>
      </c>
    </row>
    <row r="29">
      <c r="A29" s="2" t="str">
        <f>Communes_HDF!A29</f>
        <v>02029</v>
      </c>
      <c r="B29" s="2" t="str">
        <f>Communes_HDF!B29</f>
        <v>Attilly</v>
      </c>
      <c r="C29" s="2" t="str">
        <f t="array" ref="C29">_xlfn.XLOOKUP(A29, INSEE_Communes!$A$2:$A$3783, INSEE_Communes!$F$2:$F$3783, "code introuvable")</f>
        <v>non publié</v>
      </c>
    </row>
    <row r="30">
      <c r="A30" s="2" t="str">
        <f>Communes_HDF!A30</f>
        <v>02030</v>
      </c>
      <c r="B30" s="2" t="str">
        <f>Communes_HDF!B30</f>
        <v>Aubencheul-aux-Bois</v>
      </c>
      <c r="C30" s="2" t="str">
        <f t="array" ref="C30">_xlfn.XLOOKUP(A30, INSEE_Communes!$A$2:$A$3783, INSEE_Communes!$F$2:$F$3783, "code introuvable")</f>
        <v>non publié</v>
      </c>
    </row>
    <row r="31">
      <c r="A31" s="2" t="str">
        <f>Communes_HDF!A31</f>
        <v>02031</v>
      </c>
      <c r="B31" s="2" t="str">
        <f>Communes_HDF!B31</f>
        <v>Aubenton</v>
      </c>
      <c r="C31" s="2" t="str">
        <f t="array" ref="C31">_xlfn.XLOOKUP(A31, INSEE_Communes!$A$2:$A$3783, INSEE_Communes!$F$2:$F$3783, "code introuvable")</f>
        <v>non publié</v>
      </c>
    </row>
    <row r="32">
      <c r="A32" s="2" t="str">
        <f>Communes_HDF!A32</f>
        <v>02032</v>
      </c>
      <c r="B32" s="2" t="str">
        <f>Communes_HDF!B32</f>
        <v>Aubigny-aux-Kaisnes</v>
      </c>
      <c r="C32" s="2" t="str">
        <f t="array" ref="C32">_xlfn.XLOOKUP(A32, INSEE_Communes!$A$2:$A$3783, INSEE_Communes!$F$2:$F$3783, "code introuvable")</f>
        <v>non publié</v>
      </c>
    </row>
    <row r="33">
      <c r="A33" s="2" t="str">
        <f>Communes_HDF!A33</f>
        <v>02033</v>
      </c>
      <c r="B33" s="2" t="str">
        <f>Communes_HDF!B33</f>
        <v>Aubigny-en-Laonnois</v>
      </c>
      <c r="C33" s="2" t="str">
        <f t="array" ref="C33">_xlfn.XLOOKUP(A33, INSEE_Communes!$A$2:$A$3783, INSEE_Communes!$F$2:$F$3783, "code introuvable")</f>
        <v>non publié</v>
      </c>
    </row>
    <row r="34">
      <c r="A34" s="2" t="str">
        <f>Communes_HDF!A34</f>
        <v>02034</v>
      </c>
      <c r="B34" s="2" t="str">
        <f>Communes_HDF!B34</f>
        <v>Audignicourt</v>
      </c>
      <c r="C34" s="2" t="str">
        <f t="array" ref="C34">_xlfn.XLOOKUP(A34, INSEE_Communes!$A$2:$A$3783, INSEE_Communes!$F$2:$F$3783, "code introuvable")</f>
        <v>non publié</v>
      </c>
    </row>
    <row r="35">
      <c r="A35" s="2" t="str">
        <f>Communes_HDF!A35</f>
        <v>02035</v>
      </c>
      <c r="B35" s="2" t="str">
        <f>Communes_HDF!B35</f>
        <v>Audigny</v>
      </c>
      <c r="C35" s="2" t="str">
        <f t="array" ref="C35">_xlfn.XLOOKUP(A35, INSEE_Communes!$A$2:$A$3783, INSEE_Communes!$F$2:$F$3783, "code introuvable")</f>
        <v>non publié</v>
      </c>
    </row>
    <row r="36">
      <c r="A36" s="2" t="str">
        <f>Communes_HDF!A36</f>
        <v>02036</v>
      </c>
      <c r="B36" s="2" t="str">
        <f>Communes_HDF!B36</f>
        <v>Augy</v>
      </c>
      <c r="C36" s="2" t="str">
        <f t="array" ref="C36">_xlfn.XLOOKUP(A36, INSEE_Communes!$A$2:$A$3783, INSEE_Communes!$F$2:$F$3783, "code introuvable")</f>
        <v>non publié</v>
      </c>
    </row>
    <row r="37">
      <c r="A37" s="2" t="str">
        <f>Communes_HDF!A37</f>
        <v>02037</v>
      </c>
      <c r="B37" s="2" t="str">
        <f>Communes_HDF!B37</f>
        <v>Aulnois-sous-Laon</v>
      </c>
      <c r="C37" s="2" t="str">
        <f t="array" ref="C37">_xlfn.XLOOKUP(A37, INSEE_Communes!$A$2:$A$3783, INSEE_Communes!$F$2:$F$3783, "code introuvable")</f>
        <v>non publié</v>
      </c>
    </row>
    <row r="38">
      <c r="A38" s="2" t="str">
        <f>Communes_HDF!A38</f>
        <v>02039</v>
      </c>
      <c r="B38" s="2" t="str">
        <f>Communes_HDF!B38</f>
        <v>Autremencourt</v>
      </c>
      <c r="C38" s="2" t="str">
        <f t="array" ref="C38">_xlfn.XLOOKUP(A38, INSEE_Communes!$A$2:$A$3783, INSEE_Communes!$F$2:$F$3783, "code introuvable")</f>
        <v>non publié</v>
      </c>
    </row>
    <row r="39">
      <c r="A39" s="2" t="str">
        <f>Communes_HDF!A39</f>
        <v>02040</v>
      </c>
      <c r="B39" s="2" t="str">
        <f>Communes_HDF!B39</f>
        <v>Autreppes</v>
      </c>
      <c r="C39" s="2" t="str">
        <f t="array" ref="C39">_xlfn.XLOOKUP(A39, INSEE_Communes!$A$2:$A$3783, INSEE_Communes!$F$2:$F$3783, "code introuvable")</f>
        <v>non publié</v>
      </c>
    </row>
    <row r="40">
      <c r="A40" s="2" t="str">
        <f>Communes_HDF!A40</f>
        <v>02041</v>
      </c>
      <c r="B40" s="2" t="str">
        <f>Communes_HDF!B40</f>
        <v>Autreville</v>
      </c>
      <c r="C40" s="2" t="str">
        <f t="array" ref="C40">_xlfn.XLOOKUP(A40, INSEE_Communes!$A$2:$A$3783, INSEE_Communes!$F$2:$F$3783, "code introuvable")</f>
        <v>non publié</v>
      </c>
    </row>
    <row r="41">
      <c r="A41" s="2" t="str">
        <f>Communes_HDF!A41</f>
        <v>02042</v>
      </c>
      <c r="B41" s="2" t="str">
        <f>Communes_HDF!B41</f>
        <v>Azy-sur-Marne</v>
      </c>
      <c r="C41" s="2" t="str">
        <f t="array" ref="C41">_xlfn.XLOOKUP(A41, INSEE_Communes!$A$2:$A$3783, INSEE_Communes!$F$2:$F$3783, "code introuvable")</f>
        <v>non publié</v>
      </c>
    </row>
    <row r="42">
      <c r="A42" s="2" t="str">
        <f>Communes_HDF!A42</f>
        <v>02043</v>
      </c>
      <c r="B42" s="2" t="str">
        <f>Communes_HDF!B42</f>
        <v>Bagneux</v>
      </c>
      <c r="C42" s="2" t="str">
        <f t="array" ref="C42">_xlfn.XLOOKUP(A42, INSEE_Communes!$A$2:$A$3783, INSEE_Communes!$F$2:$F$3783, "code introuvable")</f>
        <v>non publié</v>
      </c>
    </row>
    <row r="43">
      <c r="A43" s="2" t="str">
        <f>Communes_HDF!A43</f>
        <v>02044</v>
      </c>
      <c r="B43" s="2" t="str">
        <f>Communes_HDF!B43</f>
        <v>Bancigny</v>
      </c>
      <c r="C43" s="2" t="str">
        <f t="array" ref="C43">_xlfn.XLOOKUP(A43, INSEE_Communes!$A$2:$A$3783, INSEE_Communes!$F$2:$F$3783, "code introuvable")</f>
        <v>non publié</v>
      </c>
    </row>
    <row r="44">
      <c r="A44" s="2" t="str">
        <f>Communes_HDF!A44</f>
        <v>02046</v>
      </c>
      <c r="B44" s="2" t="str">
        <f>Communes_HDF!B44</f>
        <v>Barenton-Bugny</v>
      </c>
      <c r="C44" s="2" t="str">
        <f t="array" ref="C44">_xlfn.XLOOKUP(A44, INSEE_Communes!$A$2:$A$3783, INSEE_Communes!$F$2:$F$3783, "code introuvable")</f>
        <v>non publié</v>
      </c>
    </row>
    <row r="45">
      <c r="A45" s="2" t="str">
        <f>Communes_HDF!A45</f>
        <v>02047</v>
      </c>
      <c r="B45" s="2" t="str">
        <f>Communes_HDF!B45</f>
        <v>Barenton-Cel</v>
      </c>
      <c r="C45" s="2" t="str">
        <f t="array" ref="C45">_xlfn.XLOOKUP(A45, INSEE_Communes!$A$2:$A$3783, INSEE_Communes!$F$2:$F$3783, "code introuvable")</f>
        <v>non publié</v>
      </c>
    </row>
    <row r="46">
      <c r="A46" s="2" t="str">
        <f>Communes_HDF!A46</f>
        <v>02048</v>
      </c>
      <c r="B46" s="2" t="str">
        <f>Communes_HDF!B46</f>
        <v>Barenton-sur-Serre</v>
      </c>
      <c r="C46" s="2" t="str">
        <f t="array" ref="C46">_xlfn.XLOOKUP(A46, INSEE_Communes!$A$2:$A$3783, INSEE_Communes!$F$2:$F$3783, "code introuvable")</f>
        <v>non publié</v>
      </c>
    </row>
    <row r="47">
      <c r="A47" s="2" t="str">
        <f>Communes_HDF!A47</f>
        <v>02049</v>
      </c>
      <c r="B47" s="2" t="str">
        <f>Communes_HDF!B47</f>
        <v>Barisis-aux-Bois</v>
      </c>
      <c r="C47" s="2" t="str">
        <f t="array" ref="C47">_xlfn.XLOOKUP(A47, INSEE_Communes!$A$2:$A$3783, INSEE_Communes!$F$2:$F$3783, "code introuvable")</f>
        <v>non publié</v>
      </c>
    </row>
    <row r="48">
      <c r="A48" s="2" t="str">
        <f>Communes_HDF!A48</f>
        <v>02050</v>
      </c>
      <c r="B48" s="2" t="str">
        <f>Communes_HDF!B48</f>
        <v>Barzy-en-Thiérache</v>
      </c>
      <c r="C48" s="2" t="str">
        <f t="array" ref="C48">_xlfn.XLOOKUP(A48, INSEE_Communes!$A$2:$A$3783, INSEE_Communes!$F$2:$F$3783, "code introuvable")</f>
        <v>non publié</v>
      </c>
    </row>
    <row r="49">
      <c r="A49" s="2" t="str">
        <f>Communes_HDF!A49</f>
        <v>02051</v>
      </c>
      <c r="B49" s="2" t="str">
        <f>Communes_HDF!B49</f>
        <v>Barzy-sur-Marne</v>
      </c>
      <c r="C49" s="2" t="str">
        <f t="array" ref="C49">_xlfn.XLOOKUP(A49, INSEE_Communes!$A$2:$A$3783, INSEE_Communes!$F$2:$F$3783, "code introuvable")</f>
        <v>non publié</v>
      </c>
    </row>
    <row r="50">
      <c r="A50" s="2" t="str">
        <f>Communes_HDF!A50</f>
        <v>02052</v>
      </c>
      <c r="B50" s="2" t="str">
        <f>Communes_HDF!B50</f>
        <v>Bassoles-Aulers</v>
      </c>
      <c r="C50" s="2" t="str">
        <f t="array" ref="C50">_xlfn.XLOOKUP(A50, INSEE_Communes!$A$2:$A$3783, INSEE_Communes!$F$2:$F$3783, "code introuvable")</f>
        <v>non publié</v>
      </c>
    </row>
    <row r="51">
      <c r="A51" s="2" t="str">
        <f>Communes_HDF!A51</f>
        <v>02054</v>
      </c>
      <c r="B51" s="2" t="str">
        <f>Communes_HDF!B51</f>
        <v>Bazoches-et-Saint-Thibaut</v>
      </c>
      <c r="C51" s="2" t="str">
        <f t="array" ref="C51">_xlfn.XLOOKUP(A51, INSEE_Communes!$A$2:$A$3783, INSEE_Communes!$F$2:$F$3783, "code introuvable")</f>
        <v>non publié</v>
      </c>
    </row>
    <row r="52">
      <c r="A52" s="2" t="str">
        <f>Communes_HDF!A52</f>
        <v>02056</v>
      </c>
      <c r="B52" s="2" t="str">
        <f>Communes_HDF!B52</f>
        <v>Beaumont-en-Beine</v>
      </c>
      <c r="C52" s="2" t="str">
        <f t="array" ref="C52">_xlfn.XLOOKUP(A52, INSEE_Communes!$A$2:$A$3783, INSEE_Communes!$F$2:$F$3783, "code introuvable")</f>
        <v>non publié</v>
      </c>
    </row>
    <row r="53">
      <c r="A53" s="2" t="str">
        <f>Communes_HDF!A53</f>
        <v>02055</v>
      </c>
      <c r="B53" s="2" t="str">
        <f>Communes_HDF!B53</f>
        <v>Beaumé</v>
      </c>
      <c r="C53" s="2" t="str">
        <f t="array" ref="C53">_xlfn.XLOOKUP(A53, INSEE_Communes!$A$2:$A$3783, INSEE_Communes!$F$2:$F$3783, "code introuvable")</f>
        <v>non publié</v>
      </c>
    </row>
    <row r="54">
      <c r="A54" s="2" t="str">
        <f>Communes_HDF!A54</f>
        <v>02057</v>
      </c>
      <c r="B54" s="2" t="str">
        <f>Communes_HDF!B54</f>
        <v>Beaurevoir</v>
      </c>
      <c r="C54" s="2" t="str">
        <f t="array" ref="C54">_xlfn.XLOOKUP(A54, INSEE_Communes!$A$2:$A$3783, INSEE_Communes!$F$2:$F$3783, "code introuvable")</f>
        <v>non publié</v>
      </c>
    </row>
    <row r="55">
      <c r="A55" s="2" t="str">
        <f>Communes_HDF!A55</f>
        <v>02058</v>
      </c>
      <c r="B55" s="2" t="str">
        <f>Communes_HDF!B55</f>
        <v>Beaurieux</v>
      </c>
      <c r="C55" s="2" t="str">
        <f t="array" ref="C55">_xlfn.XLOOKUP(A55, INSEE_Communes!$A$2:$A$3783, INSEE_Communes!$F$2:$F$3783, "code introuvable")</f>
        <v>non publié</v>
      </c>
    </row>
    <row r="56">
      <c r="A56" s="2" t="str">
        <f>Communes_HDF!A56</f>
        <v>02059</v>
      </c>
      <c r="B56" s="2" t="str">
        <f>Communes_HDF!B56</f>
        <v>Beautor</v>
      </c>
      <c r="C56" s="2">
        <f t="array" ref="C56">_xlfn.XLOOKUP(A56, INSEE_Communes!$A$2:$A$3783, INSEE_Communes!$F$2:$F$3783, "code introuvable")</f>
        <v>29</v>
      </c>
    </row>
    <row r="57">
      <c r="A57" s="2" t="str">
        <f>Communes_HDF!A57</f>
        <v>02060</v>
      </c>
      <c r="B57" s="2" t="str">
        <f>Communes_HDF!B57</f>
        <v>Beauvois-en-Vermandois</v>
      </c>
      <c r="C57" s="2" t="str">
        <f t="array" ref="C57">_xlfn.XLOOKUP(A57, INSEE_Communes!$A$2:$A$3783, INSEE_Communes!$F$2:$F$3783, "code introuvable")</f>
        <v>non publié</v>
      </c>
    </row>
    <row r="58">
      <c r="A58" s="2" t="str">
        <f>Communes_HDF!A58</f>
        <v>02061</v>
      </c>
      <c r="B58" s="2" t="str">
        <f>Communes_HDF!B58</f>
        <v>Becquigny</v>
      </c>
      <c r="C58" s="2" t="str">
        <f t="array" ref="C58">_xlfn.XLOOKUP(A58, INSEE_Communes!$A$2:$A$3783, INSEE_Communes!$F$2:$F$3783, "code introuvable")</f>
        <v>non publié</v>
      </c>
    </row>
    <row r="59">
      <c r="A59" s="2" t="str">
        <f>Communes_HDF!A59</f>
        <v>02062</v>
      </c>
      <c r="B59" s="2" t="str">
        <f>Communes_HDF!B59</f>
        <v>Belleau</v>
      </c>
      <c r="C59" s="2" t="str">
        <f t="array" ref="C59">_xlfn.XLOOKUP(A59, INSEE_Communes!$A$2:$A$3783, INSEE_Communes!$F$2:$F$3783, "code introuvable")</f>
        <v>non publié</v>
      </c>
    </row>
    <row r="60">
      <c r="A60" s="2" t="str">
        <f>Communes_HDF!A60</f>
        <v>02063</v>
      </c>
      <c r="B60" s="2" t="str">
        <f>Communes_HDF!B60</f>
        <v>Bellenglise</v>
      </c>
      <c r="C60" s="2" t="str">
        <f t="array" ref="C60">_xlfn.XLOOKUP(A60, INSEE_Communes!$A$2:$A$3783, INSEE_Communes!$F$2:$F$3783, "code introuvable")</f>
        <v>non publié</v>
      </c>
    </row>
    <row r="61">
      <c r="A61" s="2" t="str">
        <f>Communes_HDF!A61</f>
        <v>02064</v>
      </c>
      <c r="B61" s="2" t="str">
        <f>Communes_HDF!B61</f>
        <v>Belleu</v>
      </c>
      <c r="C61" s="2">
        <f t="array" ref="C61">_xlfn.XLOOKUP(A61, INSEE_Communes!$A$2:$A$3783, INSEE_Communes!$F$2:$F$3783, "code introuvable")</f>
        <v>19</v>
      </c>
    </row>
    <row r="62">
      <c r="A62" s="2" t="str">
        <f>Communes_HDF!A62</f>
        <v>02065</v>
      </c>
      <c r="B62" s="2" t="str">
        <f>Communes_HDF!B62</f>
        <v>Bellicourt</v>
      </c>
      <c r="C62" s="2" t="str">
        <f t="array" ref="C62">_xlfn.XLOOKUP(A62, INSEE_Communes!$A$2:$A$3783, INSEE_Communes!$F$2:$F$3783, "code introuvable")</f>
        <v>non publié</v>
      </c>
    </row>
    <row r="63">
      <c r="A63" s="2" t="str">
        <f>Communes_HDF!A63</f>
        <v>02066</v>
      </c>
      <c r="B63" s="2" t="str">
        <f>Communes_HDF!B63</f>
        <v>Benay</v>
      </c>
      <c r="C63" s="2" t="str">
        <f t="array" ref="C63">_xlfn.XLOOKUP(A63, INSEE_Communes!$A$2:$A$3783, INSEE_Communes!$F$2:$F$3783, "code introuvable")</f>
        <v>non publié</v>
      </c>
    </row>
    <row r="64">
      <c r="A64" s="2" t="str">
        <f>Communes_HDF!A64</f>
        <v>02067</v>
      </c>
      <c r="B64" s="2" t="str">
        <f>Communes_HDF!B64</f>
        <v>Bergues-sur-Sambre</v>
      </c>
      <c r="C64" s="2" t="str">
        <f t="array" ref="C64">_xlfn.XLOOKUP(A64, INSEE_Communes!$A$2:$A$3783, INSEE_Communes!$F$2:$F$3783, "code introuvable")</f>
        <v>non publié</v>
      </c>
    </row>
    <row r="65">
      <c r="A65" s="2" t="str">
        <f>Communes_HDF!A65</f>
        <v>02068</v>
      </c>
      <c r="B65" s="2" t="str">
        <f>Communes_HDF!B65</f>
        <v>Berlancourt</v>
      </c>
      <c r="C65" s="2" t="str">
        <f t="array" ref="C65">_xlfn.XLOOKUP(A65, INSEE_Communes!$A$2:$A$3783, INSEE_Communes!$F$2:$F$3783, "code introuvable")</f>
        <v>non publié</v>
      </c>
    </row>
    <row r="66">
      <c r="A66" s="2" t="str">
        <f>Communes_HDF!A66</f>
        <v>02069</v>
      </c>
      <c r="B66" s="2" t="str">
        <f>Communes_HDF!B66</f>
        <v>Berlise</v>
      </c>
      <c r="C66" s="2" t="str">
        <f t="array" ref="C66">_xlfn.XLOOKUP(A66, INSEE_Communes!$A$2:$A$3783, INSEE_Communes!$F$2:$F$3783, "code introuvable")</f>
        <v>non publié</v>
      </c>
    </row>
    <row r="67">
      <c r="A67" s="2" t="str">
        <f>Communes_HDF!A67</f>
        <v>02070</v>
      </c>
      <c r="B67" s="2" t="str">
        <f>Communes_HDF!B67</f>
        <v>Bernot</v>
      </c>
      <c r="C67" s="2" t="str">
        <f t="array" ref="C67">_xlfn.XLOOKUP(A67, INSEE_Communes!$A$2:$A$3783, INSEE_Communes!$F$2:$F$3783, "code introuvable")</f>
        <v>non publié</v>
      </c>
    </row>
    <row r="68">
      <c r="A68" s="2" t="str">
        <f>Communes_HDF!A68</f>
        <v>02564</v>
      </c>
      <c r="B68" s="2" t="str">
        <f>Communes_HDF!B68</f>
        <v>Bernoy-le-Château</v>
      </c>
      <c r="C68" s="2" t="str">
        <f t="array" ref="C68">_xlfn.XLOOKUP(A68, INSEE_Communes!$A$2:$A$3783, INSEE_Communes!$F$2:$F$3783, "code introuvable")</f>
        <v>non publié</v>
      </c>
    </row>
    <row r="69">
      <c r="A69" s="2" t="str">
        <f>Communes_HDF!A69</f>
        <v>02071</v>
      </c>
      <c r="B69" s="2" t="str">
        <f>Communes_HDF!B69</f>
        <v>Berny-Rivière</v>
      </c>
      <c r="C69" s="2" t="str">
        <f t="array" ref="C69">_xlfn.XLOOKUP(A69, INSEE_Communes!$A$2:$A$3783, INSEE_Communes!$F$2:$F$3783, "code introuvable")</f>
        <v>non publié</v>
      </c>
    </row>
    <row r="70">
      <c r="A70" s="2" t="str">
        <f>Communes_HDF!A70</f>
        <v>02072</v>
      </c>
      <c r="B70" s="2" t="str">
        <f>Communes_HDF!B70</f>
        <v>Berrieux</v>
      </c>
      <c r="C70" s="2" t="str">
        <f t="array" ref="C70">_xlfn.XLOOKUP(A70, INSEE_Communes!$A$2:$A$3783, INSEE_Communes!$F$2:$F$3783, "code introuvable")</f>
        <v>non publié</v>
      </c>
    </row>
    <row r="71">
      <c r="A71" s="2" t="str">
        <f>Communes_HDF!A71</f>
        <v>02073</v>
      </c>
      <c r="B71" s="2" t="str">
        <f>Communes_HDF!B71</f>
        <v>Berry-au-Bac</v>
      </c>
      <c r="C71" s="2" t="str">
        <f t="array" ref="C71">_xlfn.XLOOKUP(A71, INSEE_Communes!$A$2:$A$3783, INSEE_Communes!$F$2:$F$3783, "code introuvable")</f>
        <v>non publié</v>
      </c>
    </row>
    <row r="72">
      <c r="A72" s="2" t="str">
        <f>Communes_HDF!A72</f>
        <v>02074</v>
      </c>
      <c r="B72" s="2" t="str">
        <f>Communes_HDF!B72</f>
        <v>Bertaucourt-Epourdon</v>
      </c>
      <c r="C72" s="2" t="str">
        <f t="array" ref="C72">_xlfn.XLOOKUP(A72, INSEE_Communes!$A$2:$A$3783, INSEE_Communes!$F$2:$F$3783, "code introuvable")</f>
        <v>non publié</v>
      </c>
    </row>
    <row r="73">
      <c r="A73" s="2" t="str">
        <f>Communes_HDF!A73</f>
        <v>02075</v>
      </c>
      <c r="B73" s="2" t="str">
        <f>Communes_HDF!B73</f>
        <v>Berthenicourt</v>
      </c>
      <c r="C73" s="2" t="str">
        <f t="array" ref="C73">_xlfn.XLOOKUP(A73, INSEE_Communes!$A$2:$A$3783, INSEE_Communes!$F$2:$F$3783, "code introuvable")</f>
        <v>non publié</v>
      </c>
    </row>
    <row r="74">
      <c r="A74" s="2" t="str">
        <f>Communes_HDF!A74</f>
        <v>02076</v>
      </c>
      <c r="B74" s="2" t="str">
        <f>Communes_HDF!B74</f>
        <v>Bertricourt</v>
      </c>
      <c r="C74" s="2" t="str">
        <f t="array" ref="C74">_xlfn.XLOOKUP(A74, INSEE_Communes!$A$2:$A$3783, INSEE_Communes!$F$2:$F$3783, "code introuvable")</f>
        <v>non publié</v>
      </c>
    </row>
    <row r="75">
      <c r="A75" s="2" t="str">
        <f>Communes_HDF!A75</f>
        <v>02079</v>
      </c>
      <c r="B75" s="2" t="str">
        <f>Communes_HDF!B75</f>
        <v>Besmont</v>
      </c>
      <c r="C75" s="2" t="str">
        <f t="array" ref="C75">_xlfn.XLOOKUP(A75, INSEE_Communes!$A$2:$A$3783, INSEE_Communes!$F$2:$F$3783, "code introuvable")</f>
        <v>non publié</v>
      </c>
    </row>
    <row r="76">
      <c r="A76" s="2" t="str">
        <f>Communes_HDF!A76</f>
        <v>02078</v>
      </c>
      <c r="B76" s="2" t="str">
        <f>Communes_HDF!B76</f>
        <v>Besmé</v>
      </c>
      <c r="C76" s="2" t="str">
        <f t="array" ref="C76">_xlfn.XLOOKUP(A76, INSEE_Communes!$A$2:$A$3783, INSEE_Communes!$F$2:$F$3783, "code introuvable")</f>
        <v>non publié</v>
      </c>
    </row>
    <row r="77">
      <c r="A77" s="2" t="str">
        <f>Communes_HDF!A77</f>
        <v>02080</v>
      </c>
      <c r="B77" s="2" t="str">
        <f>Communes_HDF!B77</f>
        <v>Besny-et-Loizy</v>
      </c>
      <c r="C77" s="2" t="str">
        <f t="array" ref="C77">_xlfn.XLOOKUP(A77, INSEE_Communes!$A$2:$A$3783, INSEE_Communes!$F$2:$F$3783, "code introuvable")</f>
        <v>non publié</v>
      </c>
    </row>
    <row r="78">
      <c r="A78" s="2" t="str">
        <f>Communes_HDF!A78</f>
        <v>02082</v>
      </c>
      <c r="B78" s="2" t="str">
        <f>Communes_HDF!B78</f>
        <v>Beugneux</v>
      </c>
      <c r="C78" s="2" t="str">
        <f t="array" ref="C78">_xlfn.XLOOKUP(A78, INSEE_Communes!$A$2:$A$3783, INSEE_Communes!$F$2:$F$3783, "code introuvable")</f>
        <v>non publié</v>
      </c>
    </row>
    <row r="79">
      <c r="A79" s="2" t="str">
        <f>Communes_HDF!A79</f>
        <v>02083</v>
      </c>
      <c r="B79" s="2" t="str">
        <f>Communes_HDF!B79</f>
        <v>Beuvardes</v>
      </c>
      <c r="C79" s="2" t="str">
        <f t="array" ref="C79">_xlfn.XLOOKUP(A79, INSEE_Communes!$A$2:$A$3783, INSEE_Communes!$F$2:$F$3783, "code introuvable")</f>
        <v>non publié</v>
      </c>
    </row>
    <row r="80">
      <c r="A80" s="2" t="str">
        <f>Communes_HDF!A80</f>
        <v>02086</v>
      </c>
      <c r="B80" s="2" t="str">
        <f>Communes_HDF!B80</f>
        <v>Bichancourt</v>
      </c>
      <c r="C80" s="2" t="str">
        <f t="array" ref="C80">_xlfn.XLOOKUP(A80, INSEE_Communes!$A$2:$A$3783, INSEE_Communes!$F$2:$F$3783, "code introuvable")</f>
        <v>non publié</v>
      </c>
    </row>
    <row r="81">
      <c r="A81" s="2" t="str">
        <f>Communes_HDF!A81</f>
        <v>02087</v>
      </c>
      <c r="B81" s="2" t="str">
        <f>Communes_HDF!B81</f>
        <v>Bieuxy</v>
      </c>
      <c r="C81" s="2" t="str">
        <f t="array" ref="C81">_xlfn.XLOOKUP(A81, INSEE_Communes!$A$2:$A$3783, INSEE_Communes!$F$2:$F$3783, "code introuvable")</f>
        <v>non publié</v>
      </c>
    </row>
    <row r="82">
      <c r="A82" s="2" t="str">
        <f>Communes_HDF!A82</f>
        <v>02089</v>
      </c>
      <c r="B82" s="2" t="str">
        <f>Communes_HDF!B82</f>
        <v>Billy-sur-Aisne</v>
      </c>
      <c r="C82" s="2" t="str">
        <f t="array" ref="C82">_xlfn.XLOOKUP(A82, INSEE_Communes!$A$2:$A$3783, INSEE_Communes!$F$2:$F$3783, "code introuvable")</f>
        <v>non publié</v>
      </c>
    </row>
    <row r="83">
      <c r="A83" s="2" t="str">
        <f>Communes_HDF!A83</f>
        <v>02090</v>
      </c>
      <c r="B83" s="2" t="str">
        <f>Communes_HDF!B83</f>
        <v>Billy-sur-Ourcq</v>
      </c>
      <c r="C83" s="2" t="str">
        <f t="array" ref="C83">_xlfn.XLOOKUP(A83, INSEE_Communes!$A$2:$A$3783, INSEE_Communes!$F$2:$F$3783, "code introuvable")</f>
        <v>non publié</v>
      </c>
    </row>
    <row r="84">
      <c r="A84" s="2" t="str">
        <f>Communes_HDF!A84</f>
        <v>02088</v>
      </c>
      <c r="B84" s="2" t="str">
        <f>Communes_HDF!B84</f>
        <v>Bièvres</v>
      </c>
      <c r="C84" s="2" t="str">
        <f t="array" ref="C84">_xlfn.XLOOKUP(A84, INSEE_Communes!$A$2:$A$3783, INSEE_Communes!$F$2:$F$3783, "code introuvable")</f>
        <v>non publié</v>
      </c>
    </row>
    <row r="85">
      <c r="A85" s="2" t="str">
        <f>Communes_HDF!A85</f>
        <v>02091</v>
      </c>
      <c r="B85" s="2" t="str">
        <f>Communes_HDF!B85</f>
        <v>Blanzy-lès-Fismes</v>
      </c>
      <c r="C85" s="2" t="str">
        <f t="array" ref="C85">_xlfn.XLOOKUP(A85, INSEE_Communes!$A$2:$A$3783, INSEE_Communes!$F$2:$F$3783, "code introuvable")</f>
        <v>non publié</v>
      </c>
    </row>
    <row r="86">
      <c r="A86" s="2" t="str">
        <f>Communes_HDF!A86</f>
        <v>02094</v>
      </c>
      <c r="B86" s="2" t="str">
        <f>Communes_HDF!B86</f>
        <v>Blesmes</v>
      </c>
      <c r="C86" s="2" t="str">
        <f t="array" ref="C86">_xlfn.XLOOKUP(A86, INSEE_Communes!$A$2:$A$3783, INSEE_Communes!$F$2:$F$3783, "code introuvable")</f>
        <v>non publié</v>
      </c>
    </row>
    <row r="87">
      <c r="A87" s="2" t="str">
        <f>Communes_HDF!A87</f>
        <v>02093</v>
      </c>
      <c r="B87" s="2" t="str">
        <f>Communes_HDF!B87</f>
        <v>Blérancourt</v>
      </c>
      <c r="C87" s="2" t="str">
        <f t="array" ref="C87">_xlfn.XLOOKUP(A87, INSEE_Communes!$A$2:$A$3783, INSEE_Communes!$F$2:$F$3783, "code introuvable")</f>
        <v>non publié</v>
      </c>
    </row>
    <row r="88">
      <c r="A88" s="2" t="str">
        <f>Communes_HDF!A88</f>
        <v>02095</v>
      </c>
      <c r="B88" s="2" t="str">
        <f>Communes_HDF!B88</f>
        <v>Bohain-en-Vermandois</v>
      </c>
      <c r="C88" s="2">
        <f t="array" ref="C88">_xlfn.XLOOKUP(A88, INSEE_Communes!$A$2:$A$3783, INSEE_Communes!$F$2:$F$3783, "code introuvable")</f>
        <v>39</v>
      </c>
    </row>
    <row r="89">
      <c r="A89" s="2" t="str">
        <f>Communes_HDF!A89</f>
        <v>02096</v>
      </c>
      <c r="B89" s="2" t="str">
        <f>Communes_HDF!B89</f>
        <v>Bois-lès-Pargny</v>
      </c>
      <c r="C89" s="2" t="str">
        <f t="array" ref="C89">_xlfn.XLOOKUP(A89, INSEE_Communes!$A$2:$A$3783, INSEE_Communes!$F$2:$F$3783, "code introuvable")</f>
        <v>non publié</v>
      </c>
    </row>
    <row r="90">
      <c r="A90" s="2" t="str">
        <f>Communes_HDF!A90</f>
        <v>02097</v>
      </c>
      <c r="B90" s="2" t="str">
        <f>Communes_HDF!B90</f>
        <v>Boncourt</v>
      </c>
      <c r="C90" s="2" t="str">
        <f t="array" ref="C90">_xlfn.XLOOKUP(A90, INSEE_Communes!$A$2:$A$3783, INSEE_Communes!$F$2:$F$3783, "code introuvable")</f>
        <v>non publié</v>
      </c>
    </row>
    <row r="91">
      <c r="A91" s="2" t="str">
        <f>Communes_HDF!A91</f>
        <v>02098</v>
      </c>
      <c r="B91" s="2" t="str">
        <f>Communes_HDF!B91</f>
        <v>Bonneil</v>
      </c>
      <c r="C91" s="2" t="str">
        <f t="array" ref="C91">_xlfn.XLOOKUP(A91, INSEE_Communes!$A$2:$A$3783, INSEE_Communes!$F$2:$F$3783, "code introuvable")</f>
        <v>non publié</v>
      </c>
    </row>
    <row r="92">
      <c r="A92" s="2" t="str">
        <f>Communes_HDF!A92</f>
        <v>02099</v>
      </c>
      <c r="B92" s="2" t="str">
        <f>Communes_HDF!B92</f>
        <v>Bonnesvalyn</v>
      </c>
      <c r="C92" s="2" t="str">
        <f t="array" ref="C92">_xlfn.XLOOKUP(A92, INSEE_Communes!$A$2:$A$3783, INSEE_Communes!$F$2:$F$3783, "code introuvable")</f>
        <v>non publié</v>
      </c>
    </row>
    <row r="93">
      <c r="A93" s="2" t="str">
        <f>Communes_HDF!A93</f>
        <v>02100</v>
      </c>
      <c r="B93" s="2" t="str">
        <f>Communes_HDF!B93</f>
        <v>Bony</v>
      </c>
      <c r="C93" s="2" t="str">
        <f t="array" ref="C93">_xlfn.XLOOKUP(A93, INSEE_Communes!$A$2:$A$3783, INSEE_Communes!$F$2:$F$3783, "code introuvable")</f>
        <v>non publié</v>
      </c>
    </row>
    <row r="94">
      <c r="A94" s="2" t="str">
        <f>Communes_HDF!A94</f>
        <v>02101</v>
      </c>
      <c r="B94" s="2" t="str">
        <f>Communes_HDF!B94</f>
        <v>Bosmont-sur-Serre</v>
      </c>
      <c r="C94" s="2" t="str">
        <f t="array" ref="C94">_xlfn.XLOOKUP(A94, INSEE_Communes!$A$2:$A$3783, INSEE_Communes!$F$2:$F$3783, "code introuvable")</f>
        <v>non publié</v>
      </c>
    </row>
    <row r="95">
      <c r="A95" s="2" t="str">
        <f>Communes_HDF!A95</f>
        <v>02102</v>
      </c>
      <c r="B95" s="2" t="str">
        <f>Communes_HDF!B95</f>
        <v>Bouconville-Vauclair</v>
      </c>
      <c r="C95" s="2" t="str">
        <f t="array" ref="C95">_xlfn.XLOOKUP(A95, INSEE_Communes!$A$2:$A$3783, INSEE_Communes!$F$2:$F$3783, "code introuvable")</f>
        <v>non publié</v>
      </c>
    </row>
    <row r="96">
      <c r="A96" s="2" t="str">
        <f>Communes_HDF!A96</f>
        <v>02104</v>
      </c>
      <c r="B96" s="2" t="str">
        <f>Communes_HDF!B96</f>
        <v>Bouffignereux</v>
      </c>
      <c r="C96" s="2" t="str">
        <f t="array" ref="C96">_xlfn.XLOOKUP(A96, INSEE_Communes!$A$2:$A$3783, INSEE_Communes!$F$2:$F$3783, "code introuvable")</f>
        <v>non publié</v>
      </c>
    </row>
    <row r="97">
      <c r="A97" s="2" t="str">
        <f>Communes_HDF!A97</f>
        <v>02105</v>
      </c>
      <c r="B97" s="2" t="str">
        <f>Communes_HDF!B97</f>
        <v>Bouresches</v>
      </c>
      <c r="C97" s="2" t="str">
        <f t="array" ref="C97">_xlfn.XLOOKUP(A97, INSEE_Communes!$A$2:$A$3783, INSEE_Communes!$F$2:$F$3783, "code introuvable")</f>
        <v>non publié</v>
      </c>
    </row>
    <row r="98">
      <c r="A98" s="2" t="str">
        <f>Communes_HDF!A98</f>
        <v>02106</v>
      </c>
      <c r="B98" s="2" t="str">
        <f>Communes_HDF!B98</f>
        <v>Bourg-et-Comin</v>
      </c>
      <c r="C98" s="2" t="str">
        <f t="array" ref="C98">_xlfn.XLOOKUP(A98, INSEE_Communes!$A$2:$A$3783, INSEE_Communes!$F$2:$F$3783, "code introuvable")</f>
        <v>non publié</v>
      </c>
    </row>
    <row r="99">
      <c r="A99" s="2" t="str">
        <f>Communes_HDF!A99</f>
        <v>02107</v>
      </c>
      <c r="B99" s="2" t="str">
        <f>Communes_HDF!B99</f>
        <v>Bourguignon-sous-Coucy</v>
      </c>
      <c r="C99" s="2" t="str">
        <f t="array" ref="C99">_xlfn.XLOOKUP(A99, INSEE_Communes!$A$2:$A$3783, INSEE_Communes!$F$2:$F$3783, "code introuvable")</f>
        <v>non publié</v>
      </c>
    </row>
    <row r="100">
      <c r="A100" s="2" t="str">
        <f>Communes_HDF!A100</f>
        <v>02108</v>
      </c>
      <c r="B100" s="2" t="str">
        <f>Communes_HDF!B100</f>
        <v>Bourguignon-sous-Montbavin</v>
      </c>
      <c r="C100" s="2" t="str">
        <f t="array" ref="C100">_xlfn.XLOOKUP(A100, INSEE_Communes!$A$2:$A$3783, INSEE_Communes!$F$2:$F$3783, "code introuvable")</f>
        <v>non publié</v>
      </c>
    </row>
    <row r="101">
      <c r="A101" s="2" t="str">
        <f>Communes_HDF!A101</f>
        <v>02103</v>
      </c>
      <c r="B101" s="2" t="str">
        <f>Communes_HDF!B101</f>
        <v>Boué</v>
      </c>
      <c r="C101" s="2" t="str">
        <f t="array" ref="C101">_xlfn.XLOOKUP(A101, INSEE_Communes!$A$2:$A$3783, INSEE_Communes!$F$2:$F$3783, "code introuvable")</f>
        <v>non publié</v>
      </c>
    </row>
    <row r="102">
      <c r="A102" s="2" t="str">
        <f>Communes_HDF!A102</f>
        <v>02110</v>
      </c>
      <c r="B102" s="2" t="str">
        <f>Communes_HDF!B102</f>
        <v>Braine</v>
      </c>
      <c r="C102" s="2">
        <f t="array" ref="C102">_xlfn.XLOOKUP(A102, INSEE_Communes!$A$2:$A$3783, INSEE_Communes!$F$2:$F$3783, "code introuvable")</f>
        <v>22</v>
      </c>
    </row>
    <row r="103">
      <c r="A103" s="2" t="str">
        <f>Communes_HDF!A103</f>
        <v>02111</v>
      </c>
      <c r="B103" s="2" t="str">
        <f>Communes_HDF!B103</f>
        <v>Brancourt-en-Laonnois</v>
      </c>
      <c r="C103" s="2" t="str">
        <f t="array" ref="C103">_xlfn.XLOOKUP(A103, INSEE_Communes!$A$2:$A$3783, INSEE_Communes!$F$2:$F$3783, "code introuvable")</f>
        <v>non publié</v>
      </c>
    </row>
    <row r="104">
      <c r="A104" s="2" t="str">
        <f>Communes_HDF!A104</f>
        <v>02112</v>
      </c>
      <c r="B104" s="2" t="str">
        <f>Communes_HDF!B104</f>
        <v>Brancourt-le-Grand</v>
      </c>
      <c r="C104" s="2" t="str">
        <f t="array" ref="C104">_xlfn.XLOOKUP(A104, INSEE_Communes!$A$2:$A$3783, INSEE_Communes!$F$2:$F$3783, "code introuvable")</f>
        <v>non publié</v>
      </c>
    </row>
    <row r="105">
      <c r="A105" s="2" t="str">
        <f>Communes_HDF!A105</f>
        <v>02114</v>
      </c>
      <c r="B105" s="2" t="str">
        <f>Communes_HDF!B105</f>
        <v>Brasles</v>
      </c>
      <c r="C105" s="2" t="str">
        <f t="array" ref="C105">_xlfn.XLOOKUP(A105, INSEE_Communes!$A$2:$A$3783, INSEE_Communes!$F$2:$F$3783, "code introuvable")</f>
        <v>non publié</v>
      </c>
    </row>
    <row r="106">
      <c r="A106" s="2" t="str">
        <f>Communes_HDF!A106</f>
        <v>02117</v>
      </c>
      <c r="B106" s="2" t="str">
        <f>Communes_HDF!B106</f>
        <v>Bray-Saint-Christophe</v>
      </c>
      <c r="C106" s="2" t="str">
        <f t="array" ref="C106">_xlfn.XLOOKUP(A106, INSEE_Communes!$A$2:$A$3783, INSEE_Communes!$F$2:$F$3783, "code introuvable")</f>
        <v>non publié</v>
      </c>
    </row>
    <row r="107">
      <c r="A107" s="2" t="str">
        <f>Communes_HDF!A107</f>
        <v>02118</v>
      </c>
      <c r="B107" s="2" t="str">
        <f>Communes_HDF!B107</f>
        <v>Braye</v>
      </c>
      <c r="C107" s="2" t="str">
        <f t="array" ref="C107">_xlfn.XLOOKUP(A107, INSEE_Communes!$A$2:$A$3783, INSEE_Communes!$F$2:$F$3783, "code introuvable")</f>
        <v>non publié</v>
      </c>
    </row>
    <row r="108">
      <c r="A108" s="2" t="str">
        <f>Communes_HDF!A108</f>
        <v>02115</v>
      </c>
      <c r="B108" s="2" t="str">
        <f>Communes_HDF!B108</f>
        <v>Braye-en-Laonnois</v>
      </c>
      <c r="C108" s="2" t="str">
        <f t="array" ref="C108">_xlfn.XLOOKUP(A108, INSEE_Communes!$A$2:$A$3783, INSEE_Communes!$F$2:$F$3783, "code introuvable")</f>
        <v>non publié</v>
      </c>
    </row>
    <row r="109">
      <c r="A109" s="2" t="str">
        <f>Communes_HDF!A109</f>
        <v>02116</v>
      </c>
      <c r="B109" s="2" t="str">
        <f>Communes_HDF!B109</f>
        <v>Braye-en-Thiérache</v>
      </c>
      <c r="C109" s="2" t="str">
        <f t="array" ref="C109">_xlfn.XLOOKUP(A109, INSEE_Communes!$A$2:$A$3783, INSEE_Communes!$F$2:$F$3783, "code introuvable")</f>
        <v>non publié</v>
      </c>
    </row>
    <row r="110">
      <c r="A110" s="2" t="str">
        <f>Communes_HDF!A110</f>
        <v>02120</v>
      </c>
      <c r="B110" s="2" t="str">
        <f>Communes_HDF!B110</f>
        <v>Brenelle</v>
      </c>
      <c r="C110" s="2" t="str">
        <f t="array" ref="C110">_xlfn.XLOOKUP(A110, INSEE_Communes!$A$2:$A$3783, INSEE_Communes!$F$2:$F$3783, "code introuvable")</f>
        <v>non publié</v>
      </c>
    </row>
    <row r="111">
      <c r="A111" s="2" t="str">
        <f>Communes_HDF!A111</f>
        <v>02121</v>
      </c>
      <c r="B111" s="2" t="str">
        <f>Communes_HDF!B111</f>
        <v>Breny</v>
      </c>
      <c r="C111" s="2" t="str">
        <f t="array" ref="C111">_xlfn.XLOOKUP(A111, INSEE_Communes!$A$2:$A$3783, INSEE_Communes!$F$2:$F$3783, "code introuvable")</f>
        <v>non publié</v>
      </c>
    </row>
    <row r="112">
      <c r="A112" s="2" t="str">
        <f>Communes_HDF!A112</f>
        <v>02122</v>
      </c>
      <c r="B112" s="2" t="str">
        <f>Communes_HDF!B112</f>
        <v>Brie</v>
      </c>
      <c r="C112" s="2" t="str">
        <f t="array" ref="C112">_xlfn.XLOOKUP(A112, INSEE_Communes!$A$2:$A$3783, INSEE_Communes!$F$2:$F$3783, "code introuvable")</f>
        <v>non publié</v>
      </c>
    </row>
    <row r="113">
      <c r="A113" s="2" t="str">
        <f>Communes_HDF!A113</f>
        <v>02123</v>
      </c>
      <c r="B113" s="2" t="str">
        <f>Communes_HDF!B113</f>
        <v>Brissay-Choigny</v>
      </c>
      <c r="C113" s="2" t="str">
        <f t="array" ref="C113">_xlfn.XLOOKUP(A113, INSEE_Communes!$A$2:$A$3783, INSEE_Communes!$F$2:$F$3783, "code introuvable")</f>
        <v>non publié</v>
      </c>
    </row>
    <row r="114">
      <c r="A114" s="2" t="str">
        <f>Communes_HDF!A114</f>
        <v>02124</v>
      </c>
      <c r="B114" s="2" t="str">
        <f>Communes_HDF!B114</f>
        <v>Brissy-Hamégicourt</v>
      </c>
      <c r="C114" s="2" t="str">
        <f t="array" ref="C114">_xlfn.XLOOKUP(A114, INSEE_Communes!$A$2:$A$3783, INSEE_Communes!$F$2:$F$3783, "code introuvable")</f>
        <v>non publié</v>
      </c>
    </row>
    <row r="115">
      <c r="A115" s="2" t="str">
        <f>Communes_HDF!A115</f>
        <v>02125</v>
      </c>
      <c r="B115" s="2" t="str">
        <f>Communes_HDF!B115</f>
        <v>Brumetz</v>
      </c>
      <c r="C115" s="2" t="str">
        <f t="array" ref="C115">_xlfn.XLOOKUP(A115, INSEE_Communes!$A$2:$A$3783, INSEE_Communes!$F$2:$F$3783, "code introuvable")</f>
        <v>non publié</v>
      </c>
    </row>
    <row r="116">
      <c r="A116" s="2" t="str">
        <f>Communes_HDF!A116</f>
        <v>02126</v>
      </c>
      <c r="B116" s="2" t="str">
        <f>Communes_HDF!B116</f>
        <v>Brunehamel</v>
      </c>
      <c r="C116" s="2" t="str">
        <f t="array" ref="C116">_xlfn.XLOOKUP(A116, INSEE_Communes!$A$2:$A$3783, INSEE_Communes!$F$2:$F$3783, "code introuvable")</f>
        <v>non publié</v>
      </c>
    </row>
    <row r="117">
      <c r="A117" s="2" t="str">
        <f>Communes_HDF!A117</f>
        <v>02129</v>
      </c>
      <c r="B117" s="2" t="str">
        <f>Communes_HDF!B117</f>
        <v>Bruys</v>
      </c>
      <c r="C117" s="2" t="str">
        <f t="array" ref="C117">_xlfn.XLOOKUP(A117, INSEE_Communes!$A$2:$A$3783, INSEE_Communes!$F$2:$F$3783, "code introuvable")</f>
        <v>non publié</v>
      </c>
    </row>
    <row r="118">
      <c r="A118" s="2" t="str">
        <f>Communes_HDF!A118</f>
        <v>02128</v>
      </c>
      <c r="B118" s="2" t="str">
        <f>Communes_HDF!B118</f>
        <v>Bruyères-et-Montbérault</v>
      </c>
      <c r="C118" s="2" t="str">
        <f t="array" ref="C118">_xlfn.XLOOKUP(A118, INSEE_Communes!$A$2:$A$3783, INSEE_Communes!$F$2:$F$3783, "code introuvable")</f>
        <v>non publié</v>
      </c>
    </row>
    <row r="119">
      <c r="A119" s="2" t="str">
        <f>Communes_HDF!A119</f>
        <v>02127</v>
      </c>
      <c r="B119" s="2" t="str">
        <f>Communes_HDF!B119</f>
        <v>Bruyères-sur-Fère</v>
      </c>
      <c r="C119" s="2" t="str">
        <f t="array" ref="C119">_xlfn.XLOOKUP(A119, INSEE_Communes!$A$2:$A$3783, INSEE_Communes!$F$2:$F$3783, "code introuvable")</f>
        <v>non publié</v>
      </c>
    </row>
    <row r="120">
      <c r="A120" s="2" t="str">
        <f>Communes_HDF!A120</f>
        <v>02119</v>
      </c>
      <c r="B120" s="2" t="str">
        <f>Communes_HDF!B120</f>
        <v>Brécy</v>
      </c>
      <c r="C120" s="2" t="str">
        <f t="array" ref="C120">_xlfn.XLOOKUP(A120, INSEE_Communes!$A$2:$A$3783, INSEE_Communes!$F$2:$F$3783, "code introuvable")</f>
        <v>non publié</v>
      </c>
    </row>
    <row r="121">
      <c r="A121" s="2" t="str">
        <f>Communes_HDF!A121</f>
        <v>02130</v>
      </c>
      <c r="B121" s="2" t="str">
        <f>Communes_HDF!B121</f>
        <v>Bucilly</v>
      </c>
      <c r="C121" s="2" t="str">
        <f t="array" ref="C121">_xlfn.XLOOKUP(A121, INSEE_Communes!$A$2:$A$3783, INSEE_Communes!$F$2:$F$3783, "code introuvable")</f>
        <v>non publié</v>
      </c>
    </row>
    <row r="122">
      <c r="A122" s="2" t="str">
        <f>Communes_HDF!A122</f>
        <v>02131</v>
      </c>
      <c r="B122" s="2" t="str">
        <f>Communes_HDF!B122</f>
        <v>Bucy-le-Long</v>
      </c>
      <c r="C122" s="2" t="str">
        <f t="array" ref="C122">_xlfn.XLOOKUP(A122, INSEE_Communes!$A$2:$A$3783, INSEE_Communes!$F$2:$F$3783, "code introuvable")</f>
        <v>non publié</v>
      </c>
    </row>
    <row r="123">
      <c r="A123" s="2" t="str">
        <f>Communes_HDF!A123</f>
        <v>02132</v>
      </c>
      <c r="B123" s="2" t="str">
        <f>Communes_HDF!B123</f>
        <v>Bucy-lès-Cerny</v>
      </c>
      <c r="C123" s="2" t="str">
        <f t="array" ref="C123">_xlfn.XLOOKUP(A123, INSEE_Communes!$A$2:$A$3783, INSEE_Communes!$F$2:$F$3783, "code introuvable")</f>
        <v>non publié</v>
      </c>
    </row>
    <row r="124">
      <c r="A124" s="2" t="str">
        <f>Communes_HDF!A124</f>
        <v>02133</v>
      </c>
      <c r="B124" s="2" t="str">
        <f>Communes_HDF!B124</f>
        <v>Bucy-lès-Pierrepont</v>
      </c>
      <c r="C124" s="2" t="str">
        <f t="array" ref="C124">_xlfn.XLOOKUP(A124, INSEE_Communes!$A$2:$A$3783, INSEE_Communes!$F$2:$F$3783, "code introuvable")</f>
        <v>non publié</v>
      </c>
    </row>
    <row r="125">
      <c r="A125" s="2" t="str">
        <f>Communes_HDF!A125</f>
        <v>02134</v>
      </c>
      <c r="B125" s="2" t="str">
        <f>Communes_HDF!B125</f>
        <v>Buire</v>
      </c>
      <c r="C125" s="2" t="str">
        <f t="array" ref="C125">_xlfn.XLOOKUP(A125, INSEE_Communes!$A$2:$A$3783, INSEE_Communes!$F$2:$F$3783, "code introuvable")</f>
        <v>non publié</v>
      </c>
    </row>
    <row r="126">
      <c r="A126" s="2" t="str">
        <f>Communes_HDF!A126</f>
        <v>02135</v>
      </c>
      <c r="B126" s="2" t="str">
        <f>Communes_HDF!B126</f>
        <v>Buironfosse</v>
      </c>
      <c r="C126" s="2" t="str">
        <f t="array" ref="C126">_xlfn.XLOOKUP(A126, INSEE_Communes!$A$2:$A$3783, INSEE_Communes!$F$2:$F$3783, "code introuvable")</f>
        <v>non publié</v>
      </c>
    </row>
    <row r="127">
      <c r="A127" s="2" t="str">
        <f>Communes_HDF!A127</f>
        <v>02136</v>
      </c>
      <c r="B127" s="2" t="str">
        <f>Communes_HDF!B127</f>
        <v>Burelles</v>
      </c>
      <c r="C127" s="2" t="str">
        <f t="array" ref="C127">_xlfn.XLOOKUP(A127, INSEE_Communes!$A$2:$A$3783, INSEE_Communes!$F$2:$F$3783, "code introuvable")</f>
        <v>non publié</v>
      </c>
    </row>
    <row r="128">
      <c r="A128" s="2" t="str">
        <f>Communes_HDF!A128</f>
        <v>02137</v>
      </c>
      <c r="B128" s="2" t="str">
        <f>Communes_HDF!B128</f>
        <v>Bussiares</v>
      </c>
      <c r="C128" s="2" t="str">
        <f t="array" ref="C128">_xlfn.XLOOKUP(A128, INSEE_Communes!$A$2:$A$3783, INSEE_Communes!$F$2:$F$3783, "code introuvable")</f>
        <v>non publié</v>
      </c>
    </row>
    <row r="129">
      <c r="A129" s="2" t="str">
        <f>Communes_HDF!A129</f>
        <v>02138</v>
      </c>
      <c r="B129" s="2" t="str">
        <f>Communes_HDF!B129</f>
        <v>Buzancy</v>
      </c>
      <c r="C129" s="2" t="str">
        <f t="array" ref="C129">_xlfn.XLOOKUP(A129, INSEE_Communes!$A$2:$A$3783, INSEE_Communes!$F$2:$F$3783, "code introuvable")</f>
        <v>non publié</v>
      </c>
    </row>
    <row r="130">
      <c r="A130" s="2" t="str">
        <f>Communes_HDF!A130</f>
        <v>02081</v>
      </c>
      <c r="B130" s="2" t="str">
        <f>Communes_HDF!B130</f>
        <v>Béthancourt-en-Vaux</v>
      </c>
      <c r="C130" s="2" t="str">
        <f t="array" ref="C130">_xlfn.XLOOKUP(A130, INSEE_Communes!$A$2:$A$3783, INSEE_Communes!$F$2:$F$3783, "code introuvable")</f>
        <v>non publié</v>
      </c>
    </row>
    <row r="131">
      <c r="A131" s="2" t="str">
        <f>Communes_HDF!A131</f>
        <v>02085</v>
      </c>
      <c r="B131" s="2" t="str">
        <f>Communes_HDF!B131</f>
        <v>Bézu-Saint-Germain</v>
      </c>
      <c r="C131" s="2" t="str">
        <f t="array" ref="C131">_xlfn.XLOOKUP(A131, INSEE_Communes!$A$2:$A$3783, INSEE_Communes!$F$2:$F$3783, "code introuvable")</f>
        <v>non publié</v>
      </c>
    </row>
    <row r="132">
      <c r="A132" s="2" t="str">
        <f>Communes_HDF!A132</f>
        <v>02084</v>
      </c>
      <c r="B132" s="2" t="str">
        <f>Communes_HDF!B132</f>
        <v>Bézu-le-Guéry</v>
      </c>
      <c r="C132" s="2" t="str">
        <f t="array" ref="C132">_xlfn.XLOOKUP(A132, INSEE_Communes!$A$2:$A$3783, INSEE_Communes!$F$2:$F$3783, "code introuvable")</f>
        <v>non publié</v>
      </c>
    </row>
    <row r="133">
      <c r="A133" s="2" t="str">
        <f>Communes_HDF!A133</f>
        <v>02139</v>
      </c>
      <c r="B133" s="2" t="str">
        <f>Communes_HDF!B133</f>
        <v>Caillouël-Crépigny</v>
      </c>
      <c r="C133" s="2" t="str">
        <f t="array" ref="C133">_xlfn.XLOOKUP(A133, INSEE_Communes!$A$2:$A$3783, INSEE_Communes!$F$2:$F$3783, "code introuvable")</f>
        <v>non publié</v>
      </c>
    </row>
    <row r="134">
      <c r="A134" s="2" t="str">
        <f>Communes_HDF!A134</f>
        <v>02140</v>
      </c>
      <c r="B134" s="2" t="str">
        <f>Communes_HDF!B134</f>
        <v>Camelin</v>
      </c>
      <c r="C134" s="2" t="str">
        <f t="array" ref="C134">_xlfn.XLOOKUP(A134, INSEE_Communes!$A$2:$A$3783, INSEE_Communes!$F$2:$F$3783, "code introuvable")</f>
        <v>non publié</v>
      </c>
    </row>
    <row r="135">
      <c r="A135" s="2" t="str">
        <f>Communes_HDF!A135</f>
        <v>02142</v>
      </c>
      <c r="B135" s="2" t="str">
        <f>Communes_HDF!B135</f>
        <v>Castres</v>
      </c>
      <c r="C135" s="2" t="str">
        <f t="array" ref="C135">_xlfn.XLOOKUP(A135, INSEE_Communes!$A$2:$A$3783, INSEE_Communes!$F$2:$F$3783, "code introuvable")</f>
        <v>non publié</v>
      </c>
    </row>
    <row r="136">
      <c r="A136" s="2" t="str">
        <f>Communes_HDF!A136</f>
        <v>02144</v>
      </c>
      <c r="B136" s="2" t="str">
        <f>Communes_HDF!B136</f>
        <v>Caulaincourt</v>
      </c>
      <c r="C136" s="2" t="str">
        <f t="array" ref="C136">_xlfn.XLOOKUP(A136, INSEE_Communes!$A$2:$A$3783, INSEE_Communes!$F$2:$F$3783, "code introuvable")</f>
        <v>non publié</v>
      </c>
    </row>
    <row r="137">
      <c r="A137" s="2" t="str">
        <f>Communes_HDF!A137</f>
        <v>02145</v>
      </c>
      <c r="B137" s="2" t="str">
        <f>Communes_HDF!B137</f>
        <v>Caumont</v>
      </c>
      <c r="C137" s="2" t="str">
        <f t="array" ref="C137">_xlfn.XLOOKUP(A137, INSEE_Communes!$A$2:$A$3783, INSEE_Communes!$F$2:$F$3783, "code introuvable")</f>
        <v>non publié</v>
      </c>
    </row>
    <row r="138">
      <c r="A138" s="2" t="str">
        <f>Communes_HDF!A138</f>
        <v>02146</v>
      </c>
      <c r="B138" s="2" t="str">
        <f>Communes_HDF!B138</f>
        <v>Celles-lès-Condé</v>
      </c>
      <c r="C138" s="2" t="str">
        <f t="array" ref="C138">_xlfn.XLOOKUP(A138, INSEE_Communes!$A$2:$A$3783, INSEE_Communes!$F$2:$F$3783, "code introuvable")</f>
        <v>non publié</v>
      </c>
    </row>
    <row r="139">
      <c r="A139" s="2" t="str">
        <f>Communes_HDF!A139</f>
        <v>02148</v>
      </c>
      <c r="B139" s="2" t="str">
        <f>Communes_HDF!B139</f>
        <v>Celles-sur-Aisne</v>
      </c>
      <c r="C139" s="2" t="str">
        <f t="array" ref="C139">_xlfn.XLOOKUP(A139, INSEE_Communes!$A$2:$A$3783, INSEE_Communes!$F$2:$F$3783, "code introuvable")</f>
        <v>non publié</v>
      </c>
    </row>
    <row r="140">
      <c r="A140" s="2" t="str">
        <f>Communes_HDF!A140</f>
        <v>02149</v>
      </c>
      <c r="B140" s="2" t="str">
        <f>Communes_HDF!B140</f>
        <v>Cerizy</v>
      </c>
      <c r="C140" s="2" t="str">
        <f t="array" ref="C140">_xlfn.XLOOKUP(A140, INSEE_Communes!$A$2:$A$3783, INSEE_Communes!$F$2:$F$3783, "code introuvable")</f>
        <v>non publié</v>
      </c>
    </row>
    <row r="141">
      <c r="A141" s="2" t="str">
        <f>Communes_HDF!A141</f>
        <v>02150</v>
      </c>
      <c r="B141" s="2" t="str">
        <f>Communes_HDF!B141</f>
        <v>Cerny-en-Laonnois</v>
      </c>
      <c r="C141" s="2" t="str">
        <f t="array" ref="C141">_xlfn.XLOOKUP(A141, INSEE_Communes!$A$2:$A$3783, INSEE_Communes!$F$2:$F$3783, "code introuvable")</f>
        <v>non publié</v>
      </c>
    </row>
    <row r="142">
      <c r="A142" s="2" t="str">
        <f>Communes_HDF!A142</f>
        <v>02151</v>
      </c>
      <c r="B142" s="2" t="str">
        <f>Communes_HDF!B142</f>
        <v>Cerny-lès-Bucy</v>
      </c>
      <c r="C142" s="2" t="str">
        <f t="array" ref="C142">_xlfn.XLOOKUP(A142, INSEE_Communes!$A$2:$A$3783, INSEE_Communes!$F$2:$F$3783, "code introuvable")</f>
        <v>non publié</v>
      </c>
    </row>
    <row r="143">
      <c r="A143" s="2" t="str">
        <f>Communes_HDF!A143</f>
        <v>02152</v>
      </c>
      <c r="B143" s="2" t="str">
        <f>Communes_HDF!B143</f>
        <v>Cerseuil</v>
      </c>
      <c r="C143" s="2" t="str">
        <f t="array" ref="C143">_xlfn.XLOOKUP(A143, INSEE_Communes!$A$2:$A$3783, INSEE_Communes!$F$2:$F$3783, "code introuvable")</f>
        <v>non publié</v>
      </c>
    </row>
    <row r="144">
      <c r="A144" s="2" t="str">
        <f>Communes_HDF!A144</f>
        <v>02153</v>
      </c>
      <c r="B144" s="2" t="str">
        <f>Communes_HDF!B144</f>
        <v>Cessières-Suzy</v>
      </c>
      <c r="C144" s="2" t="str">
        <f t="array" ref="C144">_xlfn.XLOOKUP(A144, INSEE_Communes!$A$2:$A$3783, INSEE_Communes!$F$2:$F$3783, "code introuvable")</f>
        <v>non publié</v>
      </c>
    </row>
    <row r="145">
      <c r="A145" s="2" t="str">
        <f>Communes_HDF!A145</f>
        <v>02154</v>
      </c>
      <c r="B145" s="2" t="str">
        <f>Communes_HDF!B145</f>
        <v>Chacrise</v>
      </c>
      <c r="C145" s="2" t="str">
        <f t="array" ref="C145">_xlfn.XLOOKUP(A145, INSEE_Communes!$A$2:$A$3783, INSEE_Communes!$F$2:$F$3783, "code introuvable")</f>
        <v>non publié</v>
      </c>
    </row>
    <row r="146">
      <c r="A146" s="2" t="str">
        <f>Communes_HDF!A146</f>
        <v>02155</v>
      </c>
      <c r="B146" s="2" t="str">
        <f>Communes_HDF!B146</f>
        <v>Chaillevois</v>
      </c>
      <c r="C146" s="2" t="str">
        <f t="array" ref="C146">_xlfn.XLOOKUP(A146, INSEE_Communes!$A$2:$A$3783, INSEE_Communes!$F$2:$F$3783, "code introuvable")</f>
        <v>non publié</v>
      </c>
    </row>
    <row r="147">
      <c r="A147" s="2" t="str">
        <f>Communes_HDF!A147</f>
        <v>02156</v>
      </c>
      <c r="B147" s="2" t="str">
        <f>Communes_HDF!B147</f>
        <v>Chalandry</v>
      </c>
      <c r="C147" s="2" t="str">
        <f t="array" ref="C147">_xlfn.XLOOKUP(A147, INSEE_Communes!$A$2:$A$3783, INSEE_Communes!$F$2:$F$3783, "code introuvable")</f>
        <v>non publié</v>
      </c>
    </row>
    <row r="148">
      <c r="A148" s="2" t="str">
        <f>Communes_HDF!A148</f>
        <v>02157</v>
      </c>
      <c r="B148" s="2" t="str">
        <f>Communes_HDF!B148</f>
        <v>Chambry</v>
      </c>
      <c r="C148" s="2" t="str">
        <f t="array" ref="C148">_xlfn.XLOOKUP(A148, INSEE_Communes!$A$2:$A$3783, INSEE_Communes!$F$2:$F$3783, "code introuvable")</f>
        <v>non publié</v>
      </c>
    </row>
    <row r="149">
      <c r="A149" s="2" t="str">
        <f>Communes_HDF!A149</f>
        <v>02158</v>
      </c>
      <c r="B149" s="2" t="str">
        <f>Communes_HDF!B149</f>
        <v>Chamouille</v>
      </c>
      <c r="C149" s="2" t="str">
        <f t="array" ref="C149">_xlfn.XLOOKUP(A149, INSEE_Communes!$A$2:$A$3783, INSEE_Communes!$F$2:$F$3783, "code introuvable")</f>
        <v>non publié</v>
      </c>
    </row>
    <row r="150">
      <c r="A150" s="2" t="str">
        <f>Communes_HDF!A150</f>
        <v>02159</v>
      </c>
      <c r="B150" s="2" t="str">
        <f>Communes_HDF!B150</f>
        <v>Champs</v>
      </c>
      <c r="C150" s="2" t="str">
        <f t="array" ref="C150">_xlfn.XLOOKUP(A150, INSEE_Communes!$A$2:$A$3783, INSEE_Communes!$F$2:$F$3783, "code introuvable")</f>
        <v>non publié</v>
      </c>
    </row>
    <row r="151">
      <c r="A151" s="2" t="str">
        <f>Communes_HDF!A151</f>
        <v>02160</v>
      </c>
      <c r="B151" s="2" t="str">
        <f>Communes_HDF!B151</f>
        <v>Chaourse</v>
      </c>
      <c r="C151" s="2" t="str">
        <f t="array" ref="C151">_xlfn.XLOOKUP(A151, INSEE_Communes!$A$2:$A$3783, INSEE_Communes!$F$2:$F$3783, "code introuvable")</f>
        <v>non publié</v>
      </c>
    </row>
    <row r="152">
      <c r="A152" s="2" t="str">
        <f>Communes_HDF!A152</f>
        <v>02163</v>
      </c>
      <c r="B152" s="2" t="str">
        <f>Communes_HDF!B152</f>
        <v>Charly-sur-Marne</v>
      </c>
      <c r="C152" s="2">
        <f t="array" ref="C152">_xlfn.XLOOKUP(A152, INSEE_Communes!$A$2:$A$3783, INSEE_Communes!$F$2:$F$3783, "code introuvable")</f>
        <v>17</v>
      </c>
    </row>
    <row r="153">
      <c r="A153" s="2" t="str">
        <f>Communes_HDF!A153</f>
        <v>02165</v>
      </c>
      <c r="B153" s="2" t="str">
        <f>Communes_HDF!B153</f>
        <v>Charmes</v>
      </c>
      <c r="C153" s="2" t="str">
        <f t="array" ref="C153">_xlfn.XLOOKUP(A153, INSEE_Communes!$A$2:$A$3783, INSEE_Communes!$F$2:$F$3783, "code introuvable")</f>
        <v>non publié</v>
      </c>
    </row>
    <row r="154">
      <c r="A154" s="2" t="str">
        <f>Communes_HDF!A154</f>
        <v>02166</v>
      </c>
      <c r="B154" s="2" t="str">
        <f>Communes_HDF!B154</f>
        <v>Chartèves</v>
      </c>
      <c r="C154" s="2" t="str">
        <f t="array" ref="C154">_xlfn.XLOOKUP(A154, INSEE_Communes!$A$2:$A$3783, INSEE_Communes!$F$2:$F$3783, "code introuvable")</f>
        <v>non publié</v>
      </c>
    </row>
    <row r="155">
      <c r="A155" s="2" t="str">
        <f>Communes_HDF!A155</f>
        <v>02167</v>
      </c>
      <c r="B155" s="2" t="str">
        <f>Communes_HDF!B155</f>
        <v>Chassemy</v>
      </c>
      <c r="C155" s="2" t="str">
        <f t="array" ref="C155">_xlfn.XLOOKUP(A155, INSEE_Communes!$A$2:$A$3783, INSEE_Communes!$F$2:$F$3783, "code introuvable")</f>
        <v>non publié</v>
      </c>
    </row>
    <row r="156">
      <c r="A156" s="2" t="str">
        <f>Communes_HDF!A156</f>
        <v>02171</v>
      </c>
      <c r="B156" s="2" t="str">
        <f>Communes_HDF!B156</f>
        <v>Chaudardes</v>
      </c>
      <c r="C156" s="2" t="str">
        <f t="array" ref="C156">_xlfn.XLOOKUP(A156, INSEE_Communes!$A$2:$A$3783, INSEE_Communes!$F$2:$F$3783, "code introuvable")</f>
        <v>non publié</v>
      </c>
    </row>
    <row r="157">
      <c r="A157" s="2" t="str">
        <f>Communes_HDF!A157</f>
        <v>02172</v>
      </c>
      <c r="B157" s="2" t="str">
        <f>Communes_HDF!B157</f>
        <v>Chaudun</v>
      </c>
      <c r="C157" s="2" t="str">
        <f t="array" ref="C157">_xlfn.XLOOKUP(A157, INSEE_Communes!$A$2:$A$3783, INSEE_Communes!$F$2:$F$3783, "code introuvable")</f>
        <v>non publié</v>
      </c>
    </row>
    <row r="158">
      <c r="A158" s="2" t="str">
        <f>Communes_HDF!A158</f>
        <v>02173</v>
      </c>
      <c r="B158" s="2" t="str">
        <f>Communes_HDF!B158</f>
        <v>Chauny</v>
      </c>
      <c r="C158" s="2">
        <f t="array" ref="C158">_xlfn.XLOOKUP(A158, INSEE_Communes!$A$2:$A$3783, INSEE_Communes!$F$2:$F$3783, "code introuvable")</f>
        <v>30</v>
      </c>
    </row>
    <row r="159">
      <c r="A159" s="2" t="str">
        <f>Communes_HDF!A159</f>
        <v>02174</v>
      </c>
      <c r="B159" s="2" t="str">
        <f>Communes_HDF!B159</f>
        <v>Chavignon</v>
      </c>
      <c r="C159" s="2" t="str">
        <f t="array" ref="C159">_xlfn.XLOOKUP(A159, INSEE_Communes!$A$2:$A$3783, INSEE_Communes!$F$2:$F$3783, "code introuvable")</f>
        <v>non publié</v>
      </c>
    </row>
    <row r="160">
      <c r="A160" s="2" t="str">
        <f>Communes_HDF!A160</f>
        <v>02175</v>
      </c>
      <c r="B160" s="2" t="str">
        <f>Communes_HDF!B160</f>
        <v>Chavigny</v>
      </c>
      <c r="C160" s="2" t="str">
        <f t="array" ref="C160">_xlfn.XLOOKUP(A160, INSEE_Communes!$A$2:$A$3783, INSEE_Communes!$F$2:$F$3783, "code introuvable")</f>
        <v>non publié</v>
      </c>
    </row>
    <row r="161">
      <c r="A161" s="2" t="str">
        <f>Communes_HDF!A161</f>
        <v>02176</v>
      </c>
      <c r="B161" s="2" t="str">
        <f>Communes_HDF!B161</f>
        <v>Chavonne</v>
      </c>
      <c r="C161" s="2" t="str">
        <f t="array" ref="C161">_xlfn.XLOOKUP(A161, INSEE_Communes!$A$2:$A$3783, INSEE_Communes!$F$2:$F$3783, "code introuvable")</f>
        <v>non publié</v>
      </c>
    </row>
    <row r="162">
      <c r="A162" s="2" t="str">
        <f>Communes_HDF!A162</f>
        <v>02178</v>
      </c>
      <c r="B162" s="2" t="str">
        <f>Communes_HDF!B162</f>
        <v>Chermizy-Ailles</v>
      </c>
      <c r="C162" s="2" t="str">
        <f t="array" ref="C162">_xlfn.XLOOKUP(A162, INSEE_Communes!$A$2:$A$3783, INSEE_Communes!$F$2:$F$3783, "code introuvable")</f>
        <v>non publié</v>
      </c>
    </row>
    <row r="163">
      <c r="A163" s="2" t="str">
        <f>Communes_HDF!A163</f>
        <v>02182</v>
      </c>
      <c r="B163" s="2" t="str">
        <f>Communes_HDF!B163</f>
        <v>Chevennes</v>
      </c>
      <c r="C163" s="2" t="str">
        <f t="array" ref="C163">_xlfn.XLOOKUP(A163, INSEE_Communes!$A$2:$A$3783, INSEE_Communes!$F$2:$F$3783, "code introuvable")</f>
        <v>non publié</v>
      </c>
    </row>
    <row r="164">
      <c r="A164" s="2" t="str">
        <f>Communes_HDF!A164</f>
        <v>02183</v>
      </c>
      <c r="B164" s="2" t="str">
        <f>Communes_HDF!B164</f>
        <v>Chevregny</v>
      </c>
      <c r="C164" s="2" t="str">
        <f t="array" ref="C164">_xlfn.XLOOKUP(A164, INSEE_Communes!$A$2:$A$3783, INSEE_Communes!$F$2:$F$3783, "code introuvable")</f>
        <v>non publié</v>
      </c>
    </row>
    <row r="165">
      <c r="A165" s="2" t="str">
        <f>Communes_HDF!A165</f>
        <v>02184</v>
      </c>
      <c r="B165" s="2" t="str">
        <f>Communes_HDF!B165</f>
        <v>Chevresis-Monceau</v>
      </c>
      <c r="C165" s="2" t="str">
        <f t="array" ref="C165">_xlfn.XLOOKUP(A165, INSEE_Communes!$A$2:$A$3783, INSEE_Communes!$F$2:$F$3783, "code introuvable")</f>
        <v>non publié</v>
      </c>
    </row>
    <row r="166">
      <c r="A166" s="2" t="str">
        <f>Communes_HDF!A166</f>
        <v>02187</v>
      </c>
      <c r="B166" s="2" t="str">
        <f>Communes_HDF!B166</f>
        <v>Chierry</v>
      </c>
      <c r="C166" s="2" t="str">
        <f t="array" ref="C166">_xlfn.XLOOKUP(A166, INSEE_Communes!$A$2:$A$3783, INSEE_Communes!$F$2:$F$3783, "code introuvable")</f>
        <v>non publié</v>
      </c>
    </row>
    <row r="167">
      <c r="A167" s="2" t="str">
        <f>Communes_HDF!A167</f>
        <v>02188</v>
      </c>
      <c r="B167" s="2" t="str">
        <f>Communes_HDF!B167</f>
        <v>Chigny</v>
      </c>
      <c r="C167" s="2" t="str">
        <f t="array" ref="C167">_xlfn.XLOOKUP(A167, INSEE_Communes!$A$2:$A$3783, INSEE_Communes!$F$2:$F$3783, "code introuvable")</f>
        <v>non publié</v>
      </c>
    </row>
    <row r="168">
      <c r="A168" s="2" t="str">
        <f>Communes_HDF!A168</f>
        <v>02190</v>
      </c>
      <c r="B168" s="2" t="str">
        <f>Communes_HDF!B168</f>
        <v>Chivres-Val</v>
      </c>
      <c r="C168" s="2" t="str">
        <f t="array" ref="C168">_xlfn.XLOOKUP(A168, INSEE_Communes!$A$2:$A$3783, INSEE_Communes!$F$2:$F$3783, "code introuvable")</f>
        <v>non publié</v>
      </c>
    </row>
    <row r="169">
      <c r="A169" s="2" t="str">
        <f>Communes_HDF!A169</f>
        <v>02189</v>
      </c>
      <c r="B169" s="2" t="str">
        <f>Communes_HDF!B169</f>
        <v>Chivres-en-Laonnois</v>
      </c>
      <c r="C169" s="2" t="str">
        <f t="array" ref="C169">_xlfn.XLOOKUP(A169, INSEE_Communes!$A$2:$A$3783, INSEE_Communes!$F$2:$F$3783, "code introuvable")</f>
        <v>non publié</v>
      </c>
    </row>
    <row r="170">
      <c r="A170" s="2" t="str">
        <f>Communes_HDF!A170</f>
        <v>02191</v>
      </c>
      <c r="B170" s="2" t="str">
        <f>Communes_HDF!B170</f>
        <v>Chivy-lès-Étouvelles</v>
      </c>
      <c r="C170" s="2" t="str">
        <f t="array" ref="C170">_xlfn.XLOOKUP(A170, INSEE_Communes!$A$2:$A$3783, INSEE_Communes!$F$2:$F$3783, "code introuvable")</f>
        <v>non publié</v>
      </c>
    </row>
    <row r="171">
      <c r="A171" s="2" t="str">
        <f>Communes_HDF!A171</f>
        <v>02192</v>
      </c>
      <c r="B171" s="2" t="str">
        <f>Communes_HDF!B171</f>
        <v>Chouy</v>
      </c>
      <c r="C171" s="2" t="str">
        <f t="array" ref="C171">_xlfn.XLOOKUP(A171, INSEE_Communes!$A$2:$A$3783, INSEE_Communes!$F$2:$F$3783, "code introuvable")</f>
        <v>non publié</v>
      </c>
    </row>
    <row r="172">
      <c r="A172" s="2" t="str">
        <f>Communes_HDF!A172</f>
        <v>02168</v>
      </c>
      <c r="B172" s="2" t="str">
        <f>Communes_HDF!B172</f>
        <v>Château-Thierry</v>
      </c>
      <c r="C172" s="2">
        <f t="array" ref="C172">_xlfn.XLOOKUP(A172, INSEE_Communes!$A$2:$A$3783, INSEE_Communes!$F$2:$F$3783, "code introuvable")</f>
        <v>29</v>
      </c>
    </row>
    <row r="173">
      <c r="A173" s="2" t="str">
        <f>Communes_HDF!A173</f>
        <v>02169</v>
      </c>
      <c r="B173" s="2" t="str">
        <f>Communes_HDF!B173</f>
        <v>Châtillon-lès-Sons</v>
      </c>
      <c r="C173" s="2" t="str">
        <f t="array" ref="C173">_xlfn.XLOOKUP(A173, INSEE_Communes!$A$2:$A$3783, INSEE_Communes!$F$2:$F$3783, "code introuvable")</f>
        <v>non publié</v>
      </c>
    </row>
    <row r="174">
      <c r="A174" s="2" t="str">
        <f>Communes_HDF!A174</f>
        <v>02170</v>
      </c>
      <c r="B174" s="2" t="str">
        <f>Communes_HDF!B174</f>
        <v>Châtillon-sur-Oise</v>
      </c>
      <c r="C174" s="2" t="str">
        <f t="array" ref="C174">_xlfn.XLOOKUP(A174, INSEE_Communes!$A$2:$A$3783, INSEE_Communes!$F$2:$F$3783, "code introuvable")</f>
        <v>non publié</v>
      </c>
    </row>
    <row r="175">
      <c r="A175" s="2" t="str">
        <f>Communes_HDF!A175</f>
        <v>02179</v>
      </c>
      <c r="B175" s="2" t="str">
        <f>Communes_HDF!B175</f>
        <v>Chéry-Chartreuve</v>
      </c>
      <c r="C175" s="2" t="str">
        <f t="array" ref="C175">_xlfn.XLOOKUP(A175, INSEE_Communes!$A$2:$A$3783, INSEE_Communes!$F$2:$F$3783, "code introuvable")</f>
        <v>non publié</v>
      </c>
    </row>
    <row r="176">
      <c r="A176" s="2" t="str">
        <f>Communes_HDF!A176</f>
        <v>02180</v>
      </c>
      <c r="B176" s="2" t="str">
        <f>Communes_HDF!B176</f>
        <v>Chéry-lès-Pouilly</v>
      </c>
      <c r="C176" s="2" t="str">
        <f t="array" ref="C176">_xlfn.XLOOKUP(A176, INSEE_Communes!$A$2:$A$3783, INSEE_Communes!$F$2:$F$3783, "code introuvable")</f>
        <v>non publié</v>
      </c>
    </row>
    <row r="177">
      <c r="A177" s="2" t="str">
        <f>Communes_HDF!A177</f>
        <v>02181</v>
      </c>
      <c r="B177" s="2" t="str">
        <f>Communes_HDF!B177</f>
        <v>Chéry-lès-Rozoy</v>
      </c>
      <c r="C177" s="2" t="str">
        <f t="array" ref="C177">_xlfn.XLOOKUP(A177, INSEE_Communes!$A$2:$A$3783, INSEE_Communes!$F$2:$F$3783, "code introuvable")</f>
        <v>non publié</v>
      </c>
    </row>
    <row r="178">
      <c r="A178" s="2" t="str">
        <f>Communes_HDF!A178</f>
        <v>02177</v>
      </c>
      <c r="B178" s="2" t="str">
        <f>Communes_HDF!B178</f>
        <v>Chérêt</v>
      </c>
      <c r="C178" s="2" t="str">
        <f t="array" ref="C178">_xlfn.XLOOKUP(A178, INSEE_Communes!$A$2:$A$3783, INSEE_Communes!$F$2:$F$3783, "code introuvable")</f>
        <v>non publié</v>
      </c>
    </row>
    <row r="179">
      <c r="A179" s="2" t="str">
        <f>Communes_HDF!A179</f>
        <v>02185</v>
      </c>
      <c r="B179" s="2" t="str">
        <f>Communes_HDF!B179</f>
        <v>Chézy-en-Orxois</v>
      </c>
      <c r="C179" s="2" t="str">
        <f t="array" ref="C179">_xlfn.XLOOKUP(A179, INSEE_Communes!$A$2:$A$3783, INSEE_Communes!$F$2:$F$3783, "code introuvable")</f>
        <v>non publié</v>
      </c>
    </row>
    <row r="180">
      <c r="A180" s="2" t="str">
        <f>Communes_HDF!A180</f>
        <v>02186</v>
      </c>
      <c r="B180" s="2" t="str">
        <f>Communes_HDF!B180</f>
        <v>Chézy-sur-Marne</v>
      </c>
      <c r="C180" s="2" t="str">
        <f t="array" ref="C180">_xlfn.XLOOKUP(A180, INSEE_Communes!$A$2:$A$3783, INSEE_Communes!$F$2:$F$3783, "code introuvable")</f>
        <v>non publié</v>
      </c>
    </row>
    <row r="181">
      <c r="A181" s="2" t="str">
        <f>Communes_HDF!A181</f>
        <v>02193</v>
      </c>
      <c r="B181" s="2" t="str">
        <f>Communes_HDF!B181</f>
        <v>Cierges</v>
      </c>
      <c r="C181" s="2" t="str">
        <f t="array" ref="C181">_xlfn.XLOOKUP(A181, INSEE_Communes!$A$2:$A$3783, INSEE_Communes!$F$2:$F$3783, "code introuvable")</f>
        <v>non publié</v>
      </c>
    </row>
    <row r="182">
      <c r="A182" s="2" t="str">
        <f>Communes_HDF!A182</f>
        <v>02194</v>
      </c>
      <c r="B182" s="2" t="str">
        <f>Communes_HDF!B182</f>
        <v>Cilly</v>
      </c>
      <c r="C182" s="2" t="str">
        <f t="array" ref="C182">_xlfn.XLOOKUP(A182, INSEE_Communes!$A$2:$A$3783, INSEE_Communes!$F$2:$F$3783, "code introuvable")</f>
        <v>non publié</v>
      </c>
    </row>
    <row r="183">
      <c r="A183" s="2" t="str">
        <f>Communes_HDF!A183</f>
        <v>02195</v>
      </c>
      <c r="B183" s="2" t="str">
        <f>Communes_HDF!B183</f>
        <v>Ciry-Salsogne</v>
      </c>
      <c r="C183" s="2" t="str">
        <f t="array" ref="C183">_xlfn.XLOOKUP(A183, INSEE_Communes!$A$2:$A$3783, INSEE_Communes!$F$2:$F$3783, "code introuvable")</f>
        <v>non publié</v>
      </c>
    </row>
    <row r="184">
      <c r="A184" s="2" t="str">
        <f>Communes_HDF!A184</f>
        <v>02196</v>
      </c>
      <c r="B184" s="2" t="str">
        <f>Communes_HDF!B184</f>
        <v>Clacy-et-Thierret</v>
      </c>
      <c r="C184" s="2" t="str">
        <f t="array" ref="C184">_xlfn.XLOOKUP(A184, INSEE_Communes!$A$2:$A$3783, INSEE_Communes!$F$2:$F$3783, "code introuvable")</f>
        <v>non publié</v>
      </c>
    </row>
    <row r="185">
      <c r="A185" s="2" t="str">
        <f>Communes_HDF!A185</f>
        <v>02197</v>
      </c>
      <c r="B185" s="2" t="str">
        <f>Communes_HDF!B185</f>
        <v>Clairfontaine</v>
      </c>
      <c r="C185" s="2" t="str">
        <f t="array" ref="C185">_xlfn.XLOOKUP(A185, INSEE_Communes!$A$2:$A$3783, INSEE_Communes!$F$2:$F$3783, "code introuvable")</f>
        <v>non publié</v>
      </c>
    </row>
    <row r="186">
      <c r="A186" s="2" t="str">
        <f>Communes_HDF!A186</f>
        <v>02198</v>
      </c>
      <c r="B186" s="2" t="str">
        <f>Communes_HDF!B186</f>
        <v>Clamecy</v>
      </c>
      <c r="C186" s="2" t="str">
        <f t="array" ref="C186">_xlfn.XLOOKUP(A186, INSEE_Communes!$A$2:$A$3783, INSEE_Communes!$F$2:$F$3783, "code introuvable")</f>
        <v>non publié</v>
      </c>
    </row>
    <row r="187">
      <c r="A187" s="2" t="str">
        <f>Communes_HDF!A187</f>
        <v>02199</v>
      </c>
      <c r="B187" s="2" t="str">
        <f>Communes_HDF!B187</f>
        <v>Clastres</v>
      </c>
      <c r="C187" s="2" t="str">
        <f t="array" ref="C187">_xlfn.XLOOKUP(A187, INSEE_Communes!$A$2:$A$3783, INSEE_Communes!$F$2:$F$3783, "code introuvable")</f>
        <v>non publié</v>
      </c>
    </row>
    <row r="188">
      <c r="A188" s="2" t="str">
        <f>Communes_HDF!A188</f>
        <v>02200</v>
      </c>
      <c r="B188" s="2" t="str">
        <f>Communes_HDF!B188</f>
        <v>Clermont-les-Fermes</v>
      </c>
      <c r="C188" s="2" t="str">
        <f t="array" ref="C188">_xlfn.XLOOKUP(A188, INSEE_Communes!$A$2:$A$3783, INSEE_Communes!$F$2:$F$3783, "code introuvable")</f>
        <v>non publié</v>
      </c>
    </row>
    <row r="189">
      <c r="A189" s="2" t="str">
        <f>Communes_HDF!A189</f>
        <v>02203</v>
      </c>
      <c r="B189" s="2" t="str">
        <f>Communes_HDF!B189</f>
        <v>Coincy</v>
      </c>
      <c r="C189" s="2" t="str">
        <f t="array" ref="C189">_xlfn.XLOOKUP(A189, INSEE_Communes!$A$2:$A$3783, INSEE_Communes!$F$2:$F$3783, "code introuvable")</f>
        <v>non publié</v>
      </c>
    </row>
    <row r="190">
      <c r="A190" s="2" t="str">
        <f>Communes_HDF!A190</f>
        <v>02204</v>
      </c>
      <c r="B190" s="2" t="str">
        <f>Communes_HDF!B190</f>
        <v>Coingt</v>
      </c>
      <c r="C190" s="2" t="str">
        <f t="array" ref="C190">_xlfn.XLOOKUP(A190, INSEE_Communes!$A$2:$A$3783, INSEE_Communes!$F$2:$F$3783, "code introuvable")</f>
        <v>non publié</v>
      </c>
    </row>
    <row r="191">
      <c r="A191" s="2" t="str">
        <f>Communes_HDF!A191</f>
        <v>02205</v>
      </c>
      <c r="B191" s="2" t="str">
        <f>Communes_HDF!B191</f>
        <v>Colligis-Crandelain</v>
      </c>
      <c r="C191" s="2" t="str">
        <f t="array" ref="C191">_xlfn.XLOOKUP(A191, INSEE_Communes!$A$2:$A$3783, INSEE_Communes!$F$2:$F$3783, "code introuvable")</f>
        <v>non publié</v>
      </c>
    </row>
    <row r="192">
      <c r="A192" s="2" t="str">
        <f>Communes_HDF!A192</f>
        <v>02206</v>
      </c>
      <c r="B192" s="2" t="str">
        <f>Communes_HDF!B192</f>
        <v>Colonfay</v>
      </c>
      <c r="C192" s="2" t="str">
        <f t="array" ref="C192">_xlfn.XLOOKUP(A192, INSEE_Communes!$A$2:$A$3783, INSEE_Communes!$F$2:$F$3783, "code introuvable")</f>
        <v>non publié</v>
      </c>
    </row>
    <row r="193">
      <c r="A193" s="2" t="str">
        <f>Communes_HDF!A193</f>
        <v>02207</v>
      </c>
      <c r="B193" s="2" t="str">
        <f>Communes_HDF!B193</f>
        <v>Commenchon</v>
      </c>
      <c r="C193" s="2" t="str">
        <f t="array" ref="C193">_xlfn.XLOOKUP(A193, INSEE_Communes!$A$2:$A$3783, INSEE_Communes!$F$2:$F$3783, "code introuvable")</f>
        <v>non publié</v>
      </c>
    </row>
    <row r="194">
      <c r="A194" s="2" t="str">
        <f>Communes_HDF!A194</f>
        <v>02208</v>
      </c>
      <c r="B194" s="2" t="str">
        <f>Communes_HDF!B194</f>
        <v>Concevreux</v>
      </c>
      <c r="C194" s="2" t="str">
        <f t="array" ref="C194">_xlfn.XLOOKUP(A194, INSEE_Communes!$A$2:$A$3783, INSEE_Communes!$F$2:$F$3783, "code introuvable")</f>
        <v>non publié</v>
      </c>
    </row>
    <row r="195">
      <c r="A195" s="2" t="str">
        <f>Communes_HDF!A195</f>
        <v>02212</v>
      </c>
      <c r="B195" s="2" t="str">
        <f>Communes_HDF!B195</f>
        <v>Condren</v>
      </c>
      <c r="C195" s="2" t="str">
        <f t="array" ref="C195">_xlfn.XLOOKUP(A195, INSEE_Communes!$A$2:$A$3783, INSEE_Communes!$F$2:$F$3783, "code introuvable")</f>
        <v>non publié</v>
      </c>
    </row>
    <row r="196">
      <c r="A196" s="2" t="str">
        <f>Communes_HDF!A196</f>
        <v>02209</v>
      </c>
      <c r="B196" s="2" t="str">
        <f>Communes_HDF!B196</f>
        <v>Condé-en-Brie</v>
      </c>
      <c r="C196" s="2" t="str">
        <f t="array" ref="C196">_xlfn.XLOOKUP(A196, INSEE_Communes!$A$2:$A$3783, INSEE_Communes!$F$2:$F$3783, "code introuvable")</f>
        <v>non publié</v>
      </c>
    </row>
    <row r="197">
      <c r="A197" s="2" t="str">
        <f>Communes_HDF!A197</f>
        <v>02210</v>
      </c>
      <c r="B197" s="2" t="str">
        <f>Communes_HDF!B197</f>
        <v>Condé-sur-Aisne</v>
      </c>
      <c r="C197" s="2" t="str">
        <f t="array" ref="C197">_xlfn.XLOOKUP(A197, INSEE_Communes!$A$2:$A$3783, INSEE_Communes!$F$2:$F$3783, "code introuvable")</f>
        <v>non publié</v>
      </c>
    </row>
    <row r="198">
      <c r="A198" s="2" t="str">
        <f>Communes_HDF!A198</f>
        <v>02211</v>
      </c>
      <c r="B198" s="2" t="str">
        <f>Communes_HDF!B198</f>
        <v>Condé-sur-Suippe</v>
      </c>
      <c r="C198" s="2" t="str">
        <f t="array" ref="C198">_xlfn.XLOOKUP(A198, INSEE_Communes!$A$2:$A$3783, INSEE_Communes!$F$2:$F$3783, "code introuvable")</f>
        <v>non publié</v>
      </c>
    </row>
    <row r="199">
      <c r="A199" s="2" t="str">
        <f>Communes_HDF!A199</f>
        <v>02213</v>
      </c>
      <c r="B199" s="2" t="str">
        <f>Communes_HDF!B199</f>
        <v>Connigis</v>
      </c>
      <c r="C199" s="2" t="str">
        <f t="array" ref="C199">_xlfn.XLOOKUP(A199, INSEE_Communes!$A$2:$A$3783, INSEE_Communes!$F$2:$F$3783, "code introuvable")</f>
        <v>non publié</v>
      </c>
    </row>
    <row r="200">
      <c r="A200" s="2" t="str">
        <f>Communes_HDF!A200</f>
        <v>02214</v>
      </c>
      <c r="B200" s="2" t="str">
        <f>Communes_HDF!B200</f>
        <v>Contescourt</v>
      </c>
      <c r="C200" s="2" t="str">
        <f t="array" ref="C200">_xlfn.XLOOKUP(A200, INSEE_Communes!$A$2:$A$3783, INSEE_Communes!$F$2:$F$3783, "code introuvable")</f>
        <v>non publié</v>
      </c>
    </row>
    <row r="201">
      <c r="A201" s="2" t="str">
        <f>Communes_HDF!A201</f>
        <v>02215</v>
      </c>
      <c r="B201" s="2" t="str">
        <f>Communes_HDF!B201</f>
        <v>Corbeny</v>
      </c>
      <c r="C201" s="2" t="str">
        <f t="array" ref="C201">_xlfn.XLOOKUP(A201, INSEE_Communes!$A$2:$A$3783, INSEE_Communes!$F$2:$F$3783, "code introuvable")</f>
        <v>non publié</v>
      </c>
    </row>
    <row r="202">
      <c r="A202" s="2" t="str">
        <f>Communes_HDF!A202</f>
        <v>02216</v>
      </c>
      <c r="B202" s="2" t="str">
        <f>Communes_HDF!B202</f>
        <v>Corcy</v>
      </c>
      <c r="C202" s="2" t="str">
        <f t="array" ref="C202">_xlfn.XLOOKUP(A202, INSEE_Communes!$A$2:$A$3783, INSEE_Communes!$F$2:$F$3783, "code introuvable")</f>
        <v>non publié</v>
      </c>
    </row>
    <row r="203">
      <c r="A203" s="2" t="str">
        <f>Communes_HDF!A203</f>
        <v>02219</v>
      </c>
      <c r="B203" s="2" t="str">
        <f>Communes_HDF!B203</f>
        <v>Coucy-la-Ville</v>
      </c>
      <c r="C203" s="2" t="str">
        <f t="array" ref="C203">_xlfn.XLOOKUP(A203, INSEE_Communes!$A$2:$A$3783, INSEE_Communes!$F$2:$F$3783, "code introuvable")</f>
        <v>non publié</v>
      </c>
    </row>
    <row r="204">
      <c r="A204" s="2" t="str">
        <f>Communes_HDF!A204</f>
        <v>02217</v>
      </c>
      <c r="B204" s="2" t="str">
        <f>Communes_HDF!B204</f>
        <v>Coucy-le-Château-Auffrique</v>
      </c>
      <c r="C204" s="2" t="str">
        <f t="array" ref="C204">_xlfn.XLOOKUP(A204, INSEE_Communes!$A$2:$A$3783, INSEE_Communes!$F$2:$F$3783, "code introuvable")</f>
        <v>non publié</v>
      </c>
    </row>
    <row r="205">
      <c r="A205" s="2" t="str">
        <f>Communes_HDF!A205</f>
        <v>02218</v>
      </c>
      <c r="B205" s="2" t="str">
        <f>Communes_HDF!B205</f>
        <v>Coucy-lès-Eppes</v>
      </c>
      <c r="C205" s="2" t="str">
        <f t="array" ref="C205">_xlfn.XLOOKUP(A205, INSEE_Communes!$A$2:$A$3783, INSEE_Communes!$F$2:$F$3783, "code introuvable")</f>
        <v>non publié</v>
      </c>
    </row>
    <row r="206">
      <c r="A206" s="2" t="str">
        <f>Communes_HDF!A206</f>
        <v>02220</v>
      </c>
      <c r="B206" s="2" t="str">
        <f>Communes_HDF!B206</f>
        <v>Coulonges-Cohan</v>
      </c>
      <c r="C206" s="2" t="str">
        <f t="array" ref="C206">_xlfn.XLOOKUP(A206, INSEE_Communes!$A$2:$A$3783, INSEE_Communes!$F$2:$F$3783, "code introuvable")</f>
        <v>non publié</v>
      </c>
    </row>
    <row r="207">
      <c r="A207" s="2" t="str">
        <f>Communes_HDF!A207</f>
        <v>02221</v>
      </c>
      <c r="B207" s="2" t="str">
        <f>Communes_HDF!B207</f>
        <v>Coupru</v>
      </c>
      <c r="C207" s="2" t="str">
        <f t="array" ref="C207">_xlfn.XLOOKUP(A207, INSEE_Communes!$A$2:$A$3783, INSEE_Communes!$F$2:$F$3783, "code introuvable")</f>
        <v>non publié</v>
      </c>
    </row>
    <row r="208">
      <c r="A208" s="2" t="str">
        <f>Communes_HDF!A208</f>
        <v>02222</v>
      </c>
      <c r="B208" s="2" t="str">
        <f>Communes_HDF!B208</f>
        <v>Courbes</v>
      </c>
      <c r="C208" s="2" t="str">
        <f t="array" ref="C208">_xlfn.XLOOKUP(A208, INSEE_Communes!$A$2:$A$3783, INSEE_Communes!$F$2:$F$3783, "code introuvable")</f>
        <v>non publié</v>
      </c>
    </row>
    <row r="209">
      <c r="A209" s="2" t="str">
        <f>Communes_HDF!A209</f>
        <v>02223</v>
      </c>
      <c r="B209" s="2" t="str">
        <f>Communes_HDF!B209</f>
        <v>Courboin</v>
      </c>
      <c r="C209" s="2" t="str">
        <f t="array" ref="C209">_xlfn.XLOOKUP(A209, INSEE_Communes!$A$2:$A$3783, INSEE_Communes!$F$2:$F$3783, "code introuvable")</f>
        <v>non publié</v>
      </c>
    </row>
    <row r="210">
      <c r="A210" s="2" t="str">
        <f>Communes_HDF!A210</f>
        <v>02224</v>
      </c>
      <c r="B210" s="2" t="str">
        <f>Communes_HDF!B210</f>
        <v>Courcelles-sur-Vesle</v>
      </c>
      <c r="C210" s="2" t="str">
        <f t="array" ref="C210">_xlfn.XLOOKUP(A210, INSEE_Communes!$A$2:$A$3783, INSEE_Communes!$F$2:$F$3783, "code introuvable")</f>
        <v>non publié</v>
      </c>
    </row>
    <row r="211">
      <c r="A211" s="2" t="str">
        <f>Communes_HDF!A211</f>
        <v>02225</v>
      </c>
      <c r="B211" s="2" t="str">
        <f>Communes_HDF!B211</f>
        <v>Courchamps</v>
      </c>
      <c r="C211" s="2" t="str">
        <f t="array" ref="C211">_xlfn.XLOOKUP(A211, INSEE_Communes!$A$2:$A$3783, INSEE_Communes!$F$2:$F$3783, "code introuvable")</f>
        <v>non publié</v>
      </c>
    </row>
    <row r="212">
      <c r="A212" s="2" t="str">
        <f>Communes_HDF!A212</f>
        <v>02226</v>
      </c>
      <c r="B212" s="2" t="str">
        <f>Communes_HDF!B212</f>
        <v>Courmelles</v>
      </c>
      <c r="C212" s="2" t="str">
        <f t="array" ref="C212">_xlfn.XLOOKUP(A212, INSEE_Communes!$A$2:$A$3783, INSEE_Communes!$F$2:$F$3783, "code introuvable")</f>
        <v>non publié</v>
      </c>
    </row>
    <row r="213">
      <c r="A213" s="2" t="str">
        <f>Communes_HDF!A213</f>
        <v>02227</v>
      </c>
      <c r="B213" s="2" t="str">
        <f>Communes_HDF!B213</f>
        <v>Courmont</v>
      </c>
      <c r="C213" s="2" t="str">
        <f t="array" ref="C213">_xlfn.XLOOKUP(A213, INSEE_Communes!$A$2:$A$3783, INSEE_Communes!$F$2:$F$3783, "code introuvable")</f>
        <v>non publié</v>
      </c>
    </row>
    <row r="214">
      <c r="A214" s="2" t="str">
        <f>Communes_HDF!A214</f>
        <v>02228</v>
      </c>
      <c r="B214" s="2" t="str">
        <f>Communes_HDF!B214</f>
        <v>Courtemont-Varennes</v>
      </c>
      <c r="C214" s="2" t="str">
        <f t="array" ref="C214">_xlfn.XLOOKUP(A214, INSEE_Communes!$A$2:$A$3783, INSEE_Communes!$F$2:$F$3783, "code introuvable")</f>
        <v>non publié</v>
      </c>
    </row>
    <row r="215">
      <c r="A215" s="2" t="str">
        <f>Communes_HDF!A215</f>
        <v>02229</v>
      </c>
      <c r="B215" s="2" t="str">
        <f>Communes_HDF!B215</f>
        <v>Courtrizy-et-Fussigny</v>
      </c>
      <c r="C215" s="2" t="str">
        <f t="array" ref="C215">_xlfn.XLOOKUP(A215, INSEE_Communes!$A$2:$A$3783, INSEE_Communes!$F$2:$F$3783, "code introuvable")</f>
        <v>non publié</v>
      </c>
    </row>
    <row r="216">
      <c r="A216" s="2" t="str">
        <f>Communes_HDF!A216</f>
        <v>02230</v>
      </c>
      <c r="B216" s="2" t="str">
        <f>Communes_HDF!B216</f>
        <v>Couvrelles</v>
      </c>
      <c r="C216" s="2" t="str">
        <f t="array" ref="C216">_xlfn.XLOOKUP(A216, INSEE_Communes!$A$2:$A$3783, INSEE_Communes!$F$2:$F$3783, "code introuvable")</f>
        <v>non publié</v>
      </c>
    </row>
    <row r="217">
      <c r="A217" s="2" t="str">
        <f>Communes_HDF!A217</f>
        <v>02231</v>
      </c>
      <c r="B217" s="2" t="str">
        <f>Communes_HDF!B217</f>
        <v>Couvron-et-Aumencourt</v>
      </c>
      <c r="C217" s="2" t="str">
        <f t="array" ref="C217">_xlfn.XLOOKUP(A217, INSEE_Communes!$A$2:$A$3783, INSEE_Communes!$F$2:$F$3783, "code introuvable")</f>
        <v>non publié</v>
      </c>
    </row>
    <row r="218">
      <c r="A218" s="2" t="str">
        <f>Communes_HDF!A218</f>
        <v>02232</v>
      </c>
      <c r="B218" s="2" t="str">
        <f>Communes_HDF!B218</f>
        <v>Coyolles</v>
      </c>
      <c r="C218" s="2" t="str">
        <f t="array" ref="C218">_xlfn.XLOOKUP(A218, INSEE_Communes!$A$2:$A$3783, INSEE_Communes!$F$2:$F$3783, "code introuvable")</f>
        <v>non publié</v>
      </c>
    </row>
    <row r="219">
      <c r="A219" s="2" t="str">
        <f>Communes_HDF!A219</f>
        <v>02233</v>
      </c>
      <c r="B219" s="2" t="str">
        <f>Communes_HDF!B219</f>
        <v>Cramaille</v>
      </c>
      <c r="C219" s="2" t="str">
        <f t="array" ref="C219">_xlfn.XLOOKUP(A219, INSEE_Communes!$A$2:$A$3783, INSEE_Communes!$F$2:$F$3783, "code introuvable")</f>
        <v>non publié</v>
      </c>
    </row>
    <row r="220">
      <c r="A220" s="2" t="str">
        <f>Communes_HDF!A220</f>
        <v>02234</v>
      </c>
      <c r="B220" s="2" t="str">
        <f>Communes_HDF!B220</f>
        <v>Craonne</v>
      </c>
      <c r="C220" s="2" t="str">
        <f t="array" ref="C220">_xlfn.XLOOKUP(A220, INSEE_Communes!$A$2:$A$3783, INSEE_Communes!$F$2:$F$3783, "code introuvable")</f>
        <v>non publié</v>
      </c>
    </row>
    <row r="221">
      <c r="A221" s="2" t="str">
        <f>Communes_HDF!A221</f>
        <v>02235</v>
      </c>
      <c r="B221" s="2" t="str">
        <f>Communes_HDF!B221</f>
        <v>Craonnelle</v>
      </c>
      <c r="C221" s="2" t="str">
        <f t="array" ref="C221">_xlfn.XLOOKUP(A221, INSEE_Communes!$A$2:$A$3783, INSEE_Communes!$F$2:$F$3783, "code introuvable")</f>
        <v>non publié</v>
      </c>
    </row>
    <row r="222">
      <c r="A222" s="2" t="str">
        <f>Communes_HDF!A222</f>
        <v>02240</v>
      </c>
      <c r="B222" s="2" t="str">
        <f>Communes_HDF!B222</f>
        <v>Croix-Fonsomme</v>
      </c>
      <c r="C222" s="2" t="str">
        <f t="array" ref="C222">_xlfn.XLOOKUP(A222, INSEE_Communes!$A$2:$A$3783, INSEE_Communes!$F$2:$F$3783, "code introuvable")</f>
        <v>non publié</v>
      </c>
    </row>
    <row r="223">
      <c r="A223" s="2" t="str">
        <f>Communes_HDF!A223</f>
        <v>02242</v>
      </c>
      <c r="B223" s="2" t="str">
        <f>Communes_HDF!B223</f>
        <v>Crouttes-sur-Marne</v>
      </c>
      <c r="C223" s="2" t="str">
        <f t="array" ref="C223">_xlfn.XLOOKUP(A223, INSEE_Communes!$A$2:$A$3783, INSEE_Communes!$F$2:$F$3783, "code introuvable")</f>
        <v>non publié</v>
      </c>
    </row>
    <row r="224">
      <c r="A224" s="2" t="str">
        <f>Communes_HDF!A224</f>
        <v>02243</v>
      </c>
      <c r="B224" s="2" t="str">
        <f>Communes_HDF!B224</f>
        <v>Crouy</v>
      </c>
      <c r="C224" s="2">
        <f t="array" ref="C224">_xlfn.XLOOKUP(A224, INSEE_Communes!$A$2:$A$3783, INSEE_Communes!$F$2:$F$3783, "code introuvable")</f>
        <v>20</v>
      </c>
    </row>
    <row r="225">
      <c r="A225" s="2" t="str">
        <f>Communes_HDF!A225</f>
        <v>02244</v>
      </c>
      <c r="B225" s="2" t="str">
        <f>Communes_HDF!B225</f>
        <v>Crupilly</v>
      </c>
      <c r="C225" s="2" t="str">
        <f t="array" ref="C225">_xlfn.XLOOKUP(A225, INSEE_Communes!$A$2:$A$3783, INSEE_Communes!$F$2:$F$3783, "code introuvable")</f>
        <v>non publié</v>
      </c>
    </row>
    <row r="226">
      <c r="A226" s="2" t="str">
        <f>Communes_HDF!A226</f>
        <v>02236</v>
      </c>
      <c r="B226" s="2" t="str">
        <f>Communes_HDF!B226</f>
        <v>Crécy-au-Mont</v>
      </c>
      <c r="C226" s="2" t="str">
        <f t="array" ref="C226">_xlfn.XLOOKUP(A226, INSEE_Communes!$A$2:$A$3783, INSEE_Communes!$F$2:$F$3783, "code introuvable")</f>
        <v>non publié</v>
      </c>
    </row>
    <row r="227">
      <c r="A227" s="2" t="str">
        <f>Communes_HDF!A227</f>
        <v>02237</v>
      </c>
      <c r="B227" s="2" t="str">
        <f>Communes_HDF!B227</f>
        <v>Crécy-sur-Serre</v>
      </c>
      <c r="C227" s="2" t="str">
        <f t="array" ref="C227">_xlfn.XLOOKUP(A227, INSEE_Communes!$A$2:$A$3783, INSEE_Communes!$F$2:$F$3783, "code introuvable")</f>
        <v>non publié</v>
      </c>
    </row>
    <row r="228">
      <c r="A228" s="2" t="str">
        <f>Communes_HDF!A228</f>
        <v>02238</v>
      </c>
      <c r="B228" s="2" t="str">
        <f>Communes_HDF!B228</f>
        <v>Crépy</v>
      </c>
      <c r="C228" s="2" t="str">
        <f t="array" ref="C228">_xlfn.XLOOKUP(A228, INSEE_Communes!$A$2:$A$3783, INSEE_Communes!$F$2:$F$3783, "code introuvable")</f>
        <v>non publié</v>
      </c>
    </row>
    <row r="229">
      <c r="A229" s="2" t="str">
        <f>Communes_HDF!A229</f>
        <v>02239</v>
      </c>
      <c r="B229" s="2" t="str">
        <f>Communes_HDF!B229</f>
        <v>Crézancy</v>
      </c>
      <c r="C229" s="2" t="str">
        <f t="array" ref="C229">_xlfn.XLOOKUP(A229, INSEE_Communes!$A$2:$A$3783, INSEE_Communes!$F$2:$F$3783, "code introuvable")</f>
        <v>non publié</v>
      </c>
    </row>
    <row r="230">
      <c r="A230" s="2" t="str">
        <f>Communes_HDF!A230</f>
        <v>02245</v>
      </c>
      <c r="B230" s="2" t="str">
        <f>Communes_HDF!B230</f>
        <v>Cuffies</v>
      </c>
      <c r="C230" s="2" t="str">
        <f t="array" ref="C230">_xlfn.XLOOKUP(A230, INSEE_Communes!$A$2:$A$3783, INSEE_Communes!$F$2:$F$3783, "code introuvable")</f>
        <v>non publié</v>
      </c>
    </row>
    <row r="231">
      <c r="A231" s="2" t="str">
        <f>Communes_HDF!A231</f>
        <v>02246</v>
      </c>
      <c r="B231" s="2" t="str">
        <f>Communes_HDF!B231</f>
        <v>Cugny</v>
      </c>
      <c r="C231" s="2" t="str">
        <f t="array" ref="C231">_xlfn.XLOOKUP(A231, INSEE_Communes!$A$2:$A$3783, INSEE_Communes!$F$2:$F$3783, "code introuvable")</f>
        <v>non publié</v>
      </c>
    </row>
    <row r="232">
      <c r="A232" s="2" t="str">
        <f>Communes_HDF!A232</f>
        <v>02248</v>
      </c>
      <c r="B232" s="2" t="str">
        <f>Communes_HDF!B232</f>
        <v>Cuirieux</v>
      </c>
      <c r="C232" s="2" t="str">
        <f t="array" ref="C232">_xlfn.XLOOKUP(A232, INSEE_Communes!$A$2:$A$3783, INSEE_Communes!$F$2:$F$3783, "code introuvable")</f>
        <v>non publié</v>
      </c>
    </row>
    <row r="233">
      <c r="A233" s="2" t="str">
        <f>Communes_HDF!A233</f>
        <v>02249</v>
      </c>
      <c r="B233" s="2" t="str">
        <f>Communes_HDF!B233</f>
        <v>Cuiry-Housse</v>
      </c>
      <c r="C233" s="2" t="str">
        <f t="array" ref="C233">_xlfn.XLOOKUP(A233, INSEE_Communes!$A$2:$A$3783, INSEE_Communes!$F$2:$F$3783, "code introuvable")</f>
        <v>non publié</v>
      </c>
    </row>
    <row r="234">
      <c r="A234" s="2" t="str">
        <f>Communes_HDF!A234</f>
        <v>02250</v>
      </c>
      <c r="B234" s="2" t="str">
        <f>Communes_HDF!B234</f>
        <v>Cuiry-lès-Chaudardes</v>
      </c>
      <c r="C234" s="2" t="str">
        <f t="array" ref="C234">_xlfn.XLOOKUP(A234, INSEE_Communes!$A$2:$A$3783, INSEE_Communes!$F$2:$F$3783, "code introuvable")</f>
        <v>non publié</v>
      </c>
    </row>
    <row r="235">
      <c r="A235" s="2" t="str">
        <f>Communes_HDF!A235</f>
        <v>02251</v>
      </c>
      <c r="B235" s="2" t="str">
        <f>Communes_HDF!B235</f>
        <v>Cuiry-lès-Iviers</v>
      </c>
      <c r="C235" s="2" t="str">
        <f t="array" ref="C235">_xlfn.XLOOKUP(A235, INSEE_Communes!$A$2:$A$3783, INSEE_Communes!$F$2:$F$3783, "code introuvable")</f>
        <v>non publié</v>
      </c>
    </row>
    <row r="236">
      <c r="A236" s="2" t="str">
        <f>Communes_HDF!A236</f>
        <v>02252</v>
      </c>
      <c r="B236" s="2" t="str">
        <f>Communes_HDF!B236</f>
        <v>Cuissy-et-Geny</v>
      </c>
      <c r="C236" s="2" t="str">
        <f t="array" ref="C236">_xlfn.XLOOKUP(A236, INSEE_Communes!$A$2:$A$3783, INSEE_Communes!$F$2:$F$3783, "code introuvable")</f>
        <v>non publié</v>
      </c>
    </row>
    <row r="237">
      <c r="A237" s="2" t="str">
        <f>Communes_HDF!A237</f>
        <v>02253</v>
      </c>
      <c r="B237" s="2" t="str">
        <f>Communes_HDF!B237</f>
        <v>Cuisy-en-Almont</v>
      </c>
      <c r="C237" s="2" t="str">
        <f t="array" ref="C237">_xlfn.XLOOKUP(A237, INSEE_Communes!$A$2:$A$3783, INSEE_Communes!$F$2:$F$3783, "code introuvable")</f>
        <v>non publié</v>
      </c>
    </row>
    <row r="238">
      <c r="A238" s="2" t="str">
        <f>Communes_HDF!A238</f>
        <v>02254</v>
      </c>
      <c r="B238" s="2" t="str">
        <f>Communes_HDF!B238</f>
        <v>Cutry</v>
      </c>
      <c r="C238" s="2" t="str">
        <f t="array" ref="C238">_xlfn.XLOOKUP(A238, INSEE_Communes!$A$2:$A$3783, INSEE_Communes!$F$2:$F$3783, "code introuvable")</f>
        <v>non publié</v>
      </c>
    </row>
    <row r="239">
      <c r="A239" s="2" t="str">
        <f>Communes_HDF!A239</f>
        <v>02255</v>
      </c>
      <c r="B239" s="2" t="str">
        <f>Communes_HDF!B239</f>
        <v>Cys-la-Commune</v>
      </c>
      <c r="C239" s="2" t="str">
        <f t="array" ref="C239">_xlfn.XLOOKUP(A239, INSEE_Communes!$A$2:$A$3783, INSEE_Communes!$F$2:$F$3783, "code introuvable")</f>
        <v>non publié</v>
      </c>
    </row>
    <row r="240">
      <c r="A240" s="2" t="str">
        <f>Communes_HDF!A240</f>
        <v>02201</v>
      </c>
      <c r="B240" s="2" t="str">
        <f>Communes_HDF!B240</f>
        <v>Cœuvres-et-Valsery</v>
      </c>
      <c r="C240" s="2" t="str">
        <f t="array" ref="C240">_xlfn.XLOOKUP(A240, INSEE_Communes!$A$2:$A$3783, INSEE_Communes!$F$2:$F$3783, "code introuvable")</f>
        <v>non publié</v>
      </c>
    </row>
    <row r="241">
      <c r="A241" s="2" t="str">
        <f>Communes_HDF!A241</f>
        <v>02256</v>
      </c>
      <c r="B241" s="2" t="str">
        <f>Communes_HDF!B241</f>
        <v>Dagny-Lambercy</v>
      </c>
      <c r="C241" s="2" t="str">
        <f t="array" ref="C241">_xlfn.XLOOKUP(A241, INSEE_Communes!$A$2:$A$3783, INSEE_Communes!$F$2:$F$3783, "code introuvable")</f>
        <v>non publié</v>
      </c>
    </row>
    <row r="242">
      <c r="A242" s="2" t="str">
        <f>Communes_HDF!A242</f>
        <v>02257</v>
      </c>
      <c r="B242" s="2" t="str">
        <f>Communes_HDF!B242</f>
        <v>Dallon</v>
      </c>
      <c r="C242" s="2" t="str">
        <f t="array" ref="C242">_xlfn.XLOOKUP(A242, INSEE_Communes!$A$2:$A$3783, INSEE_Communes!$F$2:$F$3783, "code introuvable")</f>
        <v>non publié</v>
      </c>
    </row>
    <row r="243">
      <c r="A243" s="2" t="str">
        <f>Communes_HDF!A243</f>
        <v>02258</v>
      </c>
      <c r="B243" s="2" t="str">
        <f>Communes_HDF!B243</f>
        <v>Dammard</v>
      </c>
      <c r="C243" s="2" t="str">
        <f t="array" ref="C243">_xlfn.XLOOKUP(A243, INSEE_Communes!$A$2:$A$3783, INSEE_Communes!$F$2:$F$3783, "code introuvable")</f>
        <v>non publié</v>
      </c>
    </row>
    <row r="244">
      <c r="A244" s="2" t="str">
        <f>Communes_HDF!A244</f>
        <v>02259</v>
      </c>
      <c r="B244" s="2" t="str">
        <f>Communes_HDF!B244</f>
        <v>Dampleux</v>
      </c>
      <c r="C244" s="2" t="str">
        <f t="array" ref="C244">_xlfn.XLOOKUP(A244, INSEE_Communes!$A$2:$A$3783, INSEE_Communes!$F$2:$F$3783, "code introuvable")</f>
        <v>non publié</v>
      </c>
    </row>
    <row r="245">
      <c r="A245" s="2" t="str">
        <f>Communes_HDF!A245</f>
        <v>02260</v>
      </c>
      <c r="B245" s="2" t="str">
        <f>Communes_HDF!B245</f>
        <v>Danizy</v>
      </c>
      <c r="C245" s="2" t="str">
        <f t="array" ref="C245">_xlfn.XLOOKUP(A245, INSEE_Communes!$A$2:$A$3783, INSEE_Communes!$F$2:$F$3783, "code introuvable")</f>
        <v>non publié</v>
      </c>
    </row>
    <row r="246">
      <c r="A246" s="2" t="str">
        <f>Communes_HDF!A246</f>
        <v>02261</v>
      </c>
      <c r="B246" s="2" t="str">
        <f>Communes_HDF!B246</f>
        <v>Dercy</v>
      </c>
      <c r="C246" s="2" t="str">
        <f t="array" ref="C246">_xlfn.XLOOKUP(A246, INSEE_Communes!$A$2:$A$3783, INSEE_Communes!$F$2:$F$3783, "code introuvable")</f>
        <v>non publié</v>
      </c>
    </row>
    <row r="247">
      <c r="A247" s="2" t="str">
        <f>Communes_HDF!A247</f>
        <v>02262</v>
      </c>
      <c r="B247" s="2" t="str">
        <f>Communes_HDF!B247</f>
        <v>Deuillet</v>
      </c>
      <c r="C247" s="2" t="str">
        <f t="array" ref="C247">_xlfn.XLOOKUP(A247, INSEE_Communes!$A$2:$A$3783, INSEE_Communes!$F$2:$F$3783, "code introuvable")</f>
        <v>non publié</v>
      </c>
    </row>
    <row r="248">
      <c r="A248" s="2" t="str">
        <f>Communes_HDF!A248</f>
        <v>02263</v>
      </c>
      <c r="B248" s="2" t="str">
        <f>Communes_HDF!B248</f>
        <v>Dhuizel</v>
      </c>
      <c r="C248" s="2" t="str">
        <f t="array" ref="C248">_xlfn.XLOOKUP(A248, INSEE_Communes!$A$2:$A$3783, INSEE_Communes!$F$2:$F$3783, "code introuvable")</f>
        <v>non publié</v>
      </c>
    </row>
    <row r="249">
      <c r="A249" s="2" t="str">
        <f>Communes_HDF!A249</f>
        <v>02458</v>
      </c>
      <c r="B249" s="2" t="str">
        <f>Communes_HDF!B249</f>
        <v>Dhuys et Morin-en-Brie</v>
      </c>
      <c r="C249" s="2" t="str">
        <f t="array" ref="C249">_xlfn.XLOOKUP(A249, INSEE_Communes!$A$2:$A$3783, INSEE_Communes!$F$2:$F$3783, "code introuvable")</f>
        <v>non publié</v>
      </c>
    </row>
    <row r="250">
      <c r="A250" s="2" t="str">
        <f>Communes_HDF!A250</f>
        <v>02264</v>
      </c>
      <c r="B250" s="2" t="str">
        <f>Communes_HDF!B250</f>
        <v>Dizy-le-Gros</v>
      </c>
      <c r="C250" s="2" t="str">
        <f t="array" ref="C250">_xlfn.XLOOKUP(A250, INSEE_Communes!$A$2:$A$3783, INSEE_Communes!$F$2:$F$3783, "code introuvable")</f>
        <v>non publié</v>
      </c>
    </row>
    <row r="251">
      <c r="A251" s="2" t="str">
        <f>Communes_HDF!A251</f>
        <v>02265</v>
      </c>
      <c r="B251" s="2" t="str">
        <f>Communes_HDF!B251</f>
        <v>Dohis</v>
      </c>
      <c r="C251" s="2" t="str">
        <f t="array" ref="C251">_xlfn.XLOOKUP(A251, INSEE_Communes!$A$2:$A$3783, INSEE_Communes!$F$2:$F$3783, "code introuvable")</f>
        <v>non publié</v>
      </c>
    </row>
    <row r="252">
      <c r="A252" s="2" t="str">
        <f>Communes_HDF!A252</f>
        <v>02266</v>
      </c>
      <c r="B252" s="2" t="str">
        <f>Communes_HDF!B252</f>
        <v>Dolignon</v>
      </c>
      <c r="C252" s="2" t="str">
        <f t="array" ref="C252">_xlfn.XLOOKUP(A252, INSEE_Communes!$A$2:$A$3783, INSEE_Communes!$F$2:$F$3783, "code introuvable")</f>
        <v>non publié</v>
      </c>
    </row>
    <row r="253">
      <c r="A253" s="2" t="str">
        <f>Communes_HDF!A253</f>
        <v>02267</v>
      </c>
      <c r="B253" s="2" t="str">
        <f>Communes_HDF!B253</f>
        <v>Dommiers</v>
      </c>
      <c r="C253" s="2" t="str">
        <f t="array" ref="C253">_xlfn.XLOOKUP(A253, INSEE_Communes!$A$2:$A$3783, INSEE_Communes!$F$2:$F$3783, "code introuvable")</f>
        <v>non publié</v>
      </c>
    </row>
    <row r="254">
      <c r="A254" s="2" t="str">
        <f>Communes_HDF!A254</f>
        <v>02268</v>
      </c>
      <c r="B254" s="2" t="str">
        <f>Communes_HDF!B254</f>
        <v>Domptin</v>
      </c>
      <c r="C254" s="2" t="str">
        <f t="array" ref="C254">_xlfn.XLOOKUP(A254, INSEE_Communes!$A$2:$A$3783, INSEE_Communes!$F$2:$F$3783, "code introuvable")</f>
        <v>non publié</v>
      </c>
    </row>
    <row r="255">
      <c r="A255" s="2" t="str">
        <f>Communes_HDF!A255</f>
        <v>02269</v>
      </c>
      <c r="B255" s="2" t="str">
        <f>Communes_HDF!B255</f>
        <v>Dorengt</v>
      </c>
      <c r="C255" s="2" t="str">
        <f t="array" ref="C255">_xlfn.XLOOKUP(A255, INSEE_Communes!$A$2:$A$3783, INSEE_Communes!$F$2:$F$3783, "code introuvable")</f>
        <v>non publié</v>
      </c>
    </row>
    <row r="256">
      <c r="A256" s="2" t="str">
        <f>Communes_HDF!A256</f>
        <v>02270</v>
      </c>
      <c r="B256" s="2" t="str">
        <f>Communes_HDF!B256</f>
        <v>Douchy</v>
      </c>
      <c r="C256" s="2" t="str">
        <f t="array" ref="C256">_xlfn.XLOOKUP(A256, INSEE_Communes!$A$2:$A$3783, INSEE_Communes!$F$2:$F$3783, "code introuvable")</f>
        <v>non publié</v>
      </c>
    </row>
    <row r="257">
      <c r="A257" s="2" t="str">
        <f>Communes_HDF!A257</f>
        <v>02271</v>
      </c>
      <c r="B257" s="2" t="str">
        <f>Communes_HDF!B257</f>
        <v>Dravegny</v>
      </c>
      <c r="C257" s="2" t="str">
        <f t="array" ref="C257">_xlfn.XLOOKUP(A257, INSEE_Communes!$A$2:$A$3783, INSEE_Communes!$F$2:$F$3783, "code introuvable")</f>
        <v>non publié</v>
      </c>
    </row>
    <row r="258">
      <c r="A258" s="2" t="str">
        <f>Communes_HDF!A258</f>
        <v>02272</v>
      </c>
      <c r="B258" s="2" t="str">
        <f>Communes_HDF!B258</f>
        <v>Droizy</v>
      </c>
      <c r="C258" s="2" t="str">
        <f t="array" ref="C258">_xlfn.XLOOKUP(A258, INSEE_Communes!$A$2:$A$3783, INSEE_Communes!$F$2:$F$3783, "code introuvable")</f>
        <v>non publié</v>
      </c>
    </row>
    <row r="259">
      <c r="A259" s="2" t="str">
        <f>Communes_HDF!A259</f>
        <v>02273</v>
      </c>
      <c r="B259" s="2" t="str">
        <f>Communes_HDF!B259</f>
        <v>Dury</v>
      </c>
      <c r="C259" s="2" t="str">
        <f t="array" ref="C259">_xlfn.XLOOKUP(A259, INSEE_Communes!$A$2:$A$3783, INSEE_Communes!$F$2:$F$3783, "code introuvable")</f>
        <v>non publié</v>
      </c>
    </row>
    <row r="260">
      <c r="A260" s="2" t="str">
        <f>Communes_HDF!A260</f>
        <v>02275</v>
      </c>
      <c r="B260" s="2" t="str">
        <f>Communes_HDF!B260</f>
        <v>Effry</v>
      </c>
      <c r="C260" s="2" t="str">
        <f t="array" ref="C260">_xlfn.XLOOKUP(A260, INSEE_Communes!$A$2:$A$3783, INSEE_Communes!$F$2:$F$3783, "code introuvable")</f>
        <v>non publié</v>
      </c>
    </row>
    <row r="261">
      <c r="A261" s="2" t="str">
        <f>Communes_HDF!A261</f>
        <v>02276</v>
      </c>
      <c r="B261" s="2" t="str">
        <f>Communes_HDF!B261</f>
        <v>Englancourt</v>
      </c>
      <c r="C261" s="2" t="str">
        <f t="array" ref="C261">_xlfn.XLOOKUP(A261, INSEE_Communes!$A$2:$A$3783, INSEE_Communes!$F$2:$F$3783, "code introuvable")</f>
        <v>non publié</v>
      </c>
    </row>
    <row r="262">
      <c r="A262" s="2" t="str">
        <f>Communes_HDF!A262</f>
        <v>02282</v>
      </c>
      <c r="B262" s="2" t="str">
        <f>Communes_HDF!B262</f>
        <v>Eppes</v>
      </c>
      <c r="C262" s="2" t="str">
        <f t="array" ref="C262">_xlfn.XLOOKUP(A262, INSEE_Communes!$A$2:$A$3783, INSEE_Communes!$F$2:$F$3783, "code introuvable")</f>
        <v>non publié</v>
      </c>
    </row>
    <row r="263">
      <c r="A263" s="2" t="str">
        <f>Communes_HDF!A263</f>
        <v>02283</v>
      </c>
      <c r="B263" s="2" t="str">
        <f>Communes_HDF!B263</f>
        <v>Erlon</v>
      </c>
      <c r="C263" s="2" t="str">
        <f t="array" ref="C263">_xlfn.XLOOKUP(A263, INSEE_Communes!$A$2:$A$3783, INSEE_Communes!$F$2:$F$3783, "code introuvable")</f>
        <v>non publié</v>
      </c>
    </row>
    <row r="264">
      <c r="A264" s="2" t="str">
        <f>Communes_HDF!A264</f>
        <v>02284</v>
      </c>
      <c r="B264" s="2" t="str">
        <f>Communes_HDF!B264</f>
        <v>Erloy</v>
      </c>
      <c r="C264" s="2" t="str">
        <f t="array" ref="C264">_xlfn.XLOOKUP(A264, INSEE_Communes!$A$2:$A$3783, INSEE_Communes!$F$2:$F$3783, "code introuvable")</f>
        <v>non publié</v>
      </c>
    </row>
    <row r="265">
      <c r="A265" s="2" t="str">
        <f>Communes_HDF!A265</f>
        <v>02286</v>
      </c>
      <c r="B265" s="2" t="str">
        <f>Communes_HDF!B265</f>
        <v>Esquéhéries</v>
      </c>
      <c r="C265" s="2" t="str">
        <f t="array" ref="C265">_xlfn.XLOOKUP(A265, INSEE_Communes!$A$2:$A$3783, INSEE_Communes!$F$2:$F$3783, "code introuvable")</f>
        <v>non publié</v>
      </c>
    </row>
    <row r="266">
      <c r="A266" s="2" t="str">
        <f>Communes_HDF!A266</f>
        <v>02287</v>
      </c>
      <c r="B266" s="2" t="str">
        <f>Communes_HDF!B266</f>
        <v>Essigny-le-Grand</v>
      </c>
      <c r="C266" s="2" t="str">
        <f t="array" ref="C266">_xlfn.XLOOKUP(A266, INSEE_Communes!$A$2:$A$3783, INSEE_Communes!$F$2:$F$3783, "code introuvable")</f>
        <v>non publié</v>
      </c>
    </row>
    <row r="267">
      <c r="A267" s="2" t="str">
        <f>Communes_HDF!A267</f>
        <v>02288</v>
      </c>
      <c r="B267" s="2" t="str">
        <f>Communes_HDF!B267</f>
        <v>Essigny-le-Petit</v>
      </c>
      <c r="C267" s="2" t="str">
        <f t="array" ref="C267">_xlfn.XLOOKUP(A267, INSEE_Communes!$A$2:$A$3783, INSEE_Communes!$F$2:$F$3783, "code introuvable")</f>
        <v>non publié</v>
      </c>
    </row>
    <row r="268">
      <c r="A268" s="2" t="str">
        <f>Communes_HDF!A268</f>
        <v>02289</v>
      </c>
      <c r="B268" s="2" t="str">
        <f>Communes_HDF!B268</f>
        <v>Essises</v>
      </c>
      <c r="C268" s="2" t="str">
        <f t="array" ref="C268">_xlfn.XLOOKUP(A268, INSEE_Communes!$A$2:$A$3783, INSEE_Communes!$F$2:$F$3783, "code introuvable")</f>
        <v>non publié</v>
      </c>
    </row>
    <row r="269">
      <c r="A269" s="2" t="str">
        <f>Communes_HDF!A269</f>
        <v>02290</v>
      </c>
      <c r="B269" s="2" t="str">
        <f>Communes_HDF!B269</f>
        <v>Essômes-sur-Marne</v>
      </c>
      <c r="C269" s="2">
        <f t="array" ref="C269">_xlfn.XLOOKUP(A269, INSEE_Communes!$A$2:$A$3783, INSEE_Communes!$F$2:$F$3783, "code introuvable")</f>
        <v>11</v>
      </c>
    </row>
    <row r="270">
      <c r="A270" s="2" t="str">
        <f>Communes_HDF!A270</f>
        <v>02291</v>
      </c>
      <c r="B270" s="2" t="str">
        <f>Communes_HDF!B270</f>
        <v>Estrées</v>
      </c>
      <c r="C270" s="2" t="str">
        <f t="array" ref="C270">_xlfn.XLOOKUP(A270, INSEE_Communes!$A$2:$A$3783, INSEE_Communes!$F$2:$F$3783, "code introuvable")</f>
        <v>non publié</v>
      </c>
    </row>
    <row r="271">
      <c r="A271" s="2" t="str">
        <f>Communes_HDF!A271</f>
        <v>02302</v>
      </c>
      <c r="B271" s="2" t="str">
        <f>Communes_HDF!B271</f>
        <v>Faverolles</v>
      </c>
      <c r="C271" s="2" t="str">
        <f t="array" ref="C271">_xlfn.XLOOKUP(A271, INSEE_Communes!$A$2:$A$3783, INSEE_Communes!$F$2:$F$3783, "code introuvable")</f>
        <v>non publié</v>
      </c>
    </row>
    <row r="272">
      <c r="A272" s="2" t="str">
        <f>Communes_HDF!A272</f>
        <v>02303</v>
      </c>
      <c r="B272" s="2" t="str">
        <f>Communes_HDF!B272</f>
        <v>Fayet</v>
      </c>
      <c r="C272" s="2" t="str">
        <f t="array" ref="C272">_xlfn.XLOOKUP(A272, INSEE_Communes!$A$2:$A$3783, INSEE_Communes!$F$2:$F$3783, "code introuvable")</f>
        <v>non publié</v>
      </c>
    </row>
    <row r="273">
      <c r="A273" s="2" t="str">
        <f>Communes_HDF!A273</f>
        <v>02308</v>
      </c>
      <c r="B273" s="2" t="str">
        <f>Communes_HDF!B273</f>
        <v>Fesmy-le-Sart</v>
      </c>
      <c r="C273" s="2" t="str">
        <f t="array" ref="C273">_xlfn.XLOOKUP(A273, INSEE_Communes!$A$2:$A$3783, INSEE_Communes!$F$2:$F$3783, "code introuvable")</f>
        <v>non publié</v>
      </c>
    </row>
    <row r="274">
      <c r="A274" s="2" t="str">
        <f>Communes_HDF!A274</f>
        <v>02309</v>
      </c>
      <c r="B274" s="2" t="str">
        <f>Communes_HDF!B274</f>
        <v>Festieux</v>
      </c>
      <c r="C274" s="2" t="str">
        <f t="array" ref="C274">_xlfn.XLOOKUP(A274, INSEE_Communes!$A$2:$A$3783, INSEE_Communes!$F$2:$F$3783, "code introuvable")</f>
        <v>non publié</v>
      </c>
    </row>
    <row r="275">
      <c r="A275" s="2" t="str">
        <f>Communes_HDF!A275</f>
        <v>02310</v>
      </c>
      <c r="B275" s="2" t="str">
        <f>Communes_HDF!B275</f>
        <v>Fieulaine</v>
      </c>
      <c r="C275" s="2" t="str">
        <f t="array" ref="C275">_xlfn.XLOOKUP(A275, INSEE_Communes!$A$2:$A$3783, INSEE_Communes!$F$2:$F$3783, "code introuvable")</f>
        <v>non publié</v>
      </c>
    </row>
    <row r="276">
      <c r="A276" s="2" t="str">
        <f>Communes_HDF!A276</f>
        <v>02313</v>
      </c>
      <c r="B276" s="2" t="str">
        <f>Communes_HDF!B276</f>
        <v>Flavigny-le-Grand-et-Beaurain</v>
      </c>
      <c r="C276" s="2" t="str">
        <f t="array" ref="C276">_xlfn.XLOOKUP(A276, INSEE_Communes!$A$2:$A$3783, INSEE_Communes!$F$2:$F$3783, "code introuvable")</f>
        <v>non publié</v>
      </c>
    </row>
    <row r="277">
      <c r="A277" s="2" t="str">
        <f>Communes_HDF!A277</f>
        <v>02315</v>
      </c>
      <c r="B277" s="2" t="str">
        <f>Communes_HDF!B277</f>
        <v>Flavy-le-Martel</v>
      </c>
      <c r="C277" s="2" t="str">
        <f t="array" ref="C277">_xlfn.XLOOKUP(A277, INSEE_Communes!$A$2:$A$3783, INSEE_Communes!$F$2:$F$3783, "code introuvable")</f>
        <v>non publié</v>
      </c>
    </row>
    <row r="278">
      <c r="A278" s="2" t="str">
        <f>Communes_HDF!A278</f>
        <v>02316</v>
      </c>
      <c r="B278" s="2" t="str">
        <f>Communes_HDF!B278</f>
        <v>Fleury</v>
      </c>
      <c r="C278" s="2" t="str">
        <f t="array" ref="C278">_xlfn.XLOOKUP(A278, INSEE_Communes!$A$2:$A$3783, INSEE_Communes!$F$2:$F$3783, "code introuvable")</f>
        <v>non publié</v>
      </c>
    </row>
    <row r="279">
      <c r="A279" s="2" t="str">
        <f>Communes_HDF!A279</f>
        <v>02317</v>
      </c>
      <c r="B279" s="2" t="str">
        <f>Communes_HDF!B279</f>
        <v>Fluquières</v>
      </c>
      <c r="C279" s="2" t="str">
        <f t="array" ref="C279">_xlfn.XLOOKUP(A279, INSEE_Communes!$A$2:$A$3783, INSEE_Communes!$F$2:$F$3783, "code introuvable")</f>
        <v>non publié</v>
      </c>
    </row>
    <row r="280">
      <c r="A280" s="2" t="str">
        <f>Communes_HDF!A280</f>
        <v>02318</v>
      </c>
      <c r="B280" s="2" t="str">
        <f>Communes_HDF!B280</f>
        <v>Folembray</v>
      </c>
      <c r="C280" s="2" t="str">
        <f t="array" ref="C280">_xlfn.XLOOKUP(A280, INSEE_Communes!$A$2:$A$3783, INSEE_Communes!$F$2:$F$3783, "code introuvable")</f>
        <v>non publié</v>
      </c>
    </row>
    <row r="281">
      <c r="A281" s="2" t="str">
        <f>Communes_HDF!A281</f>
        <v>02319</v>
      </c>
      <c r="B281" s="2" t="str">
        <f>Communes_HDF!B281</f>
        <v>Fonsomme</v>
      </c>
      <c r="C281" s="2" t="str">
        <f t="array" ref="C281">_xlfn.XLOOKUP(A281, INSEE_Communes!$A$2:$A$3783, INSEE_Communes!$F$2:$F$3783, "code introuvable")</f>
        <v>non publié</v>
      </c>
    </row>
    <row r="282">
      <c r="A282" s="2" t="str">
        <f>Communes_HDF!A282</f>
        <v>02322</v>
      </c>
      <c r="B282" s="2" t="str">
        <f>Communes_HDF!B282</f>
        <v>Fontaine-Notre-Dame</v>
      </c>
      <c r="C282" s="2" t="str">
        <f t="array" ref="C282">_xlfn.XLOOKUP(A282, INSEE_Communes!$A$2:$A$3783, INSEE_Communes!$F$2:$F$3783, "code introuvable")</f>
        <v>non publié</v>
      </c>
    </row>
    <row r="283">
      <c r="A283" s="2" t="str">
        <f>Communes_HDF!A283</f>
        <v>02323</v>
      </c>
      <c r="B283" s="2" t="str">
        <f>Communes_HDF!B283</f>
        <v>Fontaine-Uterte</v>
      </c>
      <c r="C283" s="2" t="str">
        <f t="array" ref="C283">_xlfn.XLOOKUP(A283, INSEE_Communes!$A$2:$A$3783, INSEE_Communes!$F$2:$F$3783, "code introuvable")</f>
        <v>non publié</v>
      </c>
    </row>
    <row r="284">
      <c r="A284" s="2" t="str">
        <f>Communes_HDF!A284</f>
        <v>02320</v>
      </c>
      <c r="B284" s="2" t="str">
        <f>Communes_HDF!B284</f>
        <v>Fontaine-lès-Clercs</v>
      </c>
      <c r="C284" s="2" t="str">
        <f t="array" ref="C284">_xlfn.XLOOKUP(A284, INSEE_Communes!$A$2:$A$3783, INSEE_Communes!$F$2:$F$3783, "code introuvable")</f>
        <v>non publié</v>
      </c>
    </row>
    <row r="285">
      <c r="A285" s="2" t="str">
        <f>Communes_HDF!A285</f>
        <v>02321</v>
      </c>
      <c r="B285" s="2" t="str">
        <f>Communes_HDF!B285</f>
        <v>Fontaine-lès-Vervins</v>
      </c>
      <c r="C285" s="2" t="str">
        <f t="array" ref="C285">_xlfn.XLOOKUP(A285, INSEE_Communes!$A$2:$A$3783, INSEE_Communes!$F$2:$F$3783, "code introuvable")</f>
        <v>non publié</v>
      </c>
    </row>
    <row r="286">
      <c r="A286" s="2" t="str">
        <f>Communes_HDF!A286</f>
        <v>02324</v>
      </c>
      <c r="B286" s="2" t="str">
        <f>Communes_HDF!B286</f>
        <v>Fontenelle</v>
      </c>
      <c r="C286" s="2" t="str">
        <f t="array" ref="C286">_xlfn.XLOOKUP(A286, INSEE_Communes!$A$2:$A$3783, INSEE_Communes!$F$2:$F$3783, "code introuvable")</f>
        <v>non publié</v>
      </c>
    </row>
    <row r="287">
      <c r="A287" s="2" t="str">
        <f>Communes_HDF!A287</f>
        <v>02326</v>
      </c>
      <c r="B287" s="2" t="str">
        <f>Communes_HDF!B287</f>
        <v>Fontenoy</v>
      </c>
      <c r="C287" s="2" t="str">
        <f t="array" ref="C287">_xlfn.XLOOKUP(A287, INSEE_Communes!$A$2:$A$3783, INSEE_Communes!$F$2:$F$3783, "code introuvable")</f>
        <v>non publié</v>
      </c>
    </row>
    <row r="288">
      <c r="A288" s="2" t="str">
        <f>Communes_HDF!A288</f>
        <v>02327</v>
      </c>
      <c r="B288" s="2" t="str">
        <f>Communes_HDF!B288</f>
        <v>Foreste</v>
      </c>
      <c r="C288" s="2" t="str">
        <f t="array" ref="C288">_xlfn.XLOOKUP(A288, INSEE_Communes!$A$2:$A$3783, INSEE_Communes!$F$2:$F$3783, "code introuvable")</f>
        <v>non publié</v>
      </c>
    </row>
    <row r="289">
      <c r="A289" s="2" t="str">
        <f>Communes_HDF!A289</f>
        <v>02328</v>
      </c>
      <c r="B289" s="2" t="str">
        <f>Communes_HDF!B289</f>
        <v>Fossoy</v>
      </c>
      <c r="C289" s="2" t="str">
        <f t="array" ref="C289">_xlfn.XLOOKUP(A289, INSEE_Communes!$A$2:$A$3783, INSEE_Communes!$F$2:$F$3783, "code introuvable")</f>
        <v>non publié</v>
      </c>
    </row>
    <row r="290">
      <c r="A290" s="2" t="str">
        <f>Communes_HDF!A290</f>
        <v>02329</v>
      </c>
      <c r="B290" s="2" t="str">
        <f>Communes_HDF!B290</f>
        <v>Fourdrain</v>
      </c>
      <c r="C290" s="2" t="str">
        <f t="array" ref="C290">_xlfn.XLOOKUP(A290, INSEE_Communes!$A$2:$A$3783, INSEE_Communes!$F$2:$F$3783, "code introuvable")</f>
        <v>non publié</v>
      </c>
    </row>
    <row r="291">
      <c r="A291" s="2" t="str">
        <f>Communes_HDF!A291</f>
        <v>02330</v>
      </c>
      <c r="B291" s="2" t="str">
        <f>Communes_HDF!B291</f>
        <v>Francilly-Selency</v>
      </c>
      <c r="C291" s="2" t="str">
        <f t="array" ref="C291">_xlfn.XLOOKUP(A291, INSEE_Communes!$A$2:$A$3783, INSEE_Communes!$F$2:$F$3783, "code introuvable")</f>
        <v>non publié</v>
      </c>
    </row>
    <row r="292">
      <c r="A292" s="2" t="str">
        <f>Communes_HDF!A292</f>
        <v>02331</v>
      </c>
      <c r="B292" s="2" t="str">
        <f>Communes_HDF!B292</f>
        <v>Franqueville</v>
      </c>
      <c r="C292" s="2" t="str">
        <f t="array" ref="C292">_xlfn.XLOOKUP(A292, INSEE_Communes!$A$2:$A$3783, INSEE_Communes!$F$2:$F$3783, "code introuvable")</f>
        <v>non publié</v>
      </c>
    </row>
    <row r="293">
      <c r="A293" s="2" t="str">
        <f>Communes_HDF!A293</f>
        <v>02332</v>
      </c>
      <c r="B293" s="2" t="str">
        <f>Communes_HDF!B293</f>
        <v>Fresnes-en-Tardenois</v>
      </c>
      <c r="C293" s="2" t="str">
        <f t="array" ref="C293">_xlfn.XLOOKUP(A293, INSEE_Communes!$A$2:$A$3783, INSEE_Communes!$F$2:$F$3783, "code introuvable")</f>
        <v>non publié</v>
      </c>
    </row>
    <row r="294">
      <c r="A294" s="2" t="str">
        <f>Communes_HDF!A294</f>
        <v>02333</v>
      </c>
      <c r="B294" s="2" t="str">
        <f>Communes_HDF!B294</f>
        <v>Fresnes-sous-Coucy</v>
      </c>
      <c r="C294" s="2" t="str">
        <f t="array" ref="C294">_xlfn.XLOOKUP(A294, INSEE_Communes!$A$2:$A$3783, INSEE_Communes!$F$2:$F$3783, "code introuvable")</f>
        <v>non publié</v>
      </c>
    </row>
    <row r="295">
      <c r="A295" s="2" t="str">
        <f>Communes_HDF!A295</f>
        <v>02334</v>
      </c>
      <c r="B295" s="2" t="str">
        <f>Communes_HDF!B295</f>
        <v>Fresnoy-le-Grand</v>
      </c>
      <c r="C295" s="2">
        <f t="array" ref="C295">_xlfn.XLOOKUP(A295, INSEE_Communes!$A$2:$A$3783, INSEE_Communes!$F$2:$F$3783, "code introuvable")</f>
        <v>20</v>
      </c>
    </row>
    <row r="296">
      <c r="A296" s="2" t="str">
        <f>Communes_HDF!A296</f>
        <v>02335</v>
      </c>
      <c r="B296" s="2" t="str">
        <f>Communes_HDF!B296</f>
        <v>Fressancourt</v>
      </c>
      <c r="C296" s="2" t="str">
        <f t="array" ref="C296">_xlfn.XLOOKUP(A296, INSEE_Communes!$A$2:$A$3783, INSEE_Communes!$F$2:$F$3783, "code introuvable")</f>
        <v>non publié</v>
      </c>
    </row>
    <row r="297">
      <c r="A297" s="2" t="str">
        <f>Communes_HDF!A297</f>
        <v>02336</v>
      </c>
      <c r="B297" s="2" t="str">
        <f>Communes_HDF!B297</f>
        <v>Frières-Faillouël</v>
      </c>
      <c r="C297" s="2" t="str">
        <f t="array" ref="C297">_xlfn.XLOOKUP(A297, INSEE_Communes!$A$2:$A$3783, INSEE_Communes!$F$2:$F$3783, "code introuvable")</f>
        <v>non publié</v>
      </c>
    </row>
    <row r="298">
      <c r="A298" s="2" t="str">
        <f>Communes_HDF!A298</f>
        <v>02337</v>
      </c>
      <c r="B298" s="2" t="str">
        <f>Communes_HDF!B298</f>
        <v>Froidestrées</v>
      </c>
      <c r="C298" s="2" t="str">
        <f t="array" ref="C298">_xlfn.XLOOKUP(A298, INSEE_Communes!$A$2:$A$3783, INSEE_Communes!$F$2:$F$3783, "code introuvable")</f>
        <v>non publié</v>
      </c>
    </row>
    <row r="299">
      <c r="A299" s="2" t="str">
        <f>Communes_HDF!A299</f>
        <v>02338</v>
      </c>
      <c r="B299" s="2" t="str">
        <f>Communes_HDF!B299</f>
        <v>Froidmont-Cohartille</v>
      </c>
      <c r="C299" s="2" t="str">
        <f t="array" ref="C299">_xlfn.XLOOKUP(A299, INSEE_Communes!$A$2:$A$3783, INSEE_Communes!$F$2:$F$3783, "code introuvable")</f>
        <v>non publié</v>
      </c>
    </row>
    <row r="300">
      <c r="A300" s="2" t="str">
        <f>Communes_HDF!A300</f>
        <v>02305</v>
      </c>
      <c r="B300" s="2" t="str">
        <f>Communes_HDF!B300</f>
        <v>Fère-en-Tardenois</v>
      </c>
      <c r="C300" s="2">
        <f t="array" ref="C300">_xlfn.XLOOKUP(A300, INSEE_Communes!$A$2:$A$3783, INSEE_Communes!$F$2:$F$3783, "code introuvable")</f>
        <v>25</v>
      </c>
    </row>
    <row r="301">
      <c r="A301" s="2" t="str">
        <f>Communes_HDF!A301</f>
        <v>02339</v>
      </c>
      <c r="B301" s="2" t="str">
        <f>Communes_HDF!B301</f>
        <v>Gandelu</v>
      </c>
      <c r="C301" s="2" t="str">
        <f t="array" ref="C301">_xlfn.XLOOKUP(A301, INSEE_Communes!$A$2:$A$3783, INSEE_Communes!$F$2:$F$3783, "code introuvable")</f>
        <v>non publié</v>
      </c>
    </row>
    <row r="302">
      <c r="A302" s="2" t="str">
        <f>Communes_HDF!A302</f>
        <v>02340</v>
      </c>
      <c r="B302" s="2" t="str">
        <f>Communes_HDF!B302</f>
        <v>Gauchy</v>
      </c>
      <c r="C302" s="2">
        <f t="array" ref="C302">_xlfn.XLOOKUP(A302, INSEE_Communes!$A$2:$A$3783, INSEE_Communes!$F$2:$F$3783, "code introuvable")</f>
        <v>17</v>
      </c>
    </row>
    <row r="303">
      <c r="A303" s="2" t="str">
        <f>Communes_HDF!A303</f>
        <v>02341</v>
      </c>
      <c r="B303" s="2" t="str">
        <f>Communes_HDF!B303</f>
        <v>Gercy</v>
      </c>
      <c r="C303" s="2" t="str">
        <f t="array" ref="C303">_xlfn.XLOOKUP(A303, INSEE_Communes!$A$2:$A$3783, INSEE_Communes!$F$2:$F$3783, "code introuvable")</f>
        <v>non publié</v>
      </c>
    </row>
    <row r="304">
      <c r="A304" s="2" t="str">
        <f>Communes_HDF!A304</f>
        <v>02342</v>
      </c>
      <c r="B304" s="2" t="str">
        <f>Communes_HDF!B304</f>
        <v>Gergny</v>
      </c>
      <c r="C304" s="2" t="str">
        <f t="array" ref="C304">_xlfn.XLOOKUP(A304, INSEE_Communes!$A$2:$A$3783, INSEE_Communes!$F$2:$F$3783, "code introuvable")</f>
        <v>non publié</v>
      </c>
    </row>
    <row r="305">
      <c r="A305" s="2" t="str">
        <f>Communes_HDF!A305</f>
        <v>02343</v>
      </c>
      <c r="B305" s="2" t="str">
        <f>Communes_HDF!B305</f>
        <v>Germaine</v>
      </c>
      <c r="C305" s="2" t="str">
        <f t="array" ref="C305">_xlfn.XLOOKUP(A305, INSEE_Communes!$A$2:$A$3783, INSEE_Communes!$F$2:$F$3783, "code introuvable")</f>
        <v>non publié</v>
      </c>
    </row>
    <row r="306">
      <c r="A306" s="2" t="str">
        <f>Communes_HDF!A306</f>
        <v>02345</v>
      </c>
      <c r="B306" s="2" t="str">
        <f>Communes_HDF!B306</f>
        <v>Gibercourt</v>
      </c>
      <c r="C306" s="2" t="str">
        <f t="array" ref="C306">_xlfn.XLOOKUP(A306, INSEE_Communes!$A$2:$A$3783, INSEE_Communes!$F$2:$F$3783, "code introuvable")</f>
        <v>non publié</v>
      </c>
    </row>
    <row r="307">
      <c r="A307" s="2" t="str">
        <f>Communes_HDF!A307</f>
        <v>02346</v>
      </c>
      <c r="B307" s="2" t="str">
        <f>Communes_HDF!B307</f>
        <v>Gizy</v>
      </c>
      <c r="C307" s="2" t="str">
        <f t="array" ref="C307">_xlfn.XLOOKUP(A307, INSEE_Communes!$A$2:$A$3783, INSEE_Communes!$F$2:$F$3783, "code introuvable")</f>
        <v>non publié</v>
      </c>
    </row>
    <row r="308">
      <c r="A308" s="2" t="str">
        <f>Communes_HDF!A308</f>
        <v>02347</v>
      </c>
      <c r="B308" s="2" t="str">
        <f>Communes_HDF!B308</f>
        <v>Gland</v>
      </c>
      <c r="C308" s="2" t="str">
        <f t="array" ref="C308">_xlfn.XLOOKUP(A308, INSEE_Communes!$A$2:$A$3783, INSEE_Communes!$F$2:$F$3783, "code introuvable")</f>
        <v>non publié</v>
      </c>
    </row>
    <row r="309">
      <c r="A309" s="2" t="str">
        <f>Communes_HDF!A309</f>
        <v>02349</v>
      </c>
      <c r="B309" s="2" t="str">
        <f>Communes_HDF!B309</f>
        <v>Goudelancourt-lès-Berrieux</v>
      </c>
      <c r="C309" s="2" t="str">
        <f t="array" ref="C309">_xlfn.XLOOKUP(A309, INSEE_Communes!$A$2:$A$3783, INSEE_Communes!$F$2:$F$3783, "code introuvable")</f>
        <v>non publié</v>
      </c>
    </row>
    <row r="310">
      <c r="A310" s="2" t="str">
        <f>Communes_HDF!A310</f>
        <v>02350</v>
      </c>
      <c r="B310" s="2" t="str">
        <f>Communes_HDF!B310</f>
        <v>Goudelancourt-lès-Pierrepont</v>
      </c>
      <c r="C310" s="2" t="str">
        <f t="array" ref="C310">_xlfn.XLOOKUP(A310, INSEE_Communes!$A$2:$A$3783, INSEE_Communes!$F$2:$F$3783, "code introuvable")</f>
        <v>non publié</v>
      </c>
    </row>
    <row r="311">
      <c r="A311" s="2" t="str">
        <f>Communes_HDF!A311</f>
        <v>02351</v>
      </c>
      <c r="B311" s="2" t="str">
        <f>Communes_HDF!B311</f>
        <v>Goussancourt</v>
      </c>
      <c r="C311" s="2" t="str">
        <f t="array" ref="C311">_xlfn.XLOOKUP(A311, INSEE_Communes!$A$2:$A$3783, INSEE_Communes!$F$2:$F$3783, "code introuvable")</f>
        <v>non publié</v>
      </c>
    </row>
    <row r="312">
      <c r="A312" s="2" t="str">
        <f>Communes_HDF!A312</f>
        <v>02352</v>
      </c>
      <c r="B312" s="2" t="str">
        <f>Communes_HDF!B312</f>
        <v>Gouy</v>
      </c>
      <c r="C312" s="2" t="str">
        <f t="array" ref="C312">_xlfn.XLOOKUP(A312, INSEE_Communes!$A$2:$A$3783, INSEE_Communes!$F$2:$F$3783, "code introuvable")</f>
        <v>non publié</v>
      </c>
    </row>
    <row r="313">
      <c r="A313" s="2" t="str">
        <f>Communes_HDF!A313</f>
        <v>02665</v>
      </c>
      <c r="B313" s="2" t="str">
        <f>Communes_HDF!B313</f>
        <v>Grand-Rozoy</v>
      </c>
      <c r="C313" s="2" t="str">
        <f t="array" ref="C313">_xlfn.XLOOKUP(A313, INSEE_Communes!$A$2:$A$3783, INSEE_Communes!$F$2:$F$3783, "code introuvable")</f>
        <v>non publié</v>
      </c>
    </row>
    <row r="314">
      <c r="A314" s="2" t="str">
        <f>Communes_HDF!A314</f>
        <v>02783</v>
      </c>
      <c r="B314" s="2" t="str">
        <f>Communes_HDF!B314</f>
        <v>Grand-Verly</v>
      </c>
      <c r="C314" s="2" t="str">
        <f t="array" ref="C314">_xlfn.XLOOKUP(A314, INSEE_Communes!$A$2:$A$3783, INSEE_Communes!$F$2:$F$3783, "code introuvable")</f>
        <v>non publié</v>
      </c>
    </row>
    <row r="315">
      <c r="A315" s="2" t="str">
        <f>Communes_HDF!A315</f>
        <v>02353</v>
      </c>
      <c r="B315" s="2" t="str">
        <f>Communes_HDF!B315</f>
        <v>Grandlup-et-Fay</v>
      </c>
      <c r="C315" s="2" t="str">
        <f t="array" ref="C315">_xlfn.XLOOKUP(A315, INSEE_Communes!$A$2:$A$3783, INSEE_Communes!$F$2:$F$3783, "code introuvable")</f>
        <v>non publié</v>
      </c>
    </row>
    <row r="316">
      <c r="A316" s="2" t="str">
        <f>Communes_HDF!A316</f>
        <v>02354</v>
      </c>
      <c r="B316" s="2" t="str">
        <f>Communes_HDF!B316</f>
        <v>Grandrieux</v>
      </c>
      <c r="C316" s="2" t="str">
        <f t="array" ref="C316">_xlfn.XLOOKUP(A316, INSEE_Communes!$A$2:$A$3783, INSEE_Communes!$F$2:$F$3783, "code introuvable")</f>
        <v>non publié</v>
      </c>
    </row>
    <row r="317">
      <c r="A317" s="2" t="str">
        <f>Communes_HDF!A317</f>
        <v>02355</v>
      </c>
      <c r="B317" s="2" t="str">
        <f>Communes_HDF!B317</f>
        <v>Gricourt</v>
      </c>
      <c r="C317" s="2" t="str">
        <f t="array" ref="C317">_xlfn.XLOOKUP(A317, INSEE_Communes!$A$2:$A$3783, INSEE_Communes!$F$2:$F$3783, "code introuvable")</f>
        <v>non publié</v>
      </c>
    </row>
    <row r="318">
      <c r="A318" s="2" t="str">
        <f>Communes_HDF!A318</f>
        <v>02356</v>
      </c>
      <c r="B318" s="2" t="str">
        <f>Communes_HDF!B318</f>
        <v>Grisolles</v>
      </c>
      <c r="C318" s="2" t="str">
        <f t="array" ref="C318">_xlfn.XLOOKUP(A318, INSEE_Communes!$A$2:$A$3783, INSEE_Communes!$F$2:$F$3783, "code introuvable")</f>
        <v>non publié</v>
      </c>
    </row>
    <row r="319">
      <c r="A319" s="2" t="str">
        <f>Communes_HDF!A319</f>
        <v>02357</v>
      </c>
      <c r="B319" s="2" t="str">
        <f>Communes_HDF!B319</f>
        <v>Gronard</v>
      </c>
      <c r="C319" s="2" t="str">
        <f t="array" ref="C319">_xlfn.XLOOKUP(A319, INSEE_Communes!$A$2:$A$3783, INSEE_Communes!$F$2:$F$3783, "code introuvable")</f>
        <v>non publié</v>
      </c>
    </row>
    <row r="320">
      <c r="A320" s="2" t="str">
        <f>Communes_HDF!A320</f>
        <v>02358</v>
      </c>
      <c r="B320" s="2" t="str">
        <f>Communes_HDF!B320</f>
        <v>Grougis</v>
      </c>
      <c r="C320" s="2" t="str">
        <f t="array" ref="C320">_xlfn.XLOOKUP(A320, INSEE_Communes!$A$2:$A$3783, INSEE_Communes!$F$2:$F$3783, "code introuvable")</f>
        <v>non publié</v>
      </c>
    </row>
    <row r="321">
      <c r="A321" s="2" t="str">
        <f>Communes_HDF!A321</f>
        <v>02359</v>
      </c>
      <c r="B321" s="2" t="str">
        <f>Communes_HDF!B321</f>
        <v>Grugies</v>
      </c>
      <c r="C321" s="2" t="str">
        <f t="array" ref="C321">_xlfn.XLOOKUP(A321, INSEE_Communes!$A$2:$A$3783, INSEE_Communes!$F$2:$F$3783, "code introuvable")</f>
        <v>non publié</v>
      </c>
    </row>
    <row r="322">
      <c r="A322" s="2" t="str">
        <f>Communes_HDF!A322</f>
        <v>02361</v>
      </c>
      <c r="B322" s="2" t="str">
        <f>Communes_HDF!B322</f>
        <v>Guise</v>
      </c>
      <c r="C322" s="2">
        <f t="array" ref="C322">_xlfn.XLOOKUP(A322, INSEE_Communes!$A$2:$A$3783, INSEE_Communes!$F$2:$F$3783, "code introuvable")</f>
        <v>33</v>
      </c>
    </row>
    <row r="323">
      <c r="A323" s="2" t="str">
        <f>Communes_HDF!A323</f>
        <v>02362</v>
      </c>
      <c r="B323" s="2" t="str">
        <f>Communes_HDF!B323</f>
        <v>Guivry</v>
      </c>
      <c r="C323" s="2" t="str">
        <f t="array" ref="C323">_xlfn.XLOOKUP(A323, INSEE_Communes!$A$2:$A$3783, INSEE_Communes!$F$2:$F$3783, "code introuvable")</f>
        <v>non publié</v>
      </c>
    </row>
    <row r="324">
      <c r="A324" s="2" t="str">
        <f>Communes_HDF!A324</f>
        <v>02363</v>
      </c>
      <c r="B324" s="2" t="str">
        <f>Communes_HDF!B324</f>
        <v>Guny</v>
      </c>
      <c r="C324" s="2" t="str">
        <f t="array" ref="C324">_xlfn.XLOOKUP(A324, INSEE_Communes!$A$2:$A$3783, INSEE_Communes!$F$2:$F$3783, "code introuvable")</f>
        <v>non publié</v>
      </c>
    </row>
    <row r="325">
      <c r="A325" s="2" t="str">
        <f>Communes_HDF!A325</f>
        <v>02364</v>
      </c>
      <c r="B325" s="2" t="str">
        <f>Communes_HDF!B325</f>
        <v>Guyencourt</v>
      </c>
      <c r="C325" s="2" t="str">
        <f t="array" ref="C325">_xlfn.XLOOKUP(A325, INSEE_Communes!$A$2:$A$3783, INSEE_Communes!$F$2:$F$3783, "code introuvable")</f>
        <v>non publié</v>
      </c>
    </row>
    <row r="326">
      <c r="A326" s="2" t="str">
        <f>Communes_HDF!A326</f>
        <v>02366</v>
      </c>
      <c r="B326" s="2" t="str">
        <f>Communes_HDF!B326</f>
        <v>Hannapes</v>
      </c>
      <c r="C326" s="2" t="str">
        <f t="array" ref="C326">_xlfn.XLOOKUP(A326, INSEE_Communes!$A$2:$A$3783, INSEE_Communes!$F$2:$F$3783, "code introuvable")</f>
        <v>non publié</v>
      </c>
    </row>
    <row r="327">
      <c r="A327" s="2" t="str">
        <f>Communes_HDF!A327</f>
        <v>02367</v>
      </c>
      <c r="B327" s="2" t="str">
        <f>Communes_HDF!B327</f>
        <v>Happencourt</v>
      </c>
      <c r="C327" s="2" t="str">
        <f t="array" ref="C327">_xlfn.XLOOKUP(A327, INSEE_Communes!$A$2:$A$3783, INSEE_Communes!$F$2:$F$3783, "code introuvable")</f>
        <v>non publié</v>
      </c>
    </row>
    <row r="328">
      <c r="A328" s="2" t="str">
        <f>Communes_HDF!A328</f>
        <v>02368</v>
      </c>
      <c r="B328" s="2" t="str">
        <f>Communes_HDF!B328</f>
        <v>Haramont</v>
      </c>
      <c r="C328" s="2" t="str">
        <f t="array" ref="C328">_xlfn.XLOOKUP(A328, INSEE_Communes!$A$2:$A$3783, INSEE_Communes!$F$2:$F$3783, "code introuvable")</f>
        <v>non publié</v>
      </c>
    </row>
    <row r="329">
      <c r="A329" s="2" t="str">
        <f>Communes_HDF!A329</f>
        <v>02369</v>
      </c>
      <c r="B329" s="2" t="str">
        <f>Communes_HDF!B329</f>
        <v>Harcigny</v>
      </c>
      <c r="C329" s="2" t="str">
        <f t="array" ref="C329">_xlfn.XLOOKUP(A329, INSEE_Communes!$A$2:$A$3783, INSEE_Communes!$F$2:$F$3783, "code introuvable")</f>
        <v>non publié</v>
      </c>
    </row>
    <row r="330">
      <c r="A330" s="2" t="str">
        <f>Communes_HDF!A330</f>
        <v>02370</v>
      </c>
      <c r="B330" s="2" t="str">
        <f>Communes_HDF!B330</f>
        <v>Hargicourt</v>
      </c>
      <c r="C330" s="2" t="str">
        <f t="array" ref="C330">_xlfn.XLOOKUP(A330, INSEE_Communes!$A$2:$A$3783, INSEE_Communes!$F$2:$F$3783, "code introuvable")</f>
        <v>non publié</v>
      </c>
    </row>
    <row r="331">
      <c r="A331" s="2" t="str">
        <f>Communes_HDF!A331</f>
        <v>02371</v>
      </c>
      <c r="B331" s="2" t="str">
        <f>Communes_HDF!B331</f>
        <v>Harly</v>
      </c>
      <c r="C331" s="2" t="str">
        <f t="array" ref="C331">_xlfn.XLOOKUP(A331, INSEE_Communes!$A$2:$A$3783, INSEE_Communes!$F$2:$F$3783, "code introuvable")</f>
        <v>non publié</v>
      </c>
    </row>
    <row r="332">
      <c r="A332" s="2" t="str">
        <f>Communes_HDF!A332</f>
        <v>02372</v>
      </c>
      <c r="B332" s="2" t="str">
        <f>Communes_HDF!B332</f>
        <v>Hartennes-et-Taux</v>
      </c>
      <c r="C332" s="2" t="str">
        <f t="array" ref="C332">_xlfn.XLOOKUP(A332, INSEE_Communes!$A$2:$A$3783, INSEE_Communes!$F$2:$F$3783, "code introuvable")</f>
        <v>non publié</v>
      </c>
    </row>
    <row r="333">
      <c r="A333" s="2" t="str">
        <f>Communes_HDF!A333</f>
        <v>02373</v>
      </c>
      <c r="B333" s="2" t="str">
        <f>Communes_HDF!B333</f>
        <v>Hary</v>
      </c>
      <c r="C333" s="2" t="str">
        <f t="array" ref="C333">_xlfn.XLOOKUP(A333, INSEE_Communes!$A$2:$A$3783, INSEE_Communes!$F$2:$F$3783, "code introuvable")</f>
        <v>non publié</v>
      </c>
    </row>
    <row r="334">
      <c r="A334" s="2" t="str">
        <f>Communes_HDF!A334</f>
        <v>02375</v>
      </c>
      <c r="B334" s="2" t="str">
        <f>Communes_HDF!B334</f>
        <v>Hautevesnes</v>
      </c>
      <c r="C334" s="2" t="str">
        <f t="array" ref="C334">_xlfn.XLOOKUP(A334, INSEE_Communes!$A$2:$A$3783, INSEE_Communes!$F$2:$F$3783, "code introuvable")</f>
        <v>non publié</v>
      </c>
    </row>
    <row r="335">
      <c r="A335" s="2" t="str">
        <f>Communes_HDF!A335</f>
        <v>02376</v>
      </c>
      <c r="B335" s="2" t="str">
        <f>Communes_HDF!B335</f>
        <v>Hauteville</v>
      </c>
      <c r="C335" s="2" t="str">
        <f t="array" ref="C335">_xlfn.XLOOKUP(A335, INSEE_Communes!$A$2:$A$3783, INSEE_Communes!$F$2:$F$3783, "code introuvable")</f>
        <v>non publié</v>
      </c>
    </row>
    <row r="336">
      <c r="A336" s="2" t="str">
        <f>Communes_HDF!A336</f>
        <v>02377</v>
      </c>
      <c r="B336" s="2" t="str">
        <f>Communes_HDF!B336</f>
        <v>Haution</v>
      </c>
      <c r="C336" s="2" t="str">
        <f t="array" ref="C336">_xlfn.XLOOKUP(A336, INSEE_Communes!$A$2:$A$3783, INSEE_Communes!$F$2:$F$3783, "code introuvable")</f>
        <v>non publié</v>
      </c>
    </row>
    <row r="337">
      <c r="A337" s="2" t="str">
        <f>Communes_HDF!A337</f>
        <v>02380</v>
      </c>
      <c r="B337" s="2" t="str">
        <f>Communes_HDF!B337</f>
        <v>Hinacourt</v>
      </c>
      <c r="C337" s="2" t="str">
        <f t="array" ref="C337">_xlfn.XLOOKUP(A337, INSEE_Communes!$A$2:$A$3783, INSEE_Communes!$F$2:$F$3783, "code introuvable")</f>
        <v>non publié</v>
      </c>
    </row>
    <row r="338">
      <c r="A338" s="2" t="str">
        <f>Communes_HDF!A338</f>
        <v>02381</v>
      </c>
      <c r="B338" s="2" t="str">
        <f>Communes_HDF!B338</f>
        <v>Hirson</v>
      </c>
      <c r="C338" s="2">
        <f t="array" ref="C338">_xlfn.XLOOKUP(A338, INSEE_Communes!$A$2:$A$3783, INSEE_Communes!$F$2:$F$3783, "code introuvable")</f>
        <v>35</v>
      </c>
    </row>
    <row r="339">
      <c r="A339" s="2" t="str">
        <f>Communes_HDF!A339</f>
        <v>02382</v>
      </c>
      <c r="B339" s="2" t="str">
        <f>Communes_HDF!B339</f>
        <v>Holnon</v>
      </c>
      <c r="C339" s="2" t="str">
        <f t="array" ref="C339">_xlfn.XLOOKUP(A339, INSEE_Communes!$A$2:$A$3783, INSEE_Communes!$F$2:$F$3783, "code introuvable")</f>
        <v>non publié</v>
      </c>
    </row>
    <row r="340">
      <c r="A340" s="2" t="str">
        <f>Communes_HDF!A340</f>
        <v>02383</v>
      </c>
      <c r="B340" s="2" t="str">
        <f>Communes_HDF!B340</f>
        <v>Homblières</v>
      </c>
      <c r="C340" s="2" t="str">
        <f t="array" ref="C340">_xlfn.XLOOKUP(A340, INSEE_Communes!$A$2:$A$3783, INSEE_Communes!$F$2:$F$3783, "code introuvable")</f>
        <v>non publié</v>
      </c>
    </row>
    <row r="341">
      <c r="A341" s="2" t="str">
        <f>Communes_HDF!A341</f>
        <v>02384</v>
      </c>
      <c r="B341" s="2" t="str">
        <f>Communes_HDF!B341</f>
        <v>Houry</v>
      </c>
      <c r="C341" s="2" t="str">
        <f t="array" ref="C341">_xlfn.XLOOKUP(A341, INSEE_Communes!$A$2:$A$3783, INSEE_Communes!$F$2:$F$3783, "code introuvable")</f>
        <v>non publié</v>
      </c>
    </row>
    <row r="342">
      <c r="A342" s="2" t="str">
        <f>Communes_HDF!A342</f>
        <v>02385</v>
      </c>
      <c r="B342" s="2" t="str">
        <f>Communes_HDF!B342</f>
        <v>Housset</v>
      </c>
      <c r="C342" s="2" t="str">
        <f t="array" ref="C342">_xlfn.XLOOKUP(A342, INSEE_Communes!$A$2:$A$3783, INSEE_Communes!$F$2:$F$3783, "code introuvable")</f>
        <v>non publié</v>
      </c>
    </row>
    <row r="343">
      <c r="A343" s="2" t="str">
        <f>Communes_HDF!A343</f>
        <v>02386</v>
      </c>
      <c r="B343" s="2" t="str">
        <f>Communes_HDF!B343</f>
        <v>Iron</v>
      </c>
      <c r="C343" s="2" t="str">
        <f t="array" ref="C343">_xlfn.XLOOKUP(A343, INSEE_Communes!$A$2:$A$3783, INSEE_Communes!$F$2:$F$3783, "code introuvable")</f>
        <v>non publié</v>
      </c>
    </row>
    <row r="344">
      <c r="A344" s="2" t="str">
        <f>Communes_HDF!A344</f>
        <v>02387</v>
      </c>
      <c r="B344" s="2" t="str">
        <f>Communes_HDF!B344</f>
        <v>Itancourt</v>
      </c>
      <c r="C344" s="2" t="str">
        <f t="array" ref="C344">_xlfn.XLOOKUP(A344, INSEE_Communes!$A$2:$A$3783, INSEE_Communes!$F$2:$F$3783, "code introuvable")</f>
        <v>non publié</v>
      </c>
    </row>
    <row r="345">
      <c r="A345" s="2" t="str">
        <f>Communes_HDF!A345</f>
        <v>02388</v>
      </c>
      <c r="B345" s="2" t="str">
        <f>Communes_HDF!B345</f>
        <v>Iviers</v>
      </c>
      <c r="C345" s="2" t="str">
        <f t="array" ref="C345">_xlfn.XLOOKUP(A345, INSEE_Communes!$A$2:$A$3783, INSEE_Communes!$F$2:$F$3783, "code introuvable")</f>
        <v>non publié</v>
      </c>
    </row>
    <row r="346">
      <c r="A346" s="2" t="str">
        <f>Communes_HDF!A346</f>
        <v>02389</v>
      </c>
      <c r="B346" s="2" t="str">
        <f>Communes_HDF!B346</f>
        <v>Jaulgonne</v>
      </c>
      <c r="C346" s="2" t="str">
        <f t="array" ref="C346">_xlfn.XLOOKUP(A346, INSEE_Communes!$A$2:$A$3783, INSEE_Communes!$F$2:$F$3783, "code introuvable")</f>
        <v>non publié</v>
      </c>
    </row>
    <row r="347">
      <c r="A347" s="2" t="str">
        <f>Communes_HDF!A347</f>
        <v>02390</v>
      </c>
      <c r="B347" s="2" t="str">
        <f>Communes_HDF!B347</f>
        <v>Jeancourt</v>
      </c>
      <c r="C347" s="2" t="str">
        <f t="array" ref="C347">_xlfn.XLOOKUP(A347, INSEE_Communes!$A$2:$A$3783, INSEE_Communes!$F$2:$F$3783, "code introuvable")</f>
        <v>non publié</v>
      </c>
    </row>
    <row r="348">
      <c r="A348" s="2" t="str">
        <f>Communes_HDF!A348</f>
        <v>02391</v>
      </c>
      <c r="B348" s="2" t="str">
        <f>Communes_HDF!B348</f>
        <v>Jeantes</v>
      </c>
      <c r="C348" s="2" t="str">
        <f t="array" ref="C348">_xlfn.XLOOKUP(A348, INSEE_Communes!$A$2:$A$3783, INSEE_Communes!$F$2:$F$3783, "code introuvable")</f>
        <v>non publié</v>
      </c>
    </row>
    <row r="349">
      <c r="A349" s="2" t="str">
        <f>Communes_HDF!A349</f>
        <v>02392</v>
      </c>
      <c r="B349" s="2" t="str">
        <f>Communes_HDF!B349</f>
        <v>Joncourt</v>
      </c>
      <c r="C349" s="2" t="str">
        <f t="array" ref="C349">_xlfn.XLOOKUP(A349, INSEE_Communes!$A$2:$A$3783, INSEE_Communes!$F$2:$F$3783, "code introuvable")</f>
        <v>non publié</v>
      </c>
    </row>
    <row r="350">
      <c r="A350" s="2" t="str">
        <f>Communes_HDF!A350</f>
        <v>02393</v>
      </c>
      <c r="B350" s="2" t="str">
        <f>Communes_HDF!B350</f>
        <v>Jouaignes</v>
      </c>
      <c r="C350" s="2" t="str">
        <f t="array" ref="C350">_xlfn.XLOOKUP(A350, INSEE_Communes!$A$2:$A$3783, INSEE_Communes!$F$2:$F$3783, "code introuvable")</f>
        <v>non publié</v>
      </c>
    </row>
    <row r="351">
      <c r="A351" s="2" t="str">
        <f>Communes_HDF!A351</f>
        <v>02395</v>
      </c>
      <c r="B351" s="2" t="str">
        <f>Communes_HDF!B351</f>
        <v>Jumencourt</v>
      </c>
      <c r="C351" s="2" t="str">
        <f t="array" ref="C351">_xlfn.XLOOKUP(A351, INSEE_Communes!$A$2:$A$3783, INSEE_Communes!$F$2:$F$3783, "code introuvable")</f>
        <v>non publié</v>
      </c>
    </row>
    <row r="352">
      <c r="A352" s="2" t="str">
        <f>Communes_HDF!A352</f>
        <v>02396</v>
      </c>
      <c r="B352" s="2" t="str">
        <f>Communes_HDF!B352</f>
        <v>Jumigny</v>
      </c>
      <c r="C352" s="2" t="str">
        <f t="array" ref="C352">_xlfn.XLOOKUP(A352, INSEE_Communes!$A$2:$A$3783, INSEE_Communes!$F$2:$F$3783, "code introuvable")</f>
        <v>non publié</v>
      </c>
    </row>
    <row r="353">
      <c r="A353" s="2" t="str">
        <f>Communes_HDF!A353</f>
        <v>02397</v>
      </c>
      <c r="B353" s="2" t="str">
        <f>Communes_HDF!B353</f>
        <v>Jussy</v>
      </c>
      <c r="C353" s="2" t="str">
        <f t="array" ref="C353">_xlfn.XLOOKUP(A353, INSEE_Communes!$A$2:$A$3783, INSEE_Communes!$F$2:$F$3783, "code introuvable")</f>
        <v>non publié</v>
      </c>
    </row>
    <row r="354">
      <c r="A354" s="2" t="str">
        <f>Communes_HDF!A354</f>
        <v>02398</v>
      </c>
      <c r="B354" s="2" t="str">
        <f>Communes_HDF!B354</f>
        <v>Juvigny</v>
      </c>
      <c r="C354" s="2" t="str">
        <f t="array" ref="C354">_xlfn.XLOOKUP(A354, INSEE_Communes!$A$2:$A$3783, INSEE_Communes!$F$2:$F$3783, "code introuvable")</f>
        <v>non publié</v>
      </c>
    </row>
    <row r="355">
      <c r="A355" s="2" t="str">
        <f>Communes_HDF!A355</f>
        <v>02399</v>
      </c>
      <c r="B355" s="2" t="str">
        <f>Communes_HDF!B355</f>
        <v>Juvincourt-et-Damary</v>
      </c>
      <c r="C355" s="2" t="str">
        <f t="array" ref="C355">_xlfn.XLOOKUP(A355, INSEE_Communes!$A$2:$A$3783, INSEE_Communes!$F$2:$F$3783, "code introuvable")</f>
        <v>non publié</v>
      </c>
    </row>
    <row r="356">
      <c r="A356" s="2" t="str">
        <f>Communes_HDF!A356</f>
        <v>02281</v>
      </c>
      <c r="B356" s="2" t="str">
        <f>Communes_HDF!B356</f>
        <v>L'Épine-aux-Bois</v>
      </c>
      <c r="C356" s="2" t="str">
        <f t="array" ref="C356">_xlfn.XLOOKUP(A356, INSEE_Communes!$A$2:$A$3783, INSEE_Communes!$F$2:$F$3783, "code introuvable")</f>
        <v>non publié</v>
      </c>
    </row>
    <row r="357">
      <c r="A357" s="2" t="str">
        <f>Communes_HDF!A357</f>
        <v>02109</v>
      </c>
      <c r="B357" s="2" t="str">
        <f>Communes_HDF!B357</f>
        <v>La Bouteille</v>
      </c>
      <c r="C357" s="2" t="str">
        <f t="array" ref="C357">_xlfn.XLOOKUP(A357, INSEE_Communes!$A$2:$A$3783, INSEE_Communes!$F$2:$F$3783, "code introuvable")</f>
        <v>non publié</v>
      </c>
    </row>
    <row r="358">
      <c r="A358" s="2" t="str">
        <f>Communes_HDF!A358</f>
        <v>02141</v>
      </c>
      <c r="B358" s="2" t="str">
        <f>Communes_HDF!B358</f>
        <v>La Capelle</v>
      </c>
      <c r="C358" s="2" t="str">
        <f t="array" ref="C358">_xlfn.XLOOKUP(A358, INSEE_Communes!$A$2:$A$3783, INSEE_Communes!$F$2:$F$3783, "code introuvable")</f>
        <v>non publié</v>
      </c>
    </row>
    <row r="359">
      <c r="A359" s="2" t="str">
        <f>Communes_HDF!A359</f>
        <v>02162</v>
      </c>
      <c r="B359" s="2" t="str">
        <f>Communes_HDF!B359</f>
        <v>La Chapelle-sur-Chézy</v>
      </c>
      <c r="C359" s="2" t="str">
        <f t="array" ref="C359">_xlfn.XLOOKUP(A359, INSEE_Communes!$A$2:$A$3783, INSEE_Communes!$F$2:$F$3783, "code introuvable")</f>
        <v>non publié</v>
      </c>
    </row>
    <row r="360">
      <c r="A360" s="2" t="str">
        <f>Communes_HDF!A360</f>
        <v>02241</v>
      </c>
      <c r="B360" s="2" t="str">
        <f>Communes_HDF!B360</f>
        <v>La Croix-sur-Ourcq</v>
      </c>
      <c r="C360" s="2" t="str">
        <f t="array" ref="C360">_xlfn.XLOOKUP(A360, INSEE_Communes!$A$2:$A$3783, INSEE_Communes!$F$2:$F$3783, "code introuvable")</f>
        <v>non publié</v>
      </c>
    </row>
    <row r="361">
      <c r="A361" s="2" t="str">
        <f>Communes_HDF!A361</f>
        <v>02306</v>
      </c>
      <c r="B361" s="2" t="str">
        <f>Communes_HDF!B361</f>
        <v>La Ferté-Chevresis</v>
      </c>
      <c r="C361" s="2" t="str">
        <f t="array" ref="C361">_xlfn.XLOOKUP(A361, INSEE_Communes!$A$2:$A$3783, INSEE_Communes!$F$2:$F$3783, "code introuvable")</f>
        <v>non publié</v>
      </c>
    </row>
    <row r="362">
      <c r="A362" s="2" t="str">
        <f>Communes_HDF!A362</f>
        <v>02307</v>
      </c>
      <c r="B362" s="2" t="str">
        <f>Communes_HDF!B362</f>
        <v>La Ferté-Milon</v>
      </c>
      <c r="C362" s="2" t="str">
        <f t="array" ref="C362">_xlfn.XLOOKUP(A362, INSEE_Communes!$A$2:$A$3783, INSEE_Communes!$F$2:$F$3783, "code introuvable")</f>
        <v>non publié</v>
      </c>
    </row>
    <row r="363">
      <c r="A363" s="2" t="str">
        <f>Communes_HDF!A363</f>
        <v>02312</v>
      </c>
      <c r="B363" s="2" t="str">
        <f>Communes_HDF!B363</f>
        <v>La Flamengrie</v>
      </c>
      <c r="C363" s="2" t="str">
        <f t="array" ref="C363">_xlfn.XLOOKUP(A363, INSEE_Communes!$A$2:$A$3783, INSEE_Communes!$F$2:$F$3783, "code introuvable")</f>
        <v>non publié</v>
      </c>
    </row>
    <row r="364">
      <c r="A364" s="2" t="str">
        <f>Communes_HDF!A364</f>
        <v>02304</v>
      </c>
      <c r="B364" s="2" t="str">
        <f>Communes_HDF!B364</f>
        <v>La Fère</v>
      </c>
      <c r="C364" s="2">
        <f t="array" ref="C364">_xlfn.XLOOKUP(A364, INSEE_Communes!$A$2:$A$3783, INSEE_Communes!$F$2:$F$3783, "code introuvable")</f>
        <v>37</v>
      </c>
    </row>
    <row r="365">
      <c r="A365" s="2" t="str">
        <f>Communes_HDF!A365</f>
        <v>02378</v>
      </c>
      <c r="B365" s="2" t="str">
        <f>Communes_HDF!B365</f>
        <v>La Hérie</v>
      </c>
      <c r="C365" s="2" t="str">
        <f t="array" ref="C365">_xlfn.XLOOKUP(A365, INSEE_Communes!$A$2:$A$3783, INSEE_Communes!$F$2:$F$3783, "code introuvable")</f>
        <v>non publié</v>
      </c>
    </row>
    <row r="366">
      <c r="A366" s="2" t="str">
        <f>Communes_HDF!A366</f>
        <v>02454</v>
      </c>
      <c r="B366" s="2" t="str">
        <f>Communes_HDF!B366</f>
        <v>La Malmaison</v>
      </c>
      <c r="C366" s="2" t="str">
        <f t="array" ref="C366">_xlfn.XLOOKUP(A366, INSEE_Communes!$A$2:$A$3783, INSEE_Communes!$F$2:$F$3783, "code introuvable")</f>
        <v>non publié</v>
      </c>
    </row>
    <row r="367">
      <c r="A367" s="2" t="str">
        <f>Communes_HDF!A367</f>
        <v>02545</v>
      </c>
      <c r="B367" s="2" t="str">
        <f>Communes_HDF!B367</f>
        <v>La Neuville-Bosmont</v>
      </c>
      <c r="C367" s="2" t="str">
        <f t="array" ref="C367">_xlfn.XLOOKUP(A367, INSEE_Communes!$A$2:$A$3783, INSEE_Communes!$F$2:$F$3783, "code introuvable")</f>
        <v>non publié</v>
      </c>
    </row>
    <row r="368">
      <c r="A368" s="2" t="str">
        <f>Communes_HDF!A368</f>
        <v>02547</v>
      </c>
      <c r="B368" s="2" t="str">
        <f>Communes_HDF!B368</f>
        <v>La Neuville-Housset</v>
      </c>
      <c r="C368" s="2" t="str">
        <f t="array" ref="C368">_xlfn.XLOOKUP(A368, INSEE_Communes!$A$2:$A$3783, INSEE_Communes!$F$2:$F$3783, "code introuvable")</f>
        <v>non publié</v>
      </c>
    </row>
    <row r="369">
      <c r="A369" s="2" t="str">
        <f>Communes_HDF!A369</f>
        <v>02546</v>
      </c>
      <c r="B369" s="2" t="str">
        <f>Communes_HDF!B369</f>
        <v>La Neuville-en-Beine</v>
      </c>
      <c r="C369" s="2" t="str">
        <f t="array" ref="C369">_xlfn.XLOOKUP(A369, INSEE_Communes!$A$2:$A$3783, INSEE_Communes!$F$2:$F$3783, "code introuvable")</f>
        <v>non publié</v>
      </c>
    </row>
    <row r="370">
      <c r="A370" s="2" t="str">
        <f>Communes_HDF!A370</f>
        <v>02548</v>
      </c>
      <c r="B370" s="2" t="str">
        <f>Communes_HDF!B370</f>
        <v>La Neuville-lès-Dorengt</v>
      </c>
      <c r="C370" s="2" t="str">
        <f t="array" ref="C370">_xlfn.XLOOKUP(A370, INSEE_Communes!$A$2:$A$3783, INSEE_Communes!$F$2:$F$3783, "code introuvable")</f>
        <v>non publié</v>
      </c>
    </row>
    <row r="371">
      <c r="A371" s="2" t="str">
        <f>Communes_HDF!A371</f>
        <v>02705</v>
      </c>
      <c r="B371" s="2" t="str">
        <f>Communes_HDF!B371</f>
        <v>La Selve</v>
      </c>
      <c r="C371" s="2" t="str">
        <f t="array" ref="C371">_xlfn.XLOOKUP(A371, INSEE_Communes!$A$2:$A$3783, INSEE_Communes!$F$2:$F$3783, "code introuvable")</f>
        <v>non publié</v>
      </c>
    </row>
    <row r="372">
      <c r="A372" s="2" t="str">
        <f>Communes_HDF!A372</f>
        <v>02760</v>
      </c>
      <c r="B372" s="2" t="str">
        <f>Communes_HDF!B372</f>
        <v>La Vallée-Mulâtre</v>
      </c>
      <c r="C372" s="2" t="str">
        <f t="array" ref="C372">_xlfn.XLOOKUP(A372, INSEE_Communes!$A$2:$A$3783, INSEE_Communes!$F$2:$F$3783, "code introuvable")</f>
        <v>non publié</v>
      </c>
    </row>
    <row r="373">
      <c r="A373" s="2" t="str">
        <f>Communes_HDF!A373</f>
        <v>02759</v>
      </c>
      <c r="B373" s="2" t="str">
        <f>Communes_HDF!B373</f>
        <v>La Vallée-au-Blé</v>
      </c>
      <c r="C373" s="2" t="str">
        <f t="array" ref="C373">_xlfn.XLOOKUP(A373, INSEE_Communes!$A$2:$A$3783, INSEE_Communes!$F$2:$F$3783, "code introuvable")</f>
        <v>non publié</v>
      </c>
    </row>
    <row r="374">
      <c r="A374" s="2" t="str">
        <f>Communes_HDF!A374</f>
        <v>02802</v>
      </c>
      <c r="B374" s="2" t="str">
        <f>Communes_HDF!B374</f>
        <v>La Ville-aux-Bois-lès-Dizy</v>
      </c>
      <c r="C374" s="2" t="str">
        <f t="array" ref="C374">_xlfn.XLOOKUP(A374, INSEE_Communes!$A$2:$A$3783, INSEE_Communes!$F$2:$F$3783, "code introuvable")</f>
        <v>non publié</v>
      </c>
    </row>
    <row r="375">
      <c r="A375" s="2" t="str">
        <f>Communes_HDF!A375</f>
        <v>02803</v>
      </c>
      <c r="B375" s="2" t="str">
        <f>Communes_HDF!B375</f>
        <v>La Ville-aux-Bois-lès-Pontavert</v>
      </c>
      <c r="C375" s="2" t="str">
        <f t="array" ref="C375">_xlfn.XLOOKUP(A375, INSEE_Communes!$A$2:$A$3783, INSEE_Communes!$F$2:$F$3783, "code introuvable")</f>
        <v>non publié</v>
      </c>
    </row>
    <row r="376">
      <c r="A376" s="2" t="str">
        <f>Communes_HDF!A376</f>
        <v>02400</v>
      </c>
      <c r="B376" s="2" t="str">
        <f>Communes_HDF!B376</f>
        <v>Laffaux</v>
      </c>
      <c r="C376" s="2" t="str">
        <f t="array" ref="C376">_xlfn.XLOOKUP(A376, INSEE_Communes!$A$2:$A$3783, INSEE_Communes!$F$2:$F$3783, "code introuvable")</f>
        <v>non publié</v>
      </c>
    </row>
    <row r="377">
      <c r="A377" s="2" t="str">
        <f>Communes_HDF!A377</f>
        <v>02401</v>
      </c>
      <c r="B377" s="2" t="str">
        <f>Communes_HDF!B377</f>
        <v>Laigny</v>
      </c>
      <c r="C377" s="2" t="str">
        <f t="array" ref="C377">_xlfn.XLOOKUP(A377, INSEE_Communes!$A$2:$A$3783, INSEE_Communes!$F$2:$F$3783, "code introuvable")</f>
        <v>non publié</v>
      </c>
    </row>
    <row r="378">
      <c r="A378" s="2" t="str">
        <f>Communes_HDF!A378</f>
        <v>02402</v>
      </c>
      <c r="B378" s="2" t="str">
        <f>Communes_HDF!B378</f>
        <v>Lanchy</v>
      </c>
      <c r="C378" s="2" t="str">
        <f t="array" ref="C378">_xlfn.XLOOKUP(A378, INSEE_Communes!$A$2:$A$3783, INSEE_Communes!$F$2:$F$3783, "code introuvable")</f>
        <v>non publié</v>
      </c>
    </row>
    <row r="379">
      <c r="A379" s="2" t="str">
        <f>Communes_HDF!A379</f>
        <v>02403</v>
      </c>
      <c r="B379" s="2" t="str">
        <f>Communes_HDF!B379</f>
        <v>Landifay-et-Bertaignemont</v>
      </c>
      <c r="C379" s="2" t="str">
        <f t="array" ref="C379">_xlfn.XLOOKUP(A379, INSEE_Communes!$A$2:$A$3783, INSEE_Communes!$F$2:$F$3783, "code introuvable")</f>
        <v>non publié</v>
      </c>
    </row>
    <row r="380">
      <c r="A380" s="2" t="str">
        <f>Communes_HDF!A380</f>
        <v>02404</v>
      </c>
      <c r="B380" s="2" t="str">
        <f>Communes_HDF!B380</f>
        <v>Landouzy-la-Cour</v>
      </c>
      <c r="C380" s="2" t="str">
        <f t="array" ref="C380">_xlfn.XLOOKUP(A380, INSEE_Communes!$A$2:$A$3783, INSEE_Communes!$F$2:$F$3783, "code introuvable")</f>
        <v>non publié</v>
      </c>
    </row>
    <row r="381">
      <c r="A381" s="2" t="str">
        <f>Communes_HDF!A381</f>
        <v>02405</v>
      </c>
      <c r="B381" s="2" t="str">
        <f>Communes_HDF!B381</f>
        <v>Landouzy-la-Ville</v>
      </c>
      <c r="C381" s="2" t="str">
        <f t="array" ref="C381">_xlfn.XLOOKUP(A381, INSEE_Communes!$A$2:$A$3783, INSEE_Communes!$F$2:$F$3783, "code introuvable")</f>
        <v>non publié</v>
      </c>
    </row>
    <row r="382">
      <c r="A382" s="2" t="str">
        <f>Communes_HDF!A382</f>
        <v>02406</v>
      </c>
      <c r="B382" s="2" t="str">
        <f>Communes_HDF!B382</f>
        <v>Landricourt</v>
      </c>
      <c r="C382" s="2" t="str">
        <f t="array" ref="C382">_xlfn.XLOOKUP(A382, INSEE_Communes!$A$2:$A$3783, INSEE_Communes!$F$2:$F$3783, "code introuvable")</f>
        <v>non publié</v>
      </c>
    </row>
    <row r="383">
      <c r="A383" s="2" t="str">
        <f>Communes_HDF!A383</f>
        <v>02407</v>
      </c>
      <c r="B383" s="2" t="str">
        <f>Communes_HDF!B383</f>
        <v>Laniscourt</v>
      </c>
      <c r="C383" s="2" t="str">
        <f t="array" ref="C383">_xlfn.XLOOKUP(A383, INSEE_Communes!$A$2:$A$3783, INSEE_Communes!$F$2:$F$3783, "code introuvable")</f>
        <v>non publié</v>
      </c>
    </row>
    <row r="384">
      <c r="A384" s="2" t="str">
        <f>Communes_HDF!A384</f>
        <v>02408</v>
      </c>
      <c r="B384" s="2" t="str">
        <f>Communes_HDF!B384</f>
        <v>Laon</v>
      </c>
      <c r="C384" s="2">
        <f t="array" ref="C384">_xlfn.XLOOKUP(A384, INSEE_Communes!$A$2:$A$3783, INSEE_Communes!$F$2:$F$3783, "code introuvable")</f>
        <v>31.9</v>
      </c>
    </row>
    <row r="385">
      <c r="A385" s="2" t="str">
        <f>Communes_HDF!A385</f>
        <v>02409</v>
      </c>
      <c r="B385" s="2" t="str">
        <f>Communes_HDF!B385</f>
        <v>Lappion</v>
      </c>
      <c r="C385" s="2" t="str">
        <f t="array" ref="C385">_xlfn.XLOOKUP(A385, INSEE_Communes!$A$2:$A$3783, INSEE_Communes!$F$2:$F$3783, "code introuvable")</f>
        <v>non publié</v>
      </c>
    </row>
    <row r="386">
      <c r="A386" s="2" t="str">
        <f>Communes_HDF!A386</f>
        <v>02410</v>
      </c>
      <c r="B386" s="2" t="str">
        <f>Communes_HDF!B386</f>
        <v>Largny-sur-Automne</v>
      </c>
      <c r="C386" s="2" t="str">
        <f t="array" ref="C386">_xlfn.XLOOKUP(A386, INSEE_Communes!$A$2:$A$3783, INSEE_Communes!$F$2:$F$3783, "code introuvable")</f>
        <v>non publié</v>
      </c>
    </row>
    <row r="387">
      <c r="A387" s="2" t="str">
        <f>Communes_HDF!A387</f>
        <v>02411</v>
      </c>
      <c r="B387" s="2" t="str">
        <f>Communes_HDF!B387</f>
        <v>Latilly</v>
      </c>
      <c r="C387" s="2" t="str">
        <f t="array" ref="C387">_xlfn.XLOOKUP(A387, INSEE_Communes!$A$2:$A$3783, INSEE_Communes!$F$2:$F$3783, "code introuvable")</f>
        <v>non publié</v>
      </c>
    </row>
    <row r="388">
      <c r="A388" s="2" t="str">
        <f>Communes_HDF!A388</f>
        <v>02412</v>
      </c>
      <c r="B388" s="2" t="str">
        <f>Communes_HDF!B388</f>
        <v>Launoy</v>
      </c>
      <c r="C388" s="2" t="str">
        <f t="array" ref="C388">_xlfn.XLOOKUP(A388, INSEE_Communes!$A$2:$A$3783, INSEE_Communes!$F$2:$F$3783, "code introuvable")</f>
        <v>non publié</v>
      </c>
    </row>
    <row r="389">
      <c r="A389" s="2" t="str">
        <f>Communes_HDF!A389</f>
        <v>02413</v>
      </c>
      <c r="B389" s="2" t="str">
        <f>Communes_HDF!B389</f>
        <v>Laval-en-Laonnois</v>
      </c>
      <c r="C389" s="2" t="str">
        <f t="array" ref="C389">_xlfn.XLOOKUP(A389, INSEE_Communes!$A$2:$A$3783, INSEE_Communes!$F$2:$F$3783, "code introuvable")</f>
        <v>non publié</v>
      </c>
    </row>
    <row r="390">
      <c r="A390" s="2" t="str">
        <f>Communes_HDF!A390</f>
        <v>02414</v>
      </c>
      <c r="B390" s="2" t="str">
        <f>Communes_HDF!B390</f>
        <v>Lavaqueresse</v>
      </c>
      <c r="C390" s="2" t="str">
        <f t="array" ref="C390">_xlfn.XLOOKUP(A390, INSEE_Communes!$A$2:$A$3783, INSEE_Communes!$F$2:$F$3783, "code introuvable")</f>
        <v>non publié</v>
      </c>
    </row>
    <row r="391">
      <c r="A391" s="2" t="str">
        <f>Communes_HDF!A391</f>
        <v>02415</v>
      </c>
      <c r="B391" s="2" t="str">
        <f>Communes_HDF!B391</f>
        <v>Laversine</v>
      </c>
      <c r="C391" s="2" t="str">
        <f t="array" ref="C391">_xlfn.XLOOKUP(A391, INSEE_Communes!$A$2:$A$3783, INSEE_Communes!$F$2:$F$3783, "code introuvable")</f>
        <v>non publié</v>
      </c>
    </row>
    <row r="392">
      <c r="A392" s="2" t="str">
        <f>Communes_HDF!A392</f>
        <v>02143</v>
      </c>
      <c r="B392" s="2" t="str">
        <f>Communes_HDF!B392</f>
        <v>Le Catelet</v>
      </c>
      <c r="C392" s="2" t="str">
        <f t="array" ref="C392">_xlfn.XLOOKUP(A392, INSEE_Communes!$A$2:$A$3783, INSEE_Communes!$F$2:$F$3783, "code introuvable")</f>
        <v>non publié</v>
      </c>
    </row>
    <row r="393">
      <c r="A393" s="2" t="str">
        <f>Communes_HDF!A393</f>
        <v>02164</v>
      </c>
      <c r="B393" s="2" t="str">
        <f>Communes_HDF!B393</f>
        <v>Le Charmel</v>
      </c>
      <c r="C393" s="2" t="str">
        <f t="array" ref="C393">_xlfn.XLOOKUP(A393, INSEE_Communes!$A$2:$A$3783, INSEE_Communes!$F$2:$F$3783, "code introuvable")</f>
        <v>non publié</v>
      </c>
    </row>
    <row r="394">
      <c r="A394" s="2" t="str">
        <f>Communes_HDF!A394</f>
        <v>02379</v>
      </c>
      <c r="B394" s="2" t="str">
        <f>Communes_HDF!B394</f>
        <v>Le Hérie-la-Viéville</v>
      </c>
      <c r="C394" s="2" t="str">
        <f t="array" ref="C394">_xlfn.XLOOKUP(A394, INSEE_Communes!$A$2:$A$3783, INSEE_Communes!$F$2:$F$3783, "code introuvable")</f>
        <v>non publié</v>
      </c>
    </row>
    <row r="395">
      <c r="A395" s="2" t="str">
        <f>Communes_HDF!A395</f>
        <v>02558</v>
      </c>
      <c r="B395" s="2" t="str">
        <f>Communes_HDF!B395</f>
        <v>Le Nouvion-en-Thiérache</v>
      </c>
      <c r="C395" s="2">
        <f t="array" ref="C395">_xlfn.XLOOKUP(A395, INSEE_Communes!$A$2:$A$3783, INSEE_Communes!$F$2:$F$3783, "code introuvable")</f>
        <v>23</v>
      </c>
    </row>
    <row r="396">
      <c r="A396" s="2" t="str">
        <f>Communes_HDF!A396</f>
        <v>02606</v>
      </c>
      <c r="B396" s="2" t="str">
        <f>Communes_HDF!B396</f>
        <v>Le Plessier-Huleu</v>
      </c>
      <c r="C396" s="2" t="str">
        <f t="array" ref="C396">_xlfn.XLOOKUP(A396, INSEE_Communes!$A$2:$A$3783, INSEE_Communes!$F$2:$F$3783, "code introuvable")</f>
        <v>non publié</v>
      </c>
    </row>
    <row r="397">
      <c r="A397" s="2" t="str">
        <f>Communes_HDF!A397</f>
        <v>02731</v>
      </c>
      <c r="B397" s="2" t="str">
        <f>Communes_HDF!B397</f>
        <v>Le Sourd</v>
      </c>
      <c r="C397" s="2" t="str">
        <f t="array" ref="C397">_xlfn.XLOOKUP(A397, INSEE_Communes!$A$2:$A$3783, INSEE_Communes!$F$2:$F$3783, "code introuvable")</f>
        <v>non publié</v>
      </c>
    </row>
    <row r="398">
      <c r="A398" s="2" t="str">
        <f>Communes_HDF!A398</f>
        <v>02743</v>
      </c>
      <c r="B398" s="2" t="str">
        <f>Communes_HDF!B398</f>
        <v>Le Thuel</v>
      </c>
      <c r="C398" s="2" t="str">
        <f t="array" ref="C398">_xlfn.XLOOKUP(A398, INSEE_Communes!$A$2:$A$3783, INSEE_Communes!$F$2:$F$3783, "code introuvable")</f>
        <v>non publié</v>
      </c>
    </row>
    <row r="399">
      <c r="A399" s="2" t="str">
        <f>Communes_HDF!A399</f>
        <v>02782</v>
      </c>
      <c r="B399" s="2" t="str">
        <f>Communes_HDF!B399</f>
        <v>Le Verguier</v>
      </c>
      <c r="C399" s="2" t="str">
        <f t="array" ref="C399">_xlfn.XLOOKUP(A399, INSEE_Communes!$A$2:$A$3783, INSEE_Communes!$F$2:$F$3783, "code introuvable")</f>
        <v>non publié</v>
      </c>
    </row>
    <row r="400">
      <c r="A400" s="2" t="str">
        <f>Communes_HDF!A400</f>
        <v>02374</v>
      </c>
      <c r="B400" s="2" t="str">
        <f>Communes_HDF!B400</f>
        <v>Lehaucourt</v>
      </c>
      <c r="C400" s="2" t="str">
        <f t="array" ref="C400">_xlfn.XLOOKUP(A400, INSEE_Communes!$A$2:$A$3783, INSEE_Communes!$F$2:$F$3783, "code introuvable")</f>
        <v>non publié</v>
      </c>
    </row>
    <row r="401">
      <c r="A401" s="2" t="str">
        <f>Communes_HDF!A401</f>
        <v>02417</v>
      </c>
      <c r="B401" s="2" t="str">
        <f>Communes_HDF!B401</f>
        <v>Lempire</v>
      </c>
      <c r="C401" s="2" t="str">
        <f t="array" ref="C401">_xlfn.XLOOKUP(A401, INSEE_Communes!$A$2:$A$3783, INSEE_Communes!$F$2:$F$3783, "code introuvable")</f>
        <v>non publié</v>
      </c>
    </row>
    <row r="402">
      <c r="A402" s="2" t="str">
        <f>Communes_HDF!A402</f>
        <v>02416</v>
      </c>
      <c r="B402" s="2" t="str">
        <f>Communes_HDF!B402</f>
        <v>Lemé</v>
      </c>
      <c r="C402" s="2" t="str">
        <f t="array" ref="C402">_xlfn.XLOOKUP(A402, INSEE_Communes!$A$2:$A$3783, INSEE_Communes!$F$2:$F$3783, "code introuvable")</f>
        <v>non publié</v>
      </c>
    </row>
    <row r="403">
      <c r="A403" s="2" t="str">
        <f>Communes_HDF!A403</f>
        <v>02418</v>
      </c>
      <c r="B403" s="2" t="str">
        <f>Communes_HDF!B403</f>
        <v>Lerzy</v>
      </c>
      <c r="C403" s="2" t="str">
        <f t="array" ref="C403">_xlfn.XLOOKUP(A403, INSEE_Communes!$A$2:$A$3783, INSEE_Communes!$F$2:$F$3783, "code introuvable")</f>
        <v>non publié</v>
      </c>
    </row>
    <row r="404">
      <c r="A404" s="2" t="str">
        <f>Communes_HDF!A404</f>
        <v>02038</v>
      </c>
      <c r="B404" s="2" t="str">
        <f>Communes_HDF!B404</f>
        <v>Les Autels</v>
      </c>
      <c r="C404" s="2" t="str">
        <f t="array" ref="C404">_xlfn.XLOOKUP(A404, INSEE_Communes!$A$2:$A$3783, INSEE_Communes!$F$2:$F$3783, "code introuvable")</f>
        <v>non publié</v>
      </c>
    </row>
    <row r="405">
      <c r="A405" s="2" t="str">
        <f>Communes_HDF!A405</f>
        <v>02439</v>
      </c>
      <c r="B405" s="2" t="str">
        <f>Communes_HDF!B405</f>
        <v>Les Septvallons</v>
      </c>
      <c r="C405" s="2" t="str">
        <f t="array" ref="C405">_xlfn.XLOOKUP(A405, INSEE_Communes!$A$2:$A$3783, INSEE_Communes!$F$2:$F$3783, "code introuvable")</f>
        <v>non publié</v>
      </c>
    </row>
    <row r="406">
      <c r="A406" s="2" t="str">
        <f>Communes_HDF!A406</f>
        <v>02419</v>
      </c>
      <c r="B406" s="2" t="str">
        <f>Communes_HDF!B406</f>
        <v>Leschelle</v>
      </c>
      <c r="C406" s="2" t="str">
        <f t="array" ref="C406">_xlfn.XLOOKUP(A406, INSEE_Communes!$A$2:$A$3783, INSEE_Communes!$F$2:$F$3783, "code introuvable")</f>
        <v>non publié</v>
      </c>
    </row>
    <row r="407">
      <c r="A407" s="2" t="str">
        <f>Communes_HDF!A407</f>
        <v>02420</v>
      </c>
      <c r="B407" s="2" t="str">
        <f>Communes_HDF!B407</f>
        <v>Lesdins</v>
      </c>
      <c r="C407" s="2" t="str">
        <f t="array" ref="C407">_xlfn.XLOOKUP(A407, INSEE_Communes!$A$2:$A$3783, INSEE_Communes!$F$2:$F$3783, "code introuvable")</f>
        <v>non publié</v>
      </c>
    </row>
    <row r="408">
      <c r="A408" s="2" t="str">
        <f>Communes_HDF!A408</f>
        <v>02421</v>
      </c>
      <c r="B408" s="2" t="str">
        <f>Communes_HDF!B408</f>
        <v>Lesges</v>
      </c>
      <c r="C408" s="2" t="str">
        <f t="array" ref="C408">_xlfn.XLOOKUP(A408, INSEE_Communes!$A$2:$A$3783, INSEE_Communes!$F$2:$F$3783, "code introuvable")</f>
        <v>non publié</v>
      </c>
    </row>
    <row r="409">
      <c r="A409" s="2" t="str">
        <f>Communes_HDF!A409</f>
        <v>02422</v>
      </c>
      <c r="B409" s="2" t="str">
        <f>Communes_HDF!B409</f>
        <v>Lesquielles-Saint-Germain</v>
      </c>
      <c r="C409" s="2" t="str">
        <f t="array" ref="C409">_xlfn.XLOOKUP(A409, INSEE_Communes!$A$2:$A$3783, INSEE_Communes!$F$2:$F$3783, "code introuvable")</f>
        <v>non publié</v>
      </c>
    </row>
    <row r="410">
      <c r="A410" s="2" t="str">
        <f>Communes_HDF!A410</f>
        <v>02423</v>
      </c>
      <c r="B410" s="2" t="str">
        <f>Communes_HDF!B410</f>
        <v>Leuilly-sous-Coucy</v>
      </c>
      <c r="C410" s="2" t="str">
        <f t="array" ref="C410">_xlfn.XLOOKUP(A410, INSEE_Communes!$A$2:$A$3783, INSEE_Communes!$F$2:$F$3783, "code introuvable")</f>
        <v>non publié</v>
      </c>
    </row>
    <row r="411">
      <c r="A411" s="2" t="str">
        <f>Communes_HDF!A411</f>
        <v>02424</v>
      </c>
      <c r="B411" s="2" t="str">
        <f>Communes_HDF!B411</f>
        <v>Leury</v>
      </c>
      <c r="C411" s="2" t="str">
        <f t="array" ref="C411">_xlfn.XLOOKUP(A411, INSEE_Communes!$A$2:$A$3783, INSEE_Communes!$F$2:$F$3783, "code introuvable")</f>
        <v>non publié</v>
      </c>
    </row>
    <row r="412">
      <c r="A412" s="2" t="str">
        <f>Communes_HDF!A412</f>
        <v>02425</v>
      </c>
      <c r="B412" s="2" t="str">
        <f>Communes_HDF!B412</f>
        <v>Leuze</v>
      </c>
      <c r="C412" s="2" t="str">
        <f t="array" ref="C412">_xlfn.XLOOKUP(A412, INSEE_Communes!$A$2:$A$3783, INSEE_Communes!$F$2:$F$3783, "code introuvable")</f>
        <v>non publié</v>
      </c>
    </row>
    <row r="413">
      <c r="A413" s="2" t="str">
        <f>Communes_HDF!A413</f>
        <v>02426</v>
      </c>
      <c r="B413" s="2" t="str">
        <f>Communes_HDF!B413</f>
        <v>Levergies</v>
      </c>
      <c r="C413" s="2" t="str">
        <f t="array" ref="C413">_xlfn.XLOOKUP(A413, INSEE_Communes!$A$2:$A$3783, INSEE_Communes!$F$2:$F$3783, "code introuvable")</f>
        <v>non publié</v>
      </c>
    </row>
    <row r="414">
      <c r="A414" s="2" t="str">
        <f>Communes_HDF!A414</f>
        <v>02427</v>
      </c>
      <c r="B414" s="2" t="str">
        <f>Communes_HDF!B414</f>
        <v>Lhuys</v>
      </c>
      <c r="C414" s="2" t="str">
        <f t="array" ref="C414">_xlfn.XLOOKUP(A414, INSEE_Communes!$A$2:$A$3783, INSEE_Communes!$F$2:$F$3783, "code introuvable")</f>
        <v>non publié</v>
      </c>
    </row>
    <row r="415">
      <c r="A415" s="2" t="str">
        <f>Communes_HDF!A415</f>
        <v>02428</v>
      </c>
      <c r="B415" s="2" t="str">
        <f>Communes_HDF!B415</f>
        <v>Licy-Clignon</v>
      </c>
      <c r="C415" s="2" t="str">
        <f t="array" ref="C415">_xlfn.XLOOKUP(A415, INSEE_Communes!$A$2:$A$3783, INSEE_Communes!$F$2:$F$3783, "code introuvable")</f>
        <v>non publié</v>
      </c>
    </row>
    <row r="416">
      <c r="A416" s="2" t="str">
        <f>Communes_HDF!A416</f>
        <v>02429</v>
      </c>
      <c r="B416" s="2" t="str">
        <f>Communes_HDF!B416</f>
        <v>Lierval</v>
      </c>
      <c r="C416" s="2" t="str">
        <f t="array" ref="C416">_xlfn.XLOOKUP(A416, INSEE_Communes!$A$2:$A$3783, INSEE_Communes!$F$2:$F$3783, "code introuvable")</f>
        <v>non publié</v>
      </c>
    </row>
    <row r="417">
      <c r="A417" s="2" t="str">
        <f>Communes_HDF!A417</f>
        <v>02430</v>
      </c>
      <c r="B417" s="2" t="str">
        <f>Communes_HDF!B417</f>
        <v>Liesse-Notre-Dame</v>
      </c>
      <c r="C417" s="2" t="str">
        <f t="array" ref="C417">_xlfn.XLOOKUP(A417, INSEE_Communes!$A$2:$A$3783, INSEE_Communes!$F$2:$F$3783, "code introuvable")</f>
        <v>non publié</v>
      </c>
    </row>
    <row r="418">
      <c r="A418" s="2" t="str">
        <f>Communes_HDF!A418</f>
        <v>02431</v>
      </c>
      <c r="B418" s="2" t="str">
        <f>Communes_HDF!B418</f>
        <v>Liez</v>
      </c>
      <c r="C418" s="2" t="str">
        <f t="array" ref="C418">_xlfn.XLOOKUP(A418, INSEE_Communes!$A$2:$A$3783, INSEE_Communes!$F$2:$F$3783, "code introuvable")</f>
        <v>non publié</v>
      </c>
    </row>
    <row r="419">
      <c r="A419" s="2" t="str">
        <f>Communes_HDF!A419</f>
        <v>02432</v>
      </c>
      <c r="B419" s="2" t="str">
        <f>Communes_HDF!B419</f>
        <v>Limé</v>
      </c>
      <c r="C419" s="2" t="str">
        <f t="array" ref="C419">_xlfn.XLOOKUP(A419, INSEE_Communes!$A$2:$A$3783, INSEE_Communes!$F$2:$F$3783, "code introuvable")</f>
        <v>non publié</v>
      </c>
    </row>
    <row r="420">
      <c r="A420" s="2" t="str">
        <f>Communes_HDF!A420</f>
        <v>02433</v>
      </c>
      <c r="B420" s="2" t="str">
        <f>Communes_HDF!B420</f>
        <v>Lislet</v>
      </c>
      <c r="C420" s="2" t="str">
        <f t="array" ref="C420">_xlfn.XLOOKUP(A420, INSEE_Communes!$A$2:$A$3783, INSEE_Communes!$F$2:$F$3783, "code introuvable")</f>
        <v>non publié</v>
      </c>
    </row>
    <row r="421">
      <c r="A421" s="2" t="str">
        <f>Communes_HDF!A421</f>
        <v>02435</v>
      </c>
      <c r="B421" s="2" t="str">
        <f>Communes_HDF!B421</f>
        <v>Logny-lès-Aubenton</v>
      </c>
      <c r="C421" s="2" t="str">
        <f t="array" ref="C421">_xlfn.XLOOKUP(A421, INSEE_Communes!$A$2:$A$3783, INSEE_Communes!$F$2:$F$3783, "code introuvable")</f>
        <v>non publié</v>
      </c>
    </row>
    <row r="422">
      <c r="A422" s="2" t="str">
        <f>Communes_HDF!A422</f>
        <v>02438</v>
      </c>
      <c r="B422" s="2" t="str">
        <f>Communes_HDF!B422</f>
        <v>Longpont</v>
      </c>
      <c r="C422" s="2" t="str">
        <f t="array" ref="C422">_xlfn.XLOOKUP(A422, INSEE_Communes!$A$2:$A$3783, INSEE_Communes!$F$2:$F$3783, "code introuvable")</f>
        <v>non publié</v>
      </c>
    </row>
    <row r="423">
      <c r="A423" s="2" t="str">
        <f>Communes_HDF!A423</f>
        <v>02440</v>
      </c>
      <c r="B423" s="2" t="str">
        <f>Communes_HDF!B423</f>
        <v>Lor</v>
      </c>
      <c r="C423" s="2" t="str">
        <f t="array" ref="C423">_xlfn.XLOOKUP(A423, INSEE_Communes!$A$2:$A$3783, INSEE_Communes!$F$2:$F$3783, "code introuvable")</f>
        <v>non publié</v>
      </c>
    </row>
    <row r="424">
      <c r="A424" s="2" t="str">
        <f>Communes_HDF!A424</f>
        <v>02442</v>
      </c>
      <c r="B424" s="2" t="str">
        <f>Communes_HDF!B424</f>
        <v>Loupeigne</v>
      </c>
      <c r="C424" s="2" t="str">
        <f t="array" ref="C424">_xlfn.XLOOKUP(A424, INSEE_Communes!$A$2:$A$3783, INSEE_Communes!$F$2:$F$3783, "code introuvable")</f>
        <v>non publié</v>
      </c>
    </row>
    <row r="425">
      <c r="A425" s="2" t="str">
        <f>Communes_HDF!A425</f>
        <v>02441</v>
      </c>
      <c r="B425" s="2" t="str">
        <f>Communes_HDF!B425</f>
        <v>Louâtre</v>
      </c>
      <c r="C425" s="2" t="str">
        <f t="array" ref="C425">_xlfn.XLOOKUP(A425, INSEE_Communes!$A$2:$A$3783, INSEE_Communes!$F$2:$F$3783, "code introuvable")</f>
        <v>non publié</v>
      </c>
    </row>
    <row r="426">
      <c r="A426" s="2" t="str">
        <f>Communes_HDF!A426</f>
        <v>02443</v>
      </c>
      <c r="B426" s="2" t="str">
        <f>Communes_HDF!B426</f>
        <v>Lucy-le-Bocage</v>
      </c>
      <c r="C426" s="2" t="str">
        <f t="array" ref="C426">_xlfn.XLOOKUP(A426, INSEE_Communes!$A$2:$A$3783, INSEE_Communes!$F$2:$F$3783, "code introuvable")</f>
        <v>non publié</v>
      </c>
    </row>
    <row r="427">
      <c r="A427" s="2" t="str">
        <f>Communes_HDF!A427</f>
        <v>02444</v>
      </c>
      <c r="B427" s="2" t="str">
        <f>Communes_HDF!B427</f>
        <v>Lugny</v>
      </c>
      <c r="C427" s="2" t="str">
        <f t="array" ref="C427">_xlfn.XLOOKUP(A427, INSEE_Communes!$A$2:$A$3783, INSEE_Communes!$F$2:$F$3783, "code introuvable")</f>
        <v>non publié</v>
      </c>
    </row>
    <row r="428">
      <c r="A428" s="2" t="str">
        <f>Communes_HDF!A428</f>
        <v>02445</v>
      </c>
      <c r="B428" s="2" t="str">
        <f>Communes_HDF!B428</f>
        <v>Luzoir</v>
      </c>
      <c r="C428" s="2" t="str">
        <f t="array" ref="C428">_xlfn.XLOOKUP(A428, INSEE_Communes!$A$2:$A$3783, INSEE_Communes!$F$2:$F$3783, "code introuvable")</f>
        <v>non publié</v>
      </c>
    </row>
    <row r="429">
      <c r="A429" s="2" t="str">
        <f>Communes_HDF!A429</f>
        <v>02446</v>
      </c>
      <c r="B429" s="2" t="str">
        <f>Communes_HDF!B429</f>
        <v>Ly-Fontaine</v>
      </c>
      <c r="C429" s="2" t="str">
        <f t="array" ref="C429">_xlfn.XLOOKUP(A429, INSEE_Communes!$A$2:$A$3783, INSEE_Communes!$F$2:$F$3783, "code introuvable")</f>
        <v>non publié</v>
      </c>
    </row>
    <row r="430">
      <c r="A430" s="2" t="str">
        <f>Communes_HDF!A430</f>
        <v>02447</v>
      </c>
      <c r="B430" s="2" t="str">
        <f>Communes_HDF!B430</f>
        <v>Maast-et-Violaine</v>
      </c>
      <c r="C430" s="2" t="str">
        <f t="array" ref="C430">_xlfn.XLOOKUP(A430, INSEE_Communes!$A$2:$A$3783, INSEE_Communes!$F$2:$F$3783, "code introuvable")</f>
        <v>non publié</v>
      </c>
    </row>
    <row r="431">
      <c r="A431" s="2" t="str">
        <f>Communes_HDF!A431</f>
        <v>02449</v>
      </c>
      <c r="B431" s="2" t="str">
        <f>Communes_HDF!B431</f>
        <v>Macogny</v>
      </c>
      <c r="C431" s="2" t="str">
        <f t="array" ref="C431">_xlfn.XLOOKUP(A431, INSEE_Communes!$A$2:$A$3783, INSEE_Communes!$F$2:$F$3783, "code introuvable")</f>
        <v>non publié</v>
      </c>
    </row>
    <row r="432">
      <c r="A432" s="2" t="str">
        <f>Communes_HDF!A432</f>
        <v>02450</v>
      </c>
      <c r="B432" s="2" t="str">
        <f>Communes_HDF!B432</f>
        <v>Macquigny</v>
      </c>
      <c r="C432" s="2" t="str">
        <f t="array" ref="C432">_xlfn.XLOOKUP(A432, INSEE_Communes!$A$2:$A$3783, INSEE_Communes!$F$2:$F$3783, "code introuvable")</f>
        <v>non publié</v>
      </c>
    </row>
    <row r="433">
      <c r="A433" s="2" t="str">
        <f>Communes_HDF!A433</f>
        <v>02451</v>
      </c>
      <c r="B433" s="2" t="str">
        <f>Communes_HDF!B433</f>
        <v>Magny-la-Fosse</v>
      </c>
      <c r="C433" s="2" t="str">
        <f t="array" ref="C433">_xlfn.XLOOKUP(A433, INSEE_Communes!$A$2:$A$3783, INSEE_Communes!$F$2:$F$3783, "code introuvable")</f>
        <v>non publié</v>
      </c>
    </row>
    <row r="434">
      <c r="A434" s="2" t="str">
        <f>Communes_HDF!A434</f>
        <v>02452</v>
      </c>
      <c r="B434" s="2" t="str">
        <f>Communes_HDF!B434</f>
        <v>Maissemy</v>
      </c>
      <c r="C434" s="2" t="str">
        <f t="array" ref="C434">_xlfn.XLOOKUP(A434, INSEE_Communes!$A$2:$A$3783, INSEE_Communes!$F$2:$F$3783, "code introuvable")</f>
        <v>non publié</v>
      </c>
    </row>
    <row r="435">
      <c r="A435" s="2" t="str">
        <f>Communes_HDF!A435</f>
        <v>02453</v>
      </c>
      <c r="B435" s="2" t="str">
        <f>Communes_HDF!B435</f>
        <v>Maizy</v>
      </c>
      <c r="C435" s="2" t="str">
        <f t="array" ref="C435">_xlfn.XLOOKUP(A435, INSEE_Communes!$A$2:$A$3783, INSEE_Communes!$F$2:$F$3783, "code introuvable")</f>
        <v>non publié</v>
      </c>
    </row>
    <row r="436">
      <c r="A436" s="2" t="str">
        <f>Communes_HDF!A436</f>
        <v>02455</v>
      </c>
      <c r="B436" s="2" t="str">
        <f>Communes_HDF!B436</f>
        <v>Malzy</v>
      </c>
      <c r="C436" s="2" t="str">
        <f t="array" ref="C436">_xlfn.XLOOKUP(A436, INSEE_Communes!$A$2:$A$3783, INSEE_Communes!$F$2:$F$3783, "code introuvable")</f>
        <v>non publié</v>
      </c>
    </row>
    <row r="437">
      <c r="A437" s="2" t="str">
        <f>Communes_HDF!A437</f>
        <v>02456</v>
      </c>
      <c r="B437" s="2" t="str">
        <f>Communes_HDF!B437</f>
        <v>Manicamp</v>
      </c>
      <c r="C437" s="2" t="str">
        <f t="array" ref="C437">_xlfn.XLOOKUP(A437, INSEE_Communes!$A$2:$A$3783, INSEE_Communes!$F$2:$F$3783, "code introuvable")</f>
        <v>non publié</v>
      </c>
    </row>
    <row r="438">
      <c r="A438" s="2" t="str">
        <f>Communes_HDF!A438</f>
        <v>02457</v>
      </c>
      <c r="B438" s="2" t="str">
        <f>Communes_HDF!B438</f>
        <v>Marchais</v>
      </c>
      <c r="C438" s="2" t="str">
        <f t="array" ref="C438">_xlfn.XLOOKUP(A438, INSEE_Communes!$A$2:$A$3783, INSEE_Communes!$F$2:$F$3783, "code introuvable")</f>
        <v>non publié</v>
      </c>
    </row>
    <row r="439">
      <c r="A439" s="2" t="str">
        <f>Communes_HDF!A439</f>
        <v>02459</v>
      </c>
      <c r="B439" s="2" t="str">
        <f>Communes_HDF!B439</f>
        <v>Marcy</v>
      </c>
      <c r="C439" s="2" t="str">
        <f t="array" ref="C439">_xlfn.XLOOKUP(A439, INSEE_Communes!$A$2:$A$3783, INSEE_Communes!$F$2:$F$3783, "code introuvable")</f>
        <v>non publié</v>
      </c>
    </row>
    <row r="440">
      <c r="A440" s="2" t="str">
        <f>Communes_HDF!A440</f>
        <v>02460</v>
      </c>
      <c r="B440" s="2" t="str">
        <f>Communes_HDF!B440</f>
        <v>Marcy-sous-Marle</v>
      </c>
      <c r="C440" s="2" t="str">
        <f t="array" ref="C440">_xlfn.XLOOKUP(A440, INSEE_Communes!$A$2:$A$3783, INSEE_Communes!$F$2:$F$3783, "code introuvable")</f>
        <v>non publié</v>
      </c>
    </row>
    <row r="441">
      <c r="A441" s="2" t="str">
        <f>Communes_HDF!A441</f>
        <v>02461</v>
      </c>
      <c r="B441" s="2" t="str">
        <f>Communes_HDF!B441</f>
        <v>Marest-Dampcourt</v>
      </c>
      <c r="C441" s="2" t="str">
        <f t="array" ref="C441">_xlfn.XLOOKUP(A441, INSEE_Communes!$A$2:$A$3783, INSEE_Communes!$F$2:$F$3783, "code introuvable")</f>
        <v>non publié</v>
      </c>
    </row>
    <row r="442">
      <c r="A442" s="2" t="str">
        <f>Communes_HDF!A442</f>
        <v>02462</v>
      </c>
      <c r="B442" s="2" t="str">
        <f>Communes_HDF!B442</f>
        <v>Mareuil-en-Dôle</v>
      </c>
      <c r="C442" s="2" t="str">
        <f t="array" ref="C442">_xlfn.XLOOKUP(A442, INSEE_Communes!$A$2:$A$3783, INSEE_Communes!$F$2:$F$3783, "code introuvable")</f>
        <v>non publié</v>
      </c>
    </row>
    <row r="443">
      <c r="A443" s="2" t="str">
        <f>Communes_HDF!A443</f>
        <v>02463</v>
      </c>
      <c r="B443" s="2" t="str">
        <f>Communes_HDF!B443</f>
        <v>Marfontaine</v>
      </c>
      <c r="C443" s="2" t="str">
        <f t="array" ref="C443">_xlfn.XLOOKUP(A443, INSEE_Communes!$A$2:$A$3783, INSEE_Communes!$F$2:$F$3783, "code introuvable")</f>
        <v>non publié</v>
      </c>
    </row>
    <row r="444">
      <c r="A444" s="2" t="str">
        <f>Communes_HDF!A444</f>
        <v>02464</v>
      </c>
      <c r="B444" s="2" t="str">
        <f>Communes_HDF!B444</f>
        <v>Margival</v>
      </c>
      <c r="C444" s="2" t="str">
        <f t="array" ref="C444">_xlfn.XLOOKUP(A444, INSEE_Communes!$A$2:$A$3783, INSEE_Communes!$F$2:$F$3783, "code introuvable")</f>
        <v>non publié</v>
      </c>
    </row>
    <row r="445">
      <c r="A445" s="2" t="str">
        <f>Communes_HDF!A445</f>
        <v>02465</v>
      </c>
      <c r="B445" s="2" t="str">
        <f>Communes_HDF!B445</f>
        <v>Marigny-en-Orxois</v>
      </c>
      <c r="C445" s="2" t="str">
        <f t="array" ref="C445">_xlfn.XLOOKUP(A445, INSEE_Communes!$A$2:$A$3783, INSEE_Communes!$F$2:$F$3783, "code introuvable")</f>
        <v>non publié</v>
      </c>
    </row>
    <row r="446">
      <c r="A446" s="2" t="str">
        <f>Communes_HDF!A446</f>
        <v>02467</v>
      </c>
      <c r="B446" s="2" t="str">
        <f>Communes_HDF!B446</f>
        <v>Marizy-Saint-Mard</v>
      </c>
      <c r="C446" s="2" t="str">
        <f t="array" ref="C446">_xlfn.XLOOKUP(A446, INSEE_Communes!$A$2:$A$3783, INSEE_Communes!$F$2:$F$3783, "code introuvable")</f>
        <v>non publié</v>
      </c>
    </row>
    <row r="447">
      <c r="A447" s="2" t="str">
        <f>Communes_HDF!A447</f>
        <v>02466</v>
      </c>
      <c r="B447" s="2" t="str">
        <f>Communes_HDF!B447</f>
        <v>Marizy-Sainte-Geneviève</v>
      </c>
      <c r="C447" s="2" t="str">
        <f t="array" ref="C447">_xlfn.XLOOKUP(A447, INSEE_Communes!$A$2:$A$3783, INSEE_Communes!$F$2:$F$3783, "code introuvable")</f>
        <v>non publié</v>
      </c>
    </row>
    <row r="448">
      <c r="A448" s="2" t="str">
        <f>Communes_HDF!A448</f>
        <v>02468</v>
      </c>
      <c r="B448" s="2" t="str">
        <f>Communes_HDF!B448</f>
        <v>Marle</v>
      </c>
      <c r="C448" s="2">
        <f t="array" ref="C448">_xlfn.XLOOKUP(A448, INSEE_Communes!$A$2:$A$3783, INSEE_Communes!$F$2:$F$3783, "code introuvable")</f>
        <v>25</v>
      </c>
    </row>
    <row r="449">
      <c r="A449" s="2" t="str">
        <f>Communes_HDF!A449</f>
        <v>02469</v>
      </c>
      <c r="B449" s="2" t="str">
        <f>Communes_HDF!B449</f>
        <v>Marly-Gomont</v>
      </c>
      <c r="C449" s="2" t="str">
        <f t="array" ref="C449">_xlfn.XLOOKUP(A449, INSEE_Communes!$A$2:$A$3783, INSEE_Communes!$F$2:$F$3783, "code introuvable")</f>
        <v>non publié</v>
      </c>
    </row>
    <row r="450">
      <c r="A450" s="2" t="str">
        <f>Communes_HDF!A450</f>
        <v>02470</v>
      </c>
      <c r="B450" s="2" t="str">
        <f>Communes_HDF!B450</f>
        <v>Martigny</v>
      </c>
      <c r="C450" s="2" t="str">
        <f t="array" ref="C450">_xlfn.XLOOKUP(A450, INSEE_Communes!$A$2:$A$3783, INSEE_Communes!$F$2:$F$3783, "code introuvable")</f>
        <v>non publié</v>
      </c>
    </row>
    <row r="451">
      <c r="A451" s="2" t="str">
        <f>Communes_HDF!A451</f>
        <v>02471</v>
      </c>
      <c r="B451" s="2" t="str">
        <f>Communes_HDF!B451</f>
        <v>Martigny-Courpierre</v>
      </c>
      <c r="C451" s="2" t="str">
        <f t="array" ref="C451">_xlfn.XLOOKUP(A451, INSEE_Communes!$A$2:$A$3783, INSEE_Communes!$F$2:$F$3783, "code introuvable")</f>
        <v>non publié</v>
      </c>
    </row>
    <row r="452">
      <c r="A452" s="2" t="str">
        <f>Communes_HDF!A452</f>
        <v>02472</v>
      </c>
      <c r="B452" s="2" t="str">
        <f>Communes_HDF!B452</f>
        <v>Mauregny-en-Haye</v>
      </c>
      <c r="C452" s="2" t="str">
        <f t="array" ref="C452">_xlfn.XLOOKUP(A452, INSEE_Communes!$A$2:$A$3783, INSEE_Communes!$F$2:$F$3783, "code introuvable")</f>
        <v>non publié</v>
      </c>
    </row>
    <row r="453">
      <c r="A453" s="2" t="str">
        <f>Communes_HDF!A453</f>
        <v>02473</v>
      </c>
      <c r="B453" s="2" t="str">
        <f>Communes_HDF!B453</f>
        <v>Mayot</v>
      </c>
      <c r="C453" s="2" t="str">
        <f t="array" ref="C453">_xlfn.XLOOKUP(A453, INSEE_Communes!$A$2:$A$3783, INSEE_Communes!$F$2:$F$3783, "code introuvable")</f>
        <v>non publié</v>
      </c>
    </row>
    <row r="454">
      <c r="A454" s="2" t="str">
        <f>Communes_HDF!A454</f>
        <v>02474</v>
      </c>
      <c r="B454" s="2" t="str">
        <f>Communes_HDF!B454</f>
        <v>Mennessis</v>
      </c>
      <c r="C454" s="2" t="str">
        <f t="array" ref="C454">_xlfn.XLOOKUP(A454, INSEE_Communes!$A$2:$A$3783, INSEE_Communes!$F$2:$F$3783, "code introuvable")</f>
        <v>non publié</v>
      </c>
    </row>
    <row r="455">
      <c r="A455" s="2" t="str">
        <f>Communes_HDF!A455</f>
        <v>02476</v>
      </c>
      <c r="B455" s="2" t="str">
        <f>Communes_HDF!B455</f>
        <v>Mennevret</v>
      </c>
      <c r="C455" s="2" t="str">
        <f t="array" ref="C455">_xlfn.XLOOKUP(A455, INSEE_Communes!$A$2:$A$3783, INSEE_Communes!$F$2:$F$3783, "code introuvable")</f>
        <v>non publié</v>
      </c>
    </row>
    <row r="456">
      <c r="A456" s="2" t="str">
        <f>Communes_HDF!A456</f>
        <v>02477</v>
      </c>
      <c r="B456" s="2" t="str">
        <f>Communes_HDF!B456</f>
        <v>Mercin-et-Vaux</v>
      </c>
      <c r="C456" s="2" t="str">
        <f t="array" ref="C456">_xlfn.XLOOKUP(A456, INSEE_Communes!$A$2:$A$3783, INSEE_Communes!$F$2:$F$3783, "code introuvable")</f>
        <v>non publié</v>
      </c>
    </row>
    <row r="457">
      <c r="A457" s="2" t="str">
        <f>Communes_HDF!A457</f>
        <v>02478</v>
      </c>
      <c r="B457" s="2" t="str">
        <f>Communes_HDF!B457</f>
        <v>Merlieux-et-Fouquerolles</v>
      </c>
      <c r="C457" s="2" t="str">
        <f t="array" ref="C457">_xlfn.XLOOKUP(A457, INSEE_Communes!$A$2:$A$3783, INSEE_Communes!$F$2:$F$3783, "code introuvable")</f>
        <v>non publié</v>
      </c>
    </row>
    <row r="458">
      <c r="A458" s="2" t="str">
        <f>Communes_HDF!A458</f>
        <v>02480</v>
      </c>
      <c r="B458" s="2" t="str">
        <f>Communes_HDF!B458</f>
        <v>Mesbrecourt-Richecourt</v>
      </c>
      <c r="C458" s="2" t="str">
        <f t="array" ref="C458">_xlfn.XLOOKUP(A458, INSEE_Communes!$A$2:$A$3783, INSEE_Communes!$F$2:$F$3783, "code introuvable")</f>
        <v>non publié</v>
      </c>
    </row>
    <row r="459">
      <c r="A459" s="2" t="str">
        <f>Communes_HDF!A459</f>
        <v>02481</v>
      </c>
      <c r="B459" s="2" t="str">
        <f>Communes_HDF!B459</f>
        <v>Mesnil-Saint-Laurent</v>
      </c>
      <c r="C459" s="2" t="str">
        <f t="array" ref="C459">_xlfn.XLOOKUP(A459, INSEE_Communes!$A$2:$A$3783, INSEE_Communes!$F$2:$F$3783, "code introuvable")</f>
        <v>non publié</v>
      </c>
    </row>
    <row r="460">
      <c r="A460" s="2" t="str">
        <f>Communes_HDF!A460</f>
        <v>02482</v>
      </c>
      <c r="B460" s="2" t="str">
        <f>Communes_HDF!B460</f>
        <v>Meurival</v>
      </c>
      <c r="C460" s="2" t="str">
        <f t="array" ref="C460">_xlfn.XLOOKUP(A460, INSEE_Communes!$A$2:$A$3783, INSEE_Communes!$F$2:$F$3783, "code introuvable")</f>
        <v>non publié</v>
      </c>
    </row>
    <row r="461">
      <c r="A461" s="2" t="str">
        <f>Communes_HDF!A461</f>
        <v>02485</v>
      </c>
      <c r="B461" s="2" t="str">
        <f>Communes_HDF!B461</f>
        <v>Missy-aux-Bois</v>
      </c>
      <c r="C461" s="2" t="str">
        <f t="array" ref="C461">_xlfn.XLOOKUP(A461, INSEE_Communes!$A$2:$A$3783, INSEE_Communes!$F$2:$F$3783, "code introuvable")</f>
        <v>non publié</v>
      </c>
    </row>
    <row r="462">
      <c r="A462" s="2" t="str">
        <f>Communes_HDF!A462</f>
        <v>02486</v>
      </c>
      <c r="B462" s="2" t="str">
        <f>Communes_HDF!B462</f>
        <v>Missy-lès-Pierrepont</v>
      </c>
      <c r="C462" s="2" t="str">
        <f t="array" ref="C462">_xlfn.XLOOKUP(A462, INSEE_Communes!$A$2:$A$3783, INSEE_Communes!$F$2:$F$3783, "code introuvable")</f>
        <v>non publié</v>
      </c>
    </row>
    <row r="463">
      <c r="A463" s="2" t="str">
        <f>Communes_HDF!A463</f>
        <v>02487</v>
      </c>
      <c r="B463" s="2" t="str">
        <f>Communes_HDF!B463</f>
        <v>Missy-sur-Aisne</v>
      </c>
      <c r="C463" s="2" t="str">
        <f t="array" ref="C463">_xlfn.XLOOKUP(A463, INSEE_Communes!$A$2:$A$3783, INSEE_Communes!$F$2:$F$3783, "code introuvable")</f>
        <v>non publié</v>
      </c>
    </row>
    <row r="464">
      <c r="A464" s="2" t="str">
        <f>Communes_HDF!A464</f>
        <v>02488</v>
      </c>
      <c r="B464" s="2" t="str">
        <f>Communes_HDF!B464</f>
        <v>Molain</v>
      </c>
      <c r="C464" s="2" t="str">
        <f t="array" ref="C464">_xlfn.XLOOKUP(A464, INSEE_Communes!$A$2:$A$3783, INSEE_Communes!$F$2:$F$3783, "code introuvable")</f>
        <v>non publié</v>
      </c>
    </row>
    <row r="465">
      <c r="A465" s="2" t="str">
        <f>Communes_HDF!A465</f>
        <v>02489</v>
      </c>
      <c r="B465" s="2" t="str">
        <f>Communes_HDF!B465</f>
        <v>Molinchart</v>
      </c>
      <c r="C465" s="2" t="str">
        <f t="array" ref="C465">_xlfn.XLOOKUP(A465, INSEE_Communes!$A$2:$A$3783, INSEE_Communes!$F$2:$F$3783, "code introuvable")</f>
        <v>non publié</v>
      </c>
    </row>
    <row r="466">
      <c r="A466" s="2" t="str">
        <f>Communes_HDF!A466</f>
        <v>02490</v>
      </c>
      <c r="B466" s="2" t="str">
        <f>Communes_HDF!B466</f>
        <v>Monampteuil</v>
      </c>
      <c r="C466" s="2" t="str">
        <f t="array" ref="C466">_xlfn.XLOOKUP(A466, INSEE_Communes!$A$2:$A$3783, INSEE_Communes!$F$2:$F$3783, "code introuvable")</f>
        <v>non publié</v>
      </c>
    </row>
    <row r="467">
      <c r="A467" s="2" t="str">
        <f>Communes_HDF!A467</f>
        <v>02491</v>
      </c>
      <c r="B467" s="2" t="str">
        <f>Communes_HDF!B467</f>
        <v>Monceau-le-Neuf-et-Faucouzy</v>
      </c>
      <c r="C467" s="2" t="str">
        <f t="array" ref="C467">_xlfn.XLOOKUP(A467, INSEE_Communes!$A$2:$A$3783, INSEE_Communes!$F$2:$F$3783, "code introuvable")</f>
        <v>non publié</v>
      </c>
    </row>
    <row r="468">
      <c r="A468" s="2" t="str">
        <f>Communes_HDF!A468</f>
        <v>02493</v>
      </c>
      <c r="B468" s="2" t="str">
        <f>Communes_HDF!B468</f>
        <v>Monceau-le-Waast</v>
      </c>
      <c r="C468" s="2" t="str">
        <f t="array" ref="C468">_xlfn.XLOOKUP(A468, INSEE_Communes!$A$2:$A$3783, INSEE_Communes!$F$2:$F$3783, "code introuvable")</f>
        <v>non publié</v>
      </c>
    </row>
    <row r="469">
      <c r="A469" s="2" t="str">
        <f>Communes_HDF!A469</f>
        <v>02492</v>
      </c>
      <c r="B469" s="2" t="str">
        <f>Communes_HDF!B469</f>
        <v>Monceau-lès-Leups</v>
      </c>
      <c r="C469" s="2" t="str">
        <f t="array" ref="C469">_xlfn.XLOOKUP(A469, INSEE_Communes!$A$2:$A$3783, INSEE_Communes!$F$2:$F$3783, "code introuvable")</f>
        <v>non publié</v>
      </c>
    </row>
    <row r="470">
      <c r="A470" s="2" t="str">
        <f>Communes_HDF!A470</f>
        <v>02494</v>
      </c>
      <c r="B470" s="2" t="str">
        <f>Communes_HDF!B470</f>
        <v>Monceau-sur-Oise</v>
      </c>
      <c r="C470" s="2" t="str">
        <f t="array" ref="C470">_xlfn.XLOOKUP(A470, INSEE_Communes!$A$2:$A$3783, INSEE_Communes!$F$2:$F$3783, "code introuvable")</f>
        <v>non publié</v>
      </c>
    </row>
    <row r="471">
      <c r="A471" s="2" t="str">
        <f>Communes_HDF!A471</f>
        <v>02495</v>
      </c>
      <c r="B471" s="2" t="str">
        <f>Communes_HDF!B471</f>
        <v>Mondrepuis</v>
      </c>
      <c r="C471" s="2" t="str">
        <f t="array" ref="C471">_xlfn.XLOOKUP(A471, INSEE_Communes!$A$2:$A$3783, INSEE_Communes!$F$2:$F$3783, "code introuvable")</f>
        <v>non publié</v>
      </c>
    </row>
    <row r="472">
      <c r="A472" s="2" t="str">
        <f>Communes_HDF!A472</f>
        <v>02496</v>
      </c>
      <c r="B472" s="2" t="str">
        <f>Communes_HDF!B472</f>
        <v>Monnes</v>
      </c>
      <c r="C472" s="2" t="str">
        <f t="array" ref="C472">_xlfn.XLOOKUP(A472, INSEE_Communes!$A$2:$A$3783, INSEE_Communes!$F$2:$F$3783, "code introuvable")</f>
        <v>non publié</v>
      </c>
    </row>
    <row r="473">
      <c r="A473" s="2" t="str">
        <f>Communes_HDF!A473</f>
        <v>02497</v>
      </c>
      <c r="B473" s="2" t="str">
        <f>Communes_HDF!B473</f>
        <v>Mons-en-Laonnois</v>
      </c>
      <c r="C473" s="2" t="str">
        <f t="array" ref="C473">_xlfn.XLOOKUP(A473, INSEE_Communes!$A$2:$A$3783, INSEE_Communes!$F$2:$F$3783, "code introuvable")</f>
        <v>non publié</v>
      </c>
    </row>
    <row r="474">
      <c r="A474" s="2" t="str">
        <f>Communes_HDF!A474</f>
        <v>02520</v>
      </c>
      <c r="B474" s="2" t="str">
        <f>Communes_HDF!B474</f>
        <v>Mont-Notre-Dame</v>
      </c>
      <c r="C474" s="2" t="str">
        <f t="array" ref="C474">_xlfn.XLOOKUP(A474, INSEE_Communes!$A$2:$A$3783, INSEE_Communes!$F$2:$F$3783, "code introuvable")</f>
        <v>non publié</v>
      </c>
    </row>
    <row r="475">
      <c r="A475" s="2" t="str">
        <f>Communes_HDF!A475</f>
        <v>02522</v>
      </c>
      <c r="B475" s="2" t="str">
        <f>Communes_HDF!B475</f>
        <v>Mont-Saint-Jean</v>
      </c>
      <c r="C475" s="2" t="str">
        <f t="array" ref="C475">_xlfn.XLOOKUP(A475, INSEE_Communes!$A$2:$A$3783, INSEE_Communes!$F$2:$F$3783, "code introuvable")</f>
        <v>non publié</v>
      </c>
    </row>
    <row r="476">
      <c r="A476" s="2" t="str">
        <f>Communes_HDF!A476</f>
        <v>02523</v>
      </c>
      <c r="B476" s="2" t="str">
        <f>Communes_HDF!B476</f>
        <v>Mont-Saint-Martin</v>
      </c>
      <c r="C476" s="2" t="str">
        <f t="array" ref="C476">_xlfn.XLOOKUP(A476, INSEE_Communes!$A$2:$A$3783, INSEE_Communes!$F$2:$F$3783, "code introuvable")</f>
        <v>non publié</v>
      </c>
    </row>
    <row r="477">
      <c r="A477" s="2" t="str">
        <f>Communes_HDF!A477</f>
        <v>02524</v>
      </c>
      <c r="B477" s="2" t="str">
        <f>Communes_HDF!B477</f>
        <v>Mont-Saint-Père</v>
      </c>
      <c r="C477" s="2" t="str">
        <f t="array" ref="C477">_xlfn.XLOOKUP(A477, INSEE_Communes!$A$2:$A$3783, INSEE_Communes!$F$2:$F$3783, "code introuvable")</f>
        <v>non publié</v>
      </c>
    </row>
    <row r="478">
      <c r="A478" s="2" t="str">
        <f>Communes_HDF!A478</f>
        <v>02503</v>
      </c>
      <c r="B478" s="2" t="str">
        <f>Communes_HDF!B478</f>
        <v>Mont-d'Origny</v>
      </c>
      <c r="C478" s="2" t="str">
        <f t="array" ref="C478">_xlfn.XLOOKUP(A478, INSEE_Communes!$A$2:$A$3783, INSEE_Communes!$F$2:$F$3783, "code introuvable")</f>
        <v>non publié</v>
      </c>
    </row>
    <row r="479">
      <c r="A479" s="2" t="str">
        <f>Communes_HDF!A479</f>
        <v>02498</v>
      </c>
      <c r="B479" s="2" t="str">
        <f>Communes_HDF!B479</f>
        <v>Montaigu</v>
      </c>
      <c r="C479" s="2" t="str">
        <f t="array" ref="C479">_xlfn.XLOOKUP(A479, INSEE_Communes!$A$2:$A$3783, INSEE_Communes!$F$2:$F$3783, "code introuvable")</f>
        <v>non publié</v>
      </c>
    </row>
    <row r="480">
      <c r="A480" s="2" t="str">
        <f>Communes_HDF!A480</f>
        <v>02499</v>
      </c>
      <c r="B480" s="2" t="str">
        <f>Communes_HDF!B480</f>
        <v>Montbavin</v>
      </c>
      <c r="C480" s="2" t="str">
        <f t="array" ref="C480">_xlfn.XLOOKUP(A480, INSEE_Communes!$A$2:$A$3783, INSEE_Communes!$F$2:$F$3783, "code introuvable")</f>
        <v>non publié</v>
      </c>
    </row>
    <row r="481">
      <c r="A481" s="2" t="str">
        <f>Communes_HDF!A481</f>
        <v>02500</v>
      </c>
      <c r="B481" s="2" t="str">
        <f>Communes_HDF!B481</f>
        <v>Montbrehain</v>
      </c>
      <c r="C481" s="2" t="str">
        <f t="array" ref="C481">_xlfn.XLOOKUP(A481, INSEE_Communes!$A$2:$A$3783, INSEE_Communes!$F$2:$F$3783, "code introuvable")</f>
        <v>non publié</v>
      </c>
    </row>
    <row r="482">
      <c r="A482" s="2" t="str">
        <f>Communes_HDF!A482</f>
        <v>02501</v>
      </c>
      <c r="B482" s="2" t="str">
        <f>Communes_HDF!B482</f>
        <v>Montchâlons</v>
      </c>
      <c r="C482" s="2" t="str">
        <f t="array" ref="C482">_xlfn.XLOOKUP(A482, INSEE_Communes!$A$2:$A$3783, INSEE_Communes!$F$2:$F$3783, "code introuvable")</f>
        <v>non publié</v>
      </c>
    </row>
    <row r="483">
      <c r="A483" s="2" t="str">
        <f>Communes_HDF!A483</f>
        <v>02502</v>
      </c>
      <c r="B483" s="2" t="str">
        <f>Communes_HDF!B483</f>
        <v>Montcornet</v>
      </c>
      <c r="C483" s="2" t="str">
        <f t="array" ref="C483">_xlfn.XLOOKUP(A483, INSEE_Communes!$A$2:$A$3783, INSEE_Communes!$F$2:$F$3783, "code introuvable")</f>
        <v>non publié</v>
      </c>
    </row>
    <row r="484">
      <c r="A484" s="2" t="str">
        <f>Communes_HDF!A484</f>
        <v>02504</v>
      </c>
      <c r="B484" s="2" t="str">
        <f>Communes_HDF!B484</f>
        <v>Montescourt-Lizerolles</v>
      </c>
      <c r="C484" s="2" t="str">
        <f t="array" ref="C484">_xlfn.XLOOKUP(A484, INSEE_Communes!$A$2:$A$3783, INSEE_Communes!$F$2:$F$3783, "code introuvable")</f>
        <v>non publié</v>
      </c>
    </row>
    <row r="485">
      <c r="A485" s="2" t="str">
        <f>Communes_HDF!A485</f>
        <v>02505</v>
      </c>
      <c r="B485" s="2" t="str">
        <f>Communes_HDF!B485</f>
        <v>Montfaucon</v>
      </c>
      <c r="C485" s="2" t="str">
        <f t="array" ref="C485">_xlfn.XLOOKUP(A485, INSEE_Communes!$A$2:$A$3783, INSEE_Communes!$F$2:$F$3783, "code introuvable")</f>
        <v>non publié</v>
      </c>
    </row>
    <row r="486">
      <c r="A486" s="2" t="str">
        <f>Communes_HDF!A486</f>
        <v>02506</v>
      </c>
      <c r="B486" s="2" t="str">
        <f>Communes_HDF!B486</f>
        <v>Montgobert</v>
      </c>
      <c r="C486" s="2" t="str">
        <f t="array" ref="C486">_xlfn.XLOOKUP(A486, INSEE_Communes!$A$2:$A$3783, INSEE_Communes!$F$2:$F$3783, "code introuvable")</f>
        <v>non publié</v>
      </c>
    </row>
    <row r="487">
      <c r="A487" s="2" t="str">
        <f>Communes_HDF!A487</f>
        <v>02507</v>
      </c>
      <c r="B487" s="2" t="str">
        <f>Communes_HDF!B487</f>
        <v>Montgru-Saint-Hilaire</v>
      </c>
      <c r="C487" s="2" t="str">
        <f t="array" ref="C487">_xlfn.XLOOKUP(A487, INSEE_Communes!$A$2:$A$3783, INSEE_Communes!$F$2:$F$3783, "code introuvable")</f>
        <v>non publié</v>
      </c>
    </row>
    <row r="488">
      <c r="A488" s="2" t="str">
        <f>Communes_HDF!A488</f>
        <v>02508</v>
      </c>
      <c r="B488" s="2" t="str">
        <f>Communes_HDF!B488</f>
        <v>Monthenault</v>
      </c>
      <c r="C488" s="2" t="str">
        <f t="array" ref="C488">_xlfn.XLOOKUP(A488, INSEE_Communes!$A$2:$A$3783, INSEE_Communes!$F$2:$F$3783, "code introuvable")</f>
        <v>non publié</v>
      </c>
    </row>
    <row r="489">
      <c r="A489" s="2" t="str">
        <f>Communes_HDF!A489</f>
        <v>02509</v>
      </c>
      <c r="B489" s="2" t="str">
        <f>Communes_HDF!B489</f>
        <v>Monthiers</v>
      </c>
      <c r="C489" s="2" t="str">
        <f t="array" ref="C489">_xlfn.XLOOKUP(A489, INSEE_Communes!$A$2:$A$3783, INSEE_Communes!$F$2:$F$3783, "code introuvable")</f>
        <v>non publié</v>
      </c>
    </row>
    <row r="490">
      <c r="A490" s="2" t="str">
        <f>Communes_HDF!A490</f>
        <v>02510</v>
      </c>
      <c r="B490" s="2" t="str">
        <f>Communes_HDF!B490</f>
        <v>Monthurel</v>
      </c>
      <c r="C490" s="2" t="str">
        <f t="array" ref="C490">_xlfn.XLOOKUP(A490, INSEE_Communes!$A$2:$A$3783, INSEE_Communes!$F$2:$F$3783, "code introuvable")</f>
        <v>non publié</v>
      </c>
    </row>
    <row r="491">
      <c r="A491" s="2" t="str">
        <f>Communes_HDF!A491</f>
        <v>02514</v>
      </c>
      <c r="B491" s="2" t="str">
        <f>Communes_HDF!B491</f>
        <v>Montigny-Lengrain</v>
      </c>
      <c r="C491" s="2" t="str">
        <f t="array" ref="C491">_xlfn.XLOOKUP(A491, INSEE_Communes!$A$2:$A$3783, INSEE_Communes!$F$2:$F$3783, "code introuvable")</f>
        <v>non publié</v>
      </c>
    </row>
    <row r="492">
      <c r="A492" s="2" t="str">
        <f>Communes_HDF!A492</f>
        <v>02511</v>
      </c>
      <c r="B492" s="2" t="str">
        <f>Communes_HDF!B492</f>
        <v>Montigny-en-Arrouaise</v>
      </c>
      <c r="C492" s="2" t="str">
        <f t="array" ref="C492">_xlfn.XLOOKUP(A492, INSEE_Communes!$A$2:$A$3783, INSEE_Communes!$F$2:$F$3783, "code introuvable")</f>
        <v>non publié</v>
      </c>
    </row>
    <row r="493">
      <c r="A493" s="2" t="str">
        <f>Communes_HDF!A493</f>
        <v>02512</v>
      </c>
      <c r="B493" s="2" t="str">
        <f>Communes_HDF!B493</f>
        <v>Montigny-l'Allier</v>
      </c>
      <c r="C493" s="2" t="str">
        <f t="array" ref="C493">_xlfn.XLOOKUP(A493, INSEE_Communes!$A$2:$A$3783, INSEE_Communes!$F$2:$F$3783, "code introuvable")</f>
        <v>non publié</v>
      </c>
    </row>
    <row r="494">
      <c r="A494" s="2" t="str">
        <f>Communes_HDF!A494</f>
        <v>02513</v>
      </c>
      <c r="B494" s="2" t="str">
        <f>Communes_HDF!B494</f>
        <v>Montigny-le-Franc</v>
      </c>
      <c r="C494" s="2" t="str">
        <f t="array" ref="C494">_xlfn.XLOOKUP(A494, INSEE_Communes!$A$2:$A$3783, INSEE_Communes!$F$2:$F$3783, "code introuvable")</f>
        <v>non publié</v>
      </c>
    </row>
    <row r="495">
      <c r="A495" s="2" t="str">
        <f>Communes_HDF!A495</f>
        <v>02515</v>
      </c>
      <c r="B495" s="2" t="str">
        <f>Communes_HDF!B495</f>
        <v>Montigny-lès-Condé</v>
      </c>
      <c r="C495" s="2" t="str">
        <f t="array" ref="C495">_xlfn.XLOOKUP(A495, INSEE_Communes!$A$2:$A$3783, INSEE_Communes!$F$2:$F$3783, "code introuvable")</f>
        <v>non publié</v>
      </c>
    </row>
    <row r="496">
      <c r="A496" s="2" t="str">
        <f>Communes_HDF!A496</f>
        <v>02516</v>
      </c>
      <c r="B496" s="2" t="str">
        <f>Communes_HDF!B496</f>
        <v>Montigny-sous-Marle</v>
      </c>
      <c r="C496" s="2" t="str">
        <f t="array" ref="C496">_xlfn.XLOOKUP(A496, INSEE_Communes!$A$2:$A$3783, INSEE_Communes!$F$2:$F$3783, "code introuvable")</f>
        <v>non publié</v>
      </c>
    </row>
    <row r="497">
      <c r="A497" s="2" t="str">
        <f>Communes_HDF!A497</f>
        <v>02517</v>
      </c>
      <c r="B497" s="2" t="str">
        <f>Communes_HDF!B497</f>
        <v>Montigny-sur-Crécy</v>
      </c>
      <c r="C497" s="2" t="str">
        <f t="array" ref="C497">_xlfn.XLOOKUP(A497, INSEE_Communes!$A$2:$A$3783, INSEE_Communes!$F$2:$F$3783, "code introuvable")</f>
        <v>non publié</v>
      </c>
    </row>
    <row r="498">
      <c r="A498" s="2" t="str">
        <f>Communes_HDF!A498</f>
        <v>02518</v>
      </c>
      <c r="B498" s="2" t="str">
        <f>Communes_HDF!B498</f>
        <v>Montlevon</v>
      </c>
      <c r="C498" s="2" t="str">
        <f t="array" ref="C498">_xlfn.XLOOKUP(A498, INSEE_Communes!$A$2:$A$3783, INSEE_Communes!$F$2:$F$3783, "code introuvable")</f>
        <v>non publié</v>
      </c>
    </row>
    <row r="499">
      <c r="A499" s="2" t="str">
        <f>Communes_HDF!A499</f>
        <v>02519</v>
      </c>
      <c r="B499" s="2" t="str">
        <f>Communes_HDF!B499</f>
        <v>Montloué</v>
      </c>
      <c r="C499" s="2" t="str">
        <f t="array" ref="C499">_xlfn.XLOOKUP(A499, INSEE_Communes!$A$2:$A$3783, INSEE_Communes!$F$2:$F$3783, "code introuvable")</f>
        <v>non publié</v>
      </c>
    </row>
    <row r="500">
      <c r="A500" s="2" t="str">
        <f>Communes_HDF!A500</f>
        <v>02521</v>
      </c>
      <c r="B500" s="2" t="str">
        <f>Communes_HDF!B500</f>
        <v>Montreuil-aux-Lions</v>
      </c>
      <c r="C500" s="2" t="str">
        <f t="array" ref="C500">_xlfn.XLOOKUP(A500, INSEE_Communes!$A$2:$A$3783, INSEE_Communes!$F$2:$F$3783, "code introuvable")</f>
        <v>non publié</v>
      </c>
    </row>
    <row r="501">
      <c r="A501" s="2" t="str">
        <f>Communes_HDF!A501</f>
        <v>02525</v>
      </c>
      <c r="B501" s="2" t="str">
        <f>Communes_HDF!B501</f>
        <v>Morcourt</v>
      </c>
      <c r="C501" s="2" t="str">
        <f t="array" ref="C501">_xlfn.XLOOKUP(A501, INSEE_Communes!$A$2:$A$3783, INSEE_Communes!$F$2:$F$3783, "code introuvable")</f>
        <v>non publié</v>
      </c>
    </row>
    <row r="502">
      <c r="A502" s="2" t="str">
        <f>Communes_HDF!A502</f>
        <v>02526</v>
      </c>
      <c r="B502" s="2" t="str">
        <f>Communes_HDF!B502</f>
        <v>Morgny-en-Thiérache</v>
      </c>
      <c r="C502" s="2" t="str">
        <f t="array" ref="C502">_xlfn.XLOOKUP(A502, INSEE_Communes!$A$2:$A$3783, INSEE_Communes!$F$2:$F$3783, "code introuvable")</f>
        <v>non publié</v>
      </c>
    </row>
    <row r="503">
      <c r="A503" s="2" t="str">
        <f>Communes_HDF!A503</f>
        <v>02527</v>
      </c>
      <c r="B503" s="2" t="str">
        <f>Communes_HDF!B503</f>
        <v>Morsain</v>
      </c>
      <c r="C503" s="2" t="str">
        <f t="array" ref="C503">_xlfn.XLOOKUP(A503, INSEE_Communes!$A$2:$A$3783, INSEE_Communes!$F$2:$F$3783, "code introuvable")</f>
        <v>non publié</v>
      </c>
    </row>
    <row r="504">
      <c r="A504" s="2" t="str">
        <f>Communes_HDF!A504</f>
        <v>02528</v>
      </c>
      <c r="B504" s="2" t="str">
        <f>Communes_HDF!B504</f>
        <v>Mortefontaine</v>
      </c>
      <c r="C504" s="2" t="str">
        <f t="array" ref="C504">_xlfn.XLOOKUP(A504, INSEE_Communes!$A$2:$A$3783, INSEE_Communes!$F$2:$F$3783, "code introuvable")</f>
        <v>non publié</v>
      </c>
    </row>
    <row r="505">
      <c r="A505" s="2" t="str">
        <f>Communes_HDF!A505</f>
        <v>02529</v>
      </c>
      <c r="B505" s="2" t="str">
        <f>Communes_HDF!B505</f>
        <v>Mortiers</v>
      </c>
      <c r="C505" s="2" t="str">
        <f t="array" ref="C505">_xlfn.XLOOKUP(A505, INSEE_Communes!$A$2:$A$3783, INSEE_Communes!$F$2:$F$3783, "code introuvable")</f>
        <v>non publié</v>
      </c>
    </row>
    <row r="506">
      <c r="A506" s="2" t="str">
        <f>Communes_HDF!A506</f>
        <v>02530</v>
      </c>
      <c r="B506" s="2" t="str">
        <f>Communes_HDF!B506</f>
        <v>Moulins</v>
      </c>
      <c r="C506" s="2" t="str">
        <f t="array" ref="C506">_xlfn.XLOOKUP(A506, INSEE_Communes!$A$2:$A$3783, INSEE_Communes!$F$2:$F$3783, "code introuvable")</f>
        <v>non publié</v>
      </c>
    </row>
    <row r="507">
      <c r="A507" s="2" t="str">
        <f>Communes_HDF!A507</f>
        <v>02531</v>
      </c>
      <c r="B507" s="2" t="str">
        <f>Communes_HDF!B507</f>
        <v>Moussy-Verneuil</v>
      </c>
      <c r="C507" s="2" t="str">
        <f t="array" ref="C507">_xlfn.XLOOKUP(A507, INSEE_Communes!$A$2:$A$3783, INSEE_Communes!$F$2:$F$3783, "code introuvable")</f>
        <v>non publié</v>
      </c>
    </row>
    <row r="508">
      <c r="A508" s="2" t="str">
        <f>Communes_HDF!A508</f>
        <v>02532</v>
      </c>
      <c r="B508" s="2" t="str">
        <f>Communes_HDF!B508</f>
        <v>Moÿ-de-l'Aisne</v>
      </c>
      <c r="C508" s="2" t="str">
        <f t="array" ref="C508">_xlfn.XLOOKUP(A508, INSEE_Communes!$A$2:$A$3783, INSEE_Communes!$F$2:$F$3783, "code introuvable")</f>
        <v>non publié</v>
      </c>
    </row>
    <row r="509">
      <c r="A509" s="2" t="str">
        <f>Communes_HDF!A509</f>
        <v>02533</v>
      </c>
      <c r="B509" s="2" t="str">
        <f>Communes_HDF!B509</f>
        <v>Muret-et-Crouttes</v>
      </c>
      <c r="C509" s="2" t="str">
        <f t="array" ref="C509">_xlfn.XLOOKUP(A509, INSEE_Communes!$A$2:$A$3783, INSEE_Communes!$F$2:$F$3783, "code introuvable")</f>
        <v>non publié</v>
      </c>
    </row>
    <row r="510">
      <c r="A510" s="2" t="str">
        <f>Communes_HDF!A510</f>
        <v>02534</v>
      </c>
      <c r="B510" s="2" t="str">
        <f>Communes_HDF!B510</f>
        <v>Muscourt</v>
      </c>
      <c r="C510" s="2" t="str">
        <f t="array" ref="C510">_xlfn.XLOOKUP(A510, INSEE_Communes!$A$2:$A$3783, INSEE_Communes!$F$2:$F$3783, "code introuvable")</f>
        <v>non publié</v>
      </c>
    </row>
    <row r="511">
      <c r="A511" s="2" t="str">
        <f>Communes_HDF!A511</f>
        <v>02448</v>
      </c>
      <c r="B511" s="2" t="str">
        <f>Communes_HDF!B511</f>
        <v>Mâchecourt</v>
      </c>
      <c r="C511" s="2" t="str">
        <f t="array" ref="C511">_xlfn.XLOOKUP(A511, INSEE_Communes!$A$2:$A$3783, INSEE_Communes!$F$2:$F$3783, "code introuvable")</f>
        <v>non publié</v>
      </c>
    </row>
    <row r="512">
      <c r="A512" s="2" t="str">
        <f>Communes_HDF!A512</f>
        <v>02483</v>
      </c>
      <c r="B512" s="2" t="str">
        <f>Communes_HDF!B512</f>
        <v>Mézières-sur-Oise</v>
      </c>
      <c r="C512" s="2" t="str">
        <f t="array" ref="C512">_xlfn.XLOOKUP(A512, INSEE_Communes!$A$2:$A$3783, INSEE_Communes!$F$2:$F$3783, "code introuvable")</f>
        <v>non publié</v>
      </c>
    </row>
    <row r="513">
      <c r="A513" s="2" t="str">
        <f>Communes_HDF!A513</f>
        <v>02484</v>
      </c>
      <c r="B513" s="2" t="str">
        <f>Communes_HDF!B513</f>
        <v>Mézy-Moulins</v>
      </c>
      <c r="C513" s="2" t="str">
        <f t="array" ref="C513">_xlfn.XLOOKUP(A513, INSEE_Communes!$A$2:$A$3783, INSEE_Communes!$F$2:$F$3783, "code introuvable")</f>
        <v>non publié</v>
      </c>
    </row>
    <row r="514">
      <c r="A514" s="2" t="str">
        <f>Communes_HDF!A514</f>
        <v>02535</v>
      </c>
      <c r="B514" s="2" t="str">
        <f>Communes_HDF!B514</f>
        <v>Nampcelles-la-Cour</v>
      </c>
      <c r="C514" s="2" t="str">
        <f t="array" ref="C514">_xlfn.XLOOKUP(A514, INSEE_Communes!$A$2:$A$3783, INSEE_Communes!$F$2:$F$3783, "code introuvable")</f>
        <v>non publié</v>
      </c>
    </row>
    <row r="515">
      <c r="A515" s="2" t="str">
        <f>Communes_HDF!A515</f>
        <v>02536</v>
      </c>
      <c r="B515" s="2" t="str">
        <f>Communes_HDF!B515</f>
        <v>Nampteuil-sous-Muret</v>
      </c>
      <c r="C515" s="2" t="str">
        <f t="array" ref="C515">_xlfn.XLOOKUP(A515, INSEE_Communes!$A$2:$A$3783, INSEE_Communes!$F$2:$F$3783, "code introuvable")</f>
        <v>non publié</v>
      </c>
    </row>
    <row r="516">
      <c r="A516" s="2" t="str">
        <f>Communes_HDF!A516</f>
        <v>02538</v>
      </c>
      <c r="B516" s="2" t="str">
        <f>Communes_HDF!B516</f>
        <v>Nanteuil-Notre-Dame</v>
      </c>
      <c r="C516" s="2" t="str">
        <f t="array" ref="C516">_xlfn.XLOOKUP(A516, INSEE_Communes!$A$2:$A$3783, INSEE_Communes!$F$2:$F$3783, "code introuvable")</f>
        <v>non publié</v>
      </c>
    </row>
    <row r="517">
      <c r="A517" s="2" t="str">
        <f>Communes_HDF!A517</f>
        <v>02537</v>
      </c>
      <c r="B517" s="2" t="str">
        <f>Communes_HDF!B517</f>
        <v>Nanteuil-la-Fosse</v>
      </c>
      <c r="C517" s="2" t="str">
        <f t="array" ref="C517">_xlfn.XLOOKUP(A517, INSEE_Communes!$A$2:$A$3783, INSEE_Communes!$F$2:$F$3783, "code introuvable")</f>
        <v>non publié</v>
      </c>
    </row>
    <row r="518">
      <c r="A518" s="2" t="str">
        <f>Communes_HDF!A518</f>
        <v>02539</v>
      </c>
      <c r="B518" s="2" t="str">
        <f>Communes_HDF!B518</f>
        <v>Nauroy</v>
      </c>
      <c r="C518" s="2" t="str">
        <f t="array" ref="C518">_xlfn.XLOOKUP(A518, INSEE_Communes!$A$2:$A$3783, INSEE_Communes!$F$2:$F$3783, "code introuvable")</f>
        <v>non publié</v>
      </c>
    </row>
    <row r="519">
      <c r="A519" s="2" t="str">
        <f>Communes_HDF!A519</f>
        <v>02540</v>
      </c>
      <c r="B519" s="2" t="str">
        <f>Communes_HDF!B519</f>
        <v>Nesles-la-Montagne</v>
      </c>
      <c r="C519" s="2" t="str">
        <f t="array" ref="C519">_xlfn.XLOOKUP(A519, INSEE_Communes!$A$2:$A$3783, INSEE_Communes!$F$2:$F$3783, "code introuvable")</f>
        <v>non publié</v>
      </c>
    </row>
    <row r="520">
      <c r="A520" s="2" t="str">
        <f>Communes_HDF!A520</f>
        <v>02541</v>
      </c>
      <c r="B520" s="2" t="str">
        <f>Communes_HDF!B520</f>
        <v>Neufchâtel-sur-Aisne</v>
      </c>
      <c r="C520" s="2" t="str">
        <f t="array" ref="C520">_xlfn.XLOOKUP(A520, INSEE_Communes!$A$2:$A$3783, INSEE_Communes!$F$2:$F$3783, "code introuvable")</f>
        <v>non publié</v>
      </c>
    </row>
    <row r="521">
      <c r="A521" s="2" t="str">
        <f>Communes_HDF!A521</f>
        <v>02542</v>
      </c>
      <c r="B521" s="2" t="str">
        <f>Communes_HDF!B521</f>
        <v>Neuflieux</v>
      </c>
      <c r="C521" s="2" t="str">
        <f t="array" ref="C521">_xlfn.XLOOKUP(A521, INSEE_Communes!$A$2:$A$3783, INSEE_Communes!$F$2:$F$3783, "code introuvable")</f>
        <v>non publié</v>
      </c>
    </row>
    <row r="522">
      <c r="A522" s="2" t="str">
        <f>Communes_HDF!A522</f>
        <v>02543</v>
      </c>
      <c r="B522" s="2" t="str">
        <f>Communes_HDF!B522</f>
        <v>Neuilly-Saint-Front</v>
      </c>
      <c r="C522" s="2" t="str">
        <f t="array" ref="C522">_xlfn.XLOOKUP(A522, INSEE_Communes!$A$2:$A$3783, INSEE_Communes!$F$2:$F$3783, "code introuvable")</f>
        <v>non publié</v>
      </c>
    </row>
    <row r="523">
      <c r="A523" s="2" t="str">
        <f>Communes_HDF!A523</f>
        <v>02544</v>
      </c>
      <c r="B523" s="2" t="str">
        <f>Communes_HDF!B523</f>
        <v>Neuve-Maison</v>
      </c>
      <c r="C523" s="2" t="str">
        <f t="array" ref="C523">_xlfn.XLOOKUP(A523, INSEE_Communes!$A$2:$A$3783, INSEE_Communes!$F$2:$F$3783, "code introuvable")</f>
        <v>non publié</v>
      </c>
    </row>
    <row r="524">
      <c r="A524" s="2" t="str">
        <f>Communes_HDF!A524</f>
        <v>02549</v>
      </c>
      <c r="B524" s="2" t="str">
        <f>Communes_HDF!B524</f>
        <v>Neuville-Saint-Amand</v>
      </c>
      <c r="C524" s="2" t="str">
        <f t="array" ref="C524">_xlfn.XLOOKUP(A524, INSEE_Communes!$A$2:$A$3783, INSEE_Communes!$F$2:$F$3783, "code introuvable")</f>
        <v>non publié</v>
      </c>
    </row>
    <row r="525">
      <c r="A525" s="2" t="str">
        <f>Communes_HDF!A525</f>
        <v>02550</v>
      </c>
      <c r="B525" s="2" t="str">
        <f>Communes_HDF!B525</f>
        <v>Neuville-sur-Ailette</v>
      </c>
      <c r="C525" s="2" t="str">
        <f t="array" ref="C525">_xlfn.XLOOKUP(A525, INSEE_Communes!$A$2:$A$3783, INSEE_Communes!$F$2:$F$3783, "code introuvable")</f>
        <v>non publié</v>
      </c>
    </row>
    <row r="526">
      <c r="A526" s="2" t="str">
        <f>Communes_HDF!A526</f>
        <v>02551</v>
      </c>
      <c r="B526" s="2" t="str">
        <f>Communes_HDF!B526</f>
        <v>Neuville-sur-Margival</v>
      </c>
      <c r="C526" s="2" t="str">
        <f t="array" ref="C526">_xlfn.XLOOKUP(A526, INSEE_Communes!$A$2:$A$3783, INSEE_Communes!$F$2:$F$3783, "code introuvable")</f>
        <v>non publié</v>
      </c>
    </row>
    <row r="527">
      <c r="A527" s="2" t="str">
        <f>Communes_HDF!A527</f>
        <v>02552</v>
      </c>
      <c r="B527" s="2" t="str">
        <f>Communes_HDF!B527</f>
        <v>Neuvillette</v>
      </c>
      <c r="C527" s="2" t="str">
        <f t="array" ref="C527">_xlfn.XLOOKUP(A527, INSEE_Communes!$A$2:$A$3783, INSEE_Communes!$F$2:$F$3783, "code introuvable")</f>
        <v>non publié</v>
      </c>
    </row>
    <row r="528">
      <c r="A528" s="2" t="str">
        <f>Communes_HDF!A528</f>
        <v>02553</v>
      </c>
      <c r="B528" s="2" t="str">
        <f>Communes_HDF!B528</f>
        <v>Nizy-le-Comte</v>
      </c>
      <c r="C528" s="2" t="str">
        <f t="array" ref="C528">_xlfn.XLOOKUP(A528, INSEE_Communes!$A$2:$A$3783, INSEE_Communes!$F$2:$F$3783, "code introuvable")</f>
        <v>non publié</v>
      </c>
    </row>
    <row r="529">
      <c r="A529" s="2" t="str">
        <f>Communes_HDF!A529</f>
        <v>02555</v>
      </c>
      <c r="B529" s="2" t="str">
        <f>Communes_HDF!B529</f>
        <v>Nogent-l'Artaud</v>
      </c>
      <c r="C529" s="2" t="str">
        <f t="array" ref="C529">_xlfn.XLOOKUP(A529, INSEE_Communes!$A$2:$A$3783, INSEE_Communes!$F$2:$F$3783, "code introuvable")</f>
        <v>non publié</v>
      </c>
    </row>
    <row r="530">
      <c r="A530" s="2" t="str">
        <f>Communes_HDF!A530</f>
        <v>02554</v>
      </c>
      <c r="B530" s="2" t="str">
        <f>Communes_HDF!B530</f>
        <v>Nogentel</v>
      </c>
      <c r="C530" s="2" t="str">
        <f t="array" ref="C530">_xlfn.XLOOKUP(A530, INSEE_Communes!$A$2:$A$3783, INSEE_Communes!$F$2:$F$3783, "code introuvable")</f>
        <v>non publié</v>
      </c>
    </row>
    <row r="531">
      <c r="A531" s="2" t="str">
        <f>Communes_HDF!A531</f>
        <v>02556</v>
      </c>
      <c r="B531" s="2" t="str">
        <f>Communes_HDF!B531</f>
        <v>Noircourt</v>
      </c>
      <c r="C531" s="2" t="str">
        <f t="array" ref="C531">_xlfn.XLOOKUP(A531, INSEE_Communes!$A$2:$A$3783, INSEE_Communes!$F$2:$F$3783, "code introuvable")</f>
        <v>non publié</v>
      </c>
    </row>
    <row r="532">
      <c r="A532" s="2" t="str">
        <f>Communes_HDF!A532</f>
        <v>02557</v>
      </c>
      <c r="B532" s="2" t="str">
        <f>Communes_HDF!B532</f>
        <v>Noroy-sur-Ourcq</v>
      </c>
      <c r="C532" s="2" t="str">
        <f t="array" ref="C532">_xlfn.XLOOKUP(A532, INSEE_Communes!$A$2:$A$3783, INSEE_Communes!$F$2:$F$3783, "code introuvable")</f>
        <v>non publié</v>
      </c>
    </row>
    <row r="533">
      <c r="A533" s="2" t="str">
        <f>Communes_HDF!A533</f>
        <v>02559</v>
      </c>
      <c r="B533" s="2" t="str">
        <f>Communes_HDF!B533</f>
        <v>Nouvion-et-Catillon</v>
      </c>
      <c r="C533" s="2" t="str">
        <f t="array" ref="C533">_xlfn.XLOOKUP(A533, INSEE_Communes!$A$2:$A$3783, INSEE_Communes!$F$2:$F$3783, "code introuvable")</f>
        <v>non publié</v>
      </c>
    </row>
    <row r="534">
      <c r="A534" s="2" t="str">
        <f>Communes_HDF!A534</f>
        <v>02560</v>
      </c>
      <c r="B534" s="2" t="str">
        <f>Communes_HDF!B534</f>
        <v>Nouvion-le-Comte</v>
      </c>
      <c r="C534" s="2" t="str">
        <f t="array" ref="C534">_xlfn.XLOOKUP(A534, INSEE_Communes!$A$2:$A$3783, INSEE_Communes!$F$2:$F$3783, "code introuvable")</f>
        <v>non publié</v>
      </c>
    </row>
    <row r="535">
      <c r="A535" s="2" t="str">
        <f>Communes_HDF!A535</f>
        <v>02561</v>
      </c>
      <c r="B535" s="2" t="str">
        <f>Communes_HDF!B535</f>
        <v>Nouvion-le-Vineux</v>
      </c>
      <c r="C535" s="2" t="str">
        <f t="array" ref="C535">_xlfn.XLOOKUP(A535, INSEE_Communes!$A$2:$A$3783, INSEE_Communes!$F$2:$F$3783, "code introuvable")</f>
        <v>non publié</v>
      </c>
    </row>
    <row r="536">
      <c r="A536" s="2" t="str">
        <f>Communes_HDF!A536</f>
        <v>02562</v>
      </c>
      <c r="B536" s="2" t="str">
        <f>Communes_HDF!B536</f>
        <v>Nouvron-Vingré</v>
      </c>
      <c r="C536" s="2" t="str">
        <f t="array" ref="C536">_xlfn.XLOOKUP(A536, INSEE_Communes!$A$2:$A$3783, INSEE_Communes!$F$2:$F$3783, "code introuvable")</f>
        <v>non publié</v>
      </c>
    </row>
    <row r="537">
      <c r="A537" s="2" t="str">
        <f>Communes_HDF!A537</f>
        <v>02563</v>
      </c>
      <c r="B537" s="2" t="str">
        <f>Communes_HDF!B537</f>
        <v>Noyales</v>
      </c>
      <c r="C537" s="2" t="str">
        <f t="array" ref="C537">_xlfn.XLOOKUP(A537, INSEE_Communes!$A$2:$A$3783, INSEE_Communes!$F$2:$F$3783, "code introuvable")</f>
        <v>non publié</v>
      </c>
    </row>
    <row r="538">
      <c r="A538" s="2" t="str">
        <f>Communes_HDF!A538</f>
        <v>02566</v>
      </c>
      <c r="B538" s="2" t="str">
        <f>Communes_HDF!B538</f>
        <v>Ognes</v>
      </c>
      <c r="C538" s="2" t="str">
        <f t="array" ref="C538">_xlfn.XLOOKUP(A538, INSEE_Communes!$A$2:$A$3783, INSEE_Communes!$F$2:$F$3783, "code introuvable")</f>
        <v>non publié</v>
      </c>
    </row>
    <row r="539">
      <c r="A539" s="2" t="str">
        <f>Communes_HDF!A539</f>
        <v>02567</v>
      </c>
      <c r="B539" s="2" t="str">
        <f>Communes_HDF!B539</f>
        <v>Ohis</v>
      </c>
      <c r="C539" s="2" t="str">
        <f t="array" ref="C539">_xlfn.XLOOKUP(A539, INSEE_Communes!$A$2:$A$3783, INSEE_Communes!$F$2:$F$3783, "code introuvable")</f>
        <v>non publié</v>
      </c>
    </row>
    <row r="540">
      <c r="A540" s="2" t="str">
        <f>Communes_HDF!A540</f>
        <v>02568</v>
      </c>
      <c r="B540" s="2" t="str">
        <f>Communes_HDF!B540</f>
        <v>Oigny-en-Valois</v>
      </c>
      <c r="C540" s="2" t="str">
        <f t="array" ref="C540">_xlfn.XLOOKUP(A540, INSEE_Communes!$A$2:$A$3783, INSEE_Communes!$F$2:$F$3783, "code introuvable")</f>
        <v>non publié</v>
      </c>
    </row>
    <row r="541">
      <c r="A541" s="2" t="str">
        <f>Communes_HDF!A541</f>
        <v>02569</v>
      </c>
      <c r="B541" s="2" t="str">
        <f>Communes_HDF!B541</f>
        <v>Oisy</v>
      </c>
      <c r="C541" s="2" t="str">
        <f t="array" ref="C541">_xlfn.XLOOKUP(A541, INSEE_Communes!$A$2:$A$3783, INSEE_Communes!$F$2:$F$3783, "code introuvable")</f>
        <v>non publié</v>
      </c>
    </row>
    <row r="542">
      <c r="A542" s="2" t="str">
        <f>Communes_HDF!A542</f>
        <v>02570</v>
      </c>
      <c r="B542" s="2" t="str">
        <f>Communes_HDF!B542</f>
        <v>Ollezy</v>
      </c>
      <c r="C542" s="2" t="str">
        <f t="array" ref="C542">_xlfn.XLOOKUP(A542, INSEE_Communes!$A$2:$A$3783, INSEE_Communes!$F$2:$F$3783, "code introuvable")</f>
        <v>non publié</v>
      </c>
    </row>
    <row r="543">
      <c r="A543" s="2" t="str">
        <f>Communes_HDF!A543</f>
        <v>02571</v>
      </c>
      <c r="B543" s="2" t="str">
        <f>Communes_HDF!B543</f>
        <v>Omissy</v>
      </c>
      <c r="C543" s="2" t="str">
        <f t="array" ref="C543">_xlfn.XLOOKUP(A543, INSEE_Communes!$A$2:$A$3783, INSEE_Communes!$F$2:$F$3783, "code introuvable")</f>
        <v>non publié</v>
      </c>
    </row>
    <row r="544">
      <c r="A544" s="2" t="str">
        <f>Communes_HDF!A544</f>
        <v>02572</v>
      </c>
      <c r="B544" s="2" t="str">
        <f>Communes_HDF!B544</f>
        <v>Orainville</v>
      </c>
      <c r="C544" s="2" t="str">
        <f t="array" ref="C544">_xlfn.XLOOKUP(A544, INSEE_Communes!$A$2:$A$3783, INSEE_Communes!$F$2:$F$3783, "code introuvable")</f>
        <v>non publié</v>
      </c>
    </row>
    <row r="545">
      <c r="A545" s="2" t="str">
        <f>Communes_HDF!A545</f>
        <v>02573</v>
      </c>
      <c r="B545" s="2" t="str">
        <f>Communes_HDF!B545</f>
        <v>Orgeval</v>
      </c>
      <c r="C545" s="2" t="str">
        <f t="array" ref="C545">_xlfn.XLOOKUP(A545, INSEE_Communes!$A$2:$A$3783, INSEE_Communes!$F$2:$F$3783, "code introuvable")</f>
        <v>non publié</v>
      </c>
    </row>
    <row r="546">
      <c r="A546" s="2" t="str">
        <f>Communes_HDF!A546</f>
        <v>02575</v>
      </c>
      <c r="B546" s="2" t="str">
        <f>Communes_HDF!B546</f>
        <v>Origny-Sainte-Benoite</v>
      </c>
      <c r="C546" s="2" t="str">
        <f t="array" ref="C546">_xlfn.XLOOKUP(A546, INSEE_Communes!$A$2:$A$3783, INSEE_Communes!$F$2:$F$3783, "code introuvable")</f>
        <v>non publié</v>
      </c>
    </row>
    <row r="547">
      <c r="A547" s="2" t="str">
        <f>Communes_HDF!A547</f>
        <v>02574</v>
      </c>
      <c r="B547" s="2" t="str">
        <f>Communes_HDF!B547</f>
        <v>Origny-en-Thiérache</v>
      </c>
      <c r="C547" s="2" t="str">
        <f t="array" ref="C547">_xlfn.XLOOKUP(A547, INSEE_Communes!$A$2:$A$3783, INSEE_Communes!$F$2:$F$3783, "code introuvable")</f>
        <v>non publié</v>
      </c>
    </row>
    <row r="548">
      <c r="A548" s="2" t="str">
        <f>Communes_HDF!A548</f>
        <v>02576</v>
      </c>
      <c r="B548" s="2" t="str">
        <f>Communes_HDF!B548</f>
        <v>Osly-Courtil</v>
      </c>
      <c r="C548" s="2" t="str">
        <f t="array" ref="C548">_xlfn.XLOOKUP(A548, INSEE_Communes!$A$2:$A$3783, INSEE_Communes!$F$2:$F$3783, "code introuvable")</f>
        <v>non publié</v>
      </c>
    </row>
    <row r="549">
      <c r="A549" s="2" t="str">
        <f>Communes_HDF!A549</f>
        <v>02577</v>
      </c>
      <c r="B549" s="2" t="str">
        <f>Communes_HDF!B549</f>
        <v>Ostel</v>
      </c>
      <c r="C549" s="2" t="str">
        <f t="array" ref="C549">_xlfn.XLOOKUP(A549, INSEE_Communes!$A$2:$A$3783, INSEE_Communes!$F$2:$F$3783, "code introuvable")</f>
        <v>non publié</v>
      </c>
    </row>
    <row r="550">
      <c r="A550" s="2" t="str">
        <f>Communes_HDF!A550</f>
        <v>02578</v>
      </c>
      <c r="B550" s="2" t="str">
        <f>Communes_HDF!B550</f>
        <v>Oulches-la-Vallée-Foulon</v>
      </c>
      <c r="C550" s="2" t="str">
        <f t="array" ref="C550">_xlfn.XLOOKUP(A550, INSEE_Communes!$A$2:$A$3783, INSEE_Communes!$F$2:$F$3783, "code introuvable")</f>
        <v>non publié</v>
      </c>
    </row>
    <row r="551">
      <c r="A551" s="2" t="str">
        <f>Communes_HDF!A551</f>
        <v>02579</v>
      </c>
      <c r="B551" s="2" t="str">
        <f>Communes_HDF!B551</f>
        <v>Oulchy-la-Ville</v>
      </c>
      <c r="C551" s="2" t="str">
        <f t="array" ref="C551">_xlfn.XLOOKUP(A551, INSEE_Communes!$A$2:$A$3783, INSEE_Communes!$F$2:$F$3783, "code introuvable")</f>
        <v>non publié</v>
      </c>
    </row>
    <row r="552">
      <c r="A552" s="2" t="str">
        <f>Communes_HDF!A552</f>
        <v>02580</v>
      </c>
      <c r="B552" s="2" t="str">
        <f>Communes_HDF!B552</f>
        <v>Oulchy-le-Château</v>
      </c>
      <c r="C552" s="2" t="str">
        <f t="array" ref="C552">_xlfn.XLOOKUP(A552, INSEE_Communes!$A$2:$A$3783, INSEE_Communes!$F$2:$F$3783, "code introuvable")</f>
        <v>non publié</v>
      </c>
    </row>
    <row r="553">
      <c r="A553" s="2" t="str">
        <f>Communes_HDF!A553</f>
        <v>02581</v>
      </c>
      <c r="B553" s="2" t="str">
        <f>Communes_HDF!B553</f>
        <v>Paars</v>
      </c>
      <c r="C553" s="2" t="str">
        <f t="array" ref="C553">_xlfn.XLOOKUP(A553, INSEE_Communes!$A$2:$A$3783, INSEE_Communes!$F$2:$F$3783, "code introuvable")</f>
        <v>non publié</v>
      </c>
    </row>
    <row r="554">
      <c r="A554" s="2" t="str">
        <f>Communes_HDF!A554</f>
        <v>02582</v>
      </c>
      <c r="B554" s="2" t="str">
        <f>Communes_HDF!B554</f>
        <v>Paissy</v>
      </c>
      <c r="C554" s="2" t="str">
        <f t="array" ref="C554">_xlfn.XLOOKUP(A554, INSEE_Communes!$A$2:$A$3783, INSEE_Communes!$F$2:$F$3783, "code introuvable")</f>
        <v>non publié</v>
      </c>
    </row>
    <row r="555">
      <c r="A555" s="2" t="str">
        <f>Communes_HDF!A555</f>
        <v>02583</v>
      </c>
      <c r="B555" s="2" t="str">
        <f>Communes_HDF!B555</f>
        <v>Pancy-Courtecon</v>
      </c>
      <c r="C555" s="2" t="str">
        <f t="array" ref="C555">_xlfn.XLOOKUP(A555, INSEE_Communes!$A$2:$A$3783, INSEE_Communes!$F$2:$F$3783, "code introuvable")</f>
        <v>non publié</v>
      </c>
    </row>
    <row r="556">
      <c r="A556" s="2" t="str">
        <f>Communes_HDF!A556</f>
        <v>02584</v>
      </c>
      <c r="B556" s="2" t="str">
        <f>Communes_HDF!B556</f>
        <v>Papleux</v>
      </c>
      <c r="C556" s="2" t="str">
        <f t="array" ref="C556">_xlfn.XLOOKUP(A556, INSEE_Communes!$A$2:$A$3783, INSEE_Communes!$F$2:$F$3783, "code introuvable")</f>
        <v>non publié</v>
      </c>
    </row>
    <row r="557">
      <c r="A557" s="2" t="str">
        <f>Communes_HDF!A557</f>
        <v>02585</v>
      </c>
      <c r="B557" s="2" t="str">
        <f>Communes_HDF!B557</f>
        <v>Parcy-et-Tigny</v>
      </c>
      <c r="C557" s="2" t="str">
        <f t="array" ref="C557">_xlfn.XLOOKUP(A557, INSEE_Communes!$A$2:$A$3783, INSEE_Communes!$F$2:$F$3783, "code introuvable")</f>
        <v>non publié</v>
      </c>
    </row>
    <row r="558">
      <c r="A558" s="2" t="str">
        <f>Communes_HDF!A558</f>
        <v>02586</v>
      </c>
      <c r="B558" s="2" t="str">
        <f>Communes_HDF!B558</f>
        <v>Parfondeval</v>
      </c>
      <c r="C558" s="2" t="str">
        <f t="array" ref="C558">_xlfn.XLOOKUP(A558, INSEE_Communes!$A$2:$A$3783, INSEE_Communes!$F$2:$F$3783, "code introuvable")</f>
        <v>non publié</v>
      </c>
    </row>
    <row r="559">
      <c r="A559" s="2" t="str">
        <f>Communes_HDF!A559</f>
        <v>02587</v>
      </c>
      <c r="B559" s="2" t="str">
        <f>Communes_HDF!B559</f>
        <v>Parfondru</v>
      </c>
      <c r="C559" s="2" t="str">
        <f t="array" ref="C559">_xlfn.XLOOKUP(A559, INSEE_Communes!$A$2:$A$3783, INSEE_Communes!$F$2:$F$3783, "code introuvable")</f>
        <v>non publié</v>
      </c>
    </row>
    <row r="560">
      <c r="A560" s="2" t="str">
        <f>Communes_HDF!A560</f>
        <v>02588</v>
      </c>
      <c r="B560" s="2" t="str">
        <f>Communes_HDF!B560</f>
        <v>Pargnan</v>
      </c>
      <c r="C560" s="2" t="str">
        <f t="array" ref="C560">_xlfn.XLOOKUP(A560, INSEE_Communes!$A$2:$A$3783, INSEE_Communes!$F$2:$F$3783, "code introuvable")</f>
        <v>non publié</v>
      </c>
    </row>
    <row r="561">
      <c r="A561" s="2" t="str">
        <f>Communes_HDF!A561</f>
        <v>02589</v>
      </c>
      <c r="B561" s="2" t="str">
        <f>Communes_HDF!B561</f>
        <v>Pargny-et-Filain</v>
      </c>
      <c r="C561" s="2" t="str">
        <f t="array" ref="C561">_xlfn.XLOOKUP(A561, INSEE_Communes!$A$2:$A$3783, INSEE_Communes!$F$2:$F$3783, "code introuvable")</f>
        <v>non publié</v>
      </c>
    </row>
    <row r="562">
      <c r="A562" s="2" t="str">
        <f>Communes_HDF!A562</f>
        <v>02590</v>
      </c>
      <c r="B562" s="2" t="str">
        <f>Communes_HDF!B562</f>
        <v>Pargny-la-Dhuys</v>
      </c>
      <c r="C562" s="2" t="str">
        <f t="array" ref="C562">_xlfn.XLOOKUP(A562, INSEE_Communes!$A$2:$A$3783, INSEE_Communes!$F$2:$F$3783, "code introuvable")</f>
        <v>non publié</v>
      </c>
    </row>
    <row r="563">
      <c r="A563" s="2" t="str">
        <f>Communes_HDF!A563</f>
        <v>02591</v>
      </c>
      <c r="B563" s="2" t="str">
        <f>Communes_HDF!B563</f>
        <v>Pargny-les-Bois</v>
      </c>
      <c r="C563" s="2" t="str">
        <f t="array" ref="C563">_xlfn.XLOOKUP(A563, INSEE_Communes!$A$2:$A$3783, INSEE_Communes!$F$2:$F$3783, "code introuvable")</f>
        <v>non publié</v>
      </c>
    </row>
    <row r="564">
      <c r="A564" s="2" t="str">
        <f>Communes_HDF!A564</f>
        <v>02592</v>
      </c>
      <c r="B564" s="2" t="str">
        <f>Communes_HDF!B564</f>
        <v>Parpeville</v>
      </c>
      <c r="C564" s="2" t="str">
        <f t="array" ref="C564">_xlfn.XLOOKUP(A564, INSEE_Communes!$A$2:$A$3783, INSEE_Communes!$F$2:$F$3783, "code introuvable")</f>
        <v>non publié</v>
      </c>
    </row>
    <row r="565">
      <c r="A565" s="2" t="str">
        <f>Communes_HDF!A565</f>
        <v>02593</v>
      </c>
      <c r="B565" s="2" t="str">
        <f>Communes_HDF!B565</f>
        <v>Pasly</v>
      </c>
      <c r="C565" s="2" t="str">
        <f t="array" ref="C565">_xlfn.XLOOKUP(A565, INSEE_Communes!$A$2:$A$3783, INSEE_Communes!$F$2:$F$3783, "code introuvable")</f>
        <v>non publié</v>
      </c>
    </row>
    <row r="566">
      <c r="A566" s="2" t="str">
        <f>Communes_HDF!A566</f>
        <v>02594</v>
      </c>
      <c r="B566" s="2" t="str">
        <f>Communes_HDF!B566</f>
        <v>Passy-en-Valois</v>
      </c>
      <c r="C566" s="2" t="str">
        <f t="array" ref="C566">_xlfn.XLOOKUP(A566, INSEE_Communes!$A$2:$A$3783, INSEE_Communes!$F$2:$F$3783, "code introuvable")</f>
        <v>non publié</v>
      </c>
    </row>
    <row r="567">
      <c r="A567" s="2" t="str">
        <f>Communes_HDF!A567</f>
        <v>02595</v>
      </c>
      <c r="B567" s="2" t="str">
        <f>Communes_HDF!B567</f>
        <v>Passy-sur-Marne</v>
      </c>
      <c r="C567" s="2" t="str">
        <f t="array" ref="C567">_xlfn.XLOOKUP(A567, INSEE_Communes!$A$2:$A$3783, INSEE_Communes!$F$2:$F$3783, "code introuvable")</f>
        <v>non publié</v>
      </c>
    </row>
    <row r="568">
      <c r="A568" s="2" t="str">
        <f>Communes_HDF!A568</f>
        <v>02596</v>
      </c>
      <c r="B568" s="2" t="str">
        <f>Communes_HDF!B568</f>
        <v>Pavant</v>
      </c>
      <c r="C568" s="2" t="str">
        <f t="array" ref="C568">_xlfn.XLOOKUP(A568, INSEE_Communes!$A$2:$A$3783, INSEE_Communes!$F$2:$F$3783, "code introuvable")</f>
        <v>non publié</v>
      </c>
    </row>
    <row r="569">
      <c r="A569" s="2" t="str">
        <f>Communes_HDF!A569</f>
        <v>02598</v>
      </c>
      <c r="B569" s="2" t="str">
        <f>Communes_HDF!B569</f>
        <v>Pernant</v>
      </c>
      <c r="C569" s="2" t="str">
        <f t="array" ref="C569">_xlfn.XLOOKUP(A569, INSEE_Communes!$A$2:$A$3783, INSEE_Communes!$F$2:$F$3783, "code introuvable")</f>
        <v>non publié</v>
      </c>
    </row>
    <row r="570">
      <c r="A570" s="2" t="str">
        <f>Communes_HDF!A570</f>
        <v>02784</v>
      </c>
      <c r="B570" s="2" t="str">
        <f>Communes_HDF!B570</f>
        <v>Petit-Verly</v>
      </c>
      <c r="C570" s="2" t="str">
        <f t="array" ref="C570">_xlfn.XLOOKUP(A570, INSEE_Communes!$A$2:$A$3783, INSEE_Communes!$F$2:$F$3783, "code introuvable")</f>
        <v>non publié</v>
      </c>
    </row>
    <row r="571">
      <c r="A571" s="2" t="str">
        <f>Communes_HDF!A571</f>
        <v>02599</v>
      </c>
      <c r="B571" s="2" t="str">
        <f>Communes_HDF!B571</f>
        <v>Pierremande</v>
      </c>
      <c r="C571" s="2" t="str">
        <f t="array" ref="C571">_xlfn.XLOOKUP(A571, INSEE_Communes!$A$2:$A$3783, INSEE_Communes!$F$2:$F$3783, "code introuvable")</f>
        <v>non publié</v>
      </c>
    </row>
    <row r="572">
      <c r="A572" s="2" t="str">
        <f>Communes_HDF!A572</f>
        <v>02600</v>
      </c>
      <c r="B572" s="2" t="str">
        <f>Communes_HDF!B572</f>
        <v>Pierrepont</v>
      </c>
      <c r="C572" s="2" t="str">
        <f t="array" ref="C572">_xlfn.XLOOKUP(A572, INSEE_Communes!$A$2:$A$3783, INSEE_Communes!$F$2:$F$3783, "code introuvable")</f>
        <v>non publié</v>
      </c>
    </row>
    <row r="573">
      <c r="A573" s="2" t="str">
        <f>Communes_HDF!A573</f>
        <v>02601</v>
      </c>
      <c r="B573" s="2" t="str">
        <f>Communes_HDF!B573</f>
        <v>Pignicourt</v>
      </c>
      <c r="C573" s="2" t="str">
        <f t="array" ref="C573">_xlfn.XLOOKUP(A573, INSEE_Communes!$A$2:$A$3783, INSEE_Communes!$F$2:$F$3783, "code introuvable")</f>
        <v>non publié</v>
      </c>
    </row>
    <row r="574">
      <c r="A574" s="2" t="str">
        <f>Communes_HDF!A574</f>
        <v>02602</v>
      </c>
      <c r="B574" s="2" t="str">
        <f>Communes_HDF!B574</f>
        <v>Pinon</v>
      </c>
      <c r="C574" s="2" t="str">
        <f t="array" ref="C574">_xlfn.XLOOKUP(A574, INSEE_Communes!$A$2:$A$3783, INSEE_Communes!$F$2:$F$3783, "code introuvable")</f>
        <v>non publié</v>
      </c>
    </row>
    <row r="575">
      <c r="A575" s="2" t="str">
        <f>Communes_HDF!A575</f>
        <v>02604</v>
      </c>
      <c r="B575" s="2" t="str">
        <f>Communes_HDF!B575</f>
        <v>Pithon</v>
      </c>
      <c r="C575" s="2" t="str">
        <f t="array" ref="C575">_xlfn.XLOOKUP(A575, INSEE_Communes!$A$2:$A$3783, INSEE_Communes!$F$2:$F$3783, "code introuvable")</f>
        <v>non publié</v>
      </c>
    </row>
    <row r="576">
      <c r="A576" s="2" t="str">
        <f>Communes_HDF!A576</f>
        <v>02605</v>
      </c>
      <c r="B576" s="2" t="str">
        <f>Communes_HDF!B576</f>
        <v>Pleine-Selve</v>
      </c>
      <c r="C576" s="2" t="str">
        <f t="array" ref="C576">_xlfn.XLOOKUP(A576, INSEE_Communes!$A$2:$A$3783, INSEE_Communes!$F$2:$F$3783, "code introuvable")</f>
        <v>non publié</v>
      </c>
    </row>
    <row r="577">
      <c r="A577" s="2" t="str">
        <f>Communes_HDF!A577</f>
        <v>02607</v>
      </c>
      <c r="B577" s="2" t="str">
        <f>Communes_HDF!B577</f>
        <v>Ploisy</v>
      </c>
      <c r="C577" s="2" t="str">
        <f t="array" ref="C577">_xlfn.XLOOKUP(A577, INSEE_Communes!$A$2:$A$3783, INSEE_Communes!$F$2:$F$3783, "code introuvable")</f>
        <v>non publié</v>
      </c>
    </row>
    <row r="578">
      <c r="A578" s="2" t="str">
        <f>Communes_HDF!A578</f>
        <v>02608</v>
      </c>
      <c r="B578" s="2" t="str">
        <f>Communes_HDF!B578</f>
        <v>Plomion</v>
      </c>
      <c r="C578" s="2" t="str">
        <f t="array" ref="C578">_xlfn.XLOOKUP(A578, INSEE_Communes!$A$2:$A$3783, INSEE_Communes!$F$2:$F$3783, "code introuvable")</f>
        <v>non publié</v>
      </c>
    </row>
    <row r="579">
      <c r="A579" s="2" t="str">
        <f>Communes_HDF!A579</f>
        <v>02609</v>
      </c>
      <c r="B579" s="2" t="str">
        <f>Communes_HDF!B579</f>
        <v>Ployart-et-Vaurseine</v>
      </c>
      <c r="C579" s="2" t="str">
        <f t="array" ref="C579">_xlfn.XLOOKUP(A579, INSEE_Communes!$A$2:$A$3783, INSEE_Communes!$F$2:$F$3783, "code introuvable")</f>
        <v>non publié</v>
      </c>
    </row>
    <row r="580">
      <c r="A580" s="2" t="str">
        <f>Communes_HDF!A580</f>
        <v>02610</v>
      </c>
      <c r="B580" s="2" t="str">
        <f>Communes_HDF!B580</f>
        <v>Pommiers</v>
      </c>
      <c r="C580" s="2" t="str">
        <f t="array" ref="C580">_xlfn.XLOOKUP(A580, INSEE_Communes!$A$2:$A$3783, INSEE_Communes!$F$2:$F$3783, "code introuvable")</f>
        <v>non publié</v>
      </c>
    </row>
    <row r="581">
      <c r="A581" s="2" t="str">
        <f>Communes_HDF!A581</f>
        <v>02612</v>
      </c>
      <c r="B581" s="2" t="str">
        <f>Communes_HDF!B581</f>
        <v>Pont-Arcy</v>
      </c>
      <c r="C581" s="2" t="str">
        <f t="array" ref="C581">_xlfn.XLOOKUP(A581, INSEE_Communes!$A$2:$A$3783, INSEE_Communes!$F$2:$F$3783, "code introuvable")</f>
        <v>non publié</v>
      </c>
    </row>
    <row r="582">
      <c r="A582" s="2" t="str">
        <f>Communes_HDF!A582</f>
        <v>02616</v>
      </c>
      <c r="B582" s="2" t="str">
        <f>Communes_HDF!B582</f>
        <v>Pont-Saint-Mard</v>
      </c>
      <c r="C582" s="2" t="str">
        <f t="array" ref="C582">_xlfn.XLOOKUP(A582, INSEE_Communes!$A$2:$A$3783, INSEE_Communes!$F$2:$F$3783, "code introuvable")</f>
        <v>non publié</v>
      </c>
    </row>
    <row r="583">
      <c r="A583" s="2" t="str">
        <f>Communes_HDF!A583</f>
        <v>02613</v>
      </c>
      <c r="B583" s="2" t="str">
        <f>Communes_HDF!B583</f>
        <v>Pontavert</v>
      </c>
      <c r="C583" s="2" t="str">
        <f t="array" ref="C583">_xlfn.XLOOKUP(A583, INSEE_Communes!$A$2:$A$3783, INSEE_Communes!$F$2:$F$3783, "code introuvable")</f>
        <v>non publié</v>
      </c>
    </row>
    <row r="584">
      <c r="A584" s="2" t="str">
        <f>Communes_HDF!A584</f>
        <v>02614</v>
      </c>
      <c r="B584" s="2" t="str">
        <f>Communes_HDF!B584</f>
        <v>Pontru</v>
      </c>
      <c r="C584" s="2" t="str">
        <f t="array" ref="C584">_xlfn.XLOOKUP(A584, INSEE_Communes!$A$2:$A$3783, INSEE_Communes!$F$2:$F$3783, "code introuvable")</f>
        <v>non publié</v>
      </c>
    </row>
    <row r="585">
      <c r="A585" s="2" t="str">
        <f>Communes_HDF!A585</f>
        <v>02615</v>
      </c>
      <c r="B585" s="2" t="str">
        <f>Communes_HDF!B585</f>
        <v>Pontruet</v>
      </c>
      <c r="C585" s="2" t="str">
        <f t="array" ref="C585">_xlfn.XLOOKUP(A585, INSEE_Communes!$A$2:$A$3783, INSEE_Communes!$F$2:$F$3783, "code introuvable")</f>
        <v>non publié</v>
      </c>
    </row>
    <row r="586">
      <c r="A586" s="2" t="str">
        <f>Communes_HDF!A586</f>
        <v>02617</v>
      </c>
      <c r="B586" s="2" t="str">
        <f>Communes_HDF!B586</f>
        <v>Pouilly-sur-Serre</v>
      </c>
      <c r="C586" s="2" t="str">
        <f t="array" ref="C586">_xlfn.XLOOKUP(A586, INSEE_Communes!$A$2:$A$3783, INSEE_Communes!$F$2:$F$3783, "code introuvable")</f>
        <v>non publié</v>
      </c>
    </row>
    <row r="587">
      <c r="A587" s="2" t="str">
        <f>Communes_HDF!A587</f>
        <v>02620</v>
      </c>
      <c r="B587" s="2" t="str">
        <f>Communes_HDF!B587</f>
        <v>Presles-et-Boves</v>
      </c>
      <c r="C587" s="2" t="str">
        <f t="array" ref="C587">_xlfn.XLOOKUP(A587, INSEE_Communes!$A$2:$A$3783, INSEE_Communes!$F$2:$F$3783, "code introuvable")</f>
        <v>non publié</v>
      </c>
    </row>
    <row r="588">
      <c r="A588" s="2" t="str">
        <f>Communes_HDF!A588</f>
        <v>02621</v>
      </c>
      <c r="B588" s="2" t="str">
        <f>Communes_HDF!B588</f>
        <v>Presles-et-Thierny</v>
      </c>
      <c r="C588" s="2" t="str">
        <f t="array" ref="C588">_xlfn.XLOOKUP(A588, INSEE_Communes!$A$2:$A$3783, INSEE_Communes!$F$2:$F$3783, "code introuvable")</f>
        <v>non publié</v>
      </c>
    </row>
    <row r="589">
      <c r="A589" s="2" t="str">
        <f>Communes_HDF!A589</f>
        <v>02622</v>
      </c>
      <c r="B589" s="2" t="str">
        <f>Communes_HDF!B589</f>
        <v>Priez</v>
      </c>
      <c r="C589" s="2" t="str">
        <f t="array" ref="C589">_xlfn.XLOOKUP(A589, INSEE_Communes!$A$2:$A$3783, INSEE_Communes!$F$2:$F$3783, "code introuvable")</f>
        <v>non publié</v>
      </c>
    </row>
    <row r="590">
      <c r="A590" s="2" t="str">
        <f>Communes_HDF!A590</f>
        <v>02623</v>
      </c>
      <c r="B590" s="2" t="str">
        <f>Communes_HDF!B590</f>
        <v>Prisces</v>
      </c>
      <c r="C590" s="2" t="str">
        <f t="array" ref="C590">_xlfn.XLOOKUP(A590, INSEE_Communes!$A$2:$A$3783, INSEE_Communes!$F$2:$F$3783, "code introuvable")</f>
        <v>non publié</v>
      </c>
    </row>
    <row r="591">
      <c r="A591" s="2" t="str">
        <f>Communes_HDF!A591</f>
        <v>02624</v>
      </c>
      <c r="B591" s="2" t="str">
        <f>Communes_HDF!B591</f>
        <v>Proisy</v>
      </c>
      <c r="C591" s="2" t="str">
        <f t="array" ref="C591">_xlfn.XLOOKUP(A591, INSEE_Communes!$A$2:$A$3783, INSEE_Communes!$F$2:$F$3783, "code introuvable")</f>
        <v>non publié</v>
      </c>
    </row>
    <row r="592">
      <c r="A592" s="2" t="str">
        <f>Communes_HDF!A592</f>
        <v>02625</v>
      </c>
      <c r="B592" s="2" t="str">
        <f>Communes_HDF!B592</f>
        <v>Proix</v>
      </c>
      <c r="C592" s="2" t="str">
        <f t="array" ref="C592">_xlfn.XLOOKUP(A592, INSEE_Communes!$A$2:$A$3783, INSEE_Communes!$F$2:$F$3783, "code introuvable")</f>
        <v>non publié</v>
      </c>
    </row>
    <row r="593">
      <c r="A593" s="2" t="str">
        <f>Communes_HDF!A593</f>
        <v>02626</v>
      </c>
      <c r="B593" s="2" t="str">
        <f>Communes_HDF!B593</f>
        <v>Prouvais</v>
      </c>
      <c r="C593" s="2" t="str">
        <f t="array" ref="C593">_xlfn.XLOOKUP(A593, INSEE_Communes!$A$2:$A$3783, INSEE_Communes!$F$2:$F$3783, "code introuvable")</f>
        <v>non publié</v>
      </c>
    </row>
    <row r="594">
      <c r="A594" s="2" t="str">
        <f>Communes_HDF!A594</f>
        <v>02627</v>
      </c>
      <c r="B594" s="2" t="str">
        <f>Communes_HDF!B594</f>
        <v>Proviseux-et-Plesnoy</v>
      </c>
      <c r="C594" s="2" t="str">
        <f t="array" ref="C594">_xlfn.XLOOKUP(A594, INSEE_Communes!$A$2:$A$3783, INSEE_Communes!$F$2:$F$3783, "code introuvable")</f>
        <v>non publié</v>
      </c>
    </row>
    <row r="595">
      <c r="A595" s="2" t="str">
        <f>Communes_HDF!A595</f>
        <v>02618</v>
      </c>
      <c r="B595" s="2" t="str">
        <f>Communes_HDF!B595</f>
        <v>Prémont</v>
      </c>
      <c r="C595" s="2" t="str">
        <f t="array" ref="C595">_xlfn.XLOOKUP(A595, INSEE_Communes!$A$2:$A$3783, INSEE_Communes!$F$2:$F$3783, "code introuvable")</f>
        <v>non publié</v>
      </c>
    </row>
    <row r="596">
      <c r="A596" s="2" t="str">
        <f>Communes_HDF!A596</f>
        <v>02619</v>
      </c>
      <c r="B596" s="2" t="str">
        <f>Communes_HDF!B596</f>
        <v>Prémontré</v>
      </c>
      <c r="C596" s="2" t="str">
        <f t="array" ref="C596">_xlfn.XLOOKUP(A596, INSEE_Communes!$A$2:$A$3783, INSEE_Communes!$F$2:$F$3783, "code introuvable")</f>
        <v>non publié</v>
      </c>
    </row>
    <row r="597">
      <c r="A597" s="2" t="str">
        <f>Communes_HDF!A597</f>
        <v>02628</v>
      </c>
      <c r="B597" s="2" t="str">
        <f>Communes_HDF!B597</f>
        <v>Puiseux-en-Retz</v>
      </c>
      <c r="C597" s="2" t="str">
        <f t="array" ref="C597">_xlfn.XLOOKUP(A597, INSEE_Communes!$A$2:$A$3783, INSEE_Communes!$F$2:$F$3783, "code introuvable")</f>
        <v>non publié</v>
      </c>
    </row>
    <row r="598">
      <c r="A598" s="2" t="str">
        <f>Communes_HDF!A598</f>
        <v>02629</v>
      </c>
      <c r="B598" s="2" t="str">
        <f>Communes_HDF!B598</f>
        <v>Puisieux-et-Clanlieu</v>
      </c>
      <c r="C598" s="2" t="str">
        <f t="array" ref="C598">_xlfn.XLOOKUP(A598, INSEE_Communes!$A$2:$A$3783, INSEE_Communes!$F$2:$F$3783, "code introuvable")</f>
        <v>non publié</v>
      </c>
    </row>
    <row r="599">
      <c r="A599" s="2" t="str">
        <f>Communes_HDF!A599</f>
        <v>02631</v>
      </c>
      <c r="B599" s="2" t="str">
        <f>Communes_HDF!B599</f>
        <v>Quierzy</v>
      </c>
      <c r="C599" s="2" t="str">
        <f t="array" ref="C599">_xlfn.XLOOKUP(A599, INSEE_Communes!$A$2:$A$3783, INSEE_Communes!$F$2:$F$3783, "code introuvable")</f>
        <v>non publié</v>
      </c>
    </row>
    <row r="600">
      <c r="A600" s="2" t="str">
        <f>Communes_HDF!A600</f>
        <v>02632</v>
      </c>
      <c r="B600" s="2" t="str">
        <f>Communes_HDF!B600</f>
        <v>Quincy-Basse</v>
      </c>
      <c r="C600" s="2" t="str">
        <f t="array" ref="C600">_xlfn.XLOOKUP(A600, INSEE_Communes!$A$2:$A$3783, INSEE_Communes!$F$2:$F$3783, "code introuvable")</f>
        <v>non publié</v>
      </c>
    </row>
    <row r="601">
      <c r="A601" s="2" t="str">
        <f>Communes_HDF!A601</f>
        <v>02633</v>
      </c>
      <c r="B601" s="2" t="str">
        <f>Communes_HDF!B601</f>
        <v>Quincy-sous-le-Mont</v>
      </c>
      <c r="C601" s="2" t="str">
        <f t="array" ref="C601">_xlfn.XLOOKUP(A601, INSEE_Communes!$A$2:$A$3783, INSEE_Communes!$F$2:$F$3783, "code introuvable")</f>
        <v>non publié</v>
      </c>
    </row>
    <row r="602">
      <c r="A602" s="2" t="str">
        <f>Communes_HDF!A602</f>
        <v>02634</v>
      </c>
      <c r="B602" s="2" t="str">
        <f>Communes_HDF!B602</f>
        <v>Raillimont</v>
      </c>
      <c r="C602" s="2" t="str">
        <f t="array" ref="C602">_xlfn.XLOOKUP(A602, INSEE_Communes!$A$2:$A$3783, INSEE_Communes!$F$2:$F$3783, "code introuvable")</f>
        <v>non publié</v>
      </c>
    </row>
    <row r="603">
      <c r="A603" s="2" t="str">
        <f>Communes_HDF!A603</f>
        <v>02635</v>
      </c>
      <c r="B603" s="2" t="str">
        <f>Communes_HDF!B603</f>
        <v>Ramicourt</v>
      </c>
      <c r="C603" s="2" t="str">
        <f t="array" ref="C603">_xlfn.XLOOKUP(A603, INSEE_Communes!$A$2:$A$3783, INSEE_Communes!$F$2:$F$3783, "code introuvable")</f>
        <v>non publié</v>
      </c>
    </row>
    <row r="604">
      <c r="A604" s="2" t="str">
        <f>Communes_HDF!A604</f>
        <v>02636</v>
      </c>
      <c r="B604" s="2" t="str">
        <f>Communes_HDF!B604</f>
        <v>Regny</v>
      </c>
      <c r="C604" s="2" t="str">
        <f t="array" ref="C604">_xlfn.XLOOKUP(A604, INSEE_Communes!$A$2:$A$3783, INSEE_Communes!$F$2:$F$3783, "code introuvable")</f>
        <v>non publié</v>
      </c>
    </row>
    <row r="605">
      <c r="A605" s="2" t="str">
        <f>Communes_HDF!A605</f>
        <v>02637</v>
      </c>
      <c r="B605" s="2" t="str">
        <f>Communes_HDF!B605</f>
        <v>Remaucourt</v>
      </c>
      <c r="C605" s="2" t="str">
        <f t="array" ref="C605">_xlfn.XLOOKUP(A605, INSEE_Communes!$A$2:$A$3783, INSEE_Communes!$F$2:$F$3783, "code introuvable")</f>
        <v>non publié</v>
      </c>
    </row>
    <row r="606">
      <c r="A606" s="2" t="str">
        <f>Communes_HDF!A606</f>
        <v>02638</v>
      </c>
      <c r="B606" s="2" t="str">
        <f>Communes_HDF!B606</f>
        <v>Remies</v>
      </c>
      <c r="C606" s="2" t="str">
        <f t="array" ref="C606">_xlfn.XLOOKUP(A606, INSEE_Communes!$A$2:$A$3783, INSEE_Communes!$F$2:$F$3783, "code introuvable")</f>
        <v>non publié</v>
      </c>
    </row>
    <row r="607">
      <c r="A607" s="2" t="str">
        <f>Communes_HDF!A607</f>
        <v>02639</v>
      </c>
      <c r="B607" s="2" t="str">
        <f>Communes_HDF!B607</f>
        <v>Remigny</v>
      </c>
      <c r="C607" s="2" t="str">
        <f t="array" ref="C607">_xlfn.XLOOKUP(A607, INSEE_Communes!$A$2:$A$3783, INSEE_Communes!$F$2:$F$3783, "code introuvable")</f>
        <v>non publié</v>
      </c>
    </row>
    <row r="608">
      <c r="A608" s="2" t="str">
        <f>Communes_HDF!A608</f>
        <v>02640</v>
      </c>
      <c r="B608" s="2" t="str">
        <f>Communes_HDF!B608</f>
        <v>Renansart</v>
      </c>
      <c r="C608" s="2" t="str">
        <f t="array" ref="C608">_xlfn.XLOOKUP(A608, INSEE_Communes!$A$2:$A$3783, INSEE_Communes!$F$2:$F$3783, "code introuvable")</f>
        <v>non publié</v>
      </c>
    </row>
    <row r="609">
      <c r="A609" s="2" t="str">
        <f>Communes_HDF!A609</f>
        <v>02641</v>
      </c>
      <c r="B609" s="2" t="str">
        <f>Communes_HDF!B609</f>
        <v>Renneval</v>
      </c>
      <c r="C609" s="2" t="str">
        <f t="array" ref="C609">_xlfn.XLOOKUP(A609, INSEE_Communes!$A$2:$A$3783, INSEE_Communes!$F$2:$F$3783, "code introuvable")</f>
        <v>non publié</v>
      </c>
    </row>
    <row r="610">
      <c r="A610" s="2" t="str">
        <f>Communes_HDF!A610</f>
        <v>02643</v>
      </c>
      <c r="B610" s="2" t="str">
        <f>Communes_HDF!B610</f>
        <v>Ressons-le-Long</v>
      </c>
      <c r="C610" s="2" t="str">
        <f t="array" ref="C610">_xlfn.XLOOKUP(A610, INSEE_Communes!$A$2:$A$3783, INSEE_Communes!$F$2:$F$3783, "code introuvable")</f>
        <v>non publié</v>
      </c>
    </row>
    <row r="611">
      <c r="A611" s="2" t="str">
        <f>Communes_HDF!A611</f>
        <v>02644</v>
      </c>
      <c r="B611" s="2" t="str">
        <f>Communes_HDF!B611</f>
        <v>Retheuil</v>
      </c>
      <c r="C611" s="2" t="str">
        <f t="array" ref="C611">_xlfn.XLOOKUP(A611, INSEE_Communes!$A$2:$A$3783, INSEE_Communes!$F$2:$F$3783, "code introuvable")</f>
        <v>non publié</v>
      </c>
    </row>
    <row r="612">
      <c r="A612" s="2" t="str">
        <f>Communes_HDF!A612</f>
        <v>02645</v>
      </c>
      <c r="B612" s="2" t="str">
        <f>Communes_HDF!B612</f>
        <v>Reuilly-Sauvigny</v>
      </c>
      <c r="C612" s="2" t="str">
        <f t="array" ref="C612">_xlfn.XLOOKUP(A612, INSEE_Communes!$A$2:$A$3783, INSEE_Communes!$F$2:$F$3783, "code introuvable")</f>
        <v>non publié</v>
      </c>
    </row>
    <row r="613">
      <c r="A613" s="2" t="str">
        <f>Communes_HDF!A613</f>
        <v>02647</v>
      </c>
      <c r="B613" s="2" t="str">
        <f>Communes_HDF!B613</f>
        <v>Ribeauville</v>
      </c>
      <c r="C613" s="2" t="str">
        <f t="array" ref="C613">_xlfn.XLOOKUP(A613, INSEE_Communes!$A$2:$A$3783, INSEE_Communes!$F$2:$F$3783, "code introuvable")</f>
        <v>non publié</v>
      </c>
    </row>
    <row r="614">
      <c r="A614" s="2" t="str">
        <f>Communes_HDF!A614</f>
        <v>02648</v>
      </c>
      <c r="B614" s="2" t="str">
        <f>Communes_HDF!B614</f>
        <v>Ribemont</v>
      </c>
      <c r="C614" s="2" t="str">
        <f t="array" ref="C614">_xlfn.XLOOKUP(A614, INSEE_Communes!$A$2:$A$3783, INSEE_Communes!$F$2:$F$3783, "code introuvable")</f>
        <v>non publié</v>
      </c>
    </row>
    <row r="615">
      <c r="A615" s="2" t="str">
        <f>Communes_HDF!A615</f>
        <v>02649</v>
      </c>
      <c r="B615" s="2" t="str">
        <f>Communes_HDF!B615</f>
        <v>Rocourt-Saint-Martin</v>
      </c>
      <c r="C615" s="2" t="str">
        <f t="array" ref="C615">_xlfn.XLOOKUP(A615, INSEE_Communes!$A$2:$A$3783, INSEE_Communes!$F$2:$F$3783, "code introuvable")</f>
        <v>non publié</v>
      </c>
    </row>
    <row r="616">
      <c r="A616" s="2" t="str">
        <f>Communes_HDF!A616</f>
        <v>02650</v>
      </c>
      <c r="B616" s="2" t="str">
        <f>Communes_HDF!B616</f>
        <v>Rocquigny</v>
      </c>
      <c r="C616" s="2" t="str">
        <f t="array" ref="C616">_xlfn.XLOOKUP(A616, INSEE_Communes!$A$2:$A$3783, INSEE_Communes!$F$2:$F$3783, "code introuvable")</f>
        <v>non publié</v>
      </c>
    </row>
    <row r="617">
      <c r="A617" s="2" t="str">
        <f>Communes_HDF!A617</f>
        <v>02652</v>
      </c>
      <c r="B617" s="2" t="str">
        <f>Communes_HDF!B617</f>
        <v>Rogny</v>
      </c>
      <c r="C617" s="2" t="str">
        <f t="array" ref="C617">_xlfn.XLOOKUP(A617, INSEE_Communes!$A$2:$A$3783, INSEE_Communes!$F$2:$F$3783, "code introuvable")</f>
        <v>non publié</v>
      </c>
    </row>
    <row r="618">
      <c r="A618" s="2" t="str">
        <f>Communes_HDF!A618</f>
        <v>02651</v>
      </c>
      <c r="B618" s="2" t="str">
        <f>Communes_HDF!B618</f>
        <v>Rogécourt</v>
      </c>
      <c r="C618" s="2" t="str">
        <f t="array" ref="C618">_xlfn.XLOOKUP(A618, INSEE_Communes!$A$2:$A$3783, INSEE_Communes!$F$2:$F$3783, "code introuvable")</f>
        <v>non publié</v>
      </c>
    </row>
    <row r="619">
      <c r="A619" s="2" t="str">
        <f>Communes_HDF!A619</f>
        <v>02653</v>
      </c>
      <c r="B619" s="2" t="str">
        <f>Communes_HDF!B619</f>
        <v>Romeny-sur-Marne</v>
      </c>
      <c r="C619" s="2" t="str">
        <f t="array" ref="C619">_xlfn.XLOOKUP(A619, INSEE_Communes!$A$2:$A$3783, INSEE_Communes!$F$2:$F$3783, "code introuvable")</f>
        <v>non publié</v>
      </c>
    </row>
    <row r="620">
      <c r="A620" s="2" t="str">
        <f>Communes_HDF!A620</f>
        <v>02654</v>
      </c>
      <c r="B620" s="2" t="str">
        <f>Communes_HDF!B620</f>
        <v>Romery</v>
      </c>
      <c r="C620" s="2" t="str">
        <f t="array" ref="C620">_xlfn.XLOOKUP(A620, INSEE_Communes!$A$2:$A$3783, INSEE_Communes!$F$2:$F$3783, "code introuvable")</f>
        <v>non publié</v>
      </c>
    </row>
    <row r="621">
      <c r="A621" s="2" t="str">
        <f>Communes_HDF!A621</f>
        <v>02655</v>
      </c>
      <c r="B621" s="2" t="str">
        <f>Communes_HDF!B621</f>
        <v>Ronchères</v>
      </c>
      <c r="C621" s="2" t="str">
        <f t="array" ref="C621">_xlfn.XLOOKUP(A621, INSEE_Communes!$A$2:$A$3783, INSEE_Communes!$F$2:$F$3783, "code introuvable")</f>
        <v>non publié</v>
      </c>
    </row>
    <row r="622">
      <c r="A622" s="2" t="str">
        <f>Communes_HDF!A622</f>
        <v>02656</v>
      </c>
      <c r="B622" s="2" t="str">
        <f>Communes_HDF!B622</f>
        <v>Roucy</v>
      </c>
      <c r="C622" s="2" t="str">
        <f t="array" ref="C622">_xlfn.XLOOKUP(A622, INSEE_Communes!$A$2:$A$3783, INSEE_Communes!$F$2:$F$3783, "code introuvable")</f>
        <v>non publié</v>
      </c>
    </row>
    <row r="623">
      <c r="A623" s="2" t="str">
        <f>Communes_HDF!A623</f>
        <v>02657</v>
      </c>
      <c r="B623" s="2" t="str">
        <f>Communes_HDF!B623</f>
        <v>Rougeries</v>
      </c>
      <c r="C623" s="2" t="str">
        <f t="array" ref="C623">_xlfn.XLOOKUP(A623, INSEE_Communes!$A$2:$A$3783, INSEE_Communes!$F$2:$F$3783, "code introuvable")</f>
        <v>non publié</v>
      </c>
    </row>
    <row r="624">
      <c r="A624" s="2" t="str">
        <f>Communes_HDF!A624</f>
        <v>02658</v>
      </c>
      <c r="B624" s="2" t="str">
        <f>Communes_HDF!B624</f>
        <v>Roupy</v>
      </c>
      <c r="C624" s="2" t="str">
        <f t="array" ref="C624">_xlfn.XLOOKUP(A624, INSEE_Communes!$A$2:$A$3783, INSEE_Communes!$F$2:$F$3783, "code introuvable")</f>
        <v>non publié</v>
      </c>
    </row>
    <row r="625">
      <c r="A625" s="2" t="str">
        <f>Communes_HDF!A625</f>
        <v>02659</v>
      </c>
      <c r="B625" s="2" t="str">
        <f>Communes_HDF!B625</f>
        <v>Rouvroy</v>
      </c>
      <c r="C625" s="2" t="str">
        <f t="array" ref="C625">_xlfn.XLOOKUP(A625, INSEE_Communes!$A$2:$A$3783, INSEE_Communes!$F$2:$F$3783, "code introuvable")</f>
        <v>non publié</v>
      </c>
    </row>
    <row r="626">
      <c r="A626" s="2" t="str">
        <f>Communes_HDF!A626</f>
        <v>02660</v>
      </c>
      <c r="B626" s="2" t="str">
        <f>Communes_HDF!B626</f>
        <v>Rouvroy-sur-Serre</v>
      </c>
      <c r="C626" s="2" t="str">
        <f t="array" ref="C626">_xlfn.XLOOKUP(A626, INSEE_Communes!$A$2:$A$3783, INSEE_Communes!$F$2:$F$3783, "code introuvable")</f>
        <v>non publié</v>
      </c>
    </row>
    <row r="627">
      <c r="A627" s="2" t="str">
        <f>Communes_HDF!A627</f>
        <v>02661</v>
      </c>
      <c r="B627" s="2" t="str">
        <f>Communes_HDF!B627</f>
        <v>Royaucourt-et-Chailvet</v>
      </c>
      <c r="C627" s="2" t="str">
        <f t="array" ref="C627">_xlfn.XLOOKUP(A627, INSEE_Communes!$A$2:$A$3783, INSEE_Communes!$F$2:$F$3783, "code introuvable")</f>
        <v>non publié</v>
      </c>
    </row>
    <row r="628">
      <c r="A628" s="2" t="str">
        <f>Communes_HDF!A628</f>
        <v>02662</v>
      </c>
      <c r="B628" s="2" t="str">
        <f>Communes_HDF!B628</f>
        <v>Rozet-Saint-Albin</v>
      </c>
      <c r="C628" s="2" t="str">
        <f t="array" ref="C628">_xlfn.XLOOKUP(A628, INSEE_Communes!$A$2:$A$3783, INSEE_Communes!$F$2:$F$3783, "code introuvable")</f>
        <v>non publié</v>
      </c>
    </row>
    <row r="629">
      <c r="A629" s="2" t="str">
        <f>Communes_HDF!A629</f>
        <v>02663</v>
      </c>
      <c r="B629" s="2" t="str">
        <f>Communes_HDF!B629</f>
        <v>Rozières-sur-Crise</v>
      </c>
      <c r="C629" s="2" t="str">
        <f t="array" ref="C629">_xlfn.XLOOKUP(A629, INSEE_Communes!$A$2:$A$3783, INSEE_Communes!$F$2:$F$3783, "code introuvable")</f>
        <v>non publié</v>
      </c>
    </row>
    <row r="630">
      <c r="A630" s="2" t="str">
        <f>Communes_HDF!A630</f>
        <v>02664</v>
      </c>
      <c r="B630" s="2" t="str">
        <f>Communes_HDF!B630</f>
        <v>Rozoy-Bellevalle</v>
      </c>
      <c r="C630" s="2" t="str">
        <f t="array" ref="C630">_xlfn.XLOOKUP(A630, INSEE_Communes!$A$2:$A$3783, INSEE_Communes!$F$2:$F$3783, "code introuvable")</f>
        <v>non publié</v>
      </c>
    </row>
    <row r="631">
      <c r="A631" s="2" t="str">
        <f>Communes_HDF!A631</f>
        <v>02666</v>
      </c>
      <c r="B631" s="2" t="str">
        <f>Communes_HDF!B631</f>
        <v>Rozoy-sur-Serre</v>
      </c>
      <c r="C631" s="2" t="str">
        <f t="array" ref="C631">_xlfn.XLOOKUP(A631, INSEE_Communes!$A$2:$A$3783, INSEE_Communes!$F$2:$F$3783, "code introuvable")</f>
        <v>non publié</v>
      </c>
    </row>
    <row r="632">
      <c r="A632" s="2" t="str">
        <f>Communes_HDF!A632</f>
        <v>02642</v>
      </c>
      <c r="B632" s="2" t="str">
        <f>Communes_HDF!B632</f>
        <v>Résigny</v>
      </c>
      <c r="C632" s="2" t="str">
        <f t="array" ref="C632">_xlfn.XLOOKUP(A632, INSEE_Communes!$A$2:$A$3783, INSEE_Communes!$F$2:$F$3783, "code introuvable")</f>
        <v>non publié</v>
      </c>
    </row>
    <row r="633">
      <c r="A633" s="2" t="str">
        <f>Communes_HDF!A633</f>
        <v>02667</v>
      </c>
      <c r="B633" s="2" t="str">
        <f>Communes_HDF!B633</f>
        <v>Saconin-et-Breuil</v>
      </c>
      <c r="C633" s="2" t="str">
        <f t="array" ref="C633">_xlfn.XLOOKUP(A633, INSEE_Communes!$A$2:$A$3783, INSEE_Communes!$F$2:$F$3783, "code introuvable")</f>
        <v>non publié</v>
      </c>
    </row>
    <row r="634">
      <c r="A634" s="2" t="str">
        <f>Communes_HDF!A634</f>
        <v>02668</v>
      </c>
      <c r="B634" s="2" t="str">
        <f>Communes_HDF!B634</f>
        <v>Sains-Richaumont</v>
      </c>
      <c r="C634" s="2" t="str">
        <f t="array" ref="C634">_xlfn.XLOOKUP(A634, INSEE_Communes!$A$2:$A$3783, INSEE_Communes!$F$2:$F$3783, "code introuvable")</f>
        <v>non publié</v>
      </c>
    </row>
    <row r="635">
      <c r="A635" s="2" t="str">
        <f>Communes_HDF!A635</f>
        <v>02670</v>
      </c>
      <c r="B635" s="2" t="str">
        <f>Communes_HDF!B635</f>
        <v>Saint-Algis</v>
      </c>
      <c r="C635" s="2" t="str">
        <f t="array" ref="C635">_xlfn.XLOOKUP(A635, INSEE_Communes!$A$2:$A$3783, INSEE_Communes!$F$2:$F$3783, "code introuvable")</f>
        <v>non publié</v>
      </c>
    </row>
    <row r="636">
      <c r="A636" s="2" t="str">
        <f>Communes_HDF!A636</f>
        <v>02671</v>
      </c>
      <c r="B636" s="2" t="str">
        <f>Communes_HDF!B636</f>
        <v>Saint-Aubin</v>
      </c>
      <c r="C636" s="2" t="str">
        <f t="array" ref="C636">_xlfn.XLOOKUP(A636, INSEE_Communes!$A$2:$A$3783, INSEE_Communes!$F$2:$F$3783, "code introuvable")</f>
        <v>non publié</v>
      </c>
    </row>
    <row r="637">
      <c r="A637" s="2" t="str">
        <f>Communes_HDF!A637</f>
        <v>02672</v>
      </c>
      <c r="B637" s="2" t="str">
        <f>Communes_HDF!B637</f>
        <v>Saint-Bandry</v>
      </c>
      <c r="C637" s="2" t="str">
        <f t="array" ref="C637">_xlfn.XLOOKUP(A637, INSEE_Communes!$A$2:$A$3783, INSEE_Communes!$F$2:$F$3783, "code introuvable")</f>
        <v>non publié</v>
      </c>
    </row>
    <row r="638">
      <c r="A638" s="2" t="str">
        <f>Communes_HDF!A638</f>
        <v>02673</v>
      </c>
      <c r="B638" s="2" t="str">
        <f>Communes_HDF!B638</f>
        <v>Saint-Christophe-à-Berry</v>
      </c>
      <c r="C638" s="2" t="str">
        <f t="array" ref="C638">_xlfn.XLOOKUP(A638, INSEE_Communes!$A$2:$A$3783, INSEE_Communes!$F$2:$F$3783, "code introuvable")</f>
        <v>non publié</v>
      </c>
    </row>
    <row r="639">
      <c r="A639" s="2" t="str">
        <f>Communes_HDF!A639</f>
        <v>02674</v>
      </c>
      <c r="B639" s="2" t="str">
        <f>Communes_HDF!B639</f>
        <v>Saint-Clément</v>
      </c>
      <c r="C639" s="2" t="str">
        <f t="array" ref="C639">_xlfn.XLOOKUP(A639, INSEE_Communes!$A$2:$A$3783, INSEE_Communes!$F$2:$F$3783, "code introuvable")</f>
        <v>non publié</v>
      </c>
    </row>
    <row r="640">
      <c r="A640" s="2" t="str">
        <f>Communes_HDF!A640</f>
        <v>02676</v>
      </c>
      <c r="B640" s="2" t="str">
        <f>Communes_HDF!B640</f>
        <v>Saint-Erme-Outre-et-Ramecourt</v>
      </c>
      <c r="C640" s="2" t="str">
        <f t="array" ref="C640">_xlfn.XLOOKUP(A640, INSEE_Communes!$A$2:$A$3783, INSEE_Communes!$F$2:$F$3783, "code introuvable")</f>
        <v>non publié</v>
      </c>
    </row>
    <row r="641">
      <c r="A641" s="2" t="str">
        <f>Communes_HDF!A641</f>
        <v>02677</v>
      </c>
      <c r="B641" s="2" t="str">
        <f>Communes_HDF!B641</f>
        <v>Saint-Eugène</v>
      </c>
      <c r="C641" s="2" t="str">
        <f t="array" ref="C641">_xlfn.XLOOKUP(A641, INSEE_Communes!$A$2:$A$3783, INSEE_Communes!$F$2:$F$3783, "code introuvable")</f>
        <v>non publié</v>
      </c>
    </row>
    <row r="642">
      <c r="A642" s="2" t="str">
        <f>Communes_HDF!A642</f>
        <v>02679</v>
      </c>
      <c r="B642" s="2" t="str">
        <f>Communes_HDF!B642</f>
        <v>Saint-Gengoulph</v>
      </c>
      <c r="C642" s="2" t="str">
        <f t="array" ref="C642">_xlfn.XLOOKUP(A642, INSEE_Communes!$A$2:$A$3783, INSEE_Communes!$F$2:$F$3783, "code introuvable")</f>
        <v>non publié</v>
      </c>
    </row>
    <row r="643">
      <c r="A643" s="2" t="str">
        <f>Communes_HDF!A643</f>
        <v>02680</v>
      </c>
      <c r="B643" s="2" t="str">
        <f>Communes_HDF!B643</f>
        <v>Saint-Gobain</v>
      </c>
      <c r="C643" s="2" t="str">
        <f t="array" ref="C643">_xlfn.XLOOKUP(A643, INSEE_Communes!$A$2:$A$3783, INSEE_Communes!$F$2:$F$3783, "code introuvable")</f>
        <v>non publié</v>
      </c>
    </row>
    <row r="644">
      <c r="A644" s="2" t="str">
        <f>Communes_HDF!A644</f>
        <v>02681</v>
      </c>
      <c r="B644" s="2" t="str">
        <f>Communes_HDF!B644</f>
        <v>Saint-Gobert</v>
      </c>
      <c r="C644" s="2" t="str">
        <f t="array" ref="C644">_xlfn.XLOOKUP(A644, INSEE_Communes!$A$2:$A$3783, INSEE_Communes!$F$2:$F$3783, "code introuvable")</f>
        <v>non publié</v>
      </c>
    </row>
    <row r="645">
      <c r="A645" s="2" t="str">
        <f>Communes_HDF!A645</f>
        <v>02682</v>
      </c>
      <c r="B645" s="2" t="str">
        <f>Communes_HDF!B645</f>
        <v>Saint-Mard</v>
      </c>
      <c r="C645" s="2" t="str">
        <f t="array" ref="C645">_xlfn.XLOOKUP(A645, INSEE_Communes!$A$2:$A$3783, INSEE_Communes!$F$2:$F$3783, "code introuvable")</f>
        <v>non publié</v>
      </c>
    </row>
    <row r="646">
      <c r="A646" s="2" t="str">
        <f>Communes_HDF!A646</f>
        <v>02683</v>
      </c>
      <c r="B646" s="2" t="str">
        <f>Communes_HDF!B646</f>
        <v>Saint-Martin-Rivière</v>
      </c>
      <c r="C646" s="2" t="str">
        <f t="array" ref="C646">_xlfn.XLOOKUP(A646, INSEE_Communes!$A$2:$A$3783, INSEE_Communes!$F$2:$F$3783, "code introuvable")</f>
        <v>non publié</v>
      </c>
    </row>
    <row r="647">
      <c r="A647" s="2" t="str">
        <f>Communes_HDF!A647</f>
        <v>02684</v>
      </c>
      <c r="B647" s="2" t="str">
        <f>Communes_HDF!B647</f>
        <v>Saint-Michel</v>
      </c>
      <c r="C647" s="2">
        <f t="array" ref="C647">_xlfn.XLOOKUP(A647, INSEE_Communes!$A$2:$A$3783, INSEE_Communes!$F$2:$F$3783, "code introuvable")</f>
        <v>25</v>
      </c>
    </row>
    <row r="648">
      <c r="A648" s="2" t="str">
        <f>Communes_HDF!A648</f>
        <v>02685</v>
      </c>
      <c r="B648" s="2" t="str">
        <f>Communes_HDF!B648</f>
        <v>Saint-Nicolas-aux-Bois</v>
      </c>
      <c r="C648" s="2" t="str">
        <f t="array" ref="C648">_xlfn.XLOOKUP(A648, INSEE_Communes!$A$2:$A$3783, INSEE_Communes!$F$2:$F$3783, "code introuvable")</f>
        <v>non publié</v>
      </c>
    </row>
    <row r="649">
      <c r="A649" s="2" t="str">
        <f>Communes_HDF!A649</f>
        <v>02686</v>
      </c>
      <c r="B649" s="2" t="str">
        <f>Communes_HDF!B649</f>
        <v>Saint-Paul-aux-Bois</v>
      </c>
      <c r="C649" s="2" t="str">
        <f t="array" ref="C649">_xlfn.XLOOKUP(A649, INSEE_Communes!$A$2:$A$3783, INSEE_Communes!$F$2:$F$3783, "code introuvable")</f>
        <v>non publié</v>
      </c>
    </row>
    <row r="650">
      <c r="A650" s="2" t="str">
        <f>Communes_HDF!A650</f>
        <v>02687</v>
      </c>
      <c r="B650" s="2" t="str">
        <f>Communes_HDF!B650</f>
        <v>Saint-Pierre-Aigle</v>
      </c>
      <c r="C650" s="2" t="str">
        <f t="array" ref="C650">_xlfn.XLOOKUP(A650, INSEE_Communes!$A$2:$A$3783, INSEE_Communes!$F$2:$F$3783, "code introuvable")</f>
        <v>non publié</v>
      </c>
    </row>
    <row r="651">
      <c r="A651" s="2" t="str">
        <f>Communes_HDF!A651</f>
        <v>02688</v>
      </c>
      <c r="B651" s="2" t="str">
        <f>Communes_HDF!B651</f>
        <v>Saint-Pierre-lès-Franqueville</v>
      </c>
      <c r="C651" s="2" t="str">
        <f t="array" ref="C651">_xlfn.XLOOKUP(A651, INSEE_Communes!$A$2:$A$3783, INSEE_Communes!$F$2:$F$3783, "code introuvable")</f>
        <v>non publié</v>
      </c>
    </row>
    <row r="652">
      <c r="A652" s="2" t="str">
        <f>Communes_HDF!A652</f>
        <v>02689</v>
      </c>
      <c r="B652" s="2" t="str">
        <f>Communes_HDF!B652</f>
        <v>Saint-Pierremont</v>
      </c>
      <c r="C652" s="2" t="str">
        <f t="array" ref="C652">_xlfn.XLOOKUP(A652, INSEE_Communes!$A$2:$A$3783, INSEE_Communes!$F$2:$F$3783, "code introuvable")</f>
        <v>non publié</v>
      </c>
    </row>
    <row r="653">
      <c r="A653" s="2" t="str">
        <f>Communes_HDF!A653</f>
        <v>02691</v>
      </c>
      <c r="B653" s="2" t="str">
        <f>Communes_HDF!B653</f>
        <v>Saint-Quentin</v>
      </c>
      <c r="C653" s="2">
        <f t="array" ref="C653">_xlfn.XLOOKUP(A653, INSEE_Communes!$A$2:$A$3783, INSEE_Communes!$F$2:$F$3783, "code introuvable")</f>
        <v>30.1</v>
      </c>
    </row>
    <row r="654">
      <c r="A654" s="2" t="str">
        <f>Communes_HDF!A654</f>
        <v>02693</v>
      </c>
      <c r="B654" s="2" t="str">
        <f>Communes_HDF!B654</f>
        <v>Saint-Rémy-Blanzy</v>
      </c>
      <c r="C654" s="2" t="str">
        <f t="array" ref="C654">_xlfn.XLOOKUP(A654, INSEE_Communes!$A$2:$A$3783, INSEE_Communes!$F$2:$F$3783, "code introuvable")</f>
        <v>non publié</v>
      </c>
    </row>
    <row r="655">
      <c r="A655" s="2" t="str">
        <f>Communes_HDF!A655</f>
        <v>02694</v>
      </c>
      <c r="B655" s="2" t="str">
        <f>Communes_HDF!B655</f>
        <v>Saint-Simon</v>
      </c>
      <c r="C655" s="2" t="str">
        <f t="array" ref="C655">_xlfn.XLOOKUP(A655, INSEE_Communes!$A$2:$A$3783, INSEE_Communes!$F$2:$F$3783, "code introuvable")</f>
        <v>non publié</v>
      </c>
    </row>
    <row r="656">
      <c r="A656" s="2" t="str">
        <f>Communes_HDF!A656</f>
        <v>02696</v>
      </c>
      <c r="B656" s="2" t="str">
        <f>Communes_HDF!B656</f>
        <v>Saint-Thomas</v>
      </c>
      <c r="C656" s="2" t="str">
        <f t="array" ref="C656">_xlfn.XLOOKUP(A656, INSEE_Communes!$A$2:$A$3783, INSEE_Communes!$F$2:$F$3783, "code introuvable")</f>
        <v>non publié</v>
      </c>
    </row>
    <row r="657">
      <c r="A657" s="2" t="str">
        <f>Communes_HDF!A657</f>
        <v>02675</v>
      </c>
      <c r="B657" s="2" t="str">
        <f>Communes_HDF!B657</f>
        <v>Sainte-Croix</v>
      </c>
      <c r="C657" s="2" t="str">
        <f t="array" ref="C657">_xlfn.XLOOKUP(A657, INSEE_Communes!$A$2:$A$3783, INSEE_Communes!$F$2:$F$3783, "code introuvable")</f>
        <v>non publié</v>
      </c>
    </row>
    <row r="658">
      <c r="A658" s="2" t="str">
        <f>Communes_HDF!A658</f>
        <v>02678</v>
      </c>
      <c r="B658" s="2" t="str">
        <f>Communes_HDF!B658</f>
        <v>Sainte-Geneviève</v>
      </c>
      <c r="C658" s="2" t="str">
        <f t="array" ref="C658">_xlfn.XLOOKUP(A658, INSEE_Communes!$A$2:$A$3783, INSEE_Communes!$F$2:$F$3783, "code introuvable")</f>
        <v>non publié</v>
      </c>
    </row>
    <row r="659">
      <c r="A659" s="2" t="str">
        <f>Communes_HDF!A659</f>
        <v>02690</v>
      </c>
      <c r="B659" s="2" t="str">
        <f>Communes_HDF!B659</f>
        <v>Sainte-Preuve</v>
      </c>
      <c r="C659" s="2" t="str">
        <f t="array" ref="C659">_xlfn.XLOOKUP(A659, INSEE_Communes!$A$2:$A$3783, INSEE_Communes!$F$2:$F$3783, "code introuvable")</f>
        <v>non publié</v>
      </c>
    </row>
    <row r="660">
      <c r="A660" s="2" t="str">
        <f>Communes_HDF!A660</f>
        <v>02697</v>
      </c>
      <c r="B660" s="2" t="str">
        <f>Communes_HDF!B660</f>
        <v>Samoussy</v>
      </c>
      <c r="C660" s="2" t="str">
        <f t="array" ref="C660">_xlfn.XLOOKUP(A660, INSEE_Communes!$A$2:$A$3783, INSEE_Communes!$F$2:$F$3783, "code introuvable")</f>
        <v>non publié</v>
      </c>
    </row>
    <row r="661">
      <c r="A661" s="2" t="str">
        <f>Communes_HDF!A661</f>
        <v>02698</v>
      </c>
      <c r="B661" s="2" t="str">
        <f>Communes_HDF!B661</f>
        <v>Sancy-les-Cheminots</v>
      </c>
      <c r="C661" s="2" t="str">
        <f t="array" ref="C661">_xlfn.XLOOKUP(A661, INSEE_Communes!$A$2:$A$3783, INSEE_Communes!$F$2:$F$3783, "code introuvable")</f>
        <v>non publié</v>
      </c>
    </row>
    <row r="662">
      <c r="A662" s="2" t="str">
        <f>Communes_HDF!A662</f>
        <v>02699</v>
      </c>
      <c r="B662" s="2" t="str">
        <f>Communes_HDF!B662</f>
        <v>Saponay</v>
      </c>
      <c r="C662" s="2" t="str">
        <f t="array" ref="C662">_xlfn.XLOOKUP(A662, INSEE_Communes!$A$2:$A$3783, INSEE_Communes!$F$2:$F$3783, "code introuvable")</f>
        <v>non publié</v>
      </c>
    </row>
    <row r="663">
      <c r="A663" s="2" t="str">
        <f>Communes_HDF!A663</f>
        <v>02701</v>
      </c>
      <c r="B663" s="2" t="str">
        <f>Communes_HDF!B663</f>
        <v>Saulchery</v>
      </c>
      <c r="C663" s="2" t="str">
        <f t="array" ref="C663">_xlfn.XLOOKUP(A663, INSEE_Communes!$A$2:$A$3783, INSEE_Communes!$F$2:$F$3783, "code introuvable")</f>
        <v>non publié</v>
      </c>
    </row>
    <row r="664">
      <c r="A664" s="2" t="str">
        <f>Communes_HDF!A664</f>
        <v>02702</v>
      </c>
      <c r="B664" s="2" t="str">
        <f>Communes_HDF!B664</f>
        <v>Savy</v>
      </c>
      <c r="C664" s="2" t="str">
        <f t="array" ref="C664">_xlfn.XLOOKUP(A664, INSEE_Communes!$A$2:$A$3783, INSEE_Communes!$F$2:$F$3783, "code introuvable")</f>
        <v>non publié</v>
      </c>
    </row>
    <row r="665">
      <c r="A665" s="2" t="str">
        <f>Communes_HDF!A665</f>
        <v>02703</v>
      </c>
      <c r="B665" s="2" t="str">
        <f>Communes_HDF!B665</f>
        <v>Seboncourt</v>
      </c>
      <c r="C665" s="2" t="str">
        <f t="array" ref="C665">_xlfn.XLOOKUP(A665, INSEE_Communes!$A$2:$A$3783, INSEE_Communes!$F$2:$F$3783, "code introuvable")</f>
        <v>non publié</v>
      </c>
    </row>
    <row r="666">
      <c r="A666" s="2" t="str">
        <f>Communes_HDF!A666</f>
        <v>02704</v>
      </c>
      <c r="B666" s="2" t="str">
        <f>Communes_HDF!B666</f>
        <v>Selens</v>
      </c>
      <c r="C666" s="2" t="str">
        <f t="array" ref="C666">_xlfn.XLOOKUP(A666, INSEE_Communes!$A$2:$A$3783, INSEE_Communes!$F$2:$F$3783, "code introuvable")</f>
        <v>non publié</v>
      </c>
    </row>
    <row r="667">
      <c r="A667" s="2" t="str">
        <f>Communes_HDF!A667</f>
        <v>02706</v>
      </c>
      <c r="B667" s="2" t="str">
        <f>Communes_HDF!B667</f>
        <v>Septmonts</v>
      </c>
      <c r="C667" s="2" t="str">
        <f t="array" ref="C667">_xlfn.XLOOKUP(A667, INSEE_Communes!$A$2:$A$3783, INSEE_Communes!$F$2:$F$3783, "code introuvable")</f>
        <v>non publié</v>
      </c>
    </row>
    <row r="668">
      <c r="A668" s="2" t="str">
        <f>Communes_HDF!A668</f>
        <v>02707</v>
      </c>
      <c r="B668" s="2" t="str">
        <f>Communes_HDF!B668</f>
        <v>Septvaux</v>
      </c>
      <c r="C668" s="2" t="str">
        <f t="array" ref="C668">_xlfn.XLOOKUP(A668, INSEE_Communes!$A$2:$A$3783, INSEE_Communes!$F$2:$F$3783, "code introuvable")</f>
        <v>non publié</v>
      </c>
    </row>
    <row r="669">
      <c r="A669" s="2" t="str">
        <f>Communes_HDF!A669</f>
        <v>02708</v>
      </c>
      <c r="B669" s="2" t="str">
        <f>Communes_HDF!B669</f>
        <v>Sequehart</v>
      </c>
      <c r="C669" s="2" t="str">
        <f t="array" ref="C669">_xlfn.XLOOKUP(A669, INSEE_Communes!$A$2:$A$3783, INSEE_Communes!$F$2:$F$3783, "code introuvable")</f>
        <v>non publié</v>
      </c>
    </row>
    <row r="670">
      <c r="A670" s="2" t="str">
        <f>Communes_HDF!A670</f>
        <v>02709</v>
      </c>
      <c r="B670" s="2" t="str">
        <f>Communes_HDF!B670</f>
        <v>Serain</v>
      </c>
      <c r="C670" s="2" t="str">
        <f t="array" ref="C670">_xlfn.XLOOKUP(A670, INSEE_Communes!$A$2:$A$3783, INSEE_Communes!$F$2:$F$3783, "code introuvable")</f>
        <v>non publié</v>
      </c>
    </row>
    <row r="671">
      <c r="A671" s="2" t="str">
        <f>Communes_HDF!A671</f>
        <v>02710</v>
      </c>
      <c r="B671" s="2" t="str">
        <f>Communes_HDF!B671</f>
        <v>Seraucourt-le-Grand</v>
      </c>
      <c r="C671" s="2" t="str">
        <f t="array" ref="C671">_xlfn.XLOOKUP(A671, INSEE_Communes!$A$2:$A$3783, INSEE_Communes!$F$2:$F$3783, "code introuvable")</f>
        <v>non publié</v>
      </c>
    </row>
    <row r="672">
      <c r="A672" s="2" t="str">
        <f>Communes_HDF!A672</f>
        <v>02711</v>
      </c>
      <c r="B672" s="2" t="str">
        <f>Communes_HDF!B672</f>
        <v>Serches</v>
      </c>
      <c r="C672" s="2" t="str">
        <f t="array" ref="C672">_xlfn.XLOOKUP(A672, INSEE_Communes!$A$2:$A$3783, INSEE_Communes!$F$2:$F$3783, "code introuvable")</f>
        <v>non publié</v>
      </c>
    </row>
    <row r="673">
      <c r="A673" s="2" t="str">
        <f>Communes_HDF!A673</f>
        <v>02712</v>
      </c>
      <c r="B673" s="2" t="str">
        <f>Communes_HDF!B673</f>
        <v>Sergy</v>
      </c>
      <c r="C673" s="2" t="str">
        <f t="array" ref="C673">_xlfn.XLOOKUP(A673, INSEE_Communes!$A$2:$A$3783, INSEE_Communes!$F$2:$F$3783, "code introuvable")</f>
        <v>non publié</v>
      </c>
    </row>
    <row r="674">
      <c r="A674" s="2" t="str">
        <f>Communes_HDF!A674</f>
        <v>02713</v>
      </c>
      <c r="B674" s="2" t="str">
        <f>Communes_HDF!B674</f>
        <v>Seringes-et-Nesles</v>
      </c>
      <c r="C674" s="2" t="str">
        <f t="array" ref="C674">_xlfn.XLOOKUP(A674, INSEE_Communes!$A$2:$A$3783, INSEE_Communes!$F$2:$F$3783, "code introuvable")</f>
        <v>non publié</v>
      </c>
    </row>
    <row r="675">
      <c r="A675" s="2" t="str">
        <f>Communes_HDF!A675</f>
        <v>02714</v>
      </c>
      <c r="B675" s="2" t="str">
        <f>Communes_HDF!B675</f>
        <v>Sermoise</v>
      </c>
      <c r="C675" s="2" t="str">
        <f t="array" ref="C675">_xlfn.XLOOKUP(A675, INSEE_Communes!$A$2:$A$3783, INSEE_Communes!$F$2:$F$3783, "code introuvable")</f>
        <v>non publié</v>
      </c>
    </row>
    <row r="676">
      <c r="A676" s="2" t="str">
        <f>Communes_HDF!A676</f>
        <v>02716</v>
      </c>
      <c r="B676" s="2" t="str">
        <f>Communes_HDF!B676</f>
        <v>Servais</v>
      </c>
      <c r="C676" s="2" t="str">
        <f t="array" ref="C676">_xlfn.XLOOKUP(A676, INSEE_Communes!$A$2:$A$3783, INSEE_Communes!$F$2:$F$3783, "code introuvable")</f>
        <v>non publié</v>
      </c>
    </row>
    <row r="677">
      <c r="A677" s="2" t="str">
        <f>Communes_HDF!A677</f>
        <v>02715</v>
      </c>
      <c r="B677" s="2" t="str">
        <f>Communes_HDF!B677</f>
        <v>Serval</v>
      </c>
      <c r="C677" s="2" t="str">
        <f t="array" ref="C677">_xlfn.XLOOKUP(A677, INSEE_Communes!$A$2:$A$3783, INSEE_Communes!$F$2:$F$3783, "code introuvable")</f>
        <v>non publié</v>
      </c>
    </row>
    <row r="678">
      <c r="A678" s="2" t="str">
        <f>Communes_HDF!A678</f>
        <v>02718</v>
      </c>
      <c r="B678" s="2" t="str">
        <f>Communes_HDF!B678</f>
        <v>Silly-la-Poterie</v>
      </c>
      <c r="C678" s="2" t="str">
        <f t="array" ref="C678">_xlfn.XLOOKUP(A678, INSEE_Communes!$A$2:$A$3783, INSEE_Communes!$F$2:$F$3783, "code introuvable")</f>
        <v>non publié</v>
      </c>
    </row>
    <row r="679">
      <c r="A679" s="2" t="str">
        <f>Communes_HDF!A679</f>
        <v>02719</v>
      </c>
      <c r="B679" s="2" t="str">
        <f>Communes_HDF!B679</f>
        <v>Sinceny</v>
      </c>
      <c r="C679" s="2">
        <f t="array" ref="C679">_xlfn.XLOOKUP(A679, INSEE_Communes!$A$2:$A$3783, INSEE_Communes!$F$2:$F$3783, "code introuvable")</f>
        <v>15</v>
      </c>
    </row>
    <row r="680">
      <c r="A680" s="2" t="str">
        <f>Communes_HDF!A680</f>
        <v>02720</v>
      </c>
      <c r="B680" s="2" t="str">
        <f>Communes_HDF!B680</f>
        <v>Sissonne</v>
      </c>
      <c r="C680" s="2" t="str">
        <f t="array" ref="C680">_xlfn.XLOOKUP(A680, INSEE_Communes!$A$2:$A$3783, INSEE_Communes!$F$2:$F$3783, "code introuvable")</f>
        <v>non publié</v>
      </c>
    </row>
    <row r="681">
      <c r="A681" s="2" t="str">
        <f>Communes_HDF!A681</f>
        <v>02721</v>
      </c>
      <c r="B681" s="2" t="str">
        <f>Communes_HDF!B681</f>
        <v>Sissy</v>
      </c>
      <c r="C681" s="2" t="str">
        <f t="array" ref="C681">_xlfn.XLOOKUP(A681, INSEE_Communes!$A$2:$A$3783, INSEE_Communes!$F$2:$F$3783, "code introuvable")</f>
        <v>non publié</v>
      </c>
    </row>
    <row r="682">
      <c r="A682" s="2" t="str">
        <f>Communes_HDF!A682</f>
        <v>02722</v>
      </c>
      <c r="B682" s="2" t="str">
        <f>Communes_HDF!B682</f>
        <v>Soissons</v>
      </c>
      <c r="C682" s="2">
        <f t="array" ref="C682">_xlfn.XLOOKUP(A682, INSEE_Communes!$A$2:$A$3783, INSEE_Communes!$F$2:$F$3783, "code introuvable")</f>
        <v>32.5</v>
      </c>
    </row>
    <row r="683">
      <c r="A683" s="2" t="str">
        <f>Communes_HDF!A683</f>
        <v>02723</v>
      </c>
      <c r="B683" s="2" t="str">
        <f>Communes_HDF!B683</f>
        <v>Soize</v>
      </c>
      <c r="C683" s="2" t="str">
        <f t="array" ref="C683">_xlfn.XLOOKUP(A683, INSEE_Communes!$A$2:$A$3783, INSEE_Communes!$F$2:$F$3783, "code introuvable")</f>
        <v>non publié</v>
      </c>
    </row>
    <row r="684">
      <c r="A684" s="2" t="str">
        <f>Communes_HDF!A684</f>
        <v>02724</v>
      </c>
      <c r="B684" s="2" t="str">
        <f>Communes_HDF!B684</f>
        <v>Sommelans</v>
      </c>
      <c r="C684" s="2" t="str">
        <f t="array" ref="C684">_xlfn.XLOOKUP(A684, INSEE_Communes!$A$2:$A$3783, INSEE_Communes!$F$2:$F$3783, "code introuvable")</f>
        <v>non publié</v>
      </c>
    </row>
    <row r="685">
      <c r="A685" s="2" t="str">
        <f>Communes_HDF!A685</f>
        <v>02725</v>
      </c>
      <c r="B685" s="2" t="str">
        <f>Communes_HDF!B685</f>
        <v>Sommeron</v>
      </c>
      <c r="C685" s="2" t="str">
        <f t="array" ref="C685">_xlfn.XLOOKUP(A685, INSEE_Communes!$A$2:$A$3783, INSEE_Communes!$F$2:$F$3783, "code introuvable")</f>
        <v>non publié</v>
      </c>
    </row>
    <row r="686">
      <c r="A686" s="2" t="str">
        <f>Communes_HDF!A686</f>
        <v>02726</v>
      </c>
      <c r="B686" s="2" t="str">
        <f>Communes_HDF!B686</f>
        <v>Sommette-Eaucourt</v>
      </c>
      <c r="C686" s="2" t="str">
        <f t="array" ref="C686">_xlfn.XLOOKUP(A686, INSEE_Communes!$A$2:$A$3783, INSEE_Communes!$F$2:$F$3783, "code introuvable")</f>
        <v>non publié</v>
      </c>
    </row>
    <row r="687">
      <c r="A687" s="2" t="str">
        <f>Communes_HDF!A687</f>
        <v>02727</v>
      </c>
      <c r="B687" s="2" t="str">
        <f>Communes_HDF!B687</f>
        <v>Sons-et-Ronchères</v>
      </c>
      <c r="C687" s="2" t="str">
        <f t="array" ref="C687">_xlfn.XLOOKUP(A687, INSEE_Communes!$A$2:$A$3783, INSEE_Communes!$F$2:$F$3783, "code introuvable")</f>
        <v>non publié</v>
      </c>
    </row>
    <row r="688">
      <c r="A688" s="2" t="str">
        <f>Communes_HDF!A688</f>
        <v>02728</v>
      </c>
      <c r="B688" s="2" t="str">
        <f>Communes_HDF!B688</f>
        <v>Sorbais</v>
      </c>
      <c r="C688" s="2" t="str">
        <f t="array" ref="C688">_xlfn.XLOOKUP(A688, INSEE_Communes!$A$2:$A$3783, INSEE_Communes!$F$2:$F$3783, "code introuvable")</f>
        <v>non publié</v>
      </c>
    </row>
    <row r="689">
      <c r="A689" s="2" t="str">
        <f>Communes_HDF!A689</f>
        <v>02729</v>
      </c>
      <c r="B689" s="2" t="str">
        <f>Communes_HDF!B689</f>
        <v>Soucy</v>
      </c>
      <c r="C689" s="2" t="str">
        <f t="array" ref="C689">_xlfn.XLOOKUP(A689, INSEE_Communes!$A$2:$A$3783, INSEE_Communes!$F$2:$F$3783, "code introuvable")</f>
        <v>non publié</v>
      </c>
    </row>
    <row r="690">
      <c r="A690" s="2" t="str">
        <f>Communes_HDF!A690</f>
        <v>02730</v>
      </c>
      <c r="B690" s="2" t="str">
        <f>Communes_HDF!B690</f>
        <v>Soupir</v>
      </c>
      <c r="C690" s="2" t="str">
        <f t="array" ref="C690">_xlfn.XLOOKUP(A690, INSEE_Communes!$A$2:$A$3783, INSEE_Communes!$F$2:$F$3783, "code introuvable")</f>
        <v>non publié</v>
      </c>
    </row>
    <row r="691">
      <c r="A691" s="2" t="str">
        <f>Communes_HDF!A691</f>
        <v>02732</v>
      </c>
      <c r="B691" s="2" t="str">
        <f>Communes_HDF!B691</f>
        <v>Surfontaine</v>
      </c>
      <c r="C691" s="2" t="str">
        <f t="array" ref="C691">_xlfn.XLOOKUP(A691, INSEE_Communes!$A$2:$A$3783, INSEE_Communes!$F$2:$F$3783, "code introuvable")</f>
        <v>non publié</v>
      </c>
    </row>
    <row r="692">
      <c r="A692" s="2" t="str">
        <f>Communes_HDF!A692</f>
        <v>02717</v>
      </c>
      <c r="B692" s="2" t="str">
        <f>Communes_HDF!B692</f>
        <v>Séry-lès-Mézières</v>
      </c>
      <c r="C692" s="2" t="str">
        <f t="array" ref="C692">_xlfn.XLOOKUP(A692, INSEE_Communes!$A$2:$A$3783, INSEE_Communes!$F$2:$F$3783, "code introuvable")</f>
        <v>non publié</v>
      </c>
    </row>
    <row r="693">
      <c r="A693" s="2" t="str">
        <f>Communes_HDF!A693</f>
        <v>02734</v>
      </c>
      <c r="B693" s="2" t="str">
        <f>Communes_HDF!B693</f>
        <v>Taillefontaine</v>
      </c>
      <c r="C693" s="2" t="str">
        <f t="array" ref="C693">_xlfn.XLOOKUP(A693, INSEE_Communes!$A$2:$A$3783, INSEE_Communes!$F$2:$F$3783, "code introuvable")</f>
        <v>non publié</v>
      </c>
    </row>
    <row r="694">
      <c r="A694" s="2" t="str">
        <f>Communes_HDF!A694</f>
        <v>02735</v>
      </c>
      <c r="B694" s="2" t="str">
        <f>Communes_HDF!B694</f>
        <v>Tannières</v>
      </c>
      <c r="C694" s="2" t="str">
        <f t="array" ref="C694">_xlfn.XLOOKUP(A694, INSEE_Communes!$A$2:$A$3783, INSEE_Communes!$F$2:$F$3783, "code introuvable")</f>
        <v>non publié</v>
      </c>
    </row>
    <row r="695">
      <c r="A695" s="2" t="str">
        <f>Communes_HDF!A695</f>
        <v>02736</v>
      </c>
      <c r="B695" s="2" t="str">
        <f>Communes_HDF!B695</f>
        <v>Tartiers</v>
      </c>
      <c r="C695" s="2" t="str">
        <f t="array" ref="C695">_xlfn.XLOOKUP(A695, INSEE_Communes!$A$2:$A$3783, INSEE_Communes!$F$2:$F$3783, "code introuvable")</f>
        <v>non publié</v>
      </c>
    </row>
    <row r="696">
      <c r="A696" s="2" t="str">
        <f>Communes_HDF!A696</f>
        <v>02737</v>
      </c>
      <c r="B696" s="2" t="str">
        <f>Communes_HDF!B696</f>
        <v>Tavaux-et-Pontséricourt</v>
      </c>
      <c r="C696" s="2" t="str">
        <f t="array" ref="C696">_xlfn.XLOOKUP(A696, INSEE_Communes!$A$2:$A$3783, INSEE_Communes!$F$2:$F$3783, "code introuvable")</f>
        <v>non publié</v>
      </c>
    </row>
    <row r="697">
      <c r="A697" s="2" t="str">
        <f>Communes_HDF!A697</f>
        <v>02738</v>
      </c>
      <c r="B697" s="2" t="str">
        <f>Communes_HDF!B697</f>
        <v>Tergnier</v>
      </c>
      <c r="C697" s="2">
        <f t="array" ref="C697">_xlfn.XLOOKUP(A697, INSEE_Communes!$A$2:$A$3783, INSEE_Communes!$F$2:$F$3783, "code introuvable")</f>
        <v>27</v>
      </c>
    </row>
    <row r="698">
      <c r="A698" s="2" t="str">
        <f>Communes_HDF!A698</f>
        <v>02739</v>
      </c>
      <c r="B698" s="2" t="str">
        <f>Communes_HDF!B698</f>
        <v>Terny-Sorny</v>
      </c>
      <c r="C698" s="2" t="str">
        <f t="array" ref="C698">_xlfn.XLOOKUP(A698, INSEE_Communes!$A$2:$A$3783, INSEE_Communes!$F$2:$F$3783, "code introuvable")</f>
        <v>non publié</v>
      </c>
    </row>
    <row r="699">
      <c r="A699" s="2" t="str">
        <f>Communes_HDF!A699</f>
        <v>02740</v>
      </c>
      <c r="B699" s="2" t="str">
        <f>Communes_HDF!B699</f>
        <v>Thenailles</v>
      </c>
      <c r="C699" s="2" t="str">
        <f t="array" ref="C699">_xlfn.XLOOKUP(A699, INSEE_Communes!$A$2:$A$3783, INSEE_Communes!$F$2:$F$3783, "code introuvable")</f>
        <v>non publié</v>
      </c>
    </row>
    <row r="700">
      <c r="A700" s="2" t="str">
        <f>Communes_HDF!A700</f>
        <v>02741</v>
      </c>
      <c r="B700" s="2" t="str">
        <f>Communes_HDF!B700</f>
        <v>Thenelles</v>
      </c>
      <c r="C700" s="2" t="str">
        <f t="array" ref="C700">_xlfn.XLOOKUP(A700, INSEE_Communes!$A$2:$A$3783, INSEE_Communes!$F$2:$F$3783, "code introuvable")</f>
        <v>non publié</v>
      </c>
    </row>
    <row r="701">
      <c r="A701" s="2" t="str">
        <f>Communes_HDF!A701</f>
        <v>02742</v>
      </c>
      <c r="B701" s="2" t="str">
        <f>Communes_HDF!B701</f>
        <v>Thiernu</v>
      </c>
      <c r="C701" s="2" t="str">
        <f t="array" ref="C701">_xlfn.XLOOKUP(A701, INSEE_Communes!$A$2:$A$3783, INSEE_Communes!$F$2:$F$3783, "code introuvable")</f>
        <v>non publié</v>
      </c>
    </row>
    <row r="702">
      <c r="A702" s="2" t="str">
        <f>Communes_HDF!A702</f>
        <v>02744</v>
      </c>
      <c r="B702" s="2" t="str">
        <f>Communes_HDF!B702</f>
        <v>Torcy-en-Valois</v>
      </c>
      <c r="C702" s="2" t="str">
        <f t="array" ref="C702">_xlfn.XLOOKUP(A702, INSEE_Communes!$A$2:$A$3783, INSEE_Communes!$F$2:$F$3783, "code introuvable")</f>
        <v>non publié</v>
      </c>
    </row>
    <row r="703">
      <c r="A703" s="2" t="str">
        <f>Communes_HDF!A703</f>
        <v>02745</v>
      </c>
      <c r="B703" s="2" t="str">
        <f>Communes_HDF!B703</f>
        <v>Toulis-et-Attencourt</v>
      </c>
      <c r="C703" s="2" t="str">
        <f t="array" ref="C703">_xlfn.XLOOKUP(A703, INSEE_Communes!$A$2:$A$3783, INSEE_Communes!$F$2:$F$3783, "code introuvable")</f>
        <v>non publié</v>
      </c>
    </row>
    <row r="704">
      <c r="A704" s="2" t="str">
        <f>Communes_HDF!A704</f>
        <v>02746</v>
      </c>
      <c r="B704" s="2" t="str">
        <f>Communes_HDF!B704</f>
        <v>Travecy</v>
      </c>
      <c r="C704" s="2" t="str">
        <f t="array" ref="C704">_xlfn.XLOOKUP(A704, INSEE_Communes!$A$2:$A$3783, INSEE_Communes!$F$2:$F$3783, "code introuvable")</f>
        <v>non publié</v>
      </c>
    </row>
    <row r="705">
      <c r="A705" s="2" t="str">
        <f>Communes_HDF!A705</f>
        <v>02747</v>
      </c>
      <c r="B705" s="2" t="str">
        <f>Communes_HDF!B705</f>
        <v>Trefcon</v>
      </c>
      <c r="C705" s="2" t="str">
        <f t="array" ref="C705">_xlfn.XLOOKUP(A705, INSEE_Communes!$A$2:$A$3783, INSEE_Communes!$F$2:$F$3783, "code introuvable")</f>
        <v>non publié</v>
      </c>
    </row>
    <row r="706">
      <c r="A706" s="2" t="str">
        <f>Communes_HDF!A706</f>
        <v>02750</v>
      </c>
      <c r="B706" s="2" t="str">
        <f>Communes_HDF!B706</f>
        <v>Trosly-Loire</v>
      </c>
      <c r="C706" s="2" t="str">
        <f t="array" ref="C706">_xlfn.XLOOKUP(A706, INSEE_Communes!$A$2:$A$3783, INSEE_Communes!$F$2:$F$3783, "code introuvable")</f>
        <v>non publié</v>
      </c>
    </row>
    <row r="707">
      <c r="A707" s="2" t="str">
        <f>Communes_HDF!A707</f>
        <v>02749</v>
      </c>
      <c r="B707" s="2" t="str">
        <f>Communes_HDF!B707</f>
        <v>Troësnes</v>
      </c>
      <c r="C707" s="2" t="str">
        <f t="array" ref="C707">_xlfn.XLOOKUP(A707, INSEE_Communes!$A$2:$A$3783, INSEE_Communes!$F$2:$F$3783, "code introuvable")</f>
        <v>non publié</v>
      </c>
    </row>
    <row r="708">
      <c r="A708" s="2" t="str">
        <f>Communes_HDF!A708</f>
        <v>02751</v>
      </c>
      <c r="B708" s="2" t="str">
        <f>Communes_HDF!B708</f>
        <v>Trucy</v>
      </c>
      <c r="C708" s="2" t="str">
        <f t="array" ref="C708">_xlfn.XLOOKUP(A708, INSEE_Communes!$A$2:$A$3783, INSEE_Communes!$F$2:$F$3783, "code introuvable")</f>
        <v>non publié</v>
      </c>
    </row>
    <row r="709">
      <c r="A709" s="2" t="str">
        <f>Communes_HDF!A709</f>
        <v>02748</v>
      </c>
      <c r="B709" s="2" t="str">
        <f>Communes_HDF!B709</f>
        <v>Trélou-sur-Marne</v>
      </c>
      <c r="C709" s="2" t="str">
        <f t="array" ref="C709">_xlfn.XLOOKUP(A709, INSEE_Communes!$A$2:$A$3783, INSEE_Communes!$F$2:$F$3783, "code introuvable")</f>
        <v>non publié</v>
      </c>
    </row>
    <row r="710">
      <c r="A710" s="2" t="str">
        <f>Communes_HDF!A710</f>
        <v>02752</v>
      </c>
      <c r="B710" s="2" t="str">
        <f>Communes_HDF!B710</f>
        <v>Tugny-et-Pont</v>
      </c>
      <c r="C710" s="2" t="str">
        <f t="array" ref="C710">_xlfn.XLOOKUP(A710, INSEE_Communes!$A$2:$A$3783, INSEE_Communes!$F$2:$F$3783, "code introuvable")</f>
        <v>non publié</v>
      </c>
    </row>
    <row r="711">
      <c r="A711" s="2" t="str">
        <f>Communes_HDF!A711</f>
        <v>02753</v>
      </c>
      <c r="B711" s="2" t="str">
        <f>Communes_HDF!B711</f>
        <v>Tupigny</v>
      </c>
      <c r="C711" s="2" t="str">
        <f t="array" ref="C711">_xlfn.XLOOKUP(A711, INSEE_Communes!$A$2:$A$3783, INSEE_Communes!$F$2:$F$3783, "code introuvable")</f>
        <v>non publié</v>
      </c>
    </row>
    <row r="712">
      <c r="A712" s="2" t="str">
        <f>Communes_HDF!A712</f>
        <v>02754</v>
      </c>
      <c r="B712" s="2" t="str">
        <f>Communes_HDF!B712</f>
        <v>Ugny-le-Gay</v>
      </c>
      <c r="C712" s="2" t="str">
        <f t="array" ref="C712">_xlfn.XLOOKUP(A712, INSEE_Communes!$A$2:$A$3783, INSEE_Communes!$F$2:$F$3783, "code introuvable")</f>
        <v>non publié</v>
      </c>
    </row>
    <row r="713">
      <c r="A713" s="2" t="str">
        <f>Communes_HDF!A713</f>
        <v>02755</v>
      </c>
      <c r="B713" s="2" t="str">
        <f>Communes_HDF!B713</f>
        <v>Urcel</v>
      </c>
      <c r="C713" s="2" t="str">
        <f t="array" ref="C713">_xlfn.XLOOKUP(A713, INSEE_Communes!$A$2:$A$3783, INSEE_Communes!$F$2:$F$3783, "code introuvable")</f>
        <v>non publié</v>
      </c>
    </row>
    <row r="714">
      <c r="A714" s="2" t="str">
        <f>Communes_HDF!A714</f>
        <v>02756</v>
      </c>
      <c r="B714" s="2" t="str">
        <f>Communes_HDF!B714</f>
        <v>Urvillers</v>
      </c>
      <c r="C714" s="2" t="str">
        <f t="array" ref="C714">_xlfn.XLOOKUP(A714, INSEE_Communes!$A$2:$A$3783, INSEE_Communes!$F$2:$F$3783, "code introuvable")</f>
        <v>non publié</v>
      </c>
    </row>
    <row r="715">
      <c r="A715" s="2" t="str">
        <f>Communes_HDF!A715</f>
        <v>02757</v>
      </c>
      <c r="B715" s="2" t="str">
        <f>Communes_HDF!B715</f>
        <v>Vadencourt</v>
      </c>
      <c r="C715" s="2" t="str">
        <f t="array" ref="C715">_xlfn.XLOOKUP(A715, INSEE_Communes!$A$2:$A$3783, INSEE_Communes!$F$2:$F$3783, "code introuvable")</f>
        <v>non publié</v>
      </c>
    </row>
    <row r="716">
      <c r="A716" s="2" t="str">
        <f>Communes_HDF!A716</f>
        <v>02758</v>
      </c>
      <c r="B716" s="2" t="str">
        <f>Communes_HDF!B716</f>
        <v>Vailly-sur-Aisne</v>
      </c>
      <c r="C716" s="2">
        <f t="array" ref="C716">_xlfn.XLOOKUP(A716, INSEE_Communes!$A$2:$A$3783, INSEE_Communes!$F$2:$F$3783, "code introuvable")</f>
        <v>18</v>
      </c>
    </row>
    <row r="717">
      <c r="A717" s="2" t="str">
        <f>Communes_HDF!A717</f>
        <v>02053</v>
      </c>
      <c r="B717" s="2" t="str">
        <f>Communes_HDF!B717</f>
        <v>Vallées en Champagne</v>
      </c>
      <c r="C717" s="2" t="str">
        <f t="array" ref="C717">_xlfn.XLOOKUP(A717, INSEE_Communes!$A$2:$A$3783, INSEE_Communes!$F$2:$F$3783, "code introuvable")</f>
        <v>non publié</v>
      </c>
    </row>
    <row r="718">
      <c r="A718" s="2" t="str">
        <f>Communes_HDF!A718</f>
        <v>02761</v>
      </c>
      <c r="B718" s="2" t="str">
        <f>Communes_HDF!B718</f>
        <v>Variscourt</v>
      </c>
      <c r="C718" s="2" t="str">
        <f t="array" ref="C718">_xlfn.XLOOKUP(A718, INSEE_Communes!$A$2:$A$3783, INSEE_Communes!$F$2:$F$3783, "code introuvable")</f>
        <v>non publié</v>
      </c>
    </row>
    <row r="719">
      <c r="A719" s="2" t="str">
        <f>Communes_HDF!A719</f>
        <v>02762</v>
      </c>
      <c r="B719" s="2" t="str">
        <f>Communes_HDF!B719</f>
        <v>Vassens</v>
      </c>
      <c r="C719" s="2" t="str">
        <f t="array" ref="C719">_xlfn.XLOOKUP(A719, INSEE_Communes!$A$2:$A$3783, INSEE_Communes!$F$2:$F$3783, "code introuvable")</f>
        <v>non publié</v>
      </c>
    </row>
    <row r="720">
      <c r="A720" s="2" t="str">
        <f>Communes_HDF!A720</f>
        <v>02763</v>
      </c>
      <c r="B720" s="2" t="str">
        <f>Communes_HDF!B720</f>
        <v>Vasseny</v>
      </c>
      <c r="C720" s="2" t="str">
        <f t="array" ref="C720">_xlfn.XLOOKUP(A720, INSEE_Communes!$A$2:$A$3783, INSEE_Communes!$F$2:$F$3783, "code introuvable")</f>
        <v>non publié</v>
      </c>
    </row>
    <row r="721">
      <c r="A721" s="2" t="str">
        <f>Communes_HDF!A721</f>
        <v>02764</v>
      </c>
      <c r="B721" s="2" t="str">
        <f>Communes_HDF!B721</f>
        <v>Vassogne</v>
      </c>
      <c r="C721" s="2" t="str">
        <f t="array" ref="C721">_xlfn.XLOOKUP(A721, INSEE_Communes!$A$2:$A$3783, INSEE_Communes!$F$2:$F$3783, "code introuvable")</f>
        <v>non publié</v>
      </c>
    </row>
    <row r="722">
      <c r="A722" s="2" t="str">
        <f>Communes_HDF!A722</f>
        <v>02765</v>
      </c>
      <c r="B722" s="2" t="str">
        <f>Communes_HDF!B722</f>
        <v>Vaucelles-et-Beffecourt</v>
      </c>
      <c r="C722" s="2" t="str">
        <f t="array" ref="C722">_xlfn.XLOOKUP(A722, INSEE_Communes!$A$2:$A$3783, INSEE_Communes!$F$2:$F$3783, "code introuvable")</f>
        <v>non publié</v>
      </c>
    </row>
    <row r="723">
      <c r="A723" s="2" t="str">
        <f>Communes_HDF!A723</f>
        <v>02766</v>
      </c>
      <c r="B723" s="2" t="str">
        <f>Communes_HDF!B723</f>
        <v>Vaudesson</v>
      </c>
      <c r="C723" s="2" t="str">
        <f t="array" ref="C723">_xlfn.XLOOKUP(A723, INSEE_Communes!$A$2:$A$3783, INSEE_Communes!$F$2:$F$3783, "code introuvable")</f>
        <v>non publié</v>
      </c>
    </row>
    <row r="724">
      <c r="A724" s="2" t="str">
        <f>Communes_HDF!A724</f>
        <v>02769</v>
      </c>
      <c r="B724" s="2" t="str">
        <f>Communes_HDF!B724</f>
        <v>Vaux-Andigny</v>
      </c>
      <c r="C724" s="2" t="str">
        <f t="array" ref="C724">_xlfn.XLOOKUP(A724, INSEE_Communes!$A$2:$A$3783, INSEE_Communes!$F$2:$F$3783, "code introuvable")</f>
        <v>non publié</v>
      </c>
    </row>
    <row r="725">
      <c r="A725" s="2" t="str">
        <f>Communes_HDF!A725</f>
        <v>02772</v>
      </c>
      <c r="B725" s="2" t="str">
        <f>Communes_HDF!B725</f>
        <v>Vaux-en-Vermandois</v>
      </c>
      <c r="C725" s="2" t="str">
        <f t="array" ref="C725">_xlfn.XLOOKUP(A725, INSEE_Communes!$A$2:$A$3783, INSEE_Communes!$F$2:$F$3783, "code introuvable")</f>
        <v>non publié</v>
      </c>
    </row>
    <row r="726">
      <c r="A726" s="2" t="str">
        <f>Communes_HDF!A726</f>
        <v>02768</v>
      </c>
      <c r="B726" s="2" t="str">
        <f>Communes_HDF!B726</f>
        <v>Vauxaillon</v>
      </c>
      <c r="C726" s="2" t="str">
        <f t="array" ref="C726">_xlfn.XLOOKUP(A726, INSEE_Communes!$A$2:$A$3783, INSEE_Communes!$F$2:$F$3783, "code introuvable")</f>
        <v>non publié</v>
      </c>
    </row>
    <row r="727">
      <c r="A727" s="2" t="str">
        <f>Communes_HDF!A727</f>
        <v>02770</v>
      </c>
      <c r="B727" s="2" t="str">
        <f>Communes_HDF!B727</f>
        <v>Vauxbuin</v>
      </c>
      <c r="C727" s="2" t="str">
        <f t="array" ref="C727">_xlfn.XLOOKUP(A727, INSEE_Communes!$A$2:$A$3783, INSEE_Communes!$F$2:$F$3783, "code introuvable")</f>
        <v>non publié</v>
      </c>
    </row>
    <row r="728">
      <c r="A728" s="2" t="str">
        <f>Communes_HDF!A728</f>
        <v>02767</v>
      </c>
      <c r="B728" s="2" t="str">
        <f>Communes_HDF!B728</f>
        <v>Vauxrezis</v>
      </c>
      <c r="C728" s="2" t="str">
        <f t="array" ref="C728">_xlfn.XLOOKUP(A728, INSEE_Communes!$A$2:$A$3783, INSEE_Communes!$F$2:$F$3783, "code introuvable")</f>
        <v>non publié</v>
      </c>
    </row>
    <row r="729">
      <c r="A729" s="2" t="str">
        <f>Communes_HDF!A729</f>
        <v>02773</v>
      </c>
      <c r="B729" s="2" t="str">
        <f>Communes_HDF!B729</f>
        <v>Vauxtin</v>
      </c>
      <c r="C729" s="2" t="str">
        <f t="array" ref="C729">_xlfn.XLOOKUP(A729, INSEE_Communes!$A$2:$A$3783, INSEE_Communes!$F$2:$F$3783, "code introuvable")</f>
        <v>non publié</v>
      </c>
    </row>
    <row r="730">
      <c r="A730" s="2" t="str">
        <f>Communes_HDF!A730</f>
        <v>02774</v>
      </c>
      <c r="B730" s="2" t="str">
        <f>Communes_HDF!B730</f>
        <v>Vendelles</v>
      </c>
      <c r="C730" s="2" t="str">
        <f t="array" ref="C730">_xlfn.XLOOKUP(A730, INSEE_Communes!$A$2:$A$3783, INSEE_Communes!$F$2:$F$3783, "code introuvable")</f>
        <v>non publié</v>
      </c>
    </row>
    <row r="731">
      <c r="A731" s="2" t="str">
        <f>Communes_HDF!A731</f>
        <v>02775</v>
      </c>
      <c r="B731" s="2" t="str">
        <f>Communes_HDF!B731</f>
        <v>Vendeuil</v>
      </c>
      <c r="C731" s="2" t="str">
        <f t="array" ref="C731">_xlfn.XLOOKUP(A731, INSEE_Communes!$A$2:$A$3783, INSEE_Communes!$F$2:$F$3783, "code introuvable")</f>
        <v>non publié</v>
      </c>
    </row>
    <row r="732">
      <c r="A732" s="2" t="str">
        <f>Communes_HDF!A732</f>
        <v>02776</v>
      </c>
      <c r="B732" s="2" t="str">
        <f>Communes_HDF!B732</f>
        <v>Vendhuile</v>
      </c>
      <c r="C732" s="2" t="str">
        <f t="array" ref="C732">_xlfn.XLOOKUP(A732, INSEE_Communes!$A$2:$A$3783, INSEE_Communes!$F$2:$F$3783, "code introuvable")</f>
        <v>non publié</v>
      </c>
    </row>
    <row r="733">
      <c r="A733" s="2" t="str">
        <f>Communes_HDF!A733</f>
        <v>02777</v>
      </c>
      <c r="B733" s="2" t="str">
        <f>Communes_HDF!B733</f>
        <v>Vendières</v>
      </c>
      <c r="C733" s="2" t="str">
        <f t="array" ref="C733">_xlfn.XLOOKUP(A733, INSEE_Communes!$A$2:$A$3783, INSEE_Communes!$F$2:$F$3783, "code introuvable")</f>
        <v>non publié</v>
      </c>
    </row>
    <row r="734">
      <c r="A734" s="2" t="str">
        <f>Communes_HDF!A734</f>
        <v>02778</v>
      </c>
      <c r="B734" s="2" t="str">
        <f>Communes_HDF!B734</f>
        <v>Vendresse-Beaulne</v>
      </c>
      <c r="C734" s="2" t="str">
        <f t="array" ref="C734">_xlfn.XLOOKUP(A734, INSEE_Communes!$A$2:$A$3783, INSEE_Communes!$F$2:$F$3783, "code introuvable")</f>
        <v>non publié</v>
      </c>
    </row>
    <row r="735">
      <c r="A735" s="2" t="str">
        <f>Communes_HDF!A735</f>
        <v>02780</v>
      </c>
      <c r="B735" s="2" t="str">
        <f>Communes_HDF!B735</f>
        <v>Venizel</v>
      </c>
      <c r="C735" s="2" t="str">
        <f t="array" ref="C735">_xlfn.XLOOKUP(A735, INSEE_Communes!$A$2:$A$3783, INSEE_Communes!$F$2:$F$3783, "code introuvable")</f>
        <v>non publié</v>
      </c>
    </row>
    <row r="736">
      <c r="A736" s="2" t="str">
        <f>Communes_HDF!A736</f>
        <v>02781</v>
      </c>
      <c r="B736" s="2" t="str">
        <f>Communes_HDF!B736</f>
        <v>Verdilly</v>
      </c>
      <c r="C736" s="2" t="str">
        <f t="array" ref="C736">_xlfn.XLOOKUP(A736, INSEE_Communes!$A$2:$A$3783, INSEE_Communes!$F$2:$F$3783, "code introuvable")</f>
        <v>non publié</v>
      </c>
    </row>
    <row r="737">
      <c r="A737" s="2" t="str">
        <f>Communes_HDF!A737</f>
        <v>02785</v>
      </c>
      <c r="B737" s="2" t="str">
        <f>Communes_HDF!B737</f>
        <v>Vermand</v>
      </c>
      <c r="C737" s="2" t="str">
        <f t="array" ref="C737">_xlfn.XLOOKUP(A737, INSEE_Communes!$A$2:$A$3783, INSEE_Communes!$F$2:$F$3783, "code introuvable")</f>
        <v>non publié</v>
      </c>
    </row>
    <row r="738">
      <c r="A738" s="2" t="str">
        <f>Communes_HDF!A738</f>
        <v>02786</v>
      </c>
      <c r="B738" s="2" t="str">
        <f>Communes_HDF!B738</f>
        <v>Verneuil-sous-Coucy</v>
      </c>
      <c r="C738" s="2" t="str">
        <f t="array" ref="C738">_xlfn.XLOOKUP(A738, INSEE_Communes!$A$2:$A$3783, INSEE_Communes!$F$2:$F$3783, "code introuvable")</f>
        <v>non publié</v>
      </c>
    </row>
    <row r="739">
      <c r="A739" s="2" t="str">
        <f>Communes_HDF!A739</f>
        <v>02787</v>
      </c>
      <c r="B739" s="2" t="str">
        <f>Communes_HDF!B739</f>
        <v>Verneuil-sur-Serre</v>
      </c>
      <c r="C739" s="2" t="str">
        <f t="array" ref="C739">_xlfn.XLOOKUP(A739, INSEE_Communes!$A$2:$A$3783, INSEE_Communes!$F$2:$F$3783, "code introuvable")</f>
        <v>non publié</v>
      </c>
    </row>
    <row r="740">
      <c r="A740" s="2" t="str">
        <f>Communes_HDF!A740</f>
        <v>02788</v>
      </c>
      <c r="B740" s="2" t="str">
        <f>Communes_HDF!B740</f>
        <v>Versigny</v>
      </c>
      <c r="C740" s="2" t="str">
        <f t="array" ref="C740">_xlfn.XLOOKUP(A740, INSEE_Communes!$A$2:$A$3783, INSEE_Communes!$F$2:$F$3783, "code introuvable")</f>
        <v>non publié</v>
      </c>
    </row>
    <row r="741">
      <c r="A741" s="2" t="str">
        <f>Communes_HDF!A741</f>
        <v>02789</v>
      </c>
      <c r="B741" s="2" t="str">
        <f>Communes_HDF!B741</f>
        <v>Vervins</v>
      </c>
      <c r="C741" s="2">
        <f t="array" ref="C741">_xlfn.XLOOKUP(A741, INSEE_Communes!$A$2:$A$3783, INSEE_Communes!$F$2:$F$3783, "code introuvable")</f>
        <v>27</v>
      </c>
    </row>
    <row r="742">
      <c r="A742" s="2" t="str">
        <f>Communes_HDF!A742</f>
        <v>02790</v>
      </c>
      <c r="B742" s="2" t="str">
        <f>Communes_HDF!B742</f>
        <v>Vesles-et-Caumont</v>
      </c>
      <c r="C742" s="2" t="str">
        <f t="array" ref="C742">_xlfn.XLOOKUP(A742, INSEE_Communes!$A$2:$A$3783, INSEE_Communes!$F$2:$F$3783, "code introuvable")</f>
        <v>non publié</v>
      </c>
    </row>
    <row r="743">
      <c r="A743" s="2" t="str">
        <f>Communes_HDF!A743</f>
        <v>02791</v>
      </c>
      <c r="B743" s="2" t="str">
        <f>Communes_HDF!B743</f>
        <v>Veslud</v>
      </c>
      <c r="C743" s="2" t="str">
        <f t="array" ref="C743">_xlfn.XLOOKUP(A743, INSEE_Communes!$A$2:$A$3783, INSEE_Communes!$F$2:$F$3783, "code introuvable")</f>
        <v>non publié</v>
      </c>
    </row>
    <row r="744">
      <c r="A744" s="2" t="str">
        <f>Communes_HDF!A744</f>
        <v>02792</v>
      </c>
      <c r="B744" s="2" t="str">
        <f>Communes_HDF!B744</f>
        <v>Veuilly-la-Poterie</v>
      </c>
      <c r="C744" s="2" t="str">
        <f t="array" ref="C744">_xlfn.XLOOKUP(A744, INSEE_Communes!$A$2:$A$3783, INSEE_Communes!$F$2:$F$3783, "code introuvable")</f>
        <v>non publié</v>
      </c>
    </row>
    <row r="745">
      <c r="A745" s="2" t="str">
        <f>Communes_HDF!A745</f>
        <v>02795</v>
      </c>
      <c r="B745" s="2" t="str">
        <f>Communes_HDF!B745</f>
        <v>Vic-sur-Aisne</v>
      </c>
      <c r="C745" s="2" t="str">
        <f t="array" ref="C745">_xlfn.XLOOKUP(A745, INSEE_Communes!$A$2:$A$3783, INSEE_Communes!$F$2:$F$3783, "code introuvable")</f>
        <v>non publié</v>
      </c>
    </row>
    <row r="746">
      <c r="A746" s="2" t="str">
        <f>Communes_HDF!A746</f>
        <v>02796</v>
      </c>
      <c r="B746" s="2" t="str">
        <f>Communes_HDF!B746</f>
        <v>Vichel-Nanteuil</v>
      </c>
      <c r="C746" s="2" t="str">
        <f t="array" ref="C746">_xlfn.XLOOKUP(A746, INSEE_Communes!$A$2:$A$3783, INSEE_Communes!$F$2:$F$3783, "code introuvable")</f>
        <v>non publié</v>
      </c>
    </row>
    <row r="747">
      <c r="A747" s="2" t="str">
        <f>Communes_HDF!A747</f>
        <v>02797</v>
      </c>
      <c r="B747" s="2" t="str">
        <f>Communes_HDF!B747</f>
        <v>Viel-Arcy</v>
      </c>
      <c r="C747" s="2" t="str">
        <f t="array" ref="C747">_xlfn.XLOOKUP(A747, INSEE_Communes!$A$2:$A$3783, INSEE_Communes!$F$2:$F$3783, "code introuvable")</f>
        <v>non publié</v>
      </c>
    </row>
    <row r="748">
      <c r="A748" s="2" t="str">
        <f>Communes_HDF!A748</f>
        <v>02798</v>
      </c>
      <c r="B748" s="2" t="str">
        <f>Communes_HDF!B748</f>
        <v>Viels-Maisons</v>
      </c>
      <c r="C748" s="2" t="str">
        <f t="array" ref="C748">_xlfn.XLOOKUP(A748, INSEE_Communes!$A$2:$A$3783, INSEE_Communes!$F$2:$F$3783, "code introuvable")</f>
        <v>non publié</v>
      </c>
    </row>
    <row r="749">
      <c r="A749" s="2" t="str">
        <f>Communes_HDF!A749</f>
        <v>02799</v>
      </c>
      <c r="B749" s="2" t="str">
        <f>Communes_HDF!B749</f>
        <v>Vierzy</v>
      </c>
      <c r="C749" s="2" t="str">
        <f t="array" ref="C749">_xlfn.XLOOKUP(A749, INSEE_Communes!$A$2:$A$3783, INSEE_Communes!$F$2:$F$3783, "code introuvable")</f>
        <v>non publié</v>
      </c>
    </row>
    <row r="750">
      <c r="A750" s="2" t="str">
        <f>Communes_HDF!A750</f>
        <v>02800</v>
      </c>
      <c r="B750" s="2" t="str">
        <f>Communes_HDF!B750</f>
        <v>Viffort</v>
      </c>
      <c r="C750" s="2" t="str">
        <f t="array" ref="C750">_xlfn.XLOOKUP(A750, INSEE_Communes!$A$2:$A$3783, INSEE_Communes!$F$2:$F$3783, "code introuvable")</f>
        <v>non publié</v>
      </c>
    </row>
    <row r="751">
      <c r="A751" s="2" t="str">
        <f>Communes_HDF!A751</f>
        <v>02801</v>
      </c>
      <c r="B751" s="2" t="str">
        <f>Communes_HDF!B751</f>
        <v>Vigneux-Hocquet</v>
      </c>
      <c r="C751" s="2" t="str">
        <f t="array" ref="C751">_xlfn.XLOOKUP(A751, INSEE_Communes!$A$2:$A$3783, INSEE_Communes!$F$2:$F$3783, "code introuvable")</f>
        <v>non publié</v>
      </c>
    </row>
    <row r="752">
      <c r="A752" s="2" t="str">
        <f>Communes_HDF!A752</f>
        <v>02817</v>
      </c>
      <c r="B752" s="2" t="str">
        <f>Communes_HDF!B752</f>
        <v>Ville-Savoye</v>
      </c>
      <c r="C752" s="2" t="str">
        <f t="array" ref="C752">_xlfn.XLOOKUP(A752, INSEE_Communes!$A$2:$A$3783, INSEE_Communes!$F$2:$F$3783, "code introuvable")</f>
        <v>non publié</v>
      </c>
    </row>
    <row r="753">
      <c r="A753" s="2" t="str">
        <f>Communes_HDF!A753</f>
        <v>02804</v>
      </c>
      <c r="B753" s="2" t="str">
        <f>Communes_HDF!B753</f>
        <v>Villemontoire</v>
      </c>
      <c r="C753" s="2" t="str">
        <f t="array" ref="C753">_xlfn.XLOOKUP(A753, INSEE_Communes!$A$2:$A$3783, INSEE_Communes!$F$2:$F$3783, "code introuvable")</f>
        <v>non publié</v>
      </c>
    </row>
    <row r="754">
      <c r="A754" s="2" t="str">
        <f>Communes_HDF!A754</f>
        <v>02805</v>
      </c>
      <c r="B754" s="2" t="str">
        <f>Communes_HDF!B754</f>
        <v>Villeneuve-Saint-Germain</v>
      </c>
      <c r="C754" s="2">
        <f t="array" ref="C754">_xlfn.XLOOKUP(A754, INSEE_Communes!$A$2:$A$3783, INSEE_Communes!$F$2:$F$3783, "code introuvable")</f>
        <v>22</v>
      </c>
    </row>
    <row r="755">
      <c r="A755" s="2" t="str">
        <f>Communes_HDF!A755</f>
        <v>02360</v>
      </c>
      <c r="B755" s="2" t="str">
        <f>Communes_HDF!B755</f>
        <v>Villeneuve-sur-Aisne</v>
      </c>
      <c r="C755" s="2">
        <f t="array" ref="C755">_xlfn.XLOOKUP(A755, INSEE_Communes!$A$2:$A$3783, INSEE_Communes!$F$2:$F$3783, "code introuvable")</f>
        <v>9</v>
      </c>
    </row>
    <row r="756">
      <c r="A756" s="2" t="str">
        <f>Communes_HDF!A756</f>
        <v>02806</v>
      </c>
      <c r="B756" s="2" t="str">
        <f>Communes_HDF!B756</f>
        <v>Villeneuve-sur-Fère</v>
      </c>
      <c r="C756" s="2" t="str">
        <f t="array" ref="C756">_xlfn.XLOOKUP(A756, INSEE_Communes!$A$2:$A$3783, INSEE_Communes!$F$2:$F$3783, "code introuvable")</f>
        <v>non publié</v>
      </c>
    </row>
    <row r="757">
      <c r="A757" s="2" t="str">
        <f>Communes_HDF!A757</f>
        <v>02807</v>
      </c>
      <c r="B757" s="2" t="str">
        <f>Communes_HDF!B757</f>
        <v>Villequier-Aumont</v>
      </c>
      <c r="C757" s="2" t="str">
        <f t="array" ref="C757">_xlfn.XLOOKUP(A757, INSEE_Communes!$A$2:$A$3783, INSEE_Communes!$F$2:$F$3783, "code introuvable")</f>
        <v>non publié</v>
      </c>
    </row>
    <row r="758">
      <c r="A758" s="2" t="str">
        <f>Communes_HDF!A758</f>
        <v>02808</v>
      </c>
      <c r="B758" s="2" t="str">
        <f>Communes_HDF!B758</f>
        <v>Villeret</v>
      </c>
      <c r="C758" s="2" t="str">
        <f t="array" ref="C758">_xlfn.XLOOKUP(A758, INSEE_Communes!$A$2:$A$3783, INSEE_Communes!$F$2:$F$3783, "code introuvable")</f>
        <v>non publié</v>
      </c>
    </row>
    <row r="759">
      <c r="A759" s="2" t="str">
        <f>Communes_HDF!A759</f>
        <v>02809</v>
      </c>
      <c r="B759" s="2" t="str">
        <f>Communes_HDF!B759</f>
        <v>Villers-Agron-Aiguizy</v>
      </c>
      <c r="C759" s="2" t="str">
        <f t="array" ref="C759">_xlfn.XLOOKUP(A759, INSEE_Communes!$A$2:$A$3783, INSEE_Communes!$F$2:$F$3783, "code introuvable")</f>
        <v>non publié</v>
      </c>
    </row>
    <row r="760">
      <c r="A760" s="2" t="str">
        <f>Communes_HDF!A760</f>
        <v>02810</v>
      </c>
      <c r="B760" s="2" t="str">
        <f>Communes_HDF!B760</f>
        <v>Villers-Cotterêts</v>
      </c>
      <c r="C760" s="2">
        <f t="array" ref="C760">_xlfn.XLOOKUP(A760, INSEE_Communes!$A$2:$A$3783, INSEE_Communes!$F$2:$F$3783, "code introuvable")</f>
        <v>20</v>
      </c>
    </row>
    <row r="761">
      <c r="A761" s="2" t="str">
        <f>Communes_HDF!A761</f>
        <v>02812</v>
      </c>
      <c r="B761" s="2" t="str">
        <f>Communes_HDF!B761</f>
        <v>Villers-Hélon</v>
      </c>
      <c r="C761" s="2" t="str">
        <f t="array" ref="C761">_xlfn.XLOOKUP(A761, INSEE_Communes!$A$2:$A$3783, INSEE_Communes!$F$2:$F$3783, "code introuvable")</f>
        <v>non publié</v>
      </c>
    </row>
    <row r="762">
      <c r="A762" s="2" t="str">
        <f>Communes_HDF!A762</f>
        <v>02815</v>
      </c>
      <c r="B762" s="2" t="str">
        <f>Communes_HDF!B762</f>
        <v>Villers-Saint-Christophe</v>
      </c>
      <c r="C762" s="2" t="str">
        <f t="array" ref="C762">_xlfn.XLOOKUP(A762, INSEE_Communes!$A$2:$A$3783, INSEE_Communes!$F$2:$F$3783, "code introuvable")</f>
        <v>non publié</v>
      </c>
    </row>
    <row r="763">
      <c r="A763" s="2" t="str">
        <f>Communes_HDF!A763</f>
        <v>02813</v>
      </c>
      <c r="B763" s="2" t="str">
        <f>Communes_HDF!B763</f>
        <v>Villers-le-Sec</v>
      </c>
      <c r="C763" s="2" t="str">
        <f t="array" ref="C763">_xlfn.XLOOKUP(A763, INSEE_Communes!$A$2:$A$3783, INSEE_Communes!$F$2:$F$3783, "code introuvable")</f>
        <v>non publié</v>
      </c>
    </row>
    <row r="764">
      <c r="A764" s="2" t="str">
        <f>Communes_HDF!A764</f>
        <v>02814</v>
      </c>
      <c r="B764" s="2" t="str">
        <f>Communes_HDF!B764</f>
        <v>Villers-lès-Guise</v>
      </c>
      <c r="C764" s="2" t="str">
        <f t="array" ref="C764">_xlfn.XLOOKUP(A764, INSEE_Communes!$A$2:$A$3783, INSEE_Communes!$F$2:$F$3783, "code introuvable")</f>
        <v>non publié</v>
      </c>
    </row>
    <row r="765">
      <c r="A765" s="2" t="str">
        <f>Communes_HDF!A765</f>
        <v>02816</v>
      </c>
      <c r="B765" s="2" t="str">
        <f>Communes_HDF!B765</f>
        <v>Villers-sur-Fère</v>
      </c>
      <c r="C765" s="2" t="str">
        <f t="array" ref="C765">_xlfn.XLOOKUP(A765, INSEE_Communes!$A$2:$A$3783, INSEE_Communes!$F$2:$F$3783, "code introuvable")</f>
        <v>non publié</v>
      </c>
    </row>
    <row r="766">
      <c r="A766" s="2" t="str">
        <f>Communes_HDF!A766</f>
        <v>02818</v>
      </c>
      <c r="B766" s="2" t="str">
        <f>Communes_HDF!B766</f>
        <v>Villiers-Saint-Denis</v>
      </c>
      <c r="C766" s="2" t="str">
        <f t="array" ref="C766">_xlfn.XLOOKUP(A766, INSEE_Communes!$A$2:$A$3783, INSEE_Communes!$F$2:$F$3783, "code introuvable")</f>
        <v>non publié</v>
      </c>
    </row>
    <row r="767">
      <c r="A767" s="2" t="str">
        <f>Communes_HDF!A767</f>
        <v>02819</v>
      </c>
      <c r="B767" s="2" t="str">
        <f>Communes_HDF!B767</f>
        <v>Vincy-Reuil-et-Magny</v>
      </c>
      <c r="C767" s="2" t="str">
        <f t="array" ref="C767">_xlfn.XLOOKUP(A767, INSEE_Communes!$A$2:$A$3783, INSEE_Communes!$F$2:$F$3783, "code introuvable")</f>
        <v>non publié</v>
      </c>
    </row>
    <row r="768">
      <c r="A768" s="2" t="str">
        <f>Communes_HDF!A768</f>
        <v>02820</v>
      </c>
      <c r="B768" s="2" t="str">
        <f>Communes_HDF!B768</f>
        <v>Viry-Noureuil</v>
      </c>
      <c r="C768" s="2" t="str">
        <f t="array" ref="C768">_xlfn.XLOOKUP(A768, INSEE_Communes!$A$2:$A$3783, INSEE_Communes!$F$2:$F$3783, "code introuvable")</f>
        <v>non publié</v>
      </c>
    </row>
    <row r="769">
      <c r="A769" s="2" t="str">
        <f>Communes_HDF!A769</f>
        <v>02821</v>
      </c>
      <c r="B769" s="2" t="str">
        <f>Communes_HDF!B769</f>
        <v>Vivaise</v>
      </c>
      <c r="C769" s="2" t="str">
        <f t="array" ref="C769">_xlfn.XLOOKUP(A769, INSEE_Communes!$A$2:$A$3783, INSEE_Communes!$F$2:$F$3783, "code introuvable")</f>
        <v>non publié</v>
      </c>
    </row>
    <row r="770">
      <c r="A770" s="2" t="str">
        <f>Communes_HDF!A770</f>
        <v>02822</v>
      </c>
      <c r="B770" s="2" t="str">
        <f>Communes_HDF!B770</f>
        <v>Vivières</v>
      </c>
      <c r="C770" s="2" t="str">
        <f t="array" ref="C770">_xlfn.XLOOKUP(A770, INSEE_Communes!$A$2:$A$3783, INSEE_Communes!$F$2:$F$3783, "code introuvable")</f>
        <v>non publié</v>
      </c>
    </row>
    <row r="771">
      <c r="A771" s="2" t="str">
        <f>Communes_HDF!A771</f>
        <v>02823</v>
      </c>
      <c r="B771" s="2" t="str">
        <f>Communes_HDF!B771</f>
        <v>Voharies</v>
      </c>
      <c r="C771" s="2" t="str">
        <f t="array" ref="C771">_xlfn.XLOOKUP(A771, INSEE_Communes!$A$2:$A$3783, INSEE_Communes!$F$2:$F$3783, "code introuvable")</f>
        <v>non publié</v>
      </c>
    </row>
    <row r="772">
      <c r="A772" s="2" t="str">
        <f>Communes_HDF!A772</f>
        <v>02824</v>
      </c>
      <c r="B772" s="2" t="str">
        <f>Communes_HDF!B772</f>
        <v>Vorges</v>
      </c>
      <c r="C772" s="2" t="str">
        <f t="array" ref="C772">_xlfn.XLOOKUP(A772, INSEE_Communes!$A$2:$A$3783, INSEE_Communes!$F$2:$F$3783, "code introuvable")</f>
        <v>non publié</v>
      </c>
    </row>
    <row r="773">
      <c r="A773" s="2" t="str">
        <f>Communes_HDF!A773</f>
        <v>02826</v>
      </c>
      <c r="B773" s="2" t="str">
        <f>Communes_HDF!B773</f>
        <v>Voulpaix</v>
      </c>
      <c r="C773" s="2" t="str">
        <f t="array" ref="C773">_xlfn.XLOOKUP(A773, INSEE_Communes!$A$2:$A$3783, INSEE_Communes!$F$2:$F$3783, "code introuvable")</f>
        <v>non publié</v>
      </c>
    </row>
    <row r="774">
      <c r="A774" s="2" t="str">
        <f>Communes_HDF!A774</f>
        <v>02827</v>
      </c>
      <c r="B774" s="2" t="str">
        <f>Communes_HDF!B774</f>
        <v>Voyenne</v>
      </c>
      <c r="C774" s="2" t="str">
        <f t="array" ref="C774">_xlfn.XLOOKUP(A774, INSEE_Communes!$A$2:$A$3783, INSEE_Communes!$F$2:$F$3783, "code introuvable")</f>
        <v>non publié</v>
      </c>
    </row>
    <row r="775">
      <c r="A775" s="2" t="str">
        <f>Communes_HDF!A775</f>
        <v>02828</v>
      </c>
      <c r="B775" s="2" t="str">
        <f>Communes_HDF!B775</f>
        <v>Vregny</v>
      </c>
      <c r="C775" s="2" t="str">
        <f t="array" ref="C775">_xlfn.XLOOKUP(A775, INSEE_Communes!$A$2:$A$3783, INSEE_Communes!$F$2:$F$3783, "code introuvable")</f>
        <v>non publié</v>
      </c>
    </row>
    <row r="776">
      <c r="A776" s="2" t="str">
        <f>Communes_HDF!A776</f>
        <v>02829</v>
      </c>
      <c r="B776" s="2" t="str">
        <f>Communes_HDF!B776</f>
        <v>Vuillery</v>
      </c>
      <c r="C776" s="2" t="str">
        <f t="array" ref="C776">_xlfn.XLOOKUP(A776, INSEE_Communes!$A$2:$A$3783, INSEE_Communes!$F$2:$F$3783, "code introuvable")</f>
        <v>non publié</v>
      </c>
    </row>
    <row r="777">
      <c r="A777" s="2" t="str">
        <f>Communes_HDF!A777</f>
        <v>02779</v>
      </c>
      <c r="B777" s="2" t="str">
        <f>Communes_HDF!B777</f>
        <v>Vénérolles</v>
      </c>
      <c r="C777" s="2" t="str">
        <f t="array" ref="C777">_xlfn.XLOOKUP(A777, INSEE_Communes!$A$2:$A$3783, INSEE_Communes!$F$2:$F$3783, "code introuvable")</f>
        <v>non publié</v>
      </c>
    </row>
    <row r="778">
      <c r="A778" s="2" t="str">
        <f>Communes_HDF!A778</f>
        <v>02793</v>
      </c>
      <c r="B778" s="2" t="str">
        <f>Communes_HDF!B778</f>
        <v>Vézaponin</v>
      </c>
      <c r="C778" s="2" t="str">
        <f t="array" ref="C778">_xlfn.XLOOKUP(A778, INSEE_Communes!$A$2:$A$3783, INSEE_Communes!$F$2:$F$3783, "code introuvable")</f>
        <v>non publié</v>
      </c>
    </row>
    <row r="779">
      <c r="A779" s="2" t="str">
        <f>Communes_HDF!A779</f>
        <v>02794</v>
      </c>
      <c r="B779" s="2" t="str">
        <f>Communes_HDF!B779</f>
        <v>Vézilly</v>
      </c>
      <c r="C779" s="2" t="str">
        <f t="array" ref="C779">_xlfn.XLOOKUP(A779, INSEE_Communes!$A$2:$A$3783, INSEE_Communes!$F$2:$F$3783, "code introuvable")</f>
        <v>non publié</v>
      </c>
    </row>
    <row r="780">
      <c r="A780" s="2" t="str">
        <f>Communes_HDF!A780</f>
        <v>02830</v>
      </c>
      <c r="B780" s="2" t="str">
        <f>Communes_HDF!B780</f>
        <v>Wassigny</v>
      </c>
      <c r="C780" s="2" t="str">
        <f t="array" ref="C780">_xlfn.XLOOKUP(A780, INSEE_Communes!$A$2:$A$3783, INSEE_Communes!$F$2:$F$3783, "code introuvable")</f>
        <v>non publié</v>
      </c>
    </row>
    <row r="781">
      <c r="A781" s="2" t="str">
        <f>Communes_HDF!A781</f>
        <v>02831</v>
      </c>
      <c r="B781" s="2" t="str">
        <f>Communes_HDF!B781</f>
        <v>Watigny</v>
      </c>
      <c r="C781" s="2" t="str">
        <f t="array" ref="C781">_xlfn.XLOOKUP(A781, INSEE_Communes!$A$2:$A$3783, INSEE_Communes!$F$2:$F$3783, "code introuvable")</f>
        <v>non publié</v>
      </c>
    </row>
    <row r="782">
      <c r="A782" s="2" t="str">
        <f>Communes_HDF!A782</f>
        <v>02833</v>
      </c>
      <c r="B782" s="2" t="str">
        <f>Communes_HDF!B782</f>
        <v>Wimy</v>
      </c>
      <c r="C782" s="2" t="str">
        <f t="array" ref="C782">_xlfn.XLOOKUP(A782, INSEE_Communes!$A$2:$A$3783, INSEE_Communes!$F$2:$F$3783, "code introuvable")</f>
        <v>non publié</v>
      </c>
    </row>
    <row r="783">
      <c r="A783" s="2" t="str">
        <f>Communes_HDF!A783</f>
        <v>02834</v>
      </c>
      <c r="B783" s="2" t="str">
        <f>Communes_HDF!B783</f>
        <v>Wissignicourt</v>
      </c>
      <c r="C783" s="2" t="str">
        <f t="array" ref="C783">_xlfn.XLOOKUP(A783, INSEE_Communes!$A$2:$A$3783, INSEE_Communes!$F$2:$F$3783, "code introuvable")</f>
        <v>non publié</v>
      </c>
    </row>
    <row r="784">
      <c r="A784" s="2" t="str">
        <f>Communes_HDF!A784</f>
        <v>02832</v>
      </c>
      <c r="B784" s="2" t="str">
        <f>Communes_HDF!B784</f>
        <v>Wiège-Faty</v>
      </c>
      <c r="C784" s="2" t="str">
        <f t="array" ref="C784">_xlfn.XLOOKUP(A784, INSEE_Communes!$A$2:$A$3783, INSEE_Communes!$F$2:$F$3783, "code introuvable")</f>
        <v>non publié</v>
      </c>
    </row>
    <row r="785">
      <c r="A785" s="2" t="str">
        <f>Communes_HDF!A785</f>
        <v>02274</v>
      </c>
      <c r="B785" s="2" t="str">
        <f>Communes_HDF!B785</f>
        <v>Ébouleau</v>
      </c>
      <c r="C785" s="2" t="str">
        <f t="array" ref="C785">_xlfn.XLOOKUP(A785, INSEE_Communes!$A$2:$A$3783, INSEE_Communes!$F$2:$F$3783, "code introuvable")</f>
        <v>non publié</v>
      </c>
    </row>
    <row r="786">
      <c r="A786" s="2" t="str">
        <f>Communes_HDF!A786</f>
        <v>02277</v>
      </c>
      <c r="B786" s="2" t="str">
        <f>Communes_HDF!B786</f>
        <v>Épagny</v>
      </c>
      <c r="C786" s="2" t="str">
        <f t="array" ref="C786">_xlfn.XLOOKUP(A786, INSEE_Communes!$A$2:$A$3783, INSEE_Communes!$F$2:$F$3783, "code introuvable")</f>
        <v>non publié</v>
      </c>
    </row>
    <row r="787">
      <c r="A787" s="2" t="str">
        <f>Communes_HDF!A787</f>
        <v>02278</v>
      </c>
      <c r="B787" s="2" t="str">
        <f>Communes_HDF!B787</f>
        <v>Éparcy</v>
      </c>
      <c r="C787" s="2" t="str">
        <f t="array" ref="C787">_xlfn.XLOOKUP(A787, INSEE_Communes!$A$2:$A$3783, INSEE_Communes!$F$2:$F$3783, "code introuvable")</f>
        <v>non publié</v>
      </c>
    </row>
    <row r="788">
      <c r="A788" s="2" t="str">
        <f>Communes_HDF!A788</f>
        <v>02279</v>
      </c>
      <c r="B788" s="2" t="str">
        <f>Communes_HDF!B788</f>
        <v>Épaux-Bézu</v>
      </c>
      <c r="C788" s="2" t="str">
        <f t="array" ref="C788">_xlfn.XLOOKUP(A788, INSEE_Communes!$A$2:$A$3783, INSEE_Communes!$F$2:$F$3783, "code introuvable")</f>
        <v>non publié</v>
      </c>
    </row>
    <row r="789">
      <c r="A789" s="2" t="str">
        <f>Communes_HDF!A789</f>
        <v>02280</v>
      </c>
      <c r="B789" s="2" t="str">
        <f>Communes_HDF!B789</f>
        <v>Épieds</v>
      </c>
      <c r="C789" s="2" t="str">
        <f t="array" ref="C789">_xlfn.XLOOKUP(A789, INSEE_Communes!$A$2:$A$3783, INSEE_Communes!$F$2:$F$3783, "code introuvable")</f>
        <v>non publié</v>
      </c>
    </row>
    <row r="790">
      <c r="A790" s="2" t="str">
        <f>Communes_HDF!A790</f>
        <v>02292</v>
      </c>
      <c r="B790" s="2" t="str">
        <f>Communes_HDF!B790</f>
        <v>Étampes-sur-Marne</v>
      </c>
      <c r="C790" s="2" t="str">
        <f t="array" ref="C790">_xlfn.XLOOKUP(A790, INSEE_Communes!$A$2:$A$3783, INSEE_Communes!$F$2:$F$3783, "code introuvable")</f>
        <v>non publié</v>
      </c>
    </row>
    <row r="791">
      <c r="A791" s="2" t="str">
        <f>Communes_HDF!A791</f>
        <v>02293</v>
      </c>
      <c r="B791" s="2" t="str">
        <f>Communes_HDF!B791</f>
        <v>Étaves-et-Bocquiaux</v>
      </c>
      <c r="C791" s="2" t="str">
        <f t="array" ref="C791">_xlfn.XLOOKUP(A791, INSEE_Communes!$A$2:$A$3783, INSEE_Communes!$F$2:$F$3783, "code introuvable")</f>
        <v>non publié</v>
      </c>
    </row>
    <row r="792">
      <c r="A792" s="2" t="str">
        <f>Communes_HDF!A792</f>
        <v>02294</v>
      </c>
      <c r="B792" s="2" t="str">
        <f>Communes_HDF!B792</f>
        <v>Étouvelles</v>
      </c>
      <c r="C792" s="2" t="str">
        <f t="array" ref="C792">_xlfn.XLOOKUP(A792, INSEE_Communes!$A$2:$A$3783, INSEE_Communes!$F$2:$F$3783, "code introuvable")</f>
        <v>non publié</v>
      </c>
    </row>
    <row r="793">
      <c r="A793" s="2" t="str">
        <f>Communes_HDF!A793</f>
        <v>02296</v>
      </c>
      <c r="B793" s="2" t="str">
        <f>Communes_HDF!B793</f>
        <v>Étreillers</v>
      </c>
      <c r="C793" s="2" t="str">
        <f t="array" ref="C793">_xlfn.XLOOKUP(A793, INSEE_Communes!$A$2:$A$3783, INSEE_Communes!$F$2:$F$3783, "code introuvable")</f>
        <v>non publié</v>
      </c>
    </row>
    <row r="794">
      <c r="A794" s="2" t="str">
        <f>Communes_HDF!A794</f>
        <v>02298</v>
      </c>
      <c r="B794" s="2" t="str">
        <f>Communes_HDF!B794</f>
        <v>Étreux</v>
      </c>
      <c r="C794" s="2" t="str">
        <f t="array" ref="C794">_xlfn.XLOOKUP(A794, INSEE_Communes!$A$2:$A$3783, INSEE_Communes!$F$2:$F$3783, "code introuvable")</f>
        <v>non publié</v>
      </c>
    </row>
    <row r="795">
      <c r="A795" s="2" t="str">
        <f>Communes_HDF!A795</f>
        <v>02295</v>
      </c>
      <c r="B795" s="2" t="str">
        <f>Communes_HDF!B795</f>
        <v>Étréaupont</v>
      </c>
      <c r="C795" s="2" t="str">
        <f t="array" ref="C795">_xlfn.XLOOKUP(A795, INSEE_Communes!$A$2:$A$3783, INSEE_Communes!$F$2:$F$3783, "code introuvable")</f>
        <v>non publié</v>
      </c>
    </row>
    <row r="796">
      <c r="A796" s="2" t="str">
        <f>Communes_HDF!A796</f>
        <v>02297</v>
      </c>
      <c r="B796" s="2" t="str">
        <f>Communes_HDF!B796</f>
        <v>Étrépilly</v>
      </c>
      <c r="C796" s="2" t="str">
        <f t="array" ref="C796">_xlfn.XLOOKUP(A796, INSEE_Communes!$A$2:$A$3783, INSEE_Communes!$F$2:$F$3783, "code introuvable")</f>
        <v>non publié</v>
      </c>
    </row>
    <row r="797">
      <c r="A797" s="2" t="str">
        <f>Communes_HDF!A797</f>
        <v>02299</v>
      </c>
      <c r="B797" s="2" t="str">
        <f>Communes_HDF!B797</f>
        <v>Évergnicourt</v>
      </c>
      <c r="C797" s="2" t="str">
        <f t="array" ref="C797">_xlfn.XLOOKUP(A797, INSEE_Communes!$A$2:$A$3783, INSEE_Communes!$F$2:$F$3783, "code introuvable")</f>
        <v>non publié</v>
      </c>
    </row>
    <row r="798">
      <c r="A798" s="2" t="str">
        <f>Communes_HDF!A798</f>
        <v>02565</v>
      </c>
      <c r="B798" s="2" t="str">
        <f>Communes_HDF!B798</f>
        <v>Œuilly</v>
      </c>
      <c r="C798" s="2" t="str">
        <f t="array" ref="C798">_xlfn.XLOOKUP(A798, INSEE_Communes!$A$2:$A$3783, INSEE_Communes!$F$2:$F$3783, "code introuvable")</f>
        <v>non publié</v>
      </c>
    </row>
    <row r="799">
      <c r="A799" s="2" t="str">
        <f>Communes_HDF!A799</f>
        <v>59001</v>
      </c>
      <c r="B799" s="2" t="str">
        <f>Communes_HDF!B799</f>
        <v>Abancourt</v>
      </c>
      <c r="C799" s="2" t="str">
        <f t="array" ref="C799">_xlfn.XLOOKUP(A799, INSEE_Communes!$A$2:$A$3783, INSEE_Communes!$F$2:$F$3783, "code introuvable")</f>
        <v>non publié</v>
      </c>
    </row>
    <row r="800">
      <c r="A800" s="2" t="str">
        <f>Communes_HDF!A800</f>
        <v>59002</v>
      </c>
      <c r="B800" s="2" t="str">
        <f>Communes_HDF!B800</f>
        <v>Abscon</v>
      </c>
      <c r="C800" s="2">
        <f t="array" ref="C800">_xlfn.XLOOKUP(A800, INSEE_Communes!$A$2:$A$3783, INSEE_Communes!$F$2:$F$3783, "code introuvable")</f>
        <v>21</v>
      </c>
    </row>
    <row r="801">
      <c r="A801" s="2" t="str">
        <f>Communes_HDF!A801</f>
        <v>59003</v>
      </c>
      <c r="B801" s="2" t="str">
        <f>Communes_HDF!B801</f>
        <v>Aibes</v>
      </c>
      <c r="C801" s="2" t="str">
        <f t="array" ref="C801">_xlfn.XLOOKUP(A801, INSEE_Communes!$A$2:$A$3783, INSEE_Communes!$F$2:$F$3783, "code introuvable")</f>
        <v>non publié</v>
      </c>
    </row>
    <row r="802">
      <c r="A802" s="2" t="str">
        <f>Communes_HDF!A802</f>
        <v>59004</v>
      </c>
      <c r="B802" s="2" t="str">
        <f>Communes_HDF!B802</f>
        <v>Aix-en-Pévèle</v>
      </c>
      <c r="C802" s="2" t="str">
        <f t="array" ref="C802">_xlfn.XLOOKUP(A802, INSEE_Communes!$A$2:$A$3783, INSEE_Communes!$F$2:$F$3783, "code introuvable")</f>
        <v>non publié</v>
      </c>
    </row>
    <row r="803">
      <c r="A803" s="2" t="str">
        <f>Communes_HDF!A803</f>
        <v>59005</v>
      </c>
      <c r="B803" s="2" t="str">
        <f>Communes_HDF!B803</f>
        <v>Allennes-les-Marais</v>
      </c>
      <c r="C803" s="2">
        <f t="array" ref="C803">_xlfn.XLOOKUP(A803, INSEE_Communes!$A$2:$A$3783, INSEE_Communes!$F$2:$F$3783, "code introuvable")</f>
        <v>6</v>
      </c>
    </row>
    <row r="804">
      <c r="A804" s="2" t="str">
        <f>Communes_HDF!A804</f>
        <v>59007</v>
      </c>
      <c r="B804" s="2" t="str">
        <f>Communes_HDF!B804</f>
        <v>Anhiers</v>
      </c>
      <c r="C804" s="2" t="str">
        <f t="array" ref="C804">_xlfn.XLOOKUP(A804, INSEE_Communes!$A$2:$A$3783, INSEE_Communes!$F$2:$F$3783, "code introuvable")</f>
        <v>non publié</v>
      </c>
    </row>
    <row r="805">
      <c r="A805" s="2" t="str">
        <f>Communes_HDF!A805</f>
        <v>59008</v>
      </c>
      <c r="B805" s="2" t="str">
        <f>Communes_HDF!B805</f>
        <v>Aniche</v>
      </c>
      <c r="C805" s="2">
        <f t="array" ref="C805">_xlfn.XLOOKUP(A805, INSEE_Communes!$A$2:$A$3783, INSEE_Communes!$F$2:$F$3783, "code introuvable")</f>
        <v>28</v>
      </c>
    </row>
    <row r="806">
      <c r="A806" s="2" t="str">
        <f>Communes_HDF!A806</f>
        <v>59010</v>
      </c>
      <c r="B806" s="2" t="str">
        <f>Communes_HDF!B806</f>
        <v>Anneux</v>
      </c>
      <c r="C806" s="2" t="str">
        <f t="array" ref="C806">_xlfn.XLOOKUP(A806, INSEE_Communes!$A$2:$A$3783, INSEE_Communes!$F$2:$F$3783, "code introuvable")</f>
        <v>non publié</v>
      </c>
    </row>
    <row r="807">
      <c r="A807" s="2" t="str">
        <f>Communes_HDF!A807</f>
        <v>59011</v>
      </c>
      <c r="B807" s="2" t="str">
        <f>Communes_HDF!B807</f>
        <v>Annœullin</v>
      </c>
      <c r="C807" s="2">
        <f t="array" ref="C807">_xlfn.XLOOKUP(A807, INSEE_Communes!$A$2:$A$3783, INSEE_Communes!$F$2:$F$3783, "code introuvable")</f>
        <v>12</v>
      </c>
    </row>
    <row r="808">
      <c r="A808" s="2" t="str">
        <f>Communes_HDF!A808</f>
        <v>59012</v>
      </c>
      <c r="B808" s="2" t="str">
        <f>Communes_HDF!B808</f>
        <v>Anor</v>
      </c>
      <c r="C808" s="2">
        <f t="array" ref="C808">_xlfn.XLOOKUP(A808, INSEE_Communes!$A$2:$A$3783, INSEE_Communes!$F$2:$F$3783, "code introuvable")</f>
        <v>28</v>
      </c>
    </row>
    <row r="809">
      <c r="A809" s="2" t="str">
        <f>Communes_HDF!A809</f>
        <v>59013</v>
      </c>
      <c r="B809" s="2" t="str">
        <f>Communes_HDF!B809</f>
        <v>Anstaing</v>
      </c>
      <c r="C809" s="2" t="str">
        <f t="array" ref="C809">_xlfn.XLOOKUP(A809, INSEE_Communes!$A$2:$A$3783, INSEE_Communes!$F$2:$F$3783, "code introuvable")</f>
        <v>non publié</v>
      </c>
    </row>
    <row r="810">
      <c r="A810" s="2" t="str">
        <f>Communes_HDF!A810</f>
        <v>59014</v>
      </c>
      <c r="B810" s="2" t="str">
        <f>Communes_HDF!B810</f>
        <v>Anzin</v>
      </c>
      <c r="C810" s="2">
        <f t="array" ref="C810">_xlfn.XLOOKUP(A810, INSEE_Communes!$A$2:$A$3783, INSEE_Communes!$F$2:$F$3783, "code introuvable")</f>
        <v>34</v>
      </c>
    </row>
    <row r="811">
      <c r="A811" s="2" t="str">
        <f>Communes_HDF!A811</f>
        <v>59015</v>
      </c>
      <c r="B811" s="2" t="str">
        <f>Communes_HDF!B811</f>
        <v>Arleux</v>
      </c>
      <c r="C811" s="2">
        <f t="array" ref="C811">_xlfn.XLOOKUP(A811, INSEE_Communes!$A$2:$A$3783, INSEE_Communes!$F$2:$F$3783, "code introuvable")</f>
        <v>13</v>
      </c>
    </row>
    <row r="812">
      <c r="A812" s="2" t="str">
        <f>Communes_HDF!A812</f>
        <v>59016</v>
      </c>
      <c r="B812" s="2" t="str">
        <f>Communes_HDF!B812</f>
        <v>Armbouts-Cappel</v>
      </c>
      <c r="C812" s="2">
        <f t="array" ref="C812">_xlfn.XLOOKUP(A812, INSEE_Communes!$A$2:$A$3783, INSEE_Communes!$F$2:$F$3783, "code introuvable")</f>
        <v>5</v>
      </c>
    </row>
    <row r="813">
      <c r="A813" s="2" t="str">
        <f>Communes_HDF!A813</f>
        <v>59017</v>
      </c>
      <c r="B813" s="2" t="str">
        <f>Communes_HDF!B813</f>
        <v>Armentières</v>
      </c>
      <c r="C813" s="2">
        <f t="array" ref="C813">_xlfn.XLOOKUP(A813, INSEE_Communes!$A$2:$A$3783, INSEE_Communes!$F$2:$F$3783, "code introuvable")</f>
        <v>27.3</v>
      </c>
    </row>
    <row r="814">
      <c r="A814" s="2" t="str">
        <f>Communes_HDF!A814</f>
        <v>59018</v>
      </c>
      <c r="B814" s="2" t="str">
        <f>Communes_HDF!B814</f>
        <v>Arnèke</v>
      </c>
      <c r="C814" s="2" t="str">
        <f t="array" ref="C814">_xlfn.XLOOKUP(A814, INSEE_Communes!$A$2:$A$3783, INSEE_Communes!$F$2:$F$3783, "code introuvable")</f>
        <v>non publié</v>
      </c>
    </row>
    <row r="815">
      <c r="A815" s="2" t="str">
        <f>Communes_HDF!A815</f>
        <v>59019</v>
      </c>
      <c r="B815" s="2" t="str">
        <f>Communes_HDF!B815</f>
        <v>Artres</v>
      </c>
      <c r="C815" s="2" t="str">
        <f t="array" ref="C815">_xlfn.XLOOKUP(A815, INSEE_Communes!$A$2:$A$3783, INSEE_Communes!$F$2:$F$3783, "code introuvable")</f>
        <v>non publié</v>
      </c>
    </row>
    <row r="816">
      <c r="A816" s="2" t="str">
        <f>Communes_HDF!A816</f>
        <v>59021</v>
      </c>
      <c r="B816" s="2" t="str">
        <f>Communes_HDF!B816</f>
        <v>Assevent</v>
      </c>
      <c r="C816" s="2" t="str">
        <f t="array" ref="C816">_xlfn.XLOOKUP(A816, INSEE_Communes!$A$2:$A$3783, INSEE_Communes!$F$2:$F$3783, "code introuvable")</f>
        <v>non publié</v>
      </c>
    </row>
    <row r="817">
      <c r="A817" s="2" t="str">
        <f>Communes_HDF!A817</f>
        <v>59022</v>
      </c>
      <c r="B817" s="2" t="str">
        <f>Communes_HDF!B817</f>
        <v>Attiches</v>
      </c>
      <c r="C817" s="2">
        <f t="array" ref="C817">_xlfn.XLOOKUP(A817, INSEE_Communes!$A$2:$A$3783, INSEE_Communes!$F$2:$F$3783, "code introuvable")</f>
        <v>8</v>
      </c>
    </row>
    <row r="818">
      <c r="A818" s="2" t="str">
        <f>Communes_HDF!A818</f>
        <v>59023</v>
      </c>
      <c r="B818" s="2" t="str">
        <f>Communes_HDF!B818</f>
        <v>Aubencheul-au-Bac</v>
      </c>
      <c r="C818" s="2" t="str">
        <f t="array" ref="C818">_xlfn.XLOOKUP(A818, INSEE_Communes!$A$2:$A$3783, INSEE_Communes!$F$2:$F$3783, "code introuvable")</f>
        <v>non publié</v>
      </c>
    </row>
    <row r="819">
      <c r="A819" s="2" t="str">
        <f>Communes_HDF!A819</f>
        <v>59024</v>
      </c>
      <c r="B819" s="2" t="str">
        <f>Communes_HDF!B819</f>
        <v>Auberchicourt</v>
      </c>
      <c r="C819" s="2">
        <f t="array" ref="C819">_xlfn.XLOOKUP(A819, INSEE_Communes!$A$2:$A$3783, INSEE_Communes!$F$2:$F$3783, "code introuvable")</f>
        <v>20</v>
      </c>
    </row>
    <row r="820">
      <c r="A820" s="2" t="str">
        <f>Communes_HDF!A820</f>
        <v>59025</v>
      </c>
      <c r="B820" s="2" t="str">
        <f>Communes_HDF!B820</f>
        <v>Aubers</v>
      </c>
      <c r="C820" s="2" t="str">
        <f t="array" ref="C820">_xlfn.XLOOKUP(A820, INSEE_Communes!$A$2:$A$3783, INSEE_Communes!$F$2:$F$3783, "code introuvable")</f>
        <v>non publié</v>
      </c>
    </row>
    <row r="821">
      <c r="A821" s="2" t="str">
        <f>Communes_HDF!A821</f>
        <v>59026</v>
      </c>
      <c r="B821" s="2" t="str">
        <f>Communes_HDF!B821</f>
        <v>Aubigny-au-Bac</v>
      </c>
      <c r="C821" s="2" t="str">
        <f t="array" ref="C821">_xlfn.XLOOKUP(A821, INSEE_Communes!$A$2:$A$3783, INSEE_Communes!$F$2:$F$3783, "code introuvable")</f>
        <v>non publié</v>
      </c>
    </row>
    <row r="822">
      <c r="A822" s="2" t="str">
        <f>Communes_HDF!A822</f>
        <v>59027</v>
      </c>
      <c r="B822" s="2" t="str">
        <f>Communes_HDF!B822</f>
        <v>Aubry-du-Hainaut</v>
      </c>
      <c r="C822" s="2" t="str">
        <f t="array" ref="C822">_xlfn.XLOOKUP(A822, INSEE_Communes!$A$2:$A$3783, INSEE_Communes!$F$2:$F$3783, "code introuvable")</f>
        <v>non publié</v>
      </c>
    </row>
    <row r="823">
      <c r="A823" s="2" t="str">
        <f>Communes_HDF!A823</f>
        <v>59028</v>
      </c>
      <c r="B823" s="2" t="str">
        <f>Communes_HDF!B823</f>
        <v>Auby</v>
      </c>
      <c r="C823" s="2">
        <f t="array" ref="C823">_xlfn.XLOOKUP(A823, INSEE_Communes!$A$2:$A$3783, INSEE_Communes!$F$2:$F$3783, "code introuvable")</f>
        <v>26</v>
      </c>
    </row>
    <row r="824">
      <c r="A824" s="2" t="str">
        <f>Communes_HDF!A824</f>
        <v>59029</v>
      </c>
      <c r="B824" s="2" t="str">
        <f>Communes_HDF!B824</f>
        <v>Auchy-lez-Orchies</v>
      </c>
      <c r="C824" s="2" t="str">
        <f t="array" ref="C824">_xlfn.XLOOKUP(A824, INSEE_Communes!$A$2:$A$3783, INSEE_Communes!$F$2:$F$3783, "code introuvable")</f>
        <v>non publié</v>
      </c>
    </row>
    <row r="825">
      <c r="A825" s="2" t="str">
        <f>Communes_HDF!A825</f>
        <v>59031</v>
      </c>
      <c r="B825" s="2" t="str">
        <f>Communes_HDF!B825</f>
        <v>Audignies</v>
      </c>
      <c r="C825" s="2" t="str">
        <f t="array" ref="C825">_xlfn.XLOOKUP(A825, INSEE_Communes!$A$2:$A$3783, INSEE_Communes!$F$2:$F$3783, "code introuvable")</f>
        <v>non publié</v>
      </c>
    </row>
    <row r="826">
      <c r="A826" s="2" t="str">
        <f>Communes_HDF!A826</f>
        <v>59032</v>
      </c>
      <c r="B826" s="2" t="str">
        <f>Communes_HDF!B826</f>
        <v>Aulnoy-lez-Valenciennes</v>
      </c>
      <c r="C826" s="2">
        <f t="array" ref="C826">_xlfn.XLOOKUP(A826, INSEE_Communes!$A$2:$A$3783, INSEE_Communes!$F$2:$F$3783, "code introuvable")</f>
        <v>25</v>
      </c>
    </row>
    <row r="827">
      <c r="A827" s="2" t="str">
        <f>Communes_HDF!A827</f>
        <v>59033</v>
      </c>
      <c r="B827" s="2" t="str">
        <f>Communes_HDF!B827</f>
        <v>Aulnoye-Aymeries</v>
      </c>
      <c r="C827" s="2">
        <f t="array" ref="C827">_xlfn.XLOOKUP(A827, INSEE_Communes!$A$2:$A$3783, INSEE_Communes!$F$2:$F$3783, "code introuvable")</f>
        <v>26</v>
      </c>
    </row>
    <row r="828">
      <c r="A828" s="2" t="str">
        <f>Communes_HDF!A828</f>
        <v>59034</v>
      </c>
      <c r="B828" s="2" t="str">
        <f>Communes_HDF!B828</f>
        <v>Avelin</v>
      </c>
      <c r="C828" s="2">
        <f t="array" ref="C828">_xlfn.XLOOKUP(A828, INSEE_Communes!$A$2:$A$3783, INSEE_Communes!$F$2:$F$3783, "code introuvable")</f>
        <v>3</v>
      </c>
    </row>
    <row r="829">
      <c r="A829" s="2" t="str">
        <f>Communes_HDF!A829</f>
        <v>59035</v>
      </c>
      <c r="B829" s="2" t="str">
        <f>Communes_HDF!B829</f>
        <v>Avesnelles</v>
      </c>
      <c r="C829" s="2">
        <f t="array" ref="C829">_xlfn.XLOOKUP(A829, INSEE_Communes!$A$2:$A$3783, INSEE_Communes!$F$2:$F$3783, "code introuvable")</f>
        <v>19</v>
      </c>
    </row>
    <row r="830">
      <c r="A830" s="2" t="str">
        <f>Communes_HDF!A830</f>
        <v>59038</v>
      </c>
      <c r="B830" s="2" t="str">
        <f>Communes_HDF!B830</f>
        <v>Avesnes-le-Sec</v>
      </c>
      <c r="C830" s="2" t="str">
        <f t="array" ref="C830">_xlfn.XLOOKUP(A830, INSEE_Communes!$A$2:$A$3783, INSEE_Communes!$F$2:$F$3783, "code introuvable")</f>
        <v>non publié</v>
      </c>
    </row>
    <row r="831">
      <c r="A831" s="2" t="str">
        <f>Communes_HDF!A831</f>
        <v>59037</v>
      </c>
      <c r="B831" s="2" t="str">
        <f>Communes_HDF!B831</f>
        <v>Avesnes-les-Aubert</v>
      </c>
      <c r="C831" s="2">
        <f t="array" ref="C831">_xlfn.XLOOKUP(A831, INSEE_Communes!$A$2:$A$3783, INSEE_Communes!$F$2:$F$3783, "code introuvable")</f>
        <v>20</v>
      </c>
    </row>
    <row r="832">
      <c r="A832" s="2" t="str">
        <f>Communes_HDF!A832</f>
        <v>59036</v>
      </c>
      <c r="B832" s="2" t="str">
        <f>Communes_HDF!B832</f>
        <v>Avesnes-sur-Helpe</v>
      </c>
      <c r="C832" s="2">
        <f t="array" ref="C832">_xlfn.XLOOKUP(A832, INSEE_Communes!$A$2:$A$3783, INSEE_Communes!$F$2:$F$3783, "code introuvable")</f>
        <v>40</v>
      </c>
    </row>
    <row r="833">
      <c r="A833" s="2" t="str">
        <f>Communes_HDF!A833</f>
        <v>59039</v>
      </c>
      <c r="B833" s="2" t="str">
        <f>Communes_HDF!B833</f>
        <v>Awoingt</v>
      </c>
      <c r="C833" s="2" t="str">
        <f t="array" ref="C833">_xlfn.XLOOKUP(A833, INSEE_Communes!$A$2:$A$3783, INSEE_Communes!$F$2:$F$3783, "code introuvable")</f>
        <v>non publié</v>
      </c>
    </row>
    <row r="834">
      <c r="A834" s="2" t="str">
        <f>Communes_HDF!A834</f>
        <v>59041</v>
      </c>
      <c r="B834" s="2" t="str">
        <f>Communes_HDF!B834</f>
        <v>Bachant</v>
      </c>
      <c r="C834" s="2">
        <f t="array" ref="C834">_xlfn.XLOOKUP(A834, INSEE_Communes!$A$2:$A$3783, INSEE_Communes!$F$2:$F$3783, "code introuvable")</f>
        <v>24</v>
      </c>
    </row>
    <row r="835">
      <c r="A835" s="2" t="str">
        <f>Communes_HDF!A835</f>
        <v>59042</v>
      </c>
      <c r="B835" s="2" t="str">
        <f>Communes_HDF!B835</f>
        <v>Bachy</v>
      </c>
      <c r="C835" s="2" t="str">
        <f t="array" ref="C835">_xlfn.XLOOKUP(A835, INSEE_Communes!$A$2:$A$3783, INSEE_Communes!$F$2:$F$3783, "code introuvable")</f>
        <v>non publié</v>
      </c>
    </row>
    <row r="836">
      <c r="A836" s="2" t="str">
        <f>Communes_HDF!A836</f>
        <v>59043</v>
      </c>
      <c r="B836" s="2" t="str">
        <f>Communes_HDF!B836</f>
        <v>Bailleul</v>
      </c>
      <c r="C836" s="2">
        <f t="array" ref="C836">_xlfn.XLOOKUP(A836, INSEE_Communes!$A$2:$A$3783, INSEE_Communes!$F$2:$F$3783, "code introuvable")</f>
        <v>12</v>
      </c>
    </row>
    <row r="837">
      <c r="A837" s="2" t="str">
        <f>Communes_HDF!A837</f>
        <v>59044</v>
      </c>
      <c r="B837" s="2" t="str">
        <f>Communes_HDF!B837</f>
        <v>Baisieux</v>
      </c>
      <c r="C837" s="2">
        <f t="array" ref="C837">_xlfn.XLOOKUP(A837, INSEE_Communes!$A$2:$A$3783, INSEE_Communes!$F$2:$F$3783, "code introuvable")</f>
        <v>7</v>
      </c>
    </row>
    <row r="838">
      <c r="A838" s="2" t="str">
        <f>Communes_HDF!A838</f>
        <v>59045</v>
      </c>
      <c r="B838" s="2" t="str">
        <f>Communes_HDF!B838</f>
        <v>Baives</v>
      </c>
      <c r="C838" s="2" t="str">
        <f t="array" ref="C838">_xlfn.XLOOKUP(A838, INSEE_Communes!$A$2:$A$3783, INSEE_Communes!$F$2:$F$3783, "code introuvable")</f>
        <v>non publié</v>
      </c>
    </row>
    <row r="839">
      <c r="A839" s="2" t="str">
        <f>Communes_HDF!A839</f>
        <v>59046</v>
      </c>
      <c r="B839" s="2" t="str">
        <f>Communes_HDF!B839</f>
        <v>Bambecque</v>
      </c>
      <c r="C839" s="2" t="str">
        <f t="array" ref="C839">_xlfn.XLOOKUP(A839, INSEE_Communes!$A$2:$A$3783, INSEE_Communes!$F$2:$F$3783, "code introuvable")</f>
        <v>non publié</v>
      </c>
    </row>
    <row r="840">
      <c r="A840" s="2" t="str">
        <f>Communes_HDF!A840</f>
        <v>59047</v>
      </c>
      <c r="B840" s="2" t="str">
        <f>Communes_HDF!B840</f>
        <v>Banteux</v>
      </c>
      <c r="C840" s="2" t="str">
        <f t="array" ref="C840">_xlfn.XLOOKUP(A840, INSEE_Communes!$A$2:$A$3783, INSEE_Communes!$F$2:$F$3783, "code introuvable")</f>
        <v>non publié</v>
      </c>
    </row>
    <row r="841">
      <c r="A841" s="2" t="str">
        <f>Communes_HDF!A841</f>
        <v>59048</v>
      </c>
      <c r="B841" s="2" t="str">
        <f>Communes_HDF!B841</f>
        <v>Bantigny</v>
      </c>
      <c r="C841" s="2" t="str">
        <f t="array" ref="C841">_xlfn.XLOOKUP(A841, INSEE_Communes!$A$2:$A$3783, INSEE_Communes!$F$2:$F$3783, "code introuvable")</f>
        <v>non publié</v>
      </c>
    </row>
    <row r="842">
      <c r="A842" s="2" t="str">
        <f>Communes_HDF!A842</f>
        <v>59049</v>
      </c>
      <c r="B842" s="2" t="str">
        <f>Communes_HDF!B842</f>
        <v>Bantouzelle</v>
      </c>
      <c r="C842" s="2" t="str">
        <f t="array" ref="C842">_xlfn.XLOOKUP(A842, INSEE_Communes!$A$2:$A$3783, INSEE_Communes!$F$2:$F$3783, "code introuvable")</f>
        <v>non publié</v>
      </c>
    </row>
    <row r="843">
      <c r="A843" s="2" t="str">
        <f>Communes_HDF!A843</f>
        <v>59050</v>
      </c>
      <c r="B843" s="2" t="str">
        <f>Communes_HDF!B843</f>
        <v>Bas-Lieu</v>
      </c>
      <c r="C843" s="2" t="str">
        <f t="array" ref="C843">_xlfn.XLOOKUP(A843, INSEE_Communes!$A$2:$A$3783, INSEE_Communes!$F$2:$F$3783, "code introuvable")</f>
        <v>non publié</v>
      </c>
    </row>
    <row r="844">
      <c r="A844" s="2" t="str">
        <f>Communes_HDF!A844</f>
        <v>59052</v>
      </c>
      <c r="B844" s="2" t="str">
        <f>Communes_HDF!B844</f>
        <v>Bauvin</v>
      </c>
      <c r="C844" s="2">
        <f t="array" ref="C844">_xlfn.XLOOKUP(A844, INSEE_Communes!$A$2:$A$3783, INSEE_Communes!$F$2:$F$3783, "code introuvable")</f>
        <v>12</v>
      </c>
    </row>
    <row r="845">
      <c r="A845" s="2" t="str">
        <f>Communes_HDF!A845</f>
        <v>59053</v>
      </c>
      <c r="B845" s="2" t="str">
        <f>Communes_HDF!B845</f>
        <v>Bavay</v>
      </c>
      <c r="C845" s="2">
        <f t="array" ref="C845">_xlfn.XLOOKUP(A845, INSEE_Communes!$A$2:$A$3783, INSEE_Communes!$F$2:$F$3783, "code introuvable")</f>
        <v>20</v>
      </c>
    </row>
    <row r="846">
      <c r="A846" s="2" t="str">
        <f>Communes_HDF!A846</f>
        <v>59054</v>
      </c>
      <c r="B846" s="2" t="str">
        <f>Communes_HDF!B846</f>
        <v>Bavinchove</v>
      </c>
      <c r="C846" s="2" t="str">
        <f t="array" ref="C846">_xlfn.XLOOKUP(A846, INSEE_Communes!$A$2:$A$3783, INSEE_Communes!$F$2:$F$3783, "code introuvable")</f>
        <v>non publié</v>
      </c>
    </row>
    <row r="847">
      <c r="A847" s="2" t="str">
        <f>Communes_HDF!A847</f>
        <v>59055</v>
      </c>
      <c r="B847" s="2" t="str">
        <f>Communes_HDF!B847</f>
        <v>Bazuel</v>
      </c>
      <c r="C847" s="2" t="str">
        <f t="array" ref="C847">_xlfn.XLOOKUP(A847, INSEE_Communes!$A$2:$A$3783, INSEE_Communes!$F$2:$F$3783, "code introuvable")</f>
        <v>non publié</v>
      </c>
    </row>
    <row r="848">
      <c r="A848" s="2" t="str">
        <f>Communes_HDF!A848</f>
        <v>59056</v>
      </c>
      <c r="B848" s="2" t="str">
        <f>Communes_HDF!B848</f>
        <v>Beaucamps-Ligny</v>
      </c>
      <c r="C848" s="2" t="str">
        <f t="array" ref="C848">_xlfn.XLOOKUP(A848, INSEE_Communes!$A$2:$A$3783, INSEE_Communes!$F$2:$F$3783, "code introuvable")</f>
        <v>non publié</v>
      </c>
    </row>
    <row r="849">
      <c r="A849" s="2" t="str">
        <f>Communes_HDF!A849</f>
        <v>59057</v>
      </c>
      <c r="B849" s="2" t="str">
        <f>Communes_HDF!B849</f>
        <v>Beaudignies</v>
      </c>
      <c r="C849" s="2" t="str">
        <f t="array" ref="C849">_xlfn.XLOOKUP(A849, INSEE_Communes!$A$2:$A$3783, INSEE_Communes!$F$2:$F$3783, "code introuvable")</f>
        <v>non publié</v>
      </c>
    </row>
    <row r="850">
      <c r="A850" s="2" t="str">
        <f>Communes_HDF!A850</f>
        <v>59058</v>
      </c>
      <c r="B850" s="2" t="str">
        <f>Communes_HDF!B850</f>
        <v>Beaufort</v>
      </c>
      <c r="C850" s="2" t="str">
        <f t="array" ref="C850">_xlfn.XLOOKUP(A850, INSEE_Communes!$A$2:$A$3783, INSEE_Communes!$F$2:$F$3783, "code introuvable")</f>
        <v>non publié</v>
      </c>
    </row>
    <row r="851">
      <c r="A851" s="2" t="str">
        <f>Communes_HDF!A851</f>
        <v>59059</v>
      </c>
      <c r="B851" s="2" t="str">
        <f>Communes_HDF!B851</f>
        <v>Beaumont-en-Cambrésis</v>
      </c>
      <c r="C851" s="2" t="str">
        <f t="array" ref="C851">_xlfn.XLOOKUP(A851, INSEE_Communes!$A$2:$A$3783, INSEE_Communes!$F$2:$F$3783, "code introuvable")</f>
        <v>non publié</v>
      </c>
    </row>
    <row r="852">
      <c r="A852" s="2" t="str">
        <f>Communes_HDF!A852</f>
        <v>59060</v>
      </c>
      <c r="B852" s="2" t="str">
        <f>Communes_HDF!B852</f>
        <v>Beaurain</v>
      </c>
      <c r="C852" s="2" t="str">
        <f t="array" ref="C852">_xlfn.XLOOKUP(A852, INSEE_Communes!$A$2:$A$3783, INSEE_Communes!$F$2:$F$3783, "code introuvable")</f>
        <v>non publié</v>
      </c>
    </row>
    <row r="853">
      <c r="A853" s="2" t="str">
        <f>Communes_HDF!A853</f>
        <v>59061</v>
      </c>
      <c r="B853" s="2" t="str">
        <f>Communes_HDF!B853</f>
        <v>Beaurepaire-sur-Sambre</v>
      </c>
      <c r="C853" s="2" t="str">
        <f t="array" ref="C853">_xlfn.XLOOKUP(A853, INSEE_Communes!$A$2:$A$3783, INSEE_Communes!$F$2:$F$3783, "code introuvable")</f>
        <v>non publié</v>
      </c>
    </row>
    <row r="854">
      <c r="A854" s="2" t="str">
        <f>Communes_HDF!A854</f>
        <v>59062</v>
      </c>
      <c r="B854" s="2" t="str">
        <f>Communes_HDF!B854</f>
        <v>Beaurieux</v>
      </c>
      <c r="C854" s="2" t="str">
        <f t="array" ref="C854">_xlfn.XLOOKUP(A854, INSEE_Communes!$A$2:$A$3783, INSEE_Communes!$F$2:$F$3783, "code introuvable")</f>
        <v>non publié</v>
      </c>
    </row>
    <row r="855">
      <c r="A855" s="2" t="str">
        <f>Communes_HDF!A855</f>
        <v>59063</v>
      </c>
      <c r="B855" s="2" t="str">
        <f>Communes_HDF!B855</f>
        <v>Beauvois-en-Cambrésis</v>
      </c>
      <c r="C855" s="2" t="str">
        <f t="array" ref="C855">_xlfn.XLOOKUP(A855, INSEE_Communes!$A$2:$A$3783, INSEE_Communes!$F$2:$F$3783, "code introuvable")</f>
        <v>non publié</v>
      </c>
    </row>
    <row r="856">
      <c r="A856" s="2" t="str">
        <f>Communes_HDF!A856</f>
        <v>59064</v>
      </c>
      <c r="B856" s="2" t="str">
        <f>Communes_HDF!B856</f>
        <v>Bellaing</v>
      </c>
      <c r="C856" s="2" t="str">
        <f t="array" ref="C856">_xlfn.XLOOKUP(A856, INSEE_Communes!$A$2:$A$3783, INSEE_Communes!$F$2:$F$3783, "code introuvable")</f>
        <v>non publié</v>
      </c>
    </row>
    <row r="857">
      <c r="A857" s="2" t="str">
        <f>Communes_HDF!A857</f>
        <v>59065</v>
      </c>
      <c r="B857" s="2" t="str">
        <f>Communes_HDF!B857</f>
        <v>Bellignies</v>
      </c>
      <c r="C857" s="2" t="str">
        <f t="array" ref="C857">_xlfn.XLOOKUP(A857, INSEE_Communes!$A$2:$A$3783, INSEE_Communes!$F$2:$F$3783, "code introuvable")</f>
        <v>non publié</v>
      </c>
    </row>
    <row r="858">
      <c r="A858" s="2" t="str">
        <f>Communes_HDF!A858</f>
        <v>59067</v>
      </c>
      <c r="B858" s="2" t="str">
        <f>Communes_HDF!B858</f>
        <v>Bergues</v>
      </c>
      <c r="C858" s="2">
        <f t="array" ref="C858">_xlfn.XLOOKUP(A858, INSEE_Communes!$A$2:$A$3783, INSEE_Communes!$F$2:$F$3783, "code introuvable")</f>
        <v>16</v>
      </c>
    </row>
    <row r="859">
      <c r="A859" s="2" t="str">
        <f>Communes_HDF!A859</f>
        <v>59068</v>
      </c>
      <c r="B859" s="2" t="str">
        <f>Communes_HDF!B859</f>
        <v>Berlaimont</v>
      </c>
      <c r="C859" s="2">
        <f t="array" ref="C859">_xlfn.XLOOKUP(A859, INSEE_Communes!$A$2:$A$3783, INSEE_Communes!$F$2:$F$3783, "code introuvable")</f>
        <v>18</v>
      </c>
    </row>
    <row r="860">
      <c r="A860" s="2" t="str">
        <f>Communes_HDF!A860</f>
        <v>59069</v>
      </c>
      <c r="B860" s="2" t="str">
        <f>Communes_HDF!B860</f>
        <v>Bermerain</v>
      </c>
      <c r="C860" s="2" t="str">
        <f t="array" ref="C860">_xlfn.XLOOKUP(A860, INSEE_Communes!$A$2:$A$3783, INSEE_Communes!$F$2:$F$3783, "code introuvable")</f>
        <v>non publié</v>
      </c>
    </row>
    <row r="861">
      <c r="A861" s="2" t="str">
        <f>Communes_HDF!A861</f>
        <v>59072</v>
      </c>
      <c r="B861" s="2" t="str">
        <f>Communes_HDF!B861</f>
        <v>Bersillies</v>
      </c>
      <c r="C861" s="2" t="str">
        <f t="array" ref="C861">_xlfn.XLOOKUP(A861, INSEE_Communes!$A$2:$A$3783, INSEE_Communes!$F$2:$F$3783, "code introuvable")</f>
        <v>non publié</v>
      </c>
    </row>
    <row r="862">
      <c r="A862" s="2" t="str">
        <f>Communes_HDF!A862</f>
        <v>59071</v>
      </c>
      <c r="B862" s="2" t="str">
        <f>Communes_HDF!B862</f>
        <v>Bersée</v>
      </c>
      <c r="C862" s="2">
        <f t="array" ref="C862">_xlfn.XLOOKUP(A862, INSEE_Communes!$A$2:$A$3783, INSEE_Communes!$F$2:$F$3783, "code introuvable")</f>
        <v>6</v>
      </c>
    </row>
    <row r="863">
      <c r="A863" s="2" t="str">
        <f>Communes_HDF!A863</f>
        <v>59073</v>
      </c>
      <c r="B863" s="2" t="str">
        <f>Communes_HDF!B863</f>
        <v>Berthen</v>
      </c>
      <c r="C863" s="2" t="str">
        <f t="array" ref="C863">_xlfn.XLOOKUP(A863, INSEE_Communes!$A$2:$A$3783, INSEE_Communes!$F$2:$F$3783, "code introuvable")</f>
        <v>non publié</v>
      </c>
    </row>
    <row r="864">
      <c r="A864" s="2" t="str">
        <f>Communes_HDF!A864</f>
        <v>59074</v>
      </c>
      <c r="B864" s="2" t="str">
        <f>Communes_HDF!B864</f>
        <v>Bertry</v>
      </c>
      <c r="C864" s="2">
        <f t="array" ref="C864">_xlfn.XLOOKUP(A864, INSEE_Communes!$A$2:$A$3783, INSEE_Communes!$F$2:$F$3783, "code introuvable")</f>
        <v>19</v>
      </c>
    </row>
    <row r="865">
      <c r="A865" s="2" t="str">
        <f>Communes_HDF!A865</f>
        <v>59076</v>
      </c>
      <c r="B865" s="2" t="str">
        <f>Communes_HDF!B865</f>
        <v>Bettignies</v>
      </c>
      <c r="C865" s="2" t="str">
        <f t="array" ref="C865">_xlfn.XLOOKUP(A865, INSEE_Communes!$A$2:$A$3783, INSEE_Communes!$F$2:$F$3783, "code introuvable")</f>
        <v>non publié</v>
      </c>
    </row>
    <row r="866">
      <c r="A866" s="2" t="str">
        <f>Communes_HDF!A866</f>
        <v>59077</v>
      </c>
      <c r="B866" s="2" t="str">
        <f>Communes_HDF!B866</f>
        <v>Bettrechies</v>
      </c>
      <c r="C866" s="2" t="str">
        <f t="array" ref="C866">_xlfn.XLOOKUP(A866, INSEE_Communes!$A$2:$A$3783, INSEE_Communes!$F$2:$F$3783, "code introuvable")</f>
        <v>non publié</v>
      </c>
    </row>
    <row r="867">
      <c r="A867" s="2" t="str">
        <f>Communes_HDF!A867</f>
        <v>59078</v>
      </c>
      <c r="B867" s="2" t="str">
        <f>Communes_HDF!B867</f>
        <v>Beugnies</v>
      </c>
      <c r="C867" s="2" t="str">
        <f t="array" ref="C867">_xlfn.XLOOKUP(A867, INSEE_Communes!$A$2:$A$3783, INSEE_Communes!$F$2:$F$3783, "code introuvable")</f>
        <v>non publié</v>
      </c>
    </row>
    <row r="868">
      <c r="A868" s="2" t="str">
        <f>Communes_HDF!A868</f>
        <v>59079</v>
      </c>
      <c r="B868" s="2" t="str">
        <f>Communes_HDF!B868</f>
        <v>Beuvrages</v>
      </c>
      <c r="C868" s="2">
        <f t="array" ref="C868">_xlfn.XLOOKUP(A868, INSEE_Communes!$A$2:$A$3783, INSEE_Communes!$F$2:$F$3783, "code introuvable")</f>
        <v>33</v>
      </c>
    </row>
    <row r="869">
      <c r="A869" s="2" t="str">
        <f>Communes_HDF!A869</f>
        <v>59080</v>
      </c>
      <c r="B869" s="2" t="str">
        <f>Communes_HDF!B869</f>
        <v>Beuvry-la-Forêt</v>
      </c>
      <c r="C869" s="2">
        <f t="array" ref="C869">_xlfn.XLOOKUP(A869, INSEE_Communes!$A$2:$A$3783, INSEE_Communes!$F$2:$F$3783, "code introuvable")</f>
        <v>7</v>
      </c>
    </row>
    <row r="870">
      <c r="A870" s="2" t="str">
        <f>Communes_HDF!A870</f>
        <v>59082</v>
      </c>
      <c r="B870" s="2" t="str">
        <f>Communes_HDF!B870</f>
        <v>Bierne</v>
      </c>
      <c r="C870" s="2" t="str">
        <f t="array" ref="C870">_xlfn.XLOOKUP(A870, INSEE_Communes!$A$2:$A$3783, INSEE_Communes!$F$2:$F$3783, "code introuvable")</f>
        <v>non publié</v>
      </c>
    </row>
    <row r="871">
      <c r="A871" s="2" t="str">
        <f>Communes_HDF!A871</f>
        <v>59083</v>
      </c>
      <c r="B871" s="2" t="str">
        <f>Communes_HDF!B871</f>
        <v>Bissezeele</v>
      </c>
      <c r="C871" s="2" t="str">
        <f t="array" ref="C871">_xlfn.XLOOKUP(A871, INSEE_Communes!$A$2:$A$3783, INSEE_Communes!$F$2:$F$3783, "code introuvable")</f>
        <v>non publié</v>
      </c>
    </row>
    <row r="872">
      <c r="A872" s="2" t="str">
        <f>Communes_HDF!A872</f>
        <v>59084</v>
      </c>
      <c r="B872" s="2" t="str">
        <f>Communes_HDF!B872</f>
        <v>Blaringhem</v>
      </c>
      <c r="C872" s="2">
        <f t="array" ref="C872">_xlfn.XLOOKUP(A872, INSEE_Communes!$A$2:$A$3783, INSEE_Communes!$F$2:$F$3783, "code introuvable")</f>
        <v>10</v>
      </c>
    </row>
    <row r="873">
      <c r="A873" s="2" t="str">
        <f>Communes_HDF!A873</f>
        <v>59085</v>
      </c>
      <c r="B873" s="2" t="str">
        <f>Communes_HDF!B873</f>
        <v>Blécourt</v>
      </c>
      <c r="C873" s="2" t="str">
        <f t="array" ref="C873">_xlfn.XLOOKUP(A873, INSEE_Communes!$A$2:$A$3783, INSEE_Communes!$F$2:$F$3783, "code introuvable")</f>
        <v>non publié</v>
      </c>
    </row>
    <row r="874">
      <c r="A874" s="2" t="str">
        <f>Communes_HDF!A874</f>
        <v>59086</v>
      </c>
      <c r="B874" s="2" t="str">
        <f>Communes_HDF!B874</f>
        <v>Boeschepe</v>
      </c>
      <c r="C874" s="2">
        <f t="array" ref="C874">_xlfn.XLOOKUP(A874, INSEE_Communes!$A$2:$A$3783, INSEE_Communes!$F$2:$F$3783, "code introuvable")</f>
        <v>9</v>
      </c>
    </row>
    <row r="875">
      <c r="A875" s="2" t="str">
        <f>Communes_HDF!A875</f>
        <v>59088</v>
      </c>
      <c r="B875" s="2" t="str">
        <f>Communes_HDF!B875</f>
        <v>Bois-Grenier</v>
      </c>
      <c r="C875" s="2" t="str">
        <f t="array" ref="C875">_xlfn.XLOOKUP(A875, INSEE_Communes!$A$2:$A$3783, INSEE_Communes!$F$2:$F$3783, "code introuvable")</f>
        <v>non publié</v>
      </c>
    </row>
    <row r="876">
      <c r="A876" s="2" t="str">
        <f>Communes_HDF!A876</f>
        <v>59089</v>
      </c>
      <c r="B876" s="2" t="str">
        <f>Communes_HDF!B876</f>
        <v>Bollezeele</v>
      </c>
      <c r="C876" s="2" t="str">
        <f t="array" ref="C876">_xlfn.XLOOKUP(A876, INSEE_Communes!$A$2:$A$3783, INSEE_Communes!$F$2:$F$3783, "code introuvable")</f>
        <v>non publié</v>
      </c>
    </row>
    <row r="877">
      <c r="A877" s="2" t="str">
        <f>Communes_HDF!A877</f>
        <v>59090</v>
      </c>
      <c r="B877" s="2" t="str">
        <f>Communes_HDF!B877</f>
        <v>Bondues</v>
      </c>
      <c r="C877" s="2">
        <f t="array" ref="C877">_xlfn.XLOOKUP(A877, INSEE_Communes!$A$2:$A$3783, INSEE_Communes!$F$2:$F$3783, "code introuvable")</f>
        <v>7</v>
      </c>
    </row>
    <row r="878">
      <c r="A878" s="2" t="str">
        <f>Communes_HDF!A878</f>
        <v>59091</v>
      </c>
      <c r="B878" s="2" t="str">
        <f>Communes_HDF!B878</f>
        <v>Borre</v>
      </c>
      <c r="C878" s="2" t="str">
        <f t="array" ref="C878">_xlfn.XLOOKUP(A878, INSEE_Communes!$A$2:$A$3783, INSEE_Communes!$F$2:$F$3783, "code introuvable")</f>
        <v>non publié</v>
      </c>
    </row>
    <row r="879">
      <c r="A879" s="2" t="str">
        <f>Communes_HDF!A879</f>
        <v>59092</v>
      </c>
      <c r="B879" s="2" t="str">
        <f>Communes_HDF!B879</f>
        <v>Bouchain</v>
      </c>
      <c r="C879" s="2">
        <f t="array" ref="C879">_xlfn.XLOOKUP(A879, INSEE_Communes!$A$2:$A$3783, INSEE_Communes!$F$2:$F$3783, "code introuvable")</f>
        <v>17</v>
      </c>
    </row>
    <row r="880">
      <c r="A880" s="2" t="str">
        <f>Communes_HDF!A880</f>
        <v>59093</v>
      </c>
      <c r="B880" s="2" t="str">
        <f>Communes_HDF!B880</f>
        <v>Boulogne-sur-Helpe</v>
      </c>
      <c r="C880" s="2" t="str">
        <f t="array" ref="C880">_xlfn.XLOOKUP(A880, INSEE_Communes!$A$2:$A$3783, INSEE_Communes!$F$2:$F$3783, "code introuvable")</f>
        <v>non publié</v>
      </c>
    </row>
    <row r="881">
      <c r="A881" s="2" t="str">
        <f>Communes_HDF!A881</f>
        <v>59094</v>
      </c>
      <c r="B881" s="2" t="str">
        <f>Communes_HDF!B881</f>
        <v>Bourbourg</v>
      </c>
      <c r="C881" s="2">
        <f t="array" ref="C881">_xlfn.XLOOKUP(A881, INSEE_Communes!$A$2:$A$3783, INSEE_Communes!$F$2:$F$3783, "code introuvable")</f>
        <v>20</v>
      </c>
    </row>
    <row r="882">
      <c r="A882" s="2" t="str">
        <f>Communes_HDF!A882</f>
        <v>59096</v>
      </c>
      <c r="B882" s="2" t="str">
        <f>Communes_HDF!B882</f>
        <v>Bourghelles</v>
      </c>
      <c r="C882" s="2" t="str">
        <f t="array" ref="C882">_xlfn.XLOOKUP(A882, INSEE_Communes!$A$2:$A$3783, INSEE_Communes!$F$2:$F$3783, "code introuvable")</f>
        <v>non publié</v>
      </c>
    </row>
    <row r="883">
      <c r="A883" s="2" t="str">
        <f>Communes_HDF!A883</f>
        <v>59097</v>
      </c>
      <c r="B883" s="2" t="str">
        <f>Communes_HDF!B883</f>
        <v>Boursies</v>
      </c>
      <c r="C883" s="2" t="str">
        <f t="array" ref="C883">_xlfn.XLOOKUP(A883, INSEE_Communes!$A$2:$A$3783, INSEE_Communes!$F$2:$F$3783, "code introuvable")</f>
        <v>non publié</v>
      </c>
    </row>
    <row r="884">
      <c r="A884" s="2" t="str">
        <f>Communes_HDF!A884</f>
        <v>59098</v>
      </c>
      <c r="B884" s="2" t="str">
        <f>Communes_HDF!B884</f>
        <v>Bousbecque</v>
      </c>
      <c r="C884" s="2">
        <f t="array" ref="C884">_xlfn.XLOOKUP(A884, INSEE_Communes!$A$2:$A$3783, INSEE_Communes!$F$2:$F$3783, "code introuvable")</f>
        <v>9</v>
      </c>
    </row>
    <row r="885">
      <c r="A885" s="2" t="str">
        <f>Communes_HDF!A885</f>
        <v>59099</v>
      </c>
      <c r="B885" s="2" t="str">
        <f>Communes_HDF!B885</f>
        <v>Bousies</v>
      </c>
      <c r="C885" s="2" t="str">
        <f t="array" ref="C885">_xlfn.XLOOKUP(A885, INSEE_Communes!$A$2:$A$3783, INSEE_Communes!$F$2:$F$3783, "code introuvable")</f>
        <v>non publié</v>
      </c>
    </row>
    <row r="886">
      <c r="A886" s="2" t="str">
        <f>Communes_HDF!A886</f>
        <v>59100</v>
      </c>
      <c r="B886" s="2" t="str">
        <f>Communes_HDF!B886</f>
        <v>Bousignies</v>
      </c>
      <c r="C886" s="2" t="str">
        <f t="array" ref="C886">_xlfn.XLOOKUP(A886, INSEE_Communes!$A$2:$A$3783, INSEE_Communes!$F$2:$F$3783, "code introuvable")</f>
        <v>non publié</v>
      </c>
    </row>
    <row r="887">
      <c r="A887" s="2" t="str">
        <f>Communes_HDF!A887</f>
        <v>59101</v>
      </c>
      <c r="B887" s="2" t="str">
        <f>Communes_HDF!B887</f>
        <v>Bousignies-sur-Roc</v>
      </c>
      <c r="C887" s="2" t="str">
        <f t="array" ref="C887">_xlfn.XLOOKUP(A887, INSEE_Communes!$A$2:$A$3783, INSEE_Communes!$F$2:$F$3783, "code introuvable")</f>
        <v>non publié</v>
      </c>
    </row>
    <row r="888">
      <c r="A888" s="2" t="str">
        <f>Communes_HDF!A888</f>
        <v>59102</v>
      </c>
      <c r="B888" s="2" t="str">
        <f>Communes_HDF!B888</f>
        <v>Boussières-en-Cambrésis</v>
      </c>
      <c r="C888" s="2" t="str">
        <f t="array" ref="C888">_xlfn.XLOOKUP(A888, INSEE_Communes!$A$2:$A$3783, INSEE_Communes!$F$2:$F$3783, "code introuvable")</f>
        <v>non publié</v>
      </c>
    </row>
    <row r="889">
      <c r="A889" s="2" t="str">
        <f>Communes_HDF!A889</f>
        <v>59103</v>
      </c>
      <c r="B889" s="2" t="str">
        <f>Communes_HDF!B889</f>
        <v>Boussières-sur-Sambre</v>
      </c>
      <c r="C889" s="2" t="str">
        <f t="array" ref="C889">_xlfn.XLOOKUP(A889, INSEE_Communes!$A$2:$A$3783, INSEE_Communes!$F$2:$F$3783, "code introuvable")</f>
        <v>non publié</v>
      </c>
    </row>
    <row r="890">
      <c r="A890" s="2" t="str">
        <f>Communes_HDF!A890</f>
        <v>59104</v>
      </c>
      <c r="B890" s="2" t="str">
        <f>Communes_HDF!B890</f>
        <v>Boussois</v>
      </c>
      <c r="C890" s="2">
        <f t="array" ref="C890">_xlfn.XLOOKUP(A890, INSEE_Communes!$A$2:$A$3783, INSEE_Communes!$F$2:$F$3783, "code introuvable")</f>
        <v>23</v>
      </c>
    </row>
    <row r="891">
      <c r="A891" s="2" t="str">
        <f>Communes_HDF!A891</f>
        <v>59105</v>
      </c>
      <c r="B891" s="2" t="str">
        <f>Communes_HDF!B891</f>
        <v>Bouvignies</v>
      </c>
      <c r="C891" s="2" t="str">
        <f t="array" ref="C891">_xlfn.XLOOKUP(A891, INSEE_Communes!$A$2:$A$3783, INSEE_Communes!$F$2:$F$3783, "code introuvable")</f>
        <v>non publié</v>
      </c>
    </row>
    <row r="892">
      <c r="A892" s="2" t="str">
        <f>Communes_HDF!A892</f>
        <v>59106</v>
      </c>
      <c r="B892" s="2" t="str">
        <f>Communes_HDF!B892</f>
        <v>Bouvines</v>
      </c>
      <c r="C892" s="2" t="str">
        <f t="array" ref="C892">_xlfn.XLOOKUP(A892, INSEE_Communes!$A$2:$A$3783, INSEE_Communes!$F$2:$F$3783, "code introuvable")</f>
        <v>non publié</v>
      </c>
    </row>
    <row r="893">
      <c r="A893" s="2" t="str">
        <f>Communes_HDF!A893</f>
        <v>59087</v>
      </c>
      <c r="B893" s="2" t="str">
        <f>Communes_HDF!B893</f>
        <v>Boëseghem</v>
      </c>
      <c r="C893" s="2" t="str">
        <f t="array" ref="C893">_xlfn.XLOOKUP(A893, INSEE_Communes!$A$2:$A$3783, INSEE_Communes!$F$2:$F$3783, "code introuvable")</f>
        <v>non publié</v>
      </c>
    </row>
    <row r="894">
      <c r="A894" s="2" t="str">
        <f>Communes_HDF!A894</f>
        <v>59107</v>
      </c>
      <c r="B894" s="2" t="str">
        <f>Communes_HDF!B894</f>
        <v>Bray-Dunes</v>
      </c>
      <c r="C894" s="2">
        <f t="array" ref="C894">_xlfn.XLOOKUP(A894, INSEE_Communes!$A$2:$A$3783, INSEE_Communes!$F$2:$F$3783, "code introuvable")</f>
        <v>16</v>
      </c>
    </row>
    <row r="895">
      <c r="A895" s="2" t="str">
        <f>Communes_HDF!A895</f>
        <v>59108</v>
      </c>
      <c r="B895" s="2" t="str">
        <f>Communes_HDF!B895</f>
        <v>Briastre</v>
      </c>
      <c r="C895" s="2" t="str">
        <f t="array" ref="C895">_xlfn.XLOOKUP(A895, INSEE_Communes!$A$2:$A$3783, INSEE_Communes!$F$2:$F$3783, "code introuvable")</f>
        <v>non publié</v>
      </c>
    </row>
    <row r="896">
      <c r="A896" s="2" t="str">
        <f>Communes_HDF!A896</f>
        <v>59109</v>
      </c>
      <c r="B896" s="2" t="str">
        <f>Communes_HDF!B896</f>
        <v>Brillon</v>
      </c>
      <c r="C896" s="2" t="str">
        <f t="array" ref="C896">_xlfn.XLOOKUP(A896, INSEE_Communes!$A$2:$A$3783, INSEE_Communes!$F$2:$F$3783, "code introuvable")</f>
        <v>non publié</v>
      </c>
    </row>
    <row r="897">
      <c r="A897" s="2" t="str">
        <f>Communes_HDF!A897</f>
        <v>59110</v>
      </c>
      <c r="B897" s="2" t="str">
        <f>Communes_HDF!B897</f>
        <v>Brouckerque</v>
      </c>
      <c r="C897" s="2" t="str">
        <f t="array" ref="C897">_xlfn.XLOOKUP(A897, INSEE_Communes!$A$2:$A$3783, INSEE_Communes!$F$2:$F$3783, "code introuvable")</f>
        <v>non publié</v>
      </c>
    </row>
    <row r="898">
      <c r="A898" s="2" t="str">
        <f>Communes_HDF!A898</f>
        <v>59111</v>
      </c>
      <c r="B898" s="2" t="str">
        <f>Communes_HDF!B898</f>
        <v>Broxeele</v>
      </c>
      <c r="C898" s="2" t="str">
        <f t="array" ref="C898">_xlfn.XLOOKUP(A898, INSEE_Communes!$A$2:$A$3783, INSEE_Communes!$F$2:$F$3783, "code introuvable")</f>
        <v>non publié</v>
      </c>
    </row>
    <row r="899">
      <c r="A899" s="2" t="str">
        <f>Communes_HDF!A899</f>
        <v>59112</v>
      </c>
      <c r="B899" s="2" t="str">
        <f>Communes_HDF!B899</f>
        <v>Bruay-sur-l'Escaut</v>
      </c>
      <c r="C899" s="2">
        <f t="array" ref="C899">_xlfn.XLOOKUP(A899, INSEE_Communes!$A$2:$A$3783, INSEE_Communes!$F$2:$F$3783, "code introuvable")</f>
        <v>30</v>
      </c>
    </row>
    <row r="900">
      <c r="A900" s="2" t="str">
        <f>Communes_HDF!A900</f>
        <v>59114</v>
      </c>
      <c r="B900" s="2" t="str">
        <f>Communes_HDF!B900</f>
        <v>Bruille-Saint-Amand</v>
      </c>
      <c r="C900" s="2" t="str">
        <f t="array" ref="C900">_xlfn.XLOOKUP(A900, INSEE_Communes!$A$2:$A$3783, INSEE_Communes!$F$2:$F$3783, "code introuvable")</f>
        <v>non publié</v>
      </c>
    </row>
    <row r="901">
      <c r="A901" s="2" t="str">
        <f>Communes_HDF!A901</f>
        <v>59113</v>
      </c>
      <c r="B901" s="2" t="str">
        <f>Communes_HDF!B901</f>
        <v>Bruille-lez-Marchiennes</v>
      </c>
      <c r="C901" s="2" t="str">
        <f t="array" ref="C901">_xlfn.XLOOKUP(A901, INSEE_Communes!$A$2:$A$3783, INSEE_Communes!$F$2:$F$3783, "code introuvable")</f>
        <v>non publié</v>
      </c>
    </row>
    <row r="902">
      <c r="A902" s="2" t="str">
        <f>Communes_HDF!A902</f>
        <v>59115</v>
      </c>
      <c r="B902" s="2" t="str">
        <f>Communes_HDF!B902</f>
        <v>Brunémont</v>
      </c>
      <c r="C902" s="2" t="str">
        <f t="array" ref="C902">_xlfn.XLOOKUP(A902, INSEE_Communes!$A$2:$A$3783, INSEE_Communes!$F$2:$F$3783, "code introuvable")</f>
        <v>non publié</v>
      </c>
    </row>
    <row r="903">
      <c r="A903" s="2" t="str">
        <f>Communes_HDF!A903</f>
        <v>59116</v>
      </c>
      <c r="B903" s="2" t="str">
        <f>Communes_HDF!B903</f>
        <v>Bry</v>
      </c>
      <c r="C903" s="2" t="str">
        <f t="array" ref="C903">_xlfn.XLOOKUP(A903, INSEE_Communes!$A$2:$A$3783, INSEE_Communes!$F$2:$F$3783, "code introuvable")</f>
        <v>non publié</v>
      </c>
    </row>
    <row r="904">
      <c r="A904" s="2" t="str">
        <f>Communes_HDF!A904</f>
        <v>59117</v>
      </c>
      <c r="B904" s="2" t="str">
        <f>Communes_HDF!B904</f>
        <v>Bugnicourt</v>
      </c>
      <c r="C904" s="2" t="str">
        <f t="array" ref="C904">_xlfn.XLOOKUP(A904, INSEE_Communes!$A$2:$A$3783, INSEE_Communes!$F$2:$F$3783, "code introuvable")</f>
        <v>non publié</v>
      </c>
    </row>
    <row r="905">
      <c r="A905" s="2" t="str">
        <f>Communes_HDF!A905</f>
        <v>59118</v>
      </c>
      <c r="B905" s="2" t="str">
        <f>Communes_HDF!B905</f>
        <v>Busigny</v>
      </c>
      <c r="C905" s="2">
        <f t="array" ref="C905">_xlfn.XLOOKUP(A905, INSEE_Communes!$A$2:$A$3783, INSEE_Communes!$F$2:$F$3783, "code introuvable")</f>
        <v>25</v>
      </c>
    </row>
    <row r="906">
      <c r="A906" s="2" t="str">
        <f>Communes_HDF!A906</f>
        <v>59119</v>
      </c>
      <c r="B906" s="2" t="str">
        <f>Communes_HDF!B906</f>
        <v>Buysscheure</v>
      </c>
      <c r="C906" s="2" t="str">
        <f t="array" ref="C906">_xlfn.XLOOKUP(A906, INSEE_Communes!$A$2:$A$3783, INSEE_Communes!$F$2:$F$3783, "code introuvable")</f>
        <v>non publié</v>
      </c>
    </row>
    <row r="907">
      <c r="A907" s="2" t="str">
        <f>Communes_HDF!A907</f>
        <v>59066</v>
      </c>
      <c r="B907" s="2" t="str">
        <f>Communes_HDF!B907</f>
        <v>Bérelles</v>
      </c>
      <c r="C907" s="2" t="str">
        <f t="array" ref="C907">_xlfn.XLOOKUP(A907, INSEE_Communes!$A$2:$A$3783, INSEE_Communes!$F$2:$F$3783, "code introuvable")</f>
        <v>non publié</v>
      </c>
    </row>
    <row r="908">
      <c r="A908" s="2" t="str">
        <f>Communes_HDF!A908</f>
        <v>59075</v>
      </c>
      <c r="B908" s="2" t="str">
        <f>Communes_HDF!B908</f>
        <v>Béthencourt</v>
      </c>
      <c r="C908" s="2" t="str">
        <f t="array" ref="C908">_xlfn.XLOOKUP(A908, INSEE_Communes!$A$2:$A$3783, INSEE_Communes!$F$2:$F$3783, "code introuvable")</f>
        <v>non publié</v>
      </c>
    </row>
    <row r="909">
      <c r="A909" s="2" t="str">
        <f>Communes_HDF!A909</f>
        <v>59081</v>
      </c>
      <c r="B909" s="2" t="str">
        <f>Communes_HDF!B909</f>
        <v>Bévillers</v>
      </c>
      <c r="C909" s="2" t="str">
        <f t="array" ref="C909">_xlfn.XLOOKUP(A909, INSEE_Communes!$A$2:$A$3783, INSEE_Communes!$F$2:$F$3783, "code introuvable")</f>
        <v>non publié</v>
      </c>
    </row>
    <row r="910">
      <c r="A910" s="2" t="str">
        <f>Communes_HDF!A910</f>
        <v>59121</v>
      </c>
      <c r="B910" s="2" t="str">
        <f>Communes_HDF!B910</f>
        <v>Cagnoncles</v>
      </c>
      <c r="C910" s="2" t="str">
        <f t="array" ref="C910">_xlfn.XLOOKUP(A910, INSEE_Communes!$A$2:$A$3783, INSEE_Communes!$F$2:$F$3783, "code introuvable")</f>
        <v>non publié</v>
      </c>
    </row>
    <row r="911">
      <c r="A911" s="2" t="str">
        <f>Communes_HDF!A911</f>
        <v>59122</v>
      </c>
      <c r="B911" s="2" t="str">
        <f>Communes_HDF!B911</f>
        <v>Cambrai</v>
      </c>
      <c r="C911" s="2">
        <f t="array" ref="C911">_xlfn.XLOOKUP(A911, INSEE_Communes!$A$2:$A$3783, INSEE_Communes!$F$2:$F$3783, "code introuvable")</f>
        <v>24.2</v>
      </c>
    </row>
    <row r="912">
      <c r="A912" s="2" t="str">
        <f>Communes_HDF!A912</f>
        <v>59123</v>
      </c>
      <c r="B912" s="2" t="str">
        <f>Communes_HDF!B912</f>
        <v>Camphin-en-Carembault</v>
      </c>
      <c r="C912" s="2" t="str">
        <f t="array" ref="C912">_xlfn.XLOOKUP(A912, INSEE_Communes!$A$2:$A$3783, INSEE_Communes!$F$2:$F$3783, "code introuvable")</f>
        <v>non publié</v>
      </c>
    </row>
    <row r="913">
      <c r="A913" s="2" t="str">
        <f>Communes_HDF!A913</f>
        <v>59124</v>
      </c>
      <c r="B913" s="2" t="str">
        <f>Communes_HDF!B913</f>
        <v>Camphin-en-Pévèle</v>
      </c>
      <c r="C913" s="2">
        <f t="array" ref="C913">_xlfn.XLOOKUP(A913, INSEE_Communes!$A$2:$A$3783, INSEE_Communes!$F$2:$F$3783, "code introuvable")</f>
        <v>6</v>
      </c>
    </row>
    <row r="914">
      <c r="A914" s="2" t="str">
        <f>Communes_HDF!A914</f>
        <v>59125</v>
      </c>
      <c r="B914" s="2" t="str">
        <f>Communes_HDF!B914</f>
        <v>Cantaing-sur-Escaut</v>
      </c>
      <c r="C914" s="2" t="str">
        <f t="array" ref="C914">_xlfn.XLOOKUP(A914, INSEE_Communes!$A$2:$A$3783, INSEE_Communes!$F$2:$F$3783, "code introuvable")</f>
        <v>non publié</v>
      </c>
    </row>
    <row r="915">
      <c r="A915" s="2" t="str">
        <f>Communes_HDF!A915</f>
        <v>59126</v>
      </c>
      <c r="B915" s="2" t="str">
        <f>Communes_HDF!B915</f>
        <v>Cantin</v>
      </c>
      <c r="C915" s="2" t="str">
        <f t="array" ref="C915">_xlfn.XLOOKUP(A915, INSEE_Communes!$A$2:$A$3783, INSEE_Communes!$F$2:$F$3783, "code introuvable")</f>
        <v>non publié</v>
      </c>
    </row>
    <row r="916">
      <c r="A916" s="2" t="str">
        <f>Communes_HDF!A916</f>
        <v>59127</v>
      </c>
      <c r="B916" s="2" t="str">
        <f>Communes_HDF!B916</f>
        <v>Capelle</v>
      </c>
      <c r="C916" s="2" t="str">
        <f t="array" ref="C916">_xlfn.XLOOKUP(A916, INSEE_Communes!$A$2:$A$3783, INSEE_Communes!$F$2:$F$3783, "code introuvable")</f>
        <v>non publié</v>
      </c>
    </row>
    <row r="917">
      <c r="A917" s="2" t="str">
        <f>Communes_HDF!A917</f>
        <v>59128</v>
      </c>
      <c r="B917" s="2" t="str">
        <f>Communes_HDF!B917</f>
        <v>Capinghem</v>
      </c>
      <c r="C917" s="2">
        <f t="array" ref="C917">_xlfn.XLOOKUP(A917, INSEE_Communes!$A$2:$A$3783, INSEE_Communes!$F$2:$F$3783, "code introuvable")</f>
        <v>12</v>
      </c>
    </row>
    <row r="918">
      <c r="A918" s="2" t="str">
        <f>Communes_HDF!A918</f>
        <v>59130</v>
      </c>
      <c r="B918" s="2" t="str">
        <f>Communes_HDF!B918</f>
        <v>Cappelle-Brouck</v>
      </c>
      <c r="C918" s="2" t="str">
        <f t="array" ref="C918">_xlfn.XLOOKUP(A918, INSEE_Communes!$A$2:$A$3783, INSEE_Communes!$F$2:$F$3783, "code introuvable")</f>
        <v>non publié</v>
      </c>
    </row>
    <row r="919">
      <c r="A919" s="2" t="str">
        <f>Communes_HDF!A919</f>
        <v>59129</v>
      </c>
      <c r="B919" s="2" t="str">
        <f>Communes_HDF!B919</f>
        <v>Cappelle-en-Pévèle</v>
      </c>
      <c r="C919" s="2">
        <f t="array" ref="C919">_xlfn.XLOOKUP(A919, INSEE_Communes!$A$2:$A$3783, INSEE_Communes!$F$2:$F$3783, "code introuvable")</f>
        <v>5</v>
      </c>
    </row>
    <row r="920">
      <c r="A920" s="2" t="str">
        <f>Communes_HDF!A920</f>
        <v>59131</v>
      </c>
      <c r="B920" s="2" t="str">
        <f>Communes_HDF!B920</f>
        <v>Cappelle-la-Grande</v>
      </c>
      <c r="C920" s="2">
        <f t="array" ref="C920">_xlfn.XLOOKUP(A920, INSEE_Communes!$A$2:$A$3783, INSEE_Communes!$F$2:$F$3783, "code introuvable")</f>
        <v>18</v>
      </c>
    </row>
    <row r="921">
      <c r="A921" s="2" t="str">
        <f>Communes_HDF!A921</f>
        <v>59133</v>
      </c>
      <c r="B921" s="2" t="str">
        <f>Communes_HDF!B921</f>
        <v>Carnin</v>
      </c>
      <c r="C921" s="2" t="str">
        <f t="array" ref="C921">_xlfn.XLOOKUP(A921, INSEE_Communes!$A$2:$A$3783, INSEE_Communes!$F$2:$F$3783, "code introuvable")</f>
        <v>non publié</v>
      </c>
    </row>
    <row r="922">
      <c r="A922" s="2" t="str">
        <f>Communes_HDF!A922</f>
        <v>59132</v>
      </c>
      <c r="B922" s="2" t="str">
        <f>Communes_HDF!B922</f>
        <v>Carnières</v>
      </c>
      <c r="C922" s="2" t="str">
        <f t="array" ref="C922">_xlfn.XLOOKUP(A922, INSEE_Communes!$A$2:$A$3783, INSEE_Communes!$F$2:$F$3783, "code introuvable")</f>
        <v>non publié</v>
      </c>
    </row>
    <row r="923">
      <c r="A923" s="2" t="str">
        <f>Communes_HDF!A923</f>
        <v>59134</v>
      </c>
      <c r="B923" s="2" t="str">
        <f>Communes_HDF!B923</f>
        <v>Cartignies</v>
      </c>
      <c r="C923" s="2" t="str">
        <f t="array" ref="C923">_xlfn.XLOOKUP(A923, INSEE_Communes!$A$2:$A$3783, INSEE_Communes!$F$2:$F$3783, "code introuvable")</f>
        <v>non publié</v>
      </c>
    </row>
    <row r="924">
      <c r="A924" s="2" t="str">
        <f>Communes_HDF!A924</f>
        <v>59135</v>
      </c>
      <c r="B924" s="2" t="str">
        <f>Communes_HDF!B924</f>
        <v>Cassel</v>
      </c>
      <c r="C924" s="2">
        <f t="array" ref="C924">_xlfn.XLOOKUP(A924, INSEE_Communes!$A$2:$A$3783, INSEE_Communes!$F$2:$F$3783, "code introuvable")</f>
        <v>14</v>
      </c>
    </row>
    <row r="925">
      <c r="A925" s="2" t="str">
        <f>Communes_HDF!A925</f>
        <v>59137</v>
      </c>
      <c r="B925" s="2" t="str">
        <f>Communes_HDF!B925</f>
        <v>Catillon-sur-Sambre</v>
      </c>
      <c r="C925" s="2" t="str">
        <f t="array" ref="C925">_xlfn.XLOOKUP(A925, INSEE_Communes!$A$2:$A$3783, INSEE_Communes!$F$2:$F$3783, "code introuvable")</f>
        <v>non publié</v>
      </c>
    </row>
    <row r="926">
      <c r="A926" s="2" t="str">
        <f>Communes_HDF!A926</f>
        <v>59138</v>
      </c>
      <c r="B926" s="2" t="str">
        <f>Communes_HDF!B926</f>
        <v>Cattenières</v>
      </c>
      <c r="C926" s="2" t="str">
        <f t="array" ref="C926">_xlfn.XLOOKUP(A926, INSEE_Communes!$A$2:$A$3783, INSEE_Communes!$F$2:$F$3783, "code introuvable")</f>
        <v>non publié</v>
      </c>
    </row>
    <row r="927">
      <c r="A927" s="2" t="str">
        <f>Communes_HDF!A927</f>
        <v>59139</v>
      </c>
      <c r="B927" s="2" t="str">
        <f>Communes_HDF!B927</f>
        <v>Caudry</v>
      </c>
      <c r="C927" s="2">
        <f t="array" ref="C927">_xlfn.XLOOKUP(A927, INSEE_Communes!$A$2:$A$3783, INSEE_Communes!$F$2:$F$3783, "code introuvable")</f>
        <v>29</v>
      </c>
    </row>
    <row r="928">
      <c r="A928" s="2" t="str">
        <f>Communes_HDF!A928</f>
        <v>59140</v>
      </c>
      <c r="B928" s="2" t="str">
        <f>Communes_HDF!B928</f>
        <v>Caullery</v>
      </c>
      <c r="C928" s="2" t="str">
        <f t="array" ref="C928">_xlfn.XLOOKUP(A928, INSEE_Communes!$A$2:$A$3783, INSEE_Communes!$F$2:$F$3783, "code introuvable")</f>
        <v>non publié</v>
      </c>
    </row>
    <row r="929">
      <c r="A929" s="2" t="str">
        <f>Communes_HDF!A929</f>
        <v>59141</v>
      </c>
      <c r="B929" s="2" t="str">
        <f>Communes_HDF!B929</f>
        <v>Cauroir</v>
      </c>
      <c r="C929" s="2" t="str">
        <f t="array" ref="C929">_xlfn.XLOOKUP(A929, INSEE_Communes!$A$2:$A$3783, INSEE_Communes!$F$2:$F$3783, "code introuvable")</f>
        <v>non publié</v>
      </c>
    </row>
    <row r="930">
      <c r="A930" s="2" t="str">
        <f>Communes_HDF!A930</f>
        <v>59120</v>
      </c>
      <c r="B930" s="2" t="str">
        <f>Communes_HDF!B930</f>
        <v>Caëstre</v>
      </c>
      <c r="C930" s="2" t="str">
        <f t="array" ref="C930">_xlfn.XLOOKUP(A930, INSEE_Communes!$A$2:$A$3783, INSEE_Communes!$F$2:$F$3783, "code introuvable")</f>
        <v>non publié</v>
      </c>
    </row>
    <row r="931">
      <c r="A931" s="2" t="str">
        <f>Communes_HDF!A931</f>
        <v>59142</v>
      </c>
      <c r="B931" s="2" t="str">
        <f>Communes_HDF!B931</f>
        <v>Cerfontaine</v>
      </c>
      <c r="C931" s="2" t="str">
        <f t="array" ref="C931">_xlfn.XLOOKUP(A931, INSEE_Communes!$A$2:$A$3783, INSEE_Communes!$F$2:$F$3783, "code introuvable")</f>
        <v>non publié</v>
      </c>
    </row>
    <row r="932">
      <c r="A932" s="2" t="str">
        <f>Communes_HDF!A932</f>
        <v>59145</v>
      </c>
      <c r="B932" s="2" t="str">
        <f>Communes_HDF!B932</f>
        <v>Chemy</v>
      </c>
      <c r="C932" s="2" t="str">
        <f t="array" ref="C932">_xlfn.XLOOKUP(A932, INSEE_Communes!$A$2:$A$3783, INSEE_Communes!$F$2:$F$3783, "code introuvable")</f>
        <v>non publié</v>
      </c>
    </row>
    <row r="933">
      <c r="A933" s="2" t="str">
        <f>Communes_HDF!A933</f>
        <v>59147</v>
      </c>
      <c r="B933" s="2" t="str">
        <f>Communes_HDF!B933</f>
        <v>Choisies</v>
      </c>
      <c r="C933" s="2" t="str">
        <f t="array" ref="C933">_xlfn.XLOOKUP(A933, INSEE_Communes!$A$2:$A$3783, INSEE_Communes!$F$2:$F$3783, "code introuvable")</f>
        <v>non publié</v>
      </c>
    </row>
    <row r="934">
      <c r="A934" s="2" t="str">
        <f>Communes_HDF!A934</f>
        <v>59144</v>
      </c>
      <c r="B934" s="2" t="str">
        <f>Communes_HDF!B934</f>
        <v>Château-l'Abbaye</v>
      </c>
      <c r="C934" s="2" t="str">
        <f t="array" ref="C934">_xlfn.XLOOKUP(A934, INSEE_Communes!$A$2:$A$3783, INSEE_Communes!$F$2:$F$3783, "code introuvable")</f>
        <v>non publié</v>
      </c>
    </row>
    <row r="935">
      <c r="A935" s="2" t="str">
        <f>Communes_HDF!A935</f>
        <v>59146</v>
      </c>
      <c r="B935" s="2" t="str">
        <f>Communes_HDF!B935</f>
        <v>Chéreng</v>
      </c>
      <c r="C935" s="2">
        <f t="array" ref="C935">_xlfn.XLOOKUP(A935, INSEE_Communes!$A$2:$A$3783, INSEE_Communes!$F$2:$F$3783, "code introuvable")</f>
        <v>5</v>
      </c>
    </row>
    <row r="936">
      <c r="A936" s="2" t="str">
        <f>Communes_HDF!A936</f>
        <v>59148</v>
      </c>
      <c r="B936" s="2" t="str">
        <f>Communes_HDF!B936</f>
        <v>Clairfayts</v>
      </c>
      <c r="C936" s="2" t="str">
        <f t="array" ref="C936">_xlfn.XLOOKUP(A936, INSEE_Communes!$A$2:$A$3783, INSEE_Communes!$F$2:$F$3783, "code introuvable")</f>
        <v>non publié</v>
      </c>
    </row>
    <row r="937">
      <c r="A937" s="2" t="str">
        <f>Communes_HDF!A937</f>
        <v>59149</v>
      </c>
      <c r="B937" s="2" t="str">
        <f>Communes_HDF!B937</f>
        <v>Clary</v>
      </c>
      <c r="C937" s="2" t="str">
        <f t="array" ref="C937">_xlfn.XLOOKUP(A937, INSEE_Communes!$A$2:$A$3783, INSEE_Communes!$F$2:$F$3783, "code introuvable")</f>
        <v>non publié</v>
      </c>
    </row>
    <row r="938">
      <c r="A938" s="2" t="str">
        <f>Communes_HDF!A938</f>
        <v>59150</v>
      </c>
      <c r="B938" s="2" t="str">
        <f>Communes_HDF!B938</f>
        <v>Cobrieux</v>
      </c>
      <c r="C938" s="2" t="str">
        <f t="array" ref="C938">_xlfn.XLOOKUP(A938, INSEE_Communes!$A$2:$A$3783, INSEE_Communes!$F$2:$F$3783, "code introuvable")</f>
        <v>non publié</v>
      </c>
    </row>
    <row r="939">
      <c r="A939" s="2" t="str">
        <f>Communes_HDF!A939</f>
        <v>59151</v>
      </c>
      <c r="B939" s="2" t="str">
        <f>Communes_HDF!B939</f>
        <v>Colleret</v>
      </c>
      <c r="C939" s="2" t="str">
        <f t="array" ref="C939">_xlfn.XLOOKUP(A939, INSEE_Communes!$A$2:$A$3783, INSEE_Communes!$F$2:$F$3783, "code introuvable")</f>
        <v>non publié</v>
      </c>
    </row>
    <row r="940">
      <c r="A940" s="2" t="str">
        <f>Communes_HDF!A940</f>
        <v>59152</v>
      </c>
      <c r="B940" s="2" t="str">
        <f>Communes_HDF!B940</f>
        <v>Comines</v>
      </c>
      <c r="C940" s="2">
        <f t="array" ref="C940">_xlfn.XLOOKUP(A940, INSEE_Communes!$A$2:$A$3783, INSEE_Communes!$F$2:$F$3783, "code introuvable")</f>
        <v>16</v>
      </c>
    </row>
    <row r="941">
      <c r="A941" s="2" t="str">
        <f>Communes_HDF!A941</f>
        <v>59153</v>
      </c>
      <c r="B941" s="2" t="str">
        <f>Communes_HDF!B941</f>
        <v>Condé-sur-l'Escaut</v>
      </c>
      <c r="C941" s="2">
        <f t="array" ref="C941">_xlfn.XLOOKUP(A941, INSEE_Communes!$A$2:$A$3783, INSEE_Communes!$F$2:$F$3783, "code introuvable")</f>
        <v>36</v>
      </c>
    </row>
    <row r="942">
      <c r="A942" s="2" t="str">
        <f>Communes_HDF!A942</f>
        <v>59155</v>
      </c>
      <c r="B942" s="2" t="str">
        <f>Communes_HDF!B942</f>
        <v>Coudekerque-Branche</v>
      </c>
      <c r="C942" s="2">
        <f t="array" ref="C942">_xlfn.XLOOKUP(A942, INSEE_Communes!$A$2:$A$3783, INSEE_Communes!$F$2:$F$3783, "code introuvable")</f>
        <v>17</v>
      </c>
    </row>
    <row r="943">
      <c r="A943" s="2" t="str">
        <f>Communes_HDF!A943</f>
        <v>59156</v>
      </c>
      <c r="B943" s="2" t="str">
        <f>Communes_HDF!B943</f>
        <v>Courchelettes</v>
      </c>
      <c r="C943" s="2">
        <f t="array" ref="C943">_xlfn.XLOOKUP(A943, INSEE_Communes!$A$2:$A$3783, INSEE_Communes!$F$2:$F$3783, "code introuvable")</f>
        <v>14</v>
      </c>
    </row>
    <row r="944">
      <c r="A944" s="2" t="str">
        <f>Communes_HDF!A944</f>
        <v>59157</v>
      </c>
      <c r="B944" s="2" t="str">
        <f>Communes_HDF!B944</f>
        <v>Cousolre</v>
      </c>
      <c r="C944" s="2" t="str">
        <f t="array" ref="C944">_xlfn.XLOOKUP(A944, INSEE_Communes!$A$2:$A$3783, INSEE_Communes!$F$2:$F$3783, "code introuvable")</f>
        <v>non publié</v>
      </c>
    </row>
    <row r="945">
      <c r="A945" s="2" t="str">
        <f>Communes_HDF!A945</f>
        <v>59158</v>
      </c>
      <c r="B945" s="2" t="str">
        <f>Communes_HDF!B945</f>
        <v>Coutiches</v>
      </c>
      <c r="C945" s="2">
        <f t="array" ref="C945">_xlfn.XLOOKUP(A945, INSEE_Communes!$A$2:$A$3783, INSEE_Communes!$F$2:$F$3783, "code introuvable")</f>
        <v>6</v>
      </c>
    </row>
    <row r="946">
      <c r="A946" s="2" t="str">
        <f>Communes_HDF!A946</f>
        <v>59159</v>
      </c>
      <c r="B946" s="2" t="str">
        <f>Communes_HDF!B946</f>
        <v>Craywick</v>
      </c>
      <c r="C946" s="2" t="str">
        <f t="array" ref="C946">_xlfn.XLOOKUP(A946, INSEE_Communes!$A$2:$A$3783, INSEE_Communes!$F$2:$F$3783, "code introuvable")</f>
        <v>non publié</v>
      </c>
    </row>
    <row r="947">
      <c r="A947" s="2" t="str">
        <f>Communes_HDF!A947</f>
        <v>59160</v>
      </c>
      <c r="B947" s="2" t="str">
        <f>Communes_HDF!B947</f>
        <v>Crespin</v>
      </c>
      <c r="C947" s="2">
        <f t="array" ref="C947">_xlfn.XLOOKUP(A947, INSEE_Communes!$A$2:$A$3783, INSEE_Communes!$F$2:$F$3783, "code introuvable")</f>
        <v>29</v>
      </c>
    </row>
    <row r="948">
      <c r="A948" s="2" t="str">
        <f>Communes_HDF!A948</f>
        <v>59162</v>
      </c>
      <c r="B948" s="2" t="str">
        <f>Communes_HDF!B948</f>
        <v>Crochte</v>
      </c>
      <c r="C948" s="2" t="str">
        <f t="array" ref="C948">_xlfn.XLOOKUP(A948, INSEE_Communes!$A$2:$A$3783, INSEE_Communes!$F$2:$F$3783, "code introuvable")</f>
        <v>non publié</v>
      </c>
    </row>
    <row r="949">
      <c r="A949" s="2" t="str">
        <f>Communes_HDF!A949</f>
        <v>59163</v>
      </c>
      <c r="B949" s="2" t="str">
        <f>Communes_HDF!B949</f>
        <v>Croix</v>
      </c>
      <c r="C949" s="2">
        <f t="array" ref="C949">_xlfn.XLOOKUP(A949, INSEE_Communes!$A$2:$A$3783, INSEE_Communes!$F$2:$F$3783, "code introuvable")</f>
        <v>17.8</v>
      </c>
    </row>
    <row r="950">
      <c r="A950" s="2" t="str">
        <f>Communes_HDF!A950</f>
        <v>59164</v>
      </c>
      <c r="B950" s="2" t="str">
        <f>Communes_HDF!B950</f>
        <v>Croix-Caluyau</v>
      </c>
      <c r="C950" s="2" t="str">
        <f t="array" ref="C950">_xlfn.XLOOKUP(A950, INSEE_Communes!$A$2:$A$3783, INSEE_Communes!$F$2:$F$3783, "code introuvable")</f>
        <v>non publié</v>
      </c>
    </row>
    <row r="951">
      <c r="A951" s="2" t="str">
        <f>Communes_HDF!A951</f>
        <v>59161</v>
      </c>
      <c r="B951" s="2" t="str">
        <f>Communes_HDF!B951</f>
        <v>Crèvecœur-sur-l'Escaut</v>
      </c>
      <c r="C951" s="2" t="str">
        <f t="array" ref="C951">_xlfn.XLOOKUP(A951, INSEE_Communes!$A$2:$A$3783, INSEE_Communes!$F$2:$F$3783, "code introuvable")</f>
        <v>non publié</v>
      </c>
    </row>
    <row r="952">
      <c r="A952" s="2" t="str">
        <f>Communes_HDF!A952</f>
        <v>59165</v>
      </c>
      <c r="B952" s="2" t="str">
        <f>Communes_HDF!B952</f>
        <v>Cuincy</v>
      </c>
      <c r="C952" s="2">
        <f t="array" ref="C952">_xlfn.XLOOKUP(A952, INSEE_Communes!$A$2:$A$3783, INSEE_Communes!$F$2:$F$3783, "code introuvable")</f>
        <v>16</v>
      </c>
    </row>
    <row r="953">
      <c r="A953" s="2" t="str">
        <f>Communes_HDF!A953</f>
        <v>59166</v>
      </c>
      <c r="B953" s="2" t="str">
        <f>Communes_HDF!B953</f>
        <v>Curgies</v>
      </c>
      <c r="C953" s="2" t="str">
        <f t="array" ref="C953">_xlfn.XLOOKUP(A953, INSEE_Communes!$A$2:$A$3783, INSEE_Communes!$F$2:$F$3783, "code introuvable")</f>
        <v>non publié</v>
      </c>
    </row>
    <row r="954">
      <c r="A954" s="2" t="str">
        <f>Communes_HDF!A954</f>
        <v>59167</v>
      </c>
      <c r="B954" s="2" t="str">
        <f>Communes_HDF!B954</f>
        <v>Cuvillers</v>
      </c>
      <c r="C954" s="2" t="str">
        <f t="array" ref="C954">_xlfn.XLOOKUP(A954, INSEE_Communes!$A$2:$A$3783, INSEE_Communes!$F$2:$F$3783, "code introuvable")</f>
        <v>non publié</v>
      </c>
    </row>
    <row r="955">
      <c r="A955" s="2" t="str">
        <f>Communes_HDF!A955</f>
        <v>59168</v>
      </c>
      <c r="B955" s="2" t="str">
        <f>Communes_HDF!B955</f>
        <v>Cysoing</v>
      </c>
      <c r="C955" s="2">
        <f t="array" ref="C955">_xlfn.XLOOKUP(A955, INSEE_Communes!$A$2:$A$3783, INSEE_Communes!$F$2:$F$3783, "code introuvable")</f>
        <v>7</v>
      </c>
    </row>
    <row r="956">
      <c r="A956" s="2" t="str">
        <f>Communes_HDF!A956</f>
        <v>59169</v>
      </c>
      <c r="B956" s="2" t="str">
        <f>Communes_HDF!B956</f>
        <v>Damousies</v>
      </c>
      <c r="C956" s="2" t="str">
        <f t="array" ref="C956">_xlfn.XLOOKUP(A956, INSEE_Communes!$A$2:$A$3783, INSEE_Communes!$F$2:$F$3783, "code introuvable")</f>
        <v>non publié</v>
      </c>
    </row>
    <row r="957">
      <c r="A957" s="2" t="str">
        <f>Communes_HDF!A957</f>
        <v>59170</v>
      </c>
      <c r="B957" s="2" t="str">
        <f>Communes_HDF!B957</f>
        <v>Dechy</v>
      </c>
      <c r="C957" s="2">
        <f t="array" ref="C957">_xlfn.XLOOKUP(A957, INSEE_Communes!$A$2:$A$3783, INSEE_Communes!$F$2:$F$3783, "code introuvable")</f>
        <v>30</v>
      </c>
    </row>
    <row r="958">
      <c r="A958" s="2" t="str">
        <f>Communes_HDF!A958</f>
        <v>59171</v>
      </c>
      <c r="B958" s="2" t="str">
        <f>Communes_HDF!B958</f>
        <v>Dehéries</v>
      </c>
      <c r="C958" s="2" t="str">
        <f t="array" ref="C958">_xlfn.XLOOKUP(A958, INSEE_Communes!$A$2:$A$3783, INSEE_Communes!$F$2:$F$3783, "code introuvable")</f>
        <v>non publié</v>
      </c>
    </row>
    <row r="959">
      <c r="A959" s="2" t="str">
        <f>Communes_HDF!A959</f>
        <v>59172</v>
      </c>
      <c r="B959" s="2" t="str">
        <f>Communes_HDF!B959</f>
        <v>Denain</v>
      </c>
      <c r="C959" s="2">
        <f t="array" ref="C959">_xlfn.XLOOKUP(A959, INSEE_Communes!$A$2:$A$3783, INSEE_Communes!$F$2:$F$3783, "code introuvable")</f>
        <v>45</v>
      </c>
    </row>
    <row r="960">
      <c r="A960" s="2" t="str">
        <f>Communes_HDF!A960</f>
        <v>59173</v>
      </c>
      <c r="B960" s="2" t="str">
        <f>Communes_HDF!B960</f>
        <v>Deûlémont</v>
      </c>
      <c r="C960" s="2" t="str">
        <f t="array" ref="C960">_xlfn.XLOOKUP(A960, INSEE_Communes!$A$2:$A$3783, INSEE_Communes!$F$2:$F$3783, "code introuvable")</f>
        <v>non publié</v>
      </c>
    </row>
    <row r="961">
      <c r="A961" s="2" t="str">
        <f>Communes_HDF!A961</f>
        <v>59174</v>
      </c>
      <c r="B961" s="2" t="str">
        <f>Communes_HDF!B961</f>
        <v>Dimechaux</v>
      </c>
      <c r="C961" s="2" t="str">
        <f t="array" ref="C961">_xlfn.XLOOKUP(A961, INSEE_Communes!$A$2:$A$3783, INSEE_Communes!$F$2:$F$3783, "code introuvable")</f>
        <v>non publié</v>
      </c>
    </row>
    <row r="962">
      <c r="A962" s="2" t="str">
        <f>Communes_HDF!A962</f>
        <v>59175</v>
      </c>
      <c r="B962" s="2" t="str">
        <f>Communes_HDF!B962</f>
        <v>Dimont</v>
      </c>
      <c r="C962" s="2" t="str">
        <f t="array" ref="C962">_xlfn.XLOOKUP(A962, INSEE_Communes!$A$2:$A$3783, INSEE_Communes!$F$2:$F$3783, "code introuvable")</f>
        <v>non publié</v>
      </c>
    </row>
    <row r="963">
      <c r="A963" s="2" t="str">
        <f>Communes_HDF!A963</f>
        <v>59176</v>
      </c>
      <c r="B963" s="2" t="str">
        <f>Communes_HDF!B963</f>
        <v>Doignies</v>
      </c>
      <c r="C963" s="2" t="str">
        <f t="array" ref="C963">_xlfn.XLOOKUP(A963, INSEE_Communes!$A$2:$A$3783, INSEE_Communes!$F$2:$F$3783, "code introuvable")</f>
        <v>non publié</v>
      </c>
    </row>
    <row r="964">
      <c r="A964" s="2" t="str">
        <f>Communes_HDF!A964</f>
        <v>59177</v>
      </c>
      <c r="B964" s="2" t="str">
        <f>Communes_HDF!B964</f>
        <v>Dompierre-sur-Helpe</v>
      </c>
      <c r="C964" s="2" t="str">
        <f t="array" ref="C964">_xlfn.XLOOKUP(A964, INSEE_Communes!$A$2:$A$3783, INSEE_Communes!$F$2:$F$3783, "code introuvable")</f>
        <v>non publié</v>
      </c>
    </row>
    <row r="965">
      <c r="A965" s="2" t="str">
        <f>Communes_HDF!A965</f>
        <v>59670</v>
      </c>
      <c r="B965" s="2" t="str">
        <f>Communes_HDF!B965</f>
        <v>Don</v>
      </c>
      <c r="C965" s="2" t="str">
        <f t="array" ref="C965">_xlfn.XLOOKUP(A965, INSEE_Communes!$A$2:$A$3783, INSEE_Communes!$F$2:$F$3783, "code introuvable")</f>
        <v>non publié</v>
      </c>
    </row>
    <row r="966">
      <c r="A966" s="2" t="str">
        <f>Communes_HDF!A966</f>
        <v>59178</v>
      </c>
      <c r="B966" s="2" t="str">
        <f>Communes_HDF!B966</f>
        <v>Douai</v>
      </c>
      <c r="C966" s="2">
        <f t="array" ref="C966">_xlfn.XLOOKUP(A966, INSEE_Communes!$A$2:$A$3783, INSEE_Communes!$F$2:$F$3783, "code introuvable")</f>
        <v>31.4</v>
      </c>
    </row>
    <row r="967">
      <c r="A967" s="2" t="str">
        <f>Communes_HDF!A967</f>
        <v>59179</v>
      </c>
      <c r="B967" s="2" t="str">
        <f>Communes_HDF!B967</f>
        <v>Douchy-les-Mines</v>
      </c>
      <c r="C967" s="2">
        <f t="array" ref="C967">_xlfn.XLOOKUP(A967, INSEE_Communes!$A$2:$A$3783, INSEE_Communes!$F$2:$F$3783, "code introuvable")</f>
        <v>29</v>
      </c>
    </row>
    <row r="968">
      <c r="A968" s="2" t="str">
        <f>Communes_HDF!A968</f>
        <v>59181</v>
      </c>
      <c r="B968" s="2" t="str">
        <f>Communes_HDF!B968</f>
        <v>Dourlers</v>
      </c>
      <c r="C968" s="2" t="str">
        <f t="array" ref="C968">_xlfn.XLOOKUP(A968, INSEE_Communes!$A$2:$A$3783, INSEE_Communes!$F$2:$F$3783, "code introuvable")</f>
        <v>non publié</v>
      </c>
    </row>
    <row r="969">
      <c r="A969" s="2" t="str">
        <f>Communes_HDF!A969</f>
        <v>59182</v>
      </c>
      <c r="B969" s="2" t="str">
        <f>Communes_HDF!B969</f>
        <v>Drincham</v>
      </c>
      <c r="C969" s="2" t="str">
        <f t="array" ref="C969">_xlfn.XLOOKUP(A969, INSEE_Communes!$A$2:$A$3783, INSEE_Communes!$F$2:$F$3783, "code introuvable")</f>
        <v>non publié</v>
      </c>
    </row>
    <row r="970">
      <c r="A970" s="2" t="str">
        <f>Communes_HDF!A970</f>
        <v>59183</v>
      </c>
      <c r="B970" s="2" t="str">
        <f>Communes_HDF!B970</f>
        <v>Dunkerque</v>
      </c>
      <c r="C970" s="2">
        <f t="array" ref="C970">_xlfn.XLOOKUP(A970, INSEE_Communes!$A$2:$A$3783, INSEE_Communes!$F$2:$F$3783, "code introuvable")</f>
        <v>22.7</v>
      </c>
    </row>
    <row r="971">
      <c r="A971" s="2" t="str">
        <f>Communes_HDF!A971</f>
        <v>59184</v>
      </c>
      <c r="B971" s="2" t="str">
        <f>Communes_HDF!B971</f>
        <v>Ebblinghem</v>
      </c>
      <c r="C971" s="2" t="str">
        <f t="array" ref="C971">_xlfn.XLOOKUP(A971, INSEE_Communes!$A$2:$A$3783, INSEE_Communes!$F$2:$F$3783, "code introuvable")</f>
        <v>non publié</v>
      </c>
    </row>
    <row r="972">
      <c r="A972" s="2" t="str">
        <f>Communes_HDF!A972</f>
        <v>59186</v>
      </c>
      <c r="B972" s="2" t="str">
        <f>Communes_HDF!B972</f>
        <v>Eccles</v>
      </c>
      <c r="C972" s="2" t="str">
        <f t="array" ref="C972">_xlfn.XLOOKUP(A972, INSEE_Communes!$A$2:$A$3783, INSEE_Communes!$F$2:$F$3783, "code introuvable")</f>
        <v>non publié</v>
      </c>
    </row>
    <row r="973">
      <c r="A973" s="2" t="str">
        <f>Communes_HDF!A973</f>
        <v>59189</v>
      </c>
      <c r="B973" s="2" t="str">
        <f>Communes_HDF!B973</f>
        <v>Eecke</v>
      </c>
      <c r="C973" s="2" t="str">
        <f t="array" ref="C973">_xlfn.XLOOKUP(A973, INSEE_Communes!$A$2:$A$3783, INSEE_Communes!$F$2:$F$3783, "code introuvable")</f>
        <v>non publié</v>
      </c>
    </row>
    <row r="974">
      <c r="A974" s="2" t="str">
        <f>Communes_HDF!A974</f>
        <v>59193</v>
      </c>
      <c r="B974" s="2" t="str">
        <f>Communes_HDF!B974</f>
        <v>Emmerin</v>
      </c>
      <c r="C974" s="2">
        <f t="array" ref="C974">_xlfn.XLOOKUP(A974, INSEE_Communes!$A$2:$A$3783, INSEE_Communes!$F$2:$F$3783, "code introuvable")</f>
        <v>6</v>
      </c>
    </row>
    <row r="975">
      <c r="A975" s="2" t="str">
        <f>Communes_HDF!A975</f>
        <v>59194</v>
      </c>
      <c r="B975" s="2" t="str">
        <f>Communes_HDF!B975</f>
        <v>Englefontaine</v>
      </c>
      <c r="C975" s="2" t="str">
        <f t="array" ref="C975">_xlfn.XLOOKUP(A975, INSEE_Communes!$A$2:$A$3783, INSEE_Communes!$F$2:$F$3783, "code introuvable")</f>
        <v>non publié</v>
      </c>
    </row>
    <row r="976">
      <c r="A976" s="2" t="str">
        <f>Communes_HDF!A976</f>
        <v>59195</v>
      </c>
      <c r="B976" s="2" t="str">
        <f>Communes_HDF!B976</f>
        <v>Englos</v>
      </c>
      <c r="C976" s="2" t="str">
        <f t="array" ref="C976">_xlfn.XLOOKUP(A976, INSEE_Communes!$A$2:$A$3783, INSEE_Communes!$F$2:$F$3783, "code introuvable")</f>
        <v>non publié</v>
      </c>
    </row>
    <row r="977">
      <c r="A977" s="2" t="str">
        <f>Communes_HDF!A977</f>
        <v>59196</v>
      </c>
      <c r="B977" s="2" t="str">
        <f>Communes_HDF!B977</f>
        <v>Ennetières-en-Weppes</v>
      </c>
      <c r="C977" s="2" t="str">
        <f t="array" ref="C977">_xlfn.XLOOKUP(A977, INSEE_Communes!$A$2:$A$3783, INSEE_Communes!$F$2:$F$3783, "code introuvable")</f>
        <v>non publié</v>
      </c>
    </row>
    <row r="978">
      <c r="A978" s="2" t="str">
        <f>Communes_HDF!A978</f>
        <v>59197</v>
      </c>
      <c r="B978" s="2" t="str">
        <f>Communes_HDF!B978</f>
        <v>Ennevelin</v>
      </c>
      <c r="C978" s="2">
        <f t="array" ref="C978">_xlfn.XLOOKUP(A978, INSEE_Communes!$A$2:$A$3783, INSEE_Communes!$F$2:$F$3783, "code introuvable")</f>
        <v>4</v>
      </c>
    </row>
    <row r="979">
      <c r="A979" s="2" t="str">
        <f>Communes_HDF!A979</f>
        <v>59198</v>
      </c>
      <c r="B979" s="2" t="str">
        <f>Communes_HDF!B979</f>
        <v>Eppe-Sauvage</v>
      </c>
      <c r="C979" s="2" t="str">
        <f t="array" ref="C979">_xlfn.XLOOKUP(A979, INSEE_Communes!$A$2:$A$3783, INSEE_Communes!$F$2:$F$3783, "code introuvable")</f>
        <v>non publié</v>
      </c>
    </row>
    <row r="980">
      <c r="A980" s="2" t="str">
        <f>Communes_HDF!A980</f>
        <v>59199</v>
      </c>
      <c r="B980" s="2" t="str">
        <f>Communes_HDF!B980</f>
        <v>Erchin</v>
      </c>
      <c r="C980" s="2" t="str">
        <f t="array" ref="C980">_xlfn.XLOOKUP(A980, INSEE_Communes!$A$2:$A$3783, INSEE_Communes!$F$2:$F$3783, "code introuvable")</f>
        <v>non publié</v>
      </c>
    </row>
    <row r="981">
      <c r="A981" s="2" t="str">
        <f>Communes_HDF!A981</f>
        <v>59200</v>
      </c>
      <c r="B981" s="2" t="str">
        <f>Communes_HDF!B981</f>
        <v>Eringhem</v>
      </c>
      <c r="C981" s="2" t="str">
        <f t="array" ref="C981">_xlfn.XLOOKUP(A981, INSEE_Communes!$A$2:$A$3783, INSEE_Communes!$F$2:$F$3783, "code introuvable")</f>
        <v>non publié</v>
      </c>
    </row>
    <row r="982">
      <c r="A982" s="2" t="str">
        <f>Communes_HDF!A982</f>
        <v>59202</v>
      </c>
      <c r="B982" s="2" t="str">
        <f>Communes_HDF!B982</f>
        <v>Erquinghem-Lys</v>
      </c>
      <c r="C982" s="2">
        <f t="array" ref="C982">_xlfn.XLOOKUP(A982, INSEE_Communes!$A$2:$A$3783, INSEE_Communes!$F$2:$F$3783, "code introuvable")</f>
        <v>9</v>
      </c>
    </row>
    <row r="983">
      <c r="A983" s="2" t="str">
        <f>Communes_HDF!A983</f>
        <v>59201</v>
      </c>
      <c r="B983" s="2" t="str">
        <f>Communes_HDF!B983</f>
        <v>Erquinghem-le-Sec</v>
      </c>
      <c r="C983" s="2" t="str">
        <f t="array" ref="C983">_xlfn.XLOOKUP(A983, INSEE_Communes!$A$2:$A$3783, INSEE_Communes!$F$2:$F$3783, "code introuvable")</f>
        <v>non publié</v>
      </c>
    </row>
    <row r="984">
      <c r="A984" s="2" t="str">
        <f>Communes_HDF!A984</f>
        <v>59203</v>
      </c>
      <c r="B984" s="2" t="str">
        <f>Communes_HDF!B984</f>
        <v>Erre</v>
      </c>
      <c r="C984" s="2" t="str">
        <f t="array" ref="C984">_xlfn.XLOOKUP(A984, INSEE_Communes!$A$2:$A$3783, INSEE_Communes!$F$2:$F$3783, "code introuvable")</f>
        <v>non publié</v>
      </c>
    </row>
    <row r="985">
      <c r="A985" s="2" t="str">
        <f>Communes_HDF!A985</f>
        <v>59204</v>
      </c>
      <c r="B985" s="2" t="str">
        <f>Communes_HDF!B985</f>
        <v>Escarmain</v>
      </c>
      <c r="C985" s="2" t="str">
        <f t="array" ref="C985">_xlfn.XLOOKUP(A985, INSEE_Communes!$A$2:$A$3783, INSEE_Communes!$F$2:$F$3783, "code introuvable")</f>
        <v>non publié</v>
      </c>
    </row>
    <row r="986">
      <c r="A986" s="2" t="str">
        <f>Communes_HDF!A986</f>
        <v>59205</v>
      </c>
      <c r="B986" s="2" t="str">
        <f>Communes_HDF!B986</f>
        <v>Escaudain</v>
      </c>
      <c r="C986" s="2">
        <f t="array" ref="C986">_xlfn.XLOOKUP(A986, INSEE_Communes!$A$2:$A$3783, INSEE_Communes!$F$2:$F$3783, "code introuvable")</f>
        <v>30</v>
      </c>
    </row>
    <row r="987">
      <c r="A987" s="2" t="str">
        <f>Communes_HDF!A987</f>
        <v>59206</v>
      </c>
      <c r="B987" s="2" t="str">
        <f>Communes_HDF!B987</f>
        <v>Escaudœuvres</v>
      </c>
      <c r="C987" s="2">
        <f t="array" ref="C987">_xlfn.XLOOKUP(A987, INSEE_Communes!$A$2:$A$3783, INSEE_Communes!$F$2:$F$3783, "code introuvable")</f>
        <v>20</v>
      </c>
    </row>
    <row r="988">
      <c r="A988" s="2" t="str">
        <f>Communes_HDF!A988</f>
        <v>59207</v>
      </c>
      <c r="B988" s="2" t="str">
        <f>Communes_HDF!B988</f>
        <v>Escautpont</v>
      </c>
      <c r="C988" s="2">
        <f t="array" ref="C988">_xlfn.XLOOKUP(A988, INSEE_Communes!$A$2:$A$3783, INSEE_Communes!$F$2:$F$3783, "code introuvable")</f>
        <v>36</v>
      </c>
    </row>
    <row r="989">
      <c r="A989" s="2" t="str">
        <f>Communes_HDF!A989</f>
        <v>59208</v>
      </c>
      <c r="B989" s="2" t="str">
        <f>Communes_HDF!B989</f>
        <v>Escobecques</v>
      </c>
      <c r="C989" s="2" t="str">
        <f t="array" ref="C989">_xlfn.XLOOKUP(A989, INSEE_Communes!$A$2:$A$3783, INSEE_Communes!$F$2:$F$3783, "code introuvable")</f>
        <v>non publié</v>
      </c>
    </row>
    <row r="990">
      <c r="A990" s="2" t="str">
        <f>Communes_HDF!A990</f>
        <v>59209</v>
      </c>
      <c r="B990" s="2" t="str">
        <f>Communes_HDF!B990</f>
        <v>Esnes</v>
      </c>
      <c r="C990" s="2" t="str">
        <f t="array" ref="C990">_xlfn.XLOOKUP(A990, INSEE_Communes!$A$2:$A$3783, INSEE_Communes!$F$2:$F$3783, "code introuvable")</f>
        <v>non publié</v>
      </c>
    </row>
    <row r="991">
      <c r="A991" s="2" t="str">
        <f>Communes_HDF!A991</f>
        <v>59210</v>
      </c>
      <c r="B991" s="2" t="str">
        <f>Communes_HDF!B991</f>
        <v>Esquelbecq</v>
      </c>
      <c r="C991" s="2">
        <f t="array" ref="C991">_xlfn.XLOOKUP(A991, INSEE_Communes!$A$2:$A$3783, INSEE_Communes!$F$2:$F$3783, "code introuvable")</f>
        <v>11</v>
      </c>
    </row>
    <row r="992">
      <c r="A992" s="2" t="str">
        <f>Communes_HDF!A992</f>
        <v>59211</v>
      </c>
      <c r="B992" s="2" t="str">
        <f>Communes_HDF!B992</f>
        <v>Esquerchin</v>
      </c>
      <c r="C992" s="2" t="str">
        <f t="array" ref="C992">_xlfn.XLOOKUP(A992, INSEE_Communes!$A$2:$A$3783, INSEE_Communes!$F$2:$F$3783, "code introuvable")</f>
        <v>non publié</v>
      </c>
    </row>
    <row r="993">
      <c r="A993" s="2" t="str">
        <f>Communes_HDF!A993</f>
        <v>59212</v>
      </c>
      <c r="B993" s="2" t="str">
        <f>Communes_HDF!B993</f>
        <v>Estaires</v>
      </c>
      <c r="C993" s="2">
        <f t="array" ref="C993">_xlfn.XLOOKUP(A993, INSEE_Communes!$A$2:$A$3783, INSEE_Communes!$F$2:$F$3783, "code introuvable")</f>
        <v>13</v>
      </c>
    </row>
    <row r="994">
      <c r="A994" s="2" t="str">
        <f>Communes_HDF!A994</f>
        <v>59213</v>
      </c>
      <c r="B994" s="2" t="str">
        <f>Communes_HDF!B994</f>
        <v>Estourmel</v>
      </c>
      <c r="C994" s="2" t="str">
        <f t="array" ref="C994">_xlfn.XLOOKUP(A994, INSEE_Communes!$A$2:$A$3783, INSEE_Communes!$F$2:$F$3783, "code introuvable")</f>
        <v>non publié</v>
      </c>
    </row>
    <row r="995">
      <c r="A995" s="2" t="str">
        <f>Communes_HDF!A995</f>
        <v>59215</v>
      </c>
      <c r="B995" s="2" t="str">
        <f>Communes_HDF!B995</f>
        <v>Estreux</v>
      </c>
      <c r="C995" s="2" t="str">
        <f t="array" ref="C995">_xlfn.XLOOKUP(A995, INSEE_Communes!$A$2:$A$3783, INSEE_Communes!$F$2:$F$3783, "code introuvable")</f>
        <v>non publié</v>
      </c>
    </row>
    <row r="996">
      <c r="A996" s="2" t="str">
        <f>Communes_HDF!A996</f>
        <v>59219</v>
      </c>
      <c r="B996" s="2" t="str">
        <f>Communes_HDF!B996</f>
        <v>Estrun</v>
      </c>
      <c r="C996" s="2" t="str">
        <f t="array" ref="C996">_xlfn.XLOOKUP(A996, INSEE_Communes!$A$2:$A$3783, INSEE_Communes!$F$2:$F$3783, "code introuvable")</f>
        <v>non publié</v>
      </c>
    </row>
    <row r="997">
      <c r="A997" s="2" t="str">
        <f>Communes_HDF!A997</f>
        <v>59214</v>
      </c>
      <c r="B997" s="2" t="str">
        <f>Communes_HDF!B997</f>
        <v>Estrées</v>
      </c>
      <c r="C997" s="2" t="str">
        <f t="array" ref="C997">_xlfn.XLOOKUP(A997, INSEE_Communes!$A$2:$A$3783, INSEE_Communes!$F$2:$F$3783, "code introuvable")</f>
        <v>non publié</v>
      </c>
    </row>
    <row r="998">
      <c r="A998" s="2" t="str">
        <f>Communes_HDF!A998</f>
        <v>59216</v>
      </c>
      <c r="B998" s="2" t="str">
        <f>Communes_HDF!B998</f>
        <v>Eswars</v>
      </c>
      <c r="C998" s="2" t="str">
        <f t="array" ref="C998">_xlfn.XLOOKUP(A998, INSEE_Communes!$A$2:$A$3783, INSEE_Communes!$F$2:$F$3783, "code introuvable")</f>
        <v>non publié</v>
      </c>
    </row>
    <row r="999">
      <c r="A999" s="2" t="str">
        <f>Communes_HDF!A999</f>
        <v>59217</v>
      </c>
      <c r="B999" s="2" t="str">
        <f>Communes_HDF!B999</f>
        <v>Eth</v>
      </c>
      <c r="C999" s="2" t="str">
        <f t="array" ref="C999">_xlfn.XLOOKUP(A999, INSEE_Communes!$A$2:$A$3783, INSEE_Communes!$F$2:$F$3783, "code introuvable")</f>
        <v>non publié</v>
      </c>
    </row>
    <row r="1000">
      <c r="A1000" s="2" t="str">
        <f>Communes_HDF!A1000</f>
        <v>59220</v>
      </c>
      <c r="B1000" s="2" t="str">
        <f>Communes_HDF!B1000</f>
        <v>Faches-Thumesnil</v>
      </c>
      <c r="C1000" s="2">
        <f t="array" ref="C1000">_xlfn.XLOOKUP(A1000, INSEE_Communes!$A$2:$A$3783, INSEE_Communes!$F$2:$F$3783, "code introuvable")</f>
        <v>20</v>
      </c>
    </row>
    <row r="1001">
      <c r="A1001" s="2" t="str">
        <f>Communes_HDF!A1001</f>
        <v>59221</v>
      </c>
      <c r="B1001" s="2" t="str">
        <f>Communes_HDF!B1001</f>
        <v>Famars</v>
      </c>
      <c r="C1001" s="2">
        <f t="array" ref="C1001">_xlfn.XLOOKUP(A1001, INSEE_Communes!$A$2:$A$3783, INSEE_Communes!$F$2:$F$3783, "code introuvable")</f>
        <v>16</v>
      </c>
    </row>
    <row r="1002">
      <c r="A1002" s="2" t="str">
        <f>Communes_HDF!A1002</f>
        <v>59222</v>
      </c>
      <c r="B1002" s="2" t="str">
        <f>Communes_HDF!B1002</f>
        <v>Faumont</v>
      </c>
      <c r="C1002" s="2">
        <f t="array" ref="C1002">_xlfn.XLOOKUP(A1002, INSEE_Communes!$A$2:$A$3783, INSEE_Communes!$F$2:$F$3783, "code introuvable")</f>
        <v>5</v>
      </c>
    </row>
    <row r="1003">
      <c r="A1003" s="2" t="str">
        <f>Communes_HDF!A1003</f>
        <v>59225</v>
      </c>
      <c r="B1003" s="2" t="str">
        <f>Communes_HDF!B1003</f>
        <v>Feignies</v>
      </c>
      <c r="C1003" s="2">
        <f t="array" ref="C1003">_xlfn.XLOOKUP(A1003, INSEE_Communes!$A$2:$A$3783, INSEE_Communes!$F$2:$F$3783, "code introuvable")</f>
        <v>25</v>
      </c>
    </row>
    <row r="1004">
      <c r="A1004" s="2" t="str">
        <f>Communes_HDF!A1004</f>
        <v>59226</v>
      </c>
      <c r="B1004" s="2" t="str">
        <f>Communes_HDF!B1004</f>
        <v>Felleries</v>
      </c>
      <c r="C1004" s="2" t="str">
        <f t="array" ref="C1004">_xlfn.XLOOKUP(A1004, INSEE_Communes!$A$2:$A$3783, INSEE_Communes!$F$2:$F$3783, "code introuvable")</f>
        <v>non publié</v>
      </c>
    </row>
    <row r="1005">
      <c r="A1005" s="2" t="str">
        <f>Communes_HDF!A1005</f>
        <v>59227</v>
      </c>
      <c r="B1005" s="2" t="str">
        <f>Communes_HDF!B1005</f>
        <v>Fenain</v>
      </c>
      <c r="C1005" s="2">
        <f t="array" ref="C1005">_xlfn.XLOOKUP(A1005, INSEE_Communes!$A$2:$A$3783, INSEE_Communes!$F$2:$F$3783, "code introuvable")</f>
        <v>19</v>
      </c>
    </row>
    <row r="1006">
      <c r="A1006" s="2" t="str">
        <f>Communes_HDF!A1006</f>
        <v>59230</v>
      </c>
      <c r="B1006" s="2" t="str">
        <f>Communes_HDF!B1006</f>
        <v>Ferrière-la-Grande</v>
      </c>
      <c r="C1006" s="2">
        <f t="array" ref="C1006">_xlfn.XLOOKUP(A1006, INSEE_Communes!$A$2:$A$3783, INSEE_Communes!$F$2:$F$3783, "code introuvable")</f>
        <v>25</v>
      </c>
    </row>
    <row r="1007">
      <c r="A1007" s="2" t="str">
        <f>Communes_HDF!A1007</f>
        <v>59231</v>
      </c>
      <c r="B1007" s="2" t="str">
        <f>Communes_HDF!B1007</f>
        <v>Ferrière-la-Petite</v>
      </c>
      <c r="C1007" s="2" t="str">
        <f t="array" ref="C1007">_xlfn.XLOOKUP(A1007, INSEE_Communes!$A$2:$A$3783, INSEE_Communes!$F$2:$F$3783, "code introuvable")</f>
        <v>non publié</v>
      </c>
    </row>
    <row r="1008">
      <c r="A1008" s="2" t="str">
        <f>Communes_HDF!A1008</f>
        <v>59233</v>
      </c>
      <c r="B1008" s="2" t="str">
        <f>Communes_HDF!B1008</f>
        <v>Flaumont-Waudrechies</v>
      </c>
      <c r="C1008" s="2" t="str">
        <f t="array" ref="C1008">_xlfn.XLOOKUP(A1008, INSEE_Communes!$A$2:$A$3783, INSEE_Communes!$F$2:$F$3783, "code introuvable")</f>
        <v>non publié</v>
      </c>
    </row>
    <row r="1009">
      <c r="A1009" s="2" t="str">
        <f>Communes_HDF!A1009</f>
        <v>59234</v>
      </c>
      <c r="B1009" s="2" t="str">
        <f>Communes_HDF!B1009</f>
        <v>Flers-en-Escrebieux</v>
      </c>
      <c r="C1009" s="2">
        <f t="array" ref="C1009">_xlfn.XLOOKUP(A1009, INSEE_Communes!$A$2:$A$3783, INSEE_Communes!$F$2:$F$3783, "code introuvable")</f>
        <v>23</v>
      </c>
    </row>
    <row r="1010">
      <c r="A1010" s="2" t="str">
        <f>Communes_HDF!A1010</f>
        <v>59236</v>
      </c>
      <c r="B1010" s="2" t="str">
        <f>Communes_HDF!B1010</f>
        <v>Flesquières</v>
      </c>
      <c r="C1010" s="2" t="str">
        <f t="array" ref="C1010">_xlfn.XLOOKUP(A1010, INSEE_Communes!$A$2:$A$3783, INSEE_Communes!$F$2:$F$3783, "code introuvable")</f>
        <v>non publié</v>
      </c>
    </row>
    <row r="1011">
      <c r="A1011" s="2" t="str">
        <f>Communes_HDF!A1011</f>
        <v>59239</v>
      </c>
      <c r="B1011" s="2" t="str">
        <f>Communes_HDF!B1011</f>
        <v>Flines-lez-Raches</v>
      </c>
      <c r="C1011" s="2">
        <f t="array" ref="C1011">_xlfn.XLOOKUP(A1011, INSEE_Communes!$A$2:$A$3783, INSEE_Communes!$F$2:$F$3783, "code introuvable")</f>
        <v>11</v>
      </c>
    </row>
    <row r="1012">
      <c r="A1012" s="2" t="str">
        <f>Communes_HDF!A1012</f>
        <v>59238</v>
      </c>
      <c r="B1012" s="2" t="str">
        <f>Communes_HDF!B1012</f>
        <v>Flines-lès-Mortagne</v>
      </c>
      <c r="C1012" s="2" t="str">
        <f t="array" ref="C1012">_xlfn.XLOOKUP(A1012, INSEE_Communes!$A$2:$A$3783, INSEE_Communes!$F$2:$F$3783, "code introuvable")</f>
        <v>non publié</v>
      </c>
    </row>
    <row r="1013">
      <c r="A1013" s="2" t="str">
        <f>Communes_HDF!A1013</f>
        <v>59240</v>
      </c>
      <c r="B1013" s="2" t="str">
        <f>Communes_HDF!B1013</f>
        <v>Floursies</v>
      </c>
      <c r="C1013" s="2" t="str">
        <f t="array" ref="C1013">_xlfn.XLOOKUP(A1013, INSEE_Communes!$A$2:$A$3783, INSEE_Communes!$F$2:$F$3783, "code introuvable")</f>
        <v>non publié</v>
      </c>
    </row>
    <row r="1014">
      <c r="A1014" s="2" t="str">
        <f>Communes_HDF!A1014</f>
        <v>59241</v>
      </c>
      <c r="B1014" s="2" t="str">
        <f>Communes_HDF!B1014</f>
        <v>Floyon</v>
      </c>
      <c r="C1014" s="2" t="str">
        <f t="array" ref="C1014">_xlfn.XLOOKUP(A1014, INSEE_Communes!$A$2:$A$3783, INSEE_Communes!$F$2:$F$3783, "code introuvable")</f>
        <v>non publié</v>
      </c>
    </row>
    <row r="1015">
      <c r="A1015" s="2" t="str">
        <f>Communes_HDF!A1015</f>
        <v>59237</v>
      </c>
      <c r="B1015" s="2" t="str">
        <f>Communes_HDF!B1015</f>
        <v>Flêtre</v>
      </c>
      <c r="C1015" s="2" t="str">
        <f t="array" ref="C1015">_xlfn.XLOOKUP(A1015, INSEE_Communes!$A$2:$A$3783, INSEE_Communes!$F$2:$F$3783, "code introuvable")</f>
        <v>non publié</v>
      </c>
    </row>
    <row r="1016">
      <c r="A1016" s="2" t="str">
        <f>Communes_HDF!A1016</f>
        <v>59244</v>
      </c>
      <c r="B1016" s="2" t="str">
        <f>Communes_HDF!B1016</f>
        <v>Fontaine-Notre-Dame</v>
      </c>
      <c r="C1016" s="2" t="str">
        <f t="array" ref="C1016">_xlfn.XLOOKUP(A1016, INSEE_Communes!$A$2:$A$3783, INSEE_Communes!$F$2:$F$3783, "code introuvable")</f>
        <v>non publié</v>
      </c>
    </row>
    <row r="1017">
      <c r="A1017" s="2" t="str">
        <f>Communes_HDF!A1017</f>
        <v>59242</v>
      </c>
      <c r="B1017" s="2" t="str">
        <f>Communes_HDF!B1017</f>
        <v>Fontaine-au-Bois</v>
      </c>
      <c r="C1017" s="2" t="str">
        <f t="array" ref="C1017">_xlfn.XLOOKUP(A1017, INSEE_Communes!$A$2:$A$3783, INSEE_Communes!$F$2:$F$3783, "code introuvable")</f>
        <v>non publié</v>
      </c>
    </row>
    <row r="1018">
      <c r="A1018" s="2" t="str">
        <f>Communes_HDF!A1018</f>
        <v>59243</v>
      </c>
      <c r="B1018" s="2" t="str">
        <f>Communes_HDF!B1018</f>
        <v>Fontaine-au-Pire</v>
      </c>
      <c r="C1018" s="2" t="str">
        <f t="array" ref="C1018">_xlfn.XLOOKUP(A1018, INSEE_Communes!$A$2:$A$3783, INSEE_Communes!$F$2:$F$3783, "code introuvable")</f>
        <v>non publié</v>
      </c>
    </row>
    <row r="1019">
      <c r="A1019" s="2" t="str">
        <f>Communes_HDF!A1019</f>
        <v>59246</v>
      </c>
      <c r="B1019" s="2" t="str">
        <f>Communes_HDF!B1019</f>
        <v>Forest-en-Cambrésis</v>
      </c>
      <c r="C1019" s="2" t="str">
        <f t="array" ref="C1019">_xlfn.XLOOKUP(A1019, INSEE_Communes!$A$2:$A$3783, INSEE_Communes!$F$2:$F$3783, "code introuvable")</f>
        <v>non publié</v>
      </c>
    </row>
    <row r="1020">
      <c r="A1020" s="2" t="str">
        <f>Communes_HDF!A1020</f>
        <v>59247</v>
      </c>
      <c r="B1020" s="2" t="str">
        <f>Communes_HDF!B1020</f>
        <v>Forest-sur-Marque</v>
      </c>
      <c r="C1020" s="2" t="str">
        <f t="array" ref="C1020">_xlfn.XLOOKUP(A1020, INSEE_Communes!$A$2:$A$3783, INSEE_Communes!$F$2:$F$3783, "code introuvable")</f>
        <v>non publié</v>
      </c>
    </row>
    <row r="1021">
      <c r="A1021" s="2" t="str">
        <f>Communes_HDF!A1021</f>
        <v>59249</v>
      </c>
      <c r="B1021" s="2" t="str">
        <f>Communes_HDF!B1021</f>
        <v>Fourmies</v>
      </c>
      <c r="C1021" s="2">
        <f t="array" ref="C1021">_xlfn.XLOOKUP(A1021, INSEE_Communes!$A$2:$A$3783, INSEE_Communes!$F$2:$F$3783, "code introuvable")</f>
        <v>35</v>
      </c>
    </row>
    <row r="1022">
      <c r="A1022" s="2" t="str">
        <f>Communes_HDF!A1022</f>
        <v>59250</v>
      </c>
      <c r="B1022" s="2" t="str">
        <f>Communes_HDF!B1022</f>
        <v>Fournes-en-Weppes</v>
      </c>
      <c r="C1022" s="2">
        <f t="array" ref="C1022">_xlfn.XLOOKUP(A1022, INSEE_Communes!$A$2:$A$3783, INSEE_Communes!$F$2:$F$3783, "code introuvable")</f>
        <v>4</v>
      </c>
    </row>
    <row r="1023">
      <c r="A1023" s="2" t="str">
        <f>Communes_HDF!A1023</f>
        <v>59251</v>
      </c>
      <c r="B1023" s="2" t="str">
        <f>Communes_HDF!B1023</f>
        <v>Frasnoy</v>
      </c>
      <c r="C1023" s="2" t="str">
        <f t="array" ref="C1023">_xlfn.XLOOKUP(A1023, INSEE_Communes!$A$2:$A$3783, INSEE_Communes!$F$2:$F$3783, "code introuvable")</f>
        <v>non publié</v>
      </c>
    </row>
    <row r="1024">
      <c r="A1024" s="2" t="str">
        <f>Communes_HDF!A1024</f>
        <v>59252</v>
      </c>
      <c r="B1024" s="2" t="str">
        <f>Communes_HDF!B1024</f>
        <v>Frelinghien</v>
      </c>
      <c r="C1024" s="2">
        <f t="array" ref="C1024">_xlfn.XLOOKUP(A1024, INSEE_Communes!$A$2:$A$3783, INSEE_Communes!$F$2:$F$3783, "code introuvable")</f>
        <v>8</v>
      </c>
    </row>
    <row r="1025">
      <c r="A1025" s="2" t="str">
        <f>Communes_HDF!A1025</f>
        <v>59253</v>
      </c>
      <c r="B1025" s="2" t="str">
        <f>Communes_HDF!B1025</f>
        <v>Fresnes-sur-Escaut</v>
      </c>
      <c r="C1025" s="2">
        <f t="array" ref="C1025">_xlfn.XLOOKUP(A1025, INSEE_Communes!$A$2:$A$3783, INSEE_Communes!$F$2:$F$3783, "code introuvable")</f>
        <v>28</v>
      </c>
    </row>
    <row r="1026">
      <c r="A1026" s="2" t="str">
        <f>Communes_HDF!A1026</f>
        <v>59254</v>
      </c>
      <c r="B1026" s="2" t="str">
        <f>Communes_HDF!B1026</f>
        <v>Fressain</v>
      </c>
      <c r="C1026" s="2" t="str">
        <f t="array" ref="C1026">_xlfn.XLOOKUP(A1026, INSEE_Communes!$A$2:$A$3783, INSEE_Communes!$F$2:$F$3783, "code introuvable")</f>
        <v>non publié</v>
      </c>
    </row>
    <row r="1027">
      <c r="A1027" s="2" t="str">
        <f>Communes_HDF!A1027</f>
        <v>59255</v>
      </c>
      <c r="B1027" s="2" t="str">
        <f>Communes_HDF!B1027</f>
        <v>Fressies</v>
      </c>
      <c r="C1027" s="2" t="str">
        <f t="array" ref="C1027">_xlfn.XLOOKUP(A1027, INSEE_Communes!$A$2:$A$3783, INSEE_Communes!$F$2:$F$3783, "code introuvable")</f>
        <v>non publié</v>
      </c>
    </row>
    <row r="1028">
      <c r="A1028" s="2" t="str">
        <f>Communes_HDF!A1028</f>
        <v>59256</v>
      </c>
      <c r="B1028" s="2" t="str">
        <f>Communes_HDF!B1028</f>
        <v>Fretin</v>
      </c>
      <c r="C1028" s="2">
        <f t="array" ref="C1028">_xlfn.XLOOKUP(A1028, INSEE_Communes!$A$2:$A$3783, INSEE_Communes!$F$2:$F$3783, "code introuvable")</f>
        <v>8</v>
      </c>
    </row>
    <row r="1029">
      <c r="A1029" s="2" t="str">
        <f>Communes_HDF!A1029</f>
        <v>59257</v>
      </c>
      <c r="B1029" s="2" t="str">
        <f>Communes_HDF!B1029</f>
        <v>Fromelles</v>
      </c>
      <c r="C1029" s="2" t="str">
        <f t="array" ref="C1029">_xlfn.XLOOKUP(A1029, INSEE_Communes!$A$2:$A$3783, INSEE_Communes!$F$2:$F$3783, "code introuvable")</f>
        <v>non publié</v>
      </c>
    </row>
    <row r="1030">
      <c r="A1030" s="2" t="str">
        <f>Communes_HDF!A1030</f>
        <v>59224</v>
      </c>
      <c r="B1030" s="2" t="str">
        <f>Communes_HDF!B1030</f>
        <v>Féchain</v>
      </c>
      <c r="C1030" s="2" t="str">
        <f t="array" ref="C1030">_xlfn.XLOOKUP(A1030, INSEE_Communes!$A$2:$A$3783, INSEE_Communes!$F$2:$F$3783, "code introuvable")</f>
        <v>non publié</v>
      </c>
    </row>
    <row r="1031">
      <c r="A1031" s="2" t="str">
        <f>Communes_HDF!A1031</f>
        <v>59228</v>
      </c>
      <c r="B1031" s="2" t="str">
        <f>Communes_HDF!B1031</f>
        <v>Férin</v>
      </c>
      <c r="C1031" s="2" t="str">
        <f t="array" ref="C1031">_xlfn.XLOOKUP(A1031, INSEE_Communes!$A$2:$A$3783, INSEE_Communes!$F$2:$F$3783, "code introuvable")</f>
        <v>non publié</v>
      </c>
    </row>
    <row r="1032">
      <c r="A1032" s="2" t="str">
        <f>Communes_HDF!A1032</f>
        <v>59229</v>
      </c>
      <c r="B1032" s="2" t="str">
        <f>Communes_HDF!B1032</f>
        <v>Féron</v>
      </c>
      <c r="C1032" s="2" t="str">
        <f t="array" ref="C1032">_xlfn.XLOOKUP(A1032, INSEE_Communes!$A$2:$A$3783, INSEE_Communes!$F$2:$F$3783, "code introuvable")</f>
        <v>non publié</v>
      </c>
    </row>
    <row r="1033">
      <c r="A1033" s="2" t="str">
        <f>Communes_HDF!A1033</f>
        <v>59258</v>
      </c>
      <c r="B1033" s="2" t="str">
        <f>Communes_HDF!B1033</f>
        <v>Genech</v>
      </c>
      <c r="C1033" s="2">
        <f t="array" ref="C1033">_xlfn.XLOOKUP(A1033, INSEE_Communes!$A$2:$A$3783, INSEE_Communes!$F$2:$F$3783, "code introuvable")</f>
        <v>5</v>
      </c>
    </row>
    <row r="1034">
      <c r="A1034" s="2" t="str">
        <f>Communes_HDF!A1034</f>
        <v>59259</v>
      </c>
      <c r="B1034" s="2" t="str">
        <f>Communes_HDF!B1034</f>
        <v>Ghissignies</v>
      </c>
      <c r="C1034" s="2" t="str">
        <f t="array" ref="C1034">_xlfn.XLOOKUP(A1034, INSEE_Communes!$A$2:$A$3783, INSEE_Communes!$F$2:$F$3783, "code introuvable")</f>
        <v>non publié</v>
      </c>
    </row>
    <row r="1035">
      <c r="A1035" s="2" t="str">
        <f>Communes_HDF!A1035</f>
        <v>59260</v>
      </c>
      <c r="B1035" s="2" t="str">
        <f>Communes_HDF!B1035</f>
        <v>Ghyvelde</v>
      </c>
      <c r="C1035" s="2">
        <f t="array" ref="C1035">_xlfn.XLOOKUP(A1035, INSEE_Communes!$A$2:$A$3783, INSEE_Communes!$F$2:$F$3783, "code introuvable")</f>
        <v>9</v>
      </c>
    </row>
    <row r="1036">
      <c r="A1036" s="2" t="str">
        <f>Communes_HDF!A1036</f>
        <v>59261</v>
      </c>
      <c r="B1036" s="2" t="str">
        <f>Communes_HDF!B1036</f>
        <v>Glageon</v>
      </c>
      <c r="C1036" s="2" t="str">
        <f t="array" ref="C1036">_xlfn.XLOOKUP(A1036, INSEE_Communes!$A$2:$A$3783, INSEE_Communes!$F$2:$F$3783, "code introuvable")</f>
        <v>non publié</v>
      </c>
    </row>
    <row r="1037">
      <c r="A1037" s="2" t="str">
        <f>Communes_HDF!A1037</f>
        <v>59262</v>
      </c>
      <c r="B1037" s="2" t="str">
        <f>Communes_HDF!B1037</f>
        <v>Godewaersvelde</v>
      </c>
      <c r="C1037" s="2" t="str">
        <f t="array" ref="C1037">_xlfn.XLOOKUP(A1037, INSEE_Communes!$A$2:$A$3783, INSEE_Communes!$F$2:$F$3783, "code introuvable")</f>
        <v>non publié</v>
      </c>
    </row>
    <row r="1038">
      <c r="A1038" s="2" t="str">
        <f>Communes_HDF!A1038</f>
        <v>59264</v>
      </c>
      <c r="B1038" s="2" t="str">
        <f>Communes_HDF!B1038</f>
        <v>Gognies-Chaussée</v>
      </c>
      <c r="C1038" s="2" t="str">
        <f t="array" ref="C1038">_xlfn.XLOOKUP(A1038, INSEE_Communes!$A$2:$A$3783, INSEE_Communes!$F$2:$F$3783, "code introuvable")</f>
        <v>non publié</v>
      </c>
    </row>
    <row r="1039">
      <c r="A1039" s="2" t="str">
        <f>Communes_HDF!A1039</f>
        <v>59265</v>
      </c>
      <c r="B1039" s="2" t="str">
        <f>Communes_HDF!B1039</f>
        <v>Gommegnies</v>
      </c>
      <c r="C1039" s="2">
        <f t="array" ref="C1039">_xlfn.XLOOKUP(A1039, INSEE_Communes!$A$2:$A$3783, INSEE_Communes!$F$2:$F$3783, "code introuvable")</f>
        <v>10</v>
      </c>
    </row>
    <row r="1040">
      <c r="A1040" s="2" t="str">
        <f>Communes_HDF!A1040</f>
        <v>59266</v>
      </c>
      <c r="B1040" s="2" t="str">
        <f>Communes_HDF!B1040</f>
        <v>Gondecourt</v>
      </c>
      <c r="C1040" s="2">
        <f t="array" ref="C1040">_xlfn.XLOOKUP(A1040, INSEE_Communes!$A$2:$A$3783, INSEE_Communes!$F$2:$F$3783, "code introuvable")</f>
        <v>7</v>
      </c>
    </row>
    <row r="1041">
      <c r="A1041" s="2" t="str">
        <f>Communes_HDF!A1041</f>
        <v>59267</v>
      </c>
      <c r="B1041" s="2" t="str">
        <f>Communes_HDF!B1041</f>
        <v>Gonnelieu</v>
      </c>
      <c r="C1041" s="2" t="str">
        <f t="array" ref="C1041">_xlfn.XLOOKUP(A1041, INSEE_Communes!$A$2:$A$3783, INSEE_Communes!$F$2:$F$3783, "code introuvable")</f>
        <v>non publié</v>
      </c>
    </row>
    <row r="1042">
      <c r="A1042" s="2" t="str">
        <f>Communes_HDF!A1042</f>
        <v>59269</v>
      </c>
      <c r="B1042" s="2" t="str">
        <f>Communes_HDF!B1042</f>
        <v>Gouzeaucourt</v>
      </c>
      <c r="C1042" s="2" t="str">
        <f t="array" ref="C1042">_xlfn.XLOOKUP(A1042, INSEE_Communes!$A$2:$A$3783, INSEE_Communes!$F$2:$F$3783, "code introuvable")</f>
        <v>non publié</v>
      </c>
    </row>
    <row r="1043">
      <c r="A1043" s="2" t="str">
        <f>Communes_HDF!A1043</f>
        <v>59270</v>
      </c>
      <c r="B1043" s="2" t="str">
        <f>Communes_HDF!B1043</f>
        <v>Grand-Fayt</v>
      </c>
      <c r="C1043" s="2" t="str">
        <f t="array" ref="C1043">_xlfn.XLOOKUP(A1043, INSEE_Communes!$A$2:$A$3783, INSEE_Communes!$F$2:$F$3783, "code introuvable")</f>
        <v>non publié</v>
      </c>
    </row>
    <row r="1044">
      <c r="A1044" s="2" t="str">
        <f>Communes_HDF!A1044</f>
        <v>59272</v>
      </c>
      <c r="B1044" s="2" t="str">
        <f>Communes_HDF!B1044</f>
        <v>Grand-Fort-Philippe</v>
      </c>
      <c r="C1044" s="2">
        <f t="array" ref="C1044">_xlfn.XLOOKUP(A1044, INSEE_Communes!$A$2:$A$3783, INSEE_Communes!$F$2:$F$3783, "code introuvable")</f>
        <v>19</v>
      </c>
    </row>
    <row r="1045">
      <c r="A1045" s="2" t="str">
        <f>Communes_HDF!A1045</f>
        <v>59271</v>
      </c>
      <c r="B1045" s="2" t="str">
        <f>Communes_HDF!B1045</f>
        <v>Grande-Synthe</v>
      </c>
      <c r="C1045" s="2">
        <f t="array" ref="C1045">_xlfn.XLOOKUP(A1045, INSEE_Communes!$A$2:$A$3783, INSEE_Communes!$F$2:$F$3783, "code introuvable")</f>
        <v>35</v>
      </c>
    </row>
    <row r="1046">
      <c r="A1046" s="2" t="str">
        <f>Communes_HDF!A1046</f>
        <v>59273</v>
      </c>
      <c r="B1046" s="2" t="str">
        <f>Communes_HDF!B1046</f>
        <v>Gravelines</v>
      </c>
      <c r="C1046" s="2">
        <f t="array" ref="C1046">_xlfn.XLOOKUP(A1046, INSEE_Communes!$A$2:$A$3783, INSEE_Communes!$F$2:$F$3783, "code introuvable")</f>
        <v>16</v>
      </c>
    </row>
    <row r="1047">
      <c r="A1047" s="2" t="str">
        <f>Communes_HDF!A1047</f>
        <v>59275</v>
      </c>
      <c r="B1047" s="2" t="str">
        <f>Communes_HDF!B1047</f>
        <v>Gruson</v>
      </c>
      <c r="C1047" s="2" t="str">
        <f t="array" ref="C1047">_xlfn.XLOOKUP(A1047, INSEE_Communes!$A$2:$A$3783, INSEE_Communes!$F$2:$F$3783, "code introuvable")</f>
        <v>non publié</v>
      </c>
    </row>
    <row r="1048">
      <c r="A1048" s="2" t="str">
        <f>Communes_HDF!A1048</f>
        <v>59276</v>
      </c>
      <c r="B1048" s="2" t="str">
        <f>Communes_HDF!B1048</f>
        <v>Guesnain</v>
      </c>
      <c r="C1048" s="2">
        <f t="array" ref="C1048">_xlfn.XLOOKUP(A1048, INSEE_Communes!$A$2:$A$3783, INSEE_Communes!$F$2:$F$3783, "code introuvable")</f>
        <v>25</v>
      </c>
    </row>
    <row r="1049">
      <c r="A1049" s="2" t="str">
        <f>Communes_HDF!A1049</f>
        <v>59277</v>
      </c>
      <c r="B1049" s="2" t="str">
        <f>Communes_HDF!B1049</f>
        <v>Gussignies</v>
      </c>
      <c r="C1049" s="2" t="str">
        <f t="array" ref="C1049">_xlfn.XLOOKUP(A1049, INSEE_Communes!$A$2:$A$3783, INSEE_Communes!$F$2:$F$3783, "code introuvable")</f>
        <v>non publié</v>
      </c>
    </row>
    <row r="1050">
      <c r="A1050" s="2" t="str">
        <f>Communes_HDF!A1050</f>
        <v>59263</v>
      </c>
      <c r="B1050" s="2" t="str">
        <f>Communes_HDF!B1050</f>
        <v>Gœulzin</v>
      </c>
      <c r="C1050" s="2" t="str">
        <f t="array" ref="C1050">_xlfn.XLOOKUP(A1050, INSEE_Communes!$A$2:$A$3783, INSEE_Communes!$F$2:$F$3783, "code introuvable")</f>
        <v>non publié</v>
      </c>
    </row>
    <row r="1051">
      <c r="A1051" s="2" t="str">
        <f>Communes_HDF!A1051</f>
        <v>59278</v>
      </c>
      <c r="B1051" s="2" t="str">
        <f>Communes_HDF!B1051</f>
        <v>Hallennes-lez-Haubourdin</v>
      </c>
      <c r="C1051" s="2">
        <f t="array" ref="C1051">_xlfn.XLOOKUP(A1051, INSEE_Communes!$A$2:$A$3783, INSEE_Communes!$F$2:$F$3783, "code introuvable")</f>
        <v>8</v>
      </c>
    </row>
    <row r="1052">
      <c r="A1052" s="2" t="str">
        <f>Communes_HDF!A1052</f>
        <v>59279</v>
      </c>
      <c r="B1052" s="2" t="str">
        <f>Communes_HDF!B1052</f>
        <v>Halluin</v>
      </c>
      <c r="C1052" s="2">
        <f t="array" ref="C1052">_xlfn.XLOOKUP(A1052, INSEE_Communes!$A$2:$A$3783, INSEE_Communes!$F$2:$F$3783, "code introuvable")</f>
        <v>19</v>
      </c>
    </row>
    <row r="1053">
      <c r="A1053" s="2" t="str">
        <f>Communes_HDF!A1053</f>
        <v>59280</v>
      </c>
      <c r="B1053" s="2" t="str">
        <f>Communes_HDF!B1053</f>
        <v>Hamel</v>
      </c>
      <c r="C1053" s="2" t="str">
        <f t="array" ref="C1053">_xlfn.XLOOKUP(A1053, INSEE_Communes!$A$2:$A$3783, INSEE_Communes!$F$2:$F$3783, "code introuvable")</f>
        <v>non publié</v>
      </c>
    </row>
    <row r="1054">
      <c r="A1054" s="2" t="str">
        <f>Communes_HDF!A1054</f>
        <v>59281</v>
      </c>
      <c r="B1054" s="2" t="str">
        <f>Communes_HDF!B1054</f>
        <v>Hantay</v>
      </c>
      <c r="C1054" s="2" t="str">
        <f t="array" ref="C1054">_xlfn.XLOOKUP(A1054, INSEE_Communes!$A$2:$A$3783, INSEE_Communes!$F$2:$F$3783, "code introuvable")</f>
        <v>non publié</v>
      </c>
    </row>
    <row r="1055">
      <c r="A1055" s="2" t="str">
        <f>Communes_HDF!A1055</f>
        <v>59282</v>
      </c>
      <c r="B1055" s="2" t="str">
        <f>Communes_HDF!B1055</f>
        <v>Hardifort</v>
      </c>
      <c r="C1055" s="2" t="str">
        <f t="array" ref="C1055">_xlfn.XLOOKUP(A1055, INSEE_Communes!$A$2:$A$3783, INSEE_Communes!$F$2:$F$3783, "code introuvable")</f>
        <v>non publié</v>
      </c>
    </row>
    <row r="1056">
      <c r="A1056" s="2" t="str">
        <f>Communes_HDF!A1056</f>
        <v>59283</v>
      </c>
      <c r="B1056" s="2" t="str">
        <f>Communes_HDF!B1056</f>
        <v>Hargnies</v>
      </c>
      <c r="C1056" s="2" t="str">
        <f t="array" ref="C1056">_xlfn.XLOOKUP(A1056, INSEE_Communes!$A$2:$A$3783, INSEE_Communes!$F$2:$F$3783, "code introuvable")</f>
        <v>non publié</v>
      </c>
    </row>
    <row r="1057">
      <c r="A1057" s="2" t="str">
        <f>Communes_HDF!A1057</f>
        <v>59284</v>
      </c>
      <c r="B1057" s="2" t="str">
        <f>Communes_HDF!B1057</f>
        <v>Hasnon</v>
      </c>
      <c r="C1057" s="2">
        <f t="array" ref="C1057">_xlfn.XLOOKUP(A1057, INSEE_Communes!$A$2:$A$3783, INSEE_Communes!$F$2:$F$3783, "code introuvable")</f>
        <v>11</v>
      </c>
    </row>
    <row r="1058">
      <c r="A1058" s="2" t="str">
        <f>Communes_HDF!A1058</f>
        <v>59285</v>
      </c>
      <c r="B1058" s="2" t="str">
        <f>Communes_HDF!B1058</f>
        <v>Haspres</v>
      </c>
      <c r="C1058" s="2">
        <f t="array" ref="C1058">_xlfn.XLOOKUP(A1058, INSEE_Communes!$A$2:$A$3783, INSEE_Communes!$F$2:$F$3783, "code introuvable")</f>
        <v>16</v>
      </c>
    </row>
    <row r="1059">
      <c r="A1059" s="2" t="str">
        <f>Communes_HDF!A1059</f>
        <v>59286</v>
      </c>
      <c r="B1059" s="2" t="str">
        <f>Communes_HDF!B1059</f>
        <v>Haubourdin</v>
      </c>
      <c r="C1059" s="2">
        <f t="array" ref="C1059">_xlfn.XLOOKUP(A1059, INSEE_Communes!$A$2:$A$3783, INSEE_Communes!$F$2:$F$3783, "code introuvable")</f>
        <v>18</v>
      </c>
    </row>
    <row r="1060">
      <c r="A1060" s="2" t="str">
        <f>Communes_HDF!A1060</f>
        <v>59287</v>
      </c>
      <c r="B1060" s="2" t="str">
        <f>Communes_HDF!B1060</f>
        <v>Haucourt-en-Cambrésis</v>
      </c>
      <c r="C1060" s="2" t="str">
        <f t="array" ref="C1060">_xlfn.XLOOKUP(A1060, INSEE_Communes!$A$2:$A$3783, INSEE_Communes!$F$2:$F$3783, "code introuvable")</f>
        <v>non publié</v>
      </c>
    </row>
    <row r="1061">
      <c r="A1061" s="2" t="str">
        <f>Communes_HDF!A1061</f>
        <v>59288</v>
      </c>
      <c r="B1061" s="2" t="str">
        <f>Communes_HDF!B1061</f>
        <v>Haulchin</v>
      </c>
      <c r="C1061" s="2">
        <f t="array" ref="C1061">_xlfn.XLOOKUP(A1061, INSEE_Communes!$A$2:$A$3783, INSEE_Communes!$F$2:$F$3783, "code introuvable")</f>
        <v>18</v>
      </c>
    </row>
    <row r="1062">
      <c r="A1062" s="2" t="str">
        <f>Communes_HDF!A1062</f>
        <v>59289</v>
      </c>
      <c r="B1062" s="2" t="str">
        <f>Communes_HDF!B1062</f>
        <v>Haussy</v>
      </c>
      <c r="C1062" s="2" t="str">
        <f t="array" ref="C1062">_xlfn.XLOOKUP(A1062, INSEE_Communes!$A$2:$A$3783, INSEE_Communes!$F$2:$F$3783, "code introuvable")</f>
        <v>non publié</v>
      </c>
    </row>
    <row r="1063">
      <c r="A1063" s="2" t="str">
        <f>Communes_HDF!A1063</f>
        <v>59290</v>
      </c>
      <c r="B1063" s="2" t="str">
        <f>Communes_HDF!B1063</f>
        <v>Haut-Lieu</v>
      </c>
      <c r="C1063" s="2" t="str">
        <f t="array" ref="C1063">_xlfn.XLOOKUP(A1063, INSEE_Communes!$A$2:$A$3783, INSEE_Communes!$F$2:$F$3783, "code introuvable")</f>
        <v>non publié</v>
      </c>
    </row>
    <row r="1064">
      <c r="A1064" s="2" t="str">
        <f>Communes_HDF!A1064</f>
        <v>59291</v>
      </c>
      <c r="B1064" s="2" t="str">
        <f>Communes_HDF!B1064</f>
        <v>Hautmont</v>
      </c>
      <c r="C1064" s="2">
        <f t="array" ref="C1064">_xlfn.XLOOKUP(A1064, INSEE_Communes!$A$2:$A$3783, INSEE_Communes!$F$2:$F$3783, "code introuvable")</f>
        <v>35</v>
      </c>
    </row>
    <row r="1065">
      <c r="A1065" s="2" t="str">
        <f>Communes_HDF!A1065</f>
        <v>59292</v>
      </c>
      <c r="B1065" s="2" t="str">
        <f>Communes_HDF!B1065</f>
        <v>Haveluy</v>
      </c>
      <c r="C1065" s="2">
        <f t="array" ref="C1065">_xlfn.XLOOKUP(A1065, INSEE_Communes!$A$2:$A$3783, INSEE_Communes!$F$2:$F$3783, "code introuvable")</f>
        <v>28</v>
      </c>
    </row>
    <row r="1066">
      <c r="A1066" s="2" t="str">
        <f>Communes_HDF!A1066</f>
        <v>59293</v>
      </c>
      <c r="B1066" s="2" t="str">
        <f>Communes_HDF!B1066</f>
        <v>Haverskerque</v>
      </c>
      <c r="C1066" s="2" t="str">
        <f t="array" ref="C1066">_xlfn.XLOOKUP(A1066, INSEE_Communes!$A$2:$A$3783, INSEE_Communes!$F$2:$F$3783, "code introuvable")</f>
        <v>non publié</v>
      </c>
    </row>
    <row r="1067">
      <c r="A1067" s="2" t="str">
        <f>Communes_HDF!A1067</f>
        <v>59294</v>
      </c>
      <c r="B1067" s="2" t="str">
        <f>Communes_HDF!B1067</f>
        <v>Haynecourt</v>
      </c>
      <c r="C1067" s="2" t="str">
        <f t="array" ref="C1067">_xlfn.XLOOKUP(A1067, INSEE_Communes!$A$2:$A$3783, INSEE_Communes!$F$2:$F$3783, "code introuvable")</f>
        <v>non publié</v>
      </c>
    </row>
    <row r="1068">
      <c r="A1068" s="2" t="str">
        <f>Communes_HDF!A1068</f>
        <v>59295</v>
      </c>
      <c r="B1068" s="2" t="str">
        <f>Communes_HDF!B1068</f>
        <v>Hazebrouck</v>
      </c>
      <c r="C1068" s="2">
        <f t="array" ref="C1068">_xlfn.XLOOKUP(A1068, INSEE_Communes!$A$2:$A$3783, INSEE_Communes!$F$2:$F$3783, "code introuvable")</f>
        <v>15.9</v>
      </c>
    </row>
    <row r="1069">
      <c r="A1069" s="2" t="str">
        <f>Communes_HDF!A1069</f>
        <v>59296</v>
      </c>
      <c r="B1069" s="2" t="str">
        <f>Communes_HDF!B1069</f>
        <v>Hecq</v>
      </c>
      <c r="C1069" s="2" t="str">
        <f t="array" ref="C1069">_xlfn.XLOOKUP(A1069, INSEE_Communes!$A$2:$A$3783, INSEE_Communes!$F$2:$F$3783, "code introuvable")</f>
        <v>non publié</v>
      </c>
    </row>
    <row r="1070">
      <c r="A1070" s="2" t="str">
        <f>Communes_HDF!A1070</f>
        <v>59299</v>
      </c>
      <c r="B1070" s="2" t="str">
        <f>Communes_HDF!B1070</f>
        <v>Hem</v>
      </c>
      <c r="C1070" s="2">
        <f t="array" ref="C1070">_xlfn.XLOOKUP(A1070, INSEE_Communes!$A$2:$A$3783, INSEE_Communes!$F$2:$F$3783, "code introuvable")</f>
        <v>18</v>
      </c>
    </row>
    <row r="1071">
      <c r="A1071" s="2" t="str">
        <f>Communes_HDF!A1071</f>
        <v>59300</v>
      </c>
      <c r="B1071" s="2" t="str">
        <f>Communes_HDF!B1071</f>
        <v>Hem-Lenglet</v>
      </c>
      <c r="C1071" s="2" t="str">
        <f t="array" ref="C1071">_xlfn.XLOOKUP(A1071, INSEE_Communes!$A$2:$A$3783, INSEE_Communes!$F$2:$F$3783, "code introuvable")</f>
        <v>non publié</v>
      </c>
    </row>
    <row r="1072">
      <c r="A1072" s="2" t="str">
        <f>Communes_HDF!A1072</f>
        <v>59301</v>
      </c>
      <c r="B1072" s="2" t="str">
        <f>Communes_HDF!B1072</f>
        <v>Hergnies</v>
      </c>
      <c r="C1072" s="2">
        <f t="array" ref="C1072">_xlfn.XLOOKUP(A1072, INSEE_Communes!$A$2:$A$3783, INSEE_Communes!$F$2:$F$3783, "code introuvable")</f>
        <v>16</v>
      </c>
    </row>
    <row r="1073">
      <c r="A1073" s="2" t="str">
        <f>Communes_HDF!A1073</f>
        <v>59303</v>
      </c>
      <c r="B1073" s="2" t="str">
        <f>Communes_HDF!B1073</f>
        <v>Herlies</v>
      </c>
      <c r="C1073" s="2">
        <f t="array" ref="C1073">_xlfn.XLOOKUP(A1073, INSEE_Communes!$A$2:$A$3783, INSEE_Communes!$F$2:$F$3783, "code introuvable")</f>
        <v>8</v>
      </c>
    </row>
    <row r="1074">
      <c r="A1074" s="2" t="str">
        <f>Communes_HDF!A1074</f>
        <v>59304</v>
      </c>
      <c r="B1074" s="2" t="str">
        <f>Communes_HDF!B1074</f>
        <v>Herrin</v>
      </c>
      <c r="C1074" s="2" t="str">
        <f t="array" ref="C1074">_xlfn.XLOOKUP(A1074, INSEE_Communes!$A$2:$A$3783, INSEE_Communes!$F$2:$F$3783, "code introuvable")</f>
        <v>non publié</v>
      </c>
    </row>
    <row r="1075">
      <c r="A1075" s="2" t="str">
        <f>Communes_HDF!A1075</f>
        <v>59305</v>
      </c>
      <c r="B1075" s="2" t="str">
        <f>Communes_HDF!B1075</f>
        <v>Herzeele</v>
      </c>
      <c r="C1075" s="2" t="str">
        <f t="array" ref="C1075">_xlfn.XLOOKUP(A1075, INSEE_Communes!$A$2:$A$3783, INSEE_Communes!$F$2:$F$3783, "code introuvable")</f>
        <v>non publié</v>
      </c>
    </row>
    <row r="1076">
      <c r="A1076" s="2" t="str">
        <f>Communes_HDF!A1076</f>
        <v>59306</v>
      </c>
      <c r="B1076" s="2" t="str">
        <f>Communes_HDF!B1076</f>
        <v>Hestrud</v>
      </c>
      <c r="C1076" s="2" t="str">
        <f t="array" ref="C1076">_xlfn.XLOOKUP(A1076, INSEE_Communes!$A$2:$A$3783, INSEE_Communes!$F$2:$F$3783, "code introuvable")</f>
        <v>non publié</v>
      </c>
    </row>
    <row r="1077">
      <c r="A1077" s="2" t="str">
        <f>Communes_HDF!A1077</f>
        <v>59307</v>
      </c>
      <c r="B1077" s="2" t="str">
        <f>Communes_HDF!B1077</f>
        <v>Holque</v>
      </c>
      <c r="C1077" s="2" t="str">
        <f t="array" ref="C1077">_xlfn.XLOOKUP(A1077, INSEE_Communes!$A$2:$A$3783, INSEE_Communes!$F$2:$F$3783, "code introuvable")</f>
        <v>non publié</v>
      </c>
    </row>
    <row r="1078">
      <c r="A1078" s="2" t="str">
        <f>Communes_HDF!A1078</f>
        <v>59310</v>
      </c>
      <c r="B1078" s="2" t="str">
        <f>Communes_HDF!B1078</f>
        <v>Hon-Hergies</v>
      </c>
      <c r="C1078" s="2" t="str">
        <f t="array" ref="C1078">_xlfn.XLOOKUP(A1078, INSEE_Communes!$A$2:$A$3783, INSEE_Communes!$F$2:$F$3783, "code introuvable")</f>
        <v>non publié</v>
      </c>
    </row>
    <row r="1079">
      <c r="A1079" s="2" t="str">
        <f>Communes_HDF!A1079</f>
        <v>59308</v>
      </c>
      <c r="B1079" s="2" t="str">
        <f>Communes_HDF!B1079</f>
        <v>Hondeghem</v>
      </c>
      <c r="C1079" s="2" t="str">
        <f t="array" ref="C1079">_xlfn.XLOOKUP(A1079, INSEE_Communes!$A$2:$A$3783, INSEE_Communes!$F$2:$F$3783, "code introuvable")</f>
        <v>non publié</v>
      </c>
    </row>
    <row r="1080">
      <c r="A1080" s="2" t="str">
        <f>Communes_HDF!A1080</f>
        <v>59309</v>
      </c>
      <c r="B1080" s="2" t="str">
        <f>Communes_HDF!B1080</f>
        <v>Hondschoote</v>
      </c>
      <c r="C1080" s="2">
        <f t="array" ref="C1080">_xlfn.XLOOKUP(A1080, INSEE_Communes!$A$2:$A$3783, INSEE_Communes!$F$2:$F$3783, "code introuvable")</f>
        <v>17</v>
      </c>
    </row>
    <row r="1081">
      <c r="A1081" s="2" t="str">
        <f>Communes_HDF!A1081</f>
        <v>59311</v>
      </c>
      <c r="B1081" s="2" t="str">
        <f>Communes_HDF!B1081</f>
        <v>Honnechy</v>
      </c>
      <c r="C1081" s="2" t="str">
        <f t="array" ref="C1081">_xlfn.XLOOKUP(A1081, INSEE_Communes!$A$2:$A$3783, INSEE_Communes!$F$2:$F$3783, "code introuvable")</f>
        <v>non publié</v>
      </c>
    </row>
    <row r="1082">
      <c r="A1082" s="2" t="str">
        <f>Communes_HDF!A1082</f>
        <v>59312</v>
      </c>
      <c r="B1082" s="2" t="str">
        <f>Communes_HDF!B1082</f>
        <v>Honnecourt-sur-Escaut</v>
      </c>
      <c r="C1082" s="2" t="str">
        <f t="array" ref="C1082">_xlfn.XLOOKUP(A1082, INSEE_Communes!$A$2:$A$3783, INSEE_Communes!$F$2:$F$3783, "code introuvable")</f>
        <v>non publié</v>
      </c>
    </row>
    <row r="1083">
      <c r="A1083" s="2" t="str">
        <f>Communes_HDF!A1083</f>
        <v>59313</v>
      </c>
      <c r="B1083" s="2" t="str">
        <f>Communes_HDF!B1083</f>
        <v>Hordain</v>
      </c>
      <c r="C1083" s="2" t="str">
        <f t="array" ref="C1083">_xlfn.XLOOKUP(A1083, INSEE_Communes!$A$2:$A$3783, INSEE_Communes!$F$2:$F$3783, "code introuvable")</f>
        <v>non publié</v>
      </c>
    </row>
    <row r="1084">
      <c r="A1084" s="2" t="str">
        <f>Communes_HDF!A1084</f>
        <v>59314</v>
      </c>
      <c r="B1084" s="2" t="str">
        <f>Communes_HDF!B1084</f>
        <v>Hornaing</v>
      </c>
      <c r="C1084" s="2">
        <f t="array" ref="C1084">_xlfn.XLOOKUP(A1084, INSEE_Communes!$A$2:$A$3783, INSEE_Communes!$F$2:$F$3783, "code introuvable")</f>
        <v>19</v>
      </c>
    </row>
    <row r="1085">
      <c r="A1085" s="2" t="str">
        <f>Communes_HDF!A1085</f>
        <v>59315</v>
      </c>
      <c r="B1085" s="2" t="str">
        <f>Communes_HDF!B1085</f>
        <v>Houdain-lez-Bavay</v>
      </c>
      <c r="C1085" s="2" t="str">
        <f t="array" ref="C1085">_xlfn.XLOOKUP(A1085, INSEE_Communes!$A$2:$A$3783, INSEE_Communes!$F$2:$F$3783, "code introuvable")</f>
        <v>non publié</v>
      </c>
    </row>
    <row r="1086">
      <c r="A1086" s="2" t="str">
        <f>Communes_HDF!A1086</f>
        <v>59316</v>
      </c>
      <c r="B1086" s="2" t="str">
        <f>Communes_HDF!B1086</f>
        <v>Houplin-Ancoisne</v>
      </c>
      <c r="C1086" s="2">
        <f t="array" ref="C1086">_xlfn.XLOOKUP(A1086, INSEE_Communes!$A$2:$A$3783, INSEE_Communes!$F$2:$F$3783, "code introuvable")</f>
        <v>7</v>
      </c>
    </row>
    <row r="1087">
      <c r="A1087" s="2" t="str">
        <f>Communes_HDF!A1087</f>
        <v>59317</v>
      </c>
      <c r="B1087" s="2" t="str">
        <f>Communes_HDF!B1087</f>
        <v>Houplines</v>
      </c>
      <c r="C1087" s="2">
        <f t="array" ref="C1087">_xlfn.XLOOKUP(A1087, INSEE_Communes!$A$2:$A$3783, INSEE_Communes!$F$2:$F$3783, "code introuvable")</f>
        <v>14</v>
      </c>
    </row>
    <row r="1088">
      <c r="A1088" s="2" t="str">
        <f>Communes_HDF!A1088</f>
        <v>59318</v>
      </c>
      <c r="B1088" s="2" t="str">
        <f>Communes_HDF!B1088</f>
        <v>Houtkerque</v>
      </c>
      <c r="C1088" s="2" t="str">
        <f t="array" ref="C1088">_xlfn.XLOOKUP(A1088, INSEE_Communes!$A$2:$A$3783, INSEE_Communes!$F$2:$F$3783, "code introuvable")</f>
        <v>non publié</v>
      </c>
    </row>
    <row r="1089">
      <c r="A1089" s="2" t="str">
        <f>Communes_HDF!A1089</f>
        <v>59319</v>
      </c>
      <c r="B1089" s="2" t="str">
        <f>Communes_HDF!B1089</f>
        <v>Hoymille</v>
      </c>
      <c r="C1089" s="2">
        <f t="array" ref="C1089">_xlfn.XLOOKUP(A1089, INSEE_Communes!$A$2:$A$3783, INSEE_Communes!$F$2:$F$3783, "code introuvable")</f>
        <v>6</v>
      </c>
    </row>
    <row r="1090">
      <c r="A1090" s="2" t="str">
        <f>Communes_HDF!A1090</f>
        <v>59297</v>
      </c>
      <c r="B1090" s="2" t="str">
        <f>Communes_HDF!B1090</f>
        <v>Hélesmes</v>
      </c>
      <c r="C1090" s="2" t="str">
        <f t="array" ref="C1090">_xlfn.XLOOKUP(A1090, INSEE_Communes!$A$2:$A$3783, INSEE_Communes!$F$2:$F$3783, "code introuvable")</f>
        <v>non publié</v>
      </c>
    </row>
    <row r="1091">
      <c r="A1091" s="2" t="str">
        <f>Communes_HDF!A1091</f>
        <v>59302</v>
      </c>
      <c r="B1091" s="2" t="str">
        <f>Communes_HDF!B1091</f>
        <v>Hérin</v>
      </c>
      <c r="C1091" s="2">
        <f t="array" ref="C1091">_xlfn.XLOOKUP(A1091, INSEE_Communes!$A$2:$A$3783, INSEE_Communes!$F$2:$F$3783, "code introuvable")</f>
        <v>21</v>
      </c>
    </row>
    <row r="1092">
      <c r="A1092" s="2" t="str">
        <f>Communes_HDF!A1092</f>
        <v>59320</v>
      </c>
      <c r="B1092" s="2" t="str">
        <f>Communes_HDF!B1092</f>
        <v>Illies</v>
      </c>
      <c r="C1092" s="2" t="str">
        <f t="array" ref="C1092">_xlfn.XLOOKUP(A1092, INSEE_Communes!$A$2:$A$3783, INSEE_Communes!$F$2:$F$3783, "code introuvable")</f>
        <v>non publié</v>
      </c>
    </row>
    <row r="1093">
      <c r="A1093" s="2" t="str">
        <f>Communes_HDF!A1093</f>
        <v>59321</v>
      </c>
      <c r="B1093" s="2" t="str">
        <f>Communes_HDF!B1093</f>
        <v>Inchy</v>
      </c>
      <c r="C1093" s="2" t="str">
        <f t="array" ref="C1093">_xlfn.XLOOKUP(A1093, INSEE_Communes!$A$2:$A$3783, INSEE_Communes!$F$2:$F$3783, "code introuvable")</f>
        <v>non publié</v>
      </c>
    </row>
    <row r="1094">
      <c r="A1094" s="2" t="str">
        <f>Communes_HDF!A1094</f>
        <v>59322</v>
      </c>
      <c r="B1094" s="2" t="str">
        <f>Communes_HDF!B1094</f>
        <v>Iwuy</v>
      </c>
      <c r="C1094" s="2">
        <f t="array" ref="C1094">_xlfn.XLOOKUP(A1094, INSEE_Communes!$A$2:$A$3783, INSEE_Communes!$F$2:$F$3783, "code introuvable")</f>
        <v>17</v>
      </c>
    </row>
    <row r="1095">
      <c r="A1095" s="2" t="str">
        <f>Communes_HDF!A1095</f>
        <v>59323</v>
      </c>
      <c r="B1095" s="2" t="str">
        <f>Communes_HDF!B1095</f>
        <v>Jenlain</v>
      </c>
      <c r="C1095" s="2" t="str">
        <f t="array" ref="C1095">_xlfn.XLOOKUP(A1095, INSEE_Communes!$A$2:$A$3783, INSEE_Communes!$F$2:$F$3783, "code introuvable")</f>
        <v>non publié</v>
      </c>
    </row>
    <row r="1096">
      <c r="A1096" s="2" t="str">
        <f>Communes_HDF!A1096</f>
        <v>59324</v>
      </c>
      <c r="B1096" s="2" t="str">
        <f>Communes_HDF!B1096</f>
        <v>Jeumont</v>
      </c>
      <c r="C1096" s="2">
        <f t="array" ref="C1096">_xlfn.XLOOKUP(A1096, INSEE_Communes!$A$2:$A$3783, INSEE_Communes!$F$2:$F$3783, "code introuvable")</f>
        <v>36</v>
      </c>
    </row>
    <row r="1097">
      <c r="A1097" s="2" t="str">
        <f>Communes_HDF!A1097</f>
        <v>59325</v>
      </c>
      <c r="B1097" s="2" t="str">
        <f>Communes_HDF!B1097</f>
        <v>Jolimetz</v>
      </c>
      <c r="C1097" s="2" t="str">
        <f t="array" ref="C1097">_xlfn.XLOOKUP(A1097, INSEE_Communes!$A$2:$A$3783, INSEE_Communes!$F$2:$F$3783, "code introuvable")</f>
        <v>non publié</v>
      </c>
    </row>
    <row r="1098">
      <c r="A1098" s="2" t="str">
        <f>Communes_HDF!A1098</f>
        <v>59326</v>
      </c>
      <c r="B1098" s="2" t="str">
        <f>Communes_HDF!B1098</f>
        <v>Killem</v>
      </c>
      <c r="C1098" s="2" t="str">
        <f t="array" ref="C1098">_xlfn.XLOOKUP(A1098, INSEE_Communes!$A$2:$A$3783, INSEE_Communes!$F$2:$F$3783, "code introuvable")</f>
        <v>non publié</v>
      </c>
    </row>
    <row r="1099">
      <c r="A1099" s="2" t="str">
        <f>Communes_HDF!A1099</f>
        <v>59006</v>
      </c>
      <c r="B1099" s="2" t="str">
        <f>Communes_HDF!B1099</f>
        <v>L'Orée de Mormal</v>
      </c>
      <c r="C1099" s="2" t="str">
        <f t="array" ref="C1099">_xlfn.XLOOKUP(A1099, INSEE_Communes!$A$2:$A$3783, INSEE_Communes!$F$2:$F$3783, "code introuvable")</f>
        <v>non publié</v>
      </c>
    </row>
    <row r="1100">
      <c r="A1100" s="2" t="str">
        <f>Communes_HDF!A1100</f>
        <v>59051</v>
      </c>
      <c r="B1100" s="2" t="str">
        <f>Communes_HDF!B1100</f>
        <v>La Bassée</v>
      </c>
      <c r="C1100" s="2">
        <f t="array" ref="C1100">_xlfn.XLOOKUP(A1100, INSEE_Communes!$A$2:$A$3783, INSEE_Communes!$F$2:$F$3783, "code introuvable")</f>
        <v>18</v>
      </c>
    </row>
    <row r="1101">
      <c r="A1101" s="2" t="str">
        <f>Communes_HDF!A1101</f>
        <v>59143</v>
      </c>
      <c r="B1101" s="2" t="str">
        <f>Communes_HDF!B1101</f>
        <v>La Chapelle-d'Armentières</v>
      </c>
      <c r="C1101" s="2">
        <f t="array" ref="C1101">_xlfn.XLOOKUP(A1101, INSEE_Communes!$A$2:$A$3783, INSEE_Communes!$F$2:$F$3783, "code introuvable")</f>
        <v>13</v>
      </c>
    </row>
    <row r="1102">
      <c r="A1102" s="2" t="str">
        <f>Communes_HDF!A1102</f>
        <v>59232</v>
      </c>
      <c r="B1102" s="2" t="str">
        <f>Communes_HDF!B1102</f>
        <v>La Flamengrie</v>
      </c>
      <c r="C1102" s="2" t="str">
        <f t="array" ref="C1102">_xlfn.XLOOKUP(A1102, INSEE_Communes!$A$2:$A$3783, INSEE_Communes!$F$2:$F$3783, "code introuvable")</f>
        <v>non publié</v>
      </c>
    </row>
    <row r="1103">
      <c r="A1103" s="2" t="str">
        <f>Communes_HDF!A1103</f>
        <v>59268</v>
      </c>
      <c r="B1103" s="2" t="str">
        <f>Communes_HDF!B1103</f>
        <v>La Gorgue</v>
      </c>
      <c r="C1103" s="2">
        <f t="array" ref="C1103">_xlfn.XLOOKUP(A1103, INSEE_Communes!$A$2:$A$3783, INSEE_Communes!$F$2:$F$3783, "code introuvable")</f>
        <v>12</v>
      </c>
    </row>
    <row r="1104">
      <c r="A1104" s="2" t="str">
        <f>Communes_HDF!A1104</f>
        <v>59274</v>
      </c>
      <c r="B1104" s="2" t="str">
        <f>Communes_HDF!B1104</f>
        <v>La Groise</v>
      </c>
      <c r="C1104" s="2" t="str">
        <f t="array" ref="C1104">_xlfn.XLOOKUP(A1104, INSEE_Communes!$A$2:$A$3783, INSEE_Communes!$F$2:$F$3783, "code introuvable")</f>
        <v>non publié</v>
      </c>
    </row>
    <row r="1105">
      <c r="A1105" s="2" t="str">
        <f>Communes_HDF!A1105</f>
        <v>59357</v>
      </c>
      <c r="B1105" s="2" t="str">
        <f>Communes_HDF!B1105</f>
        <v>La Longueville</v>
      </c>
      <c r="C1105" s="2" t="str">
        <f t="array" ref="C1105">_xlfn.XLOOKUP(A1105, INSEE_Communes!$A$2:$A$3783, INSEE_Communes!$F$2:$F$3783, "code introuvable")</f>
        <v>non publié</v>
      </c>
    </row>
    <row r="1106">
      <c r="A1106" s="2" t="str">
        <f>Communes_HDF!A1106</f>
        <v>59368</v>
      </c>
      <c r="B1106" s="2" t="str">
        <f>Communes_HDF!B1106</f>
        <v>La Madeleine</v>
      </c>
      <c r="C1106" s="2">
        <f t="array" ref="C1106">_xlfn.XLOOKUP(A1106, INSEE_Communes!$A$2:$A$3783, INSEE_Communes!$F$2:$F$3783, "code introuvable")</f>
        <v>14.3</v>
      </c>
    </row>
    <row r="1107">
      <c r="A1107" s="2" t="str">
        <f>Communes_HDF!A1107</f>
        <v>59427</v>
      </c>
      <c r="B1107" s="2" t="str">
        <f>Communes_HDF!B1107</f>
        <v>La Neuville</v>
      </c>
      <c r="C1107" s="2" t="str">
        <f t="array" ref="C1107">_xlfn.XLOOKUP(A1107, INSEE_Communes!$A$2:$A$3783, INSEE_Communes!$F$2:$F$3783, "code introuvable")</f>
        <v>non publié</v>
      </c>
    </row>
    <row r="1108">
      <c r="A1108" s="2" t="str">
        <f>Communes_HDF!A1108</f>
        <v>59564</v>
      </c>
      <c r="B1108" s="2" t="str">
        <f>Communes_HDF!B1108</f>
        <v>La Sentinelle</v>
      </c>
      <c r="C1108" s="2">
        <f t="array" ref="C1108">_xlfn.XLOOKUP(A1108, INSEE_Communes!$A$2:$A$3783, INSEE_Communes!$F$2:$F$3783, "code introuvable")</f>
        <v>27</v>
      </c>
    </row>
    <row r="1109">
      <c r="A1109" s="2" t="str">
        <f>Communes_HDF!A1109</f>
        <v>59327</v>
      </c>
      <c r="B1109" s="2" t="str">
        <f>Communes_HDF!B1109</f>
        <v>Lallaing</v>
      </c>
      <c r="C1109" s="2">
        <f t="array" ref="C1109">_xlfn.XLOOKUP(A1109, INSEE_Communes!$A$2:$A$3783, INSEE_Communes!$F$2:$F$3783, "code introuvable")</f>
        <v>24</v>
      </c>
    </row>
    <row r="1110">
      <c r="A1110" s="2" t="str">
        <f>Communes_HDF!A1110</f>
        <v>59328</v>
      </c>
      <c r="B1110" s="2" t="str">
        <f>Communes_HDF!B1110</f>
        <v>Lambersart</v>
      </c>
      <c r="C1110" s="2">
        <f t="array" ref="C1110">_xlfn.XLOOKUP(A1110, INSEE_Communes!$A$2:$A$3783, INSEE_Communes!$F$2:$F$3783, "code introuvable")</f>
        <v>11.1</v>
      </c>
    </row>
    <row r="1111">
      <c r="A1111" s="2" t="str">
        <f>Communes_HDF!A1111</f>
        <v>59329</v>
      </c>
      <c r="B1111" s="2" t="str">
        <f>Communes_HDF!B1111</f>
        <v>Lambres-lez-Douai</v>
      </c>
      <c r="C1111" s="2">
        <f t="array" ref="C1111">_xlfn.XLOOKUP(A1111, INSEE_Communes!$A$2:$A$3783, INSEE_Communes!$F$2:$F$3783, "code introuvable")</f>
        <v>14</v>
      </c>
    </row>
    <row r="1112">
      <c r="A1112" s="2" t="str">
        <f>Communes_HDF!A1112</f>
        <v>59330</v>
      </c>
      <c r="B1112" s="2" t="str">
        <f>Communes_HDF!B1112</f>
        <v>Landas</v>
      </c>
      <c r="C1112" s="2">
        <f t="array" ref="C1112">_xlfn.XLOOKUP(A1112, INSEE_Communes!$A$2:$A$3783, INSEE_Communes!$F$2:$F$3783, "code introuvable")</f>
        <v>5</v>
      </c>
    </row>
    <row r="1113">
      <c r="A1113" s="2" t="str">
        <f>Communes_HDF!A1113</f>
        <v>59331</v>
      </c>
      <c r="B1113" s="2" t="str">
        <f>Communes_HDF!B1113</f>
        <v>Landrecies</v>
      </c>
      <c r="C1113" s="2">
        <f t="array" ref="C1113">_xlfn.XLOOKUP(A1113, INSEE_Communes!$A$2:$A$3783, INSEE_Communes!$F$2:$F$3783, "code introuvable")</f>
        <v>28</v>
      </c>
    </row>
    <row r="1114">
      <c r="A1114" s="2" t="str">
        <f>Communes_HDF!A1114</f>
        <v>59332</v>
      </c>
      <c r="B1114" s="2" t="str">
        <f>Communes_HDF!B1114</f>
        <v>Lannoy</v>
      </c>
      <c r="C1114" s="2" t="str">
        <f t="array" ref="C1114">_xlfn.XLOOKUP(A1114, INSEE_Communes!$A$2:$A$3783, INSEE_Communes!$F$2:$F$3783, "code introuvable")</f>
        <v>non publié</v>
      </c>
    </row>
    <row r="1115">
      <c r="A1115" s="2" t="str">
        <f>Communes_HDF!A1115</f>
        <v>59333</v>
      </c>
      <c r="B1115" s="2" t="str">
        <f>Communes_HDF!B1115</f>
        <v>Larouillies</v>
      </c>
      <c r="C1115" s="2" t="str">
        <f t="array" ref="C1115">_xlfn.XLOOKUP(A1115, INSEE_Communes!$A$2:$A$3783, INSEE_Communes!$F$2:$F$3783, "code introuvable")</f>
        <v>non publié</v>
      </c>
    </row>
    <row r="1116">
      <c r="A1116" s="2" t="str">
        <f>Communes_HDF!A1116</f>
        <v>59334</v>
      </c>
      <c r="B1116" s="2" t="str">
        <f>Communes_HDF!B1116</f>
        <v>Lauwin-Planque</v>
      </c>
      <c r="C1116" s="2" t="str">
        <f t="array" ref="C1116">_xlfn.XLOOKUP(A1116, INSEE_Communes!$A$2:$A$3783, INSEE_Communes!$F$2:$F$3783, "code introuvable")</f>
        <v>non publié</v>
      </c>
    </row>
    <row r="1117">
      <c r="A1117" s="2" t="str">
        <f>Communes_HDF!A1117</f>
        <v>59136</v>
      </c>
      <c r="B1117" s="2" t="str">
        <f>Communes_HDF!B1117</f>
        <v>Le Cateau-Cambrésis</v>
      </c>
      <c r="C1117" s="2">
        <f t="array" ref="C1117">_xlfn.XLOOKUP(A1117, INSEE_Communes!$A$2:$A$3783, INSEE_Communes!$F$2:$F$3783, "code introuvable")</f>
        <v>34</v>
      </c>
    </row>
    <row r="1118">
      <c r="A1118" s="2" t="str">
        <f>Communes_HDF!A1118</f>
        <v>59180</v>
      </c>
      <c r="B1118" s="2" t="str">
        <f>Communes_HDF!B1118</f>
        <v>Le Doulieu</v>
      </c>
      <c r="C1118" s="2" t="str">
        <f t="array" ref="C1118">_xlfn.XLOOKUP(A1118, INSEE_Communes!$A$2:$A$3783, INSEE_Communes!$F$2:$F$3783, "code introuvable")</f>
        <v>non publié</v>
      </c>
    </row>
    <row r="1119">
      <c r="A1119" s="2" t="str">
        <f>Communes_HDF!A1119</f>
        <v>59223</v>
      </c>
      <c r="B1119" s="2" t="str">
        <f>Communes_HDF!B1119</f>
        <v>Le Favril</v>
      </c>
      <c r="C1119" s="2" t="str">
        <f t="array" ref="C1119">_xlfn.XLOOKUP(A1119, INSEE_Communes!$A$2:$A$3783, INSEE_Communes!$F$2:$F$3783, "code introuvable")</f>
        <v>non publié</v>
      </c>
    </row>
    <row r="1120">
      <c r="A1120" s="2" t="str">
        <f>Communes_HDF!A1120</f>
        <v>59371</v>
      </c>
      <c r="B1120" s="2" t="str">
        <f>Communes_HDF!B1120</f>
        <v>Le Maisnil</v>
      </c>
      <c r="C1120" s="2" t="str">
        <f t="array" ref="C1120">_xlfn.XLOOKUP(A1120, INSEE_Communes!$A$2:$A$3783, INSEE_Communes!$F$2:$F$3783, "code introuvable")</f>
        <v>non publié</v>
      </c>
    </row>
    <row r="1121">
      <c r="A1121" s="2" t="str">
        <f>Communes_HDF!A1121</f>
        <v>59481</v>
      </c>
      <c r="B1121" s="2" t="str">
        <f>Communes_HDF!B1121</f>
        <v>Le Quesnoy</v>
      </c>
      <c r="C1121" s="2">
        <f t="array" ref="C1121">_xlfn.XLOOKUP(A1121, INSEE_Communes!$A$2:$A$3783, INSEE_Communes!$F$2:$F$3783, "code introuvable")</f>
        <v>22</v>
      </c>
    </row>
    <row r="1122">
      <c r="A1122" s="2" t="str">
        <f>Communes_HDF!A1122</f>
        <v>59335</v>
      </c>
      <c r="B1122" s="2" t="str">
        <f>Communes_HDF!B1122</f>
        <v>Lecelles</v>
      </c>
      <c r="C1122" s="2">
        <f t="array" ref="C1122">_xlfn.XLOOKUP(A1122, INSEE_Communes!$A$2:$A$3783, INSEE_Communes!$F$2:$F$3783, "code introuvable")</f>
        <v>6</v>
      </c>
    </row>
    <row r="1123">
      <c r="A1123" s="2" t="str">
        <f>Communes_HDF!A1123</f>
        <v>59337</v>
      </c>
      <c r="B1123" s="2" t="str">
        <f>Communes_HDF!B1123</f>
        <v>Lederzeele</v>
      </c>
      <c r="C1123" s="2" t="str">
        <f t="array" ref="C1123">_xlfn.XLOOKUP(A1123, INSEE_Communes!$A$2:$A$3783, INSEE_Communes!$F$2:$F$3783, "code introuvable")</f>
        <v>non publié</v>
      </c>
    </row>
    <row r="1124">
      <c r="A1124" s="2" t="str">
        <f>Communes_HDF!A1124</f>
        <v>59338</v>
      </c>
      <c r="B1124" s="2" t="str">
        <f>Communes_HDF!B1124</f>
        <v>Ledringhem</v>
      </c>
      <c r="C1124" s="2" t="str">
        <f t="array" ref="C1124">_xlfn.XLOOKUP(A1124, INSEE_Communes!$A$2:$A$3783, INSEE_Communes!$F$2:$F$3783, "code introuvable")</f>
        <v>non publié</v>
      </c>
    </row>
    <row r="1125">
      <c r="A1125" s="2" t="str">
        <f>Communes_HDF!A1125</f>
        <v>59339</v>
      </c>
      <c r="B1125" s="2" t="str">
        <f>Communes_HDF!B1125</f>
        <v>Leers</v>
      </c>
      <c r="C1125" s="2">
        <f t="array" ref="C1125">_xlfn.XLOOKUP(A1125, INSEE_Communes!$A$2:$A$3783, INSEE_Communes!$F$2:$F$3783, "code introuvable")</f>
        <v>9</v>
      </c>
    </row>
    <row r="1126">
      <c r="A1126" s="2" t="str">
        <f>Communes_HDF!A1126</f>
        <v>59340</v>
      </c>
      <c r="B1126" s="2" t="str">
        <f>Communes_HDF!B1126</f>
        <v>Leffrinckoucke</v>
      </c>
      <c r="C1126" s="2">
        <f t="array" ref="C1126">_xlfn.XLOOKUP(A1126, INSEE_Communes!$A$2:$A$3783, INSEE_Communes!$F$2:$F$3783, "code introuvable")</f>
        <v>11</v>
      </c>
    </row>
    <row r="1127">
      <c r="A1127" s="2" t="str">
        <f>Communes_HDF!A1127</f>
        <v>59517</v>
      </c>
      <c r="B1127" s="2" t="str">
        <f>Communes_HDF!B1127</f>
        <v>Les Rues-des-Vignes</v>
      </c>
      <c r="C1127" s="2" t="str">
        <f t="array" ref="C1127">_xlfn.XLOOKUP(A1127, INSEE_Communes!$A$2:$A$3783, INSEE_Communes!$F$2:$F$3783, "code introuvable")</f>
        <v>non publié</v>
      </c>
    </row>
    <row r="1128">
      <c r="A1128" s="2" t="str">
        <f>Communes_HDF!A1128</f>
        <v>59341</v>
      </c>
      <c r="B1128" s="2" t="str">
        <f>Communes_HDF!B1128</f>
        <v>Lesdain</v>
      </c>
      <c r="C1128" s="2" t="str">
        <f t="array" ref="C1128">_xlfn.XLOOKUP(A1128, INSEE_Communes!$A$2:$A$3783, INSEE_Communes!$F$2:$F$3783, "code introuvable")</f>
        <v>non publié</v>
      </c>
    </row>
    <row r="1129">
      <c r="A1129" s="2" t="str">
        <f>Communes_HDF!A1129</f>
        <v>59343</v>
      </c>
      <c r="B1129" s="2" t="str">
        <f>Communes_HDF!B1129</f>
        <v>Lesquin</v>
      </c>
      <c r="C1129" s="2">
        <f t="array" ref="C1129">_xlfn.XLOOKUP(A1129, INSEE_Communes!$A$2:$A$3783, INSEE_Communes!$F$2:$F$3783, "code introuvable")</f>
        <v>10</v>
      </c>
    </row>
    <row r="1130">
      <c r="A1130" s="2" t="str">
        <f>Communes_HDF!A1130</f>
        <v>59344</v>
      </c>
      <c r="B1130" s="2" t="str">
        <f>Communes_HDF!B1130</f>
        <v>Leval</v>
      </c>
      <c r="C1130" s="2">
        <f t="array" ref="C1130">_xlfn.XLOOKUP(A1130, INSEE_Communes!$A$2:$A$3783, INSEE_Communes!$F$2:$F$3783, "code introuvable")</f>
        <v>19</v>
      </c>
    </row>
    <row r="1131">
      <c r="A1131" s="2" t="str">
        <f>Communes_HDF!A1131</f>
        <v>59345</v>
      </c>
      <c r="B1131" s="2" t="str">
        <f>Communes_HDF!B1131</f>
        <v>Lewarde</v>
      </c>
      <c r="C1131" s="2">
        <f t="array" ref="C1131">_xlfn.XLOOKUP(A1131, INSEE_Communes!$A$2:$A$3783, INSEE_Communes!$F$2:$F$3783, "code introuvable")</f>
        <v>21</v>
      </c>
    </row>
    <row r="1132">
      <c r="A1132" s="2" t="str">
        <f>Communes_HDF!A1132</f>
        <v>59342</v>
      </c>
      <c r="B1132" s="2" t="str">
        <f>Communes_HDF!B1132</f>
        <v>Lez-Fontaine</v>
      </c>
      <c r="C1132" s="2" t="str">
        <f t="array" ref="C1132">_xlfn.XLOOKUP(A1132, INSEE_Communes!$A$2:$A$3783, INSEE_Communes!$F$2:$F$3783, "code introuvable")</f>
        <v>non publié</v>
      </c>
    </row>
    <row r="1133">
      <c r="A1133" s="2" t="str">
        <f>Communes_HDF!A1133</f>
        <v>59346</v>
      </c>
      <c r="B1133" s="2" t="str">
        <f>Communes_HDF!B1133</f>
        <v>Lezennes</v>
      </c>
      <c r="C1133" s="2">
        <f t="array" ref="C1133">_xlfn.XLOOKUP(A1133, INSEE_Communes!$A$2:$A$3783, INSEE_Communes!$F$2:$F$3783, "code introuvable")</f>
        <v>7</v>
      </c>
    </row>
    <row r="1134">
      <c r="A1134" s="2" t="str">
        <f>Communes_HDF!A1134</f>
        <v>59347</v>
      </c>
      <c r="B1134" s="2" t="str">
        <f>Communes_HDF!B1134</f>
        <v>Liessies</v>
      </c>
      <c r="C1134" s="2" t="str">
        <f t="array" ref="C1134">_xlfn.XLOOKUP(A1134, INSEE_Communes!$A$2:$A$3783, INSEE_Communes!$F$2:$F$3783, "code introuvable")</f>
        <v>non publié</v>
      </c>
    </row>
    <row r="1135">
      <c r="A1135" s="2" t="str">
        <f>Communes_HDF!A1135</f>
        <v>59348</v>
      </c>
      <c r="B1135" s="2" t="str">
        <f>Communes_HDF!B1135</f>
        <v>Lieu-Saint-Amand</v>
      </c>
      <c r="C1135" s="2" t="str">
        <f t="array" ref="C1135">_xlfn.XLOOKUP(A1135, INSEE_Communes!$A$2:$A$3783, INSEE_Communes!$F$2:$F$3783, "code introuvable")</f>
        <v>non publié</v>
      </c>
    </row>
    <row r="1136">
      <c r="A1136" s="2" t="str">
        <f>Communes_HDF!A1136</f>
        <v>59349</v>
      </c>
      <c r="B1136" s="2" t="str">
        <f>Communes_HDF!B1136</f>
        <v>Ligny-en-Cambrésis</v>
      </c>
      <c r="C1136" s="2" t="str">
        <f t="array" ref="C1136">_xlfn.XLOOKUP(A1136, INSEE_Communes!$A$2:$A$3783, INSEE_Communes!$F$2:$F$3783, "code introuvable")</f>
        <v>non publié</v>
      </c>
    </row>
    <row r="1137">
      <c r="A1137" s="2" t="str">
        <f>Communes_HDF!A1137</f>
        <v>59350</v>
      </c>
      <c r="B1137" s="2" t="str">
        <f>Communes_HDF!B1137</f>
        <v>Lille</v>
      </c>
      <c r="C1137" s="2">
        <f t="array" ref="C1137">_xlfn.XLOOKUP(A1137, INSEE_Communes!$A$2:$A$3783, INSEE_Communes!$F$2:$F$3783, "code introuvable")</f>
        <v>28.6</v>
      </c>
    </row>
    <row r="1138">
      <c r="A1138" s="2" t="str">
        <f>Communes_HDF!A1138</f>
        <v>59351</v>
      </c>
      <c r="B1138" s="2" t="str">
        <f>Communes_HDF!B1138</f>
        <v>Limont-Fontaine</v>
      </c>
      <c r="C1138" s="2" t="str">
        <f t="array" ref="C1138">_xlfn.XLOOKUP(A1138, INSEE_Communes!$A$2:$A$3783, INSEE_Communes!$F$2:$F$3783, "code introuvable")</f>
        <v>non publié</v>
      </c>
    </row>
    <row r="1139">
      <c r="A1139" s="2" t="str">
        <f>Communes_HDF!A1139</f>
        <v>59352</v>
      </c>
      <c r="B1139" s="2" t="str">
        <f>Communes_HDF!B1139</f>
        <v>Linselles</v>
      </c>
      <c r="C1139" s="2">
        <f t="array" ref="C1139">_xlfn.XLOOKUP(A1139, INSEE_Communes!$A$2:$A$3783, INSEE_Communes!$F$2:$F$3783, "code introuvable")</f>
        <v>9</v>
      </c>
    </row>
    <row r="1140">
      <c r="A1140" s="2" t="str">
        <f>Communes_HDF!A1140</f>
        <v>59353</v>
      </c>
      <c r="B1140" s="2" t="str">
        <f>Communes_HDF!B1140</f>
        <v>Locquignol</v>
      </c>
      <c r="C1140" s="2" t="str">
        <f t="array" ref="C1140">_xlfn.XLOOKUP(A1140, INSEE_Communes!$A$2:$A$3783, INSEE_Communes!$F$2:$F$3783, "code introuvable")</f>
        <v>non publié</v>
      </c>
    </row>
    <row r="1141">
      <c r="A1141" s="2" t="str">
        <f>Communes_HDF!A1141</f>
        <v>59354</v>
      </c>
      <c r="B1141" s="2" t="str">
        <f>Communes_HDF!B1141</f>
        <v>Loffre</v>
      </c>
      <c r="C1141" s="2" t="str">
        <f t="array" ref="C1141">_xlfn.XLOOKUP(A1141, INSEE_Communes!$A$2:$A$3783, INSEE_Communes!$F$2:$F$3783, "code introuvable")</f>
        <v>non publié</v>
      </c>
    </row>
    <row r="1142">
      <c r="A1142" s="2" t="str">
        <f>Communes_HDF!A1142</f>
        <v>59356</v>
      </c>
      <c r="B1142" s="2" t="str">
        <f>Communes_HDF!B1142</f>
        <v>Lompret</v>
      </c>
      <c r="C1142" s="2">
        <f t="array" ref="C1142">_xlfn.XLOOKUP(A1142, INSEE_Communes!$A$2:$A$3783, INSEE_Communes!$F$2:$F$3783, "code introuvable")</f>
        <v>5</v>
      </c>
    </row>
    <row r="1143">
      <c r="A1143" s="2" t="str">
        <f>Communes_HDF!A1143</f>
        <v>59358</v>
      </c>
      <c r="B1143" s="2" t="str">
        <f>Communes_HDF!B1143</f>
        <v>Looberghe</v>
      </c>
      <c r="C1143" s="2" t="str">
        <f t="array" ref="C1143">_xlfn.XLOOKUP(A1143, INSEE_Communes!$A$2:$A$3783, INSEE_Communes!$F$2:$F$3783, "code introuvable")</f>
        <v>non publié</v>
      </c>
    </row>
    <row r="1144">
      <c r="A1144" s="2" t="str">
        <f>Communes_HDF!A1144</f>
        <v>59359</v>
      </c>
      <c r="B1144" s="2" t="str">
        <f>Communes_HDF!B1144</f>
        <v>Loon-Plage</v>
      </c>
      <c r="C1144" s="2">
        <f t="array" ref="C1144">_xlfn.XLOOKUP(A1144, INSEE_Communes!$A$2:$A$3783, INSEE_Communes!$F$2:$F$3783, "code introuvable")</f>
        <v>12</v>
      </c>
    </row>
    <row r="1145">
      <c r="A1145" s="2" t="str">
        <f>Communes_HDF!A1145</f>
        <v>59360</v>
      </c>
      <c r="B1145" s="2" t="str">
        <f>Communes_HDF!B1145</f>
        <v>Loos</v>
      </c>
      <c r="C1145" s="2">
        <f t="array" ref="C1145">_xlfn.XLOOKUP(A1145, INSEE_Communes!$A$2:$A$3783, INSEE_Communes!$F$2:$F$3783, "code introuvable")</f>
        <v>25</v>
      </c>
    </row>
    <row r="1146">
      <c r="A1146" s="2" t="str">
        <f>Communes_HDF!A1146</f>
        <v>59361</v>
      </c>
      <c r="B1146" s="2" t="str">
        <f>Communes_HDF!B1146</f>
        <v>Lourches</v>
      </c>
      <c r="C1146" s="2">
        <f t="array" ref="C1146">_xlfn.XLOOKUP(A1146, INSEE_Communes!$A$2:$A$3783, INSEE_Communes!$F$2:$F$3783, "code introuvable")</f>
        <v>39</v>
      </c>
    </row>
    <row r="1147">
      <c r="A1147" s="2" t="str">
        <f>Communes_HDF!A1147</f>
        <v>59363</v>
      </c>
      <c r="B1147" s="2" t="str">
        <f>Communes_HDF!B1147</f>
        <v>Louvignies-Quesnoy</v>
      </c>
      <c r="C1147" s="2" t="str">
        <f t="array" ref="C1147">_xlfn.XLOOKUP(A1147, INSEE_Communes!$A$2:$A$3783, INSEE_Communes!$F$2:$F$3783, "code introuvable")</f>
        <v>non publié</v>
      </c>
    </row>
    <row r="1148">
      <c r="A1148" s="2" t="str">
        <f>Communes_HDF!A1148</f>
        <v>59364</v>
      </c>
      <c r="B1148" s="2" t="str">
        <f>Communes_HDF!B1148</f>
        <v>Louvil</v>
      </c>
      <c r="C1148" s="2" t="str">
        <f t="array" ref="C1148">_xlfn.XLOOKUP(A1148, INSEE_Communes!$A$2:$A$3783, INSEE_Communes!$F$2:$F$3783, "code introuvable")</f>
        <v>non publié</v>
      </c>
    </row>
    <row r="1149">
      <c r="A1149" s="2" t="str">
        <f>Communes_HDF!A1149</f>
        <v>59365</v>
      </c>
      <c r="B1149" s="2" t="str">
        <f>Communes_HDF!B1149</f>
        <v>Louvroil</v>
      </c>
      <c r="C1149" s="2">
        <f t="array" ref="C1149">_xlfn.XLOOKUP(A1149, INSEE_Communes!$A$2:$A$3783, INSEE_Communes!$F$2:$F$3783, "code introuvable")</f>
        <v>45</v>
      </c>
    </row>
    <row r="1150">
      <c r="A1150" s="2" t="str">
        <f>Communes_HDF!A1150</f>
        <v>59366</v>
      </c>
      <c r="B1150" s="2" t="str">
        <f>Communes_HDF!B1150</f>
        <v>Lynde</v>
      </c>
      <c r="C1150" s="2" t="str">
        <f t="array" ref="C1150">_xlfn.XLOOKUP(A1150, INSEE_Communes!$A$2:$A$3783, INSEE_Communes!$F$2:$F$3783, "code introuvable")</f>
        <v>non publié</v>
      </c>
    </row>
    <row r="1151">
      <c r="A1151" s="2" t="str">
        <f>Communes_HDF!A1151</f>
        <v>59367</v>
      </c>
      <c r="B1151" s="2" t="str">
        <f>Communes_HDF!B1151</f>
        <v>Lys-lez-Lannoy</v>
      </c>
      <c r="C1151" s="2">
        <f t="array" ref="C1151">_xlfn.XLOOKUP(A1151, INSEE_Communes!$A$2:$A$3783, INSEE_Communes!$F$2:$F$3783, "code introuvable")</f>
        <v>17</v>
      </c>
    </row>
    <row r="1152">
      <c r="A1152" s="2" t="str">
        <f>Communes_HDF!A1152</f>
        <v>59336</v>
      </c>
      <c r="B1152" s="2" t="str">
        <f>Communes_HDF!B1152</f>
        <v>Lécluse</v>
      </c>
      <c r="C1152" s="2" t="str">
        <f t="array" ref="C1152">_xlfn.XLOOKUP(A1152, INSEE_Communes!$A$2:$A$3783, INSEE_Communes!$F$2:$F$3783, "code introuvable")</f>
        <v>non publié</v>
      </c>
    </row>
    <row r="1153">
      <c r="A1153" s="2" t="str">
        <f>Communes_HDF!A1153</f>
        <v>59369</v>
      </c>
      <c r="B1153" s="2" t="str">
        <f>Communes_HDF!B1153</f>
        <v>Maing</v>
      </c>
      <c r="C1153" s="2">
        <f t="array" ref="C1153">_xlfn.XLOOKUP(A1153, INSEE_Communes!$A$2:$A$3783, INSEE_Communes!$F$2:$F$3783, "code introuvable")</f>
        <v>15</v>
      </c>
    </row>
    <row r="1154">
      <c r="A1154" s="2" t="str">
        <f>Communes_HDF!A1154</f>
        <v>59370</v>
      </c>
      <c r="B1154" s="2" t="str">
        <f>Communes_HDF!B1154</f>
        <v>Mairieux</v>
      </c>
      <c r="C1154" s="2" t="str">
        <f t="array" ref="C1154">_xlfn.XLOOKUP(A1154, INSEE_Communes!$A$2:$A$3783, INSEE_Communes!$F$2:$F$3783, "code introuvable")</f>
        <v>non publié</v>
      </c>
    </row>
    <row r="1155">
      <c r="A1155" s="2" t="str">
        <f>Communes_HDF!A1155</f>
        <v>59372</v>
      </c>
      <c r="B1155" s="2" t="str">
        <f>Communes_HDF!B1155</f>
        <v>Malincourt</v>
      </c>
      <c r="C1155" s="2" t="str">
        <f t="array" ref="C1155">_xlfn.XLOOKUP(A1155, INSEE_Communes!$A$2:$A$3783, INSEE_Communes!$F$2:$F$3783, "code introuvable")</f>
        <v>non publié</v>
      </c>
    </row>
    <row r="1156">
      <c r="A1156" s="2" t="str">
        <f>Communes_HDF!A1156</f>
        <v>59374</v>
      </c>
      <c r="B1156" s="2" t="str">
        <f>Communes_HDF!B1156</f>
        <v>Marbaix</v>
      </c>
      <c r="C1156" s="2" t="str">
        <f t="array" ref="C1156">_xlfn.XLOOKUP(A1156, INSEE_Communes!$A$2:$A$3783, INSEE_Communes!$F$2:$F$3783, "code introuvable")</f>
        <v>non publié</v>
      </c>
    </row>
    <row r="1157">
      <c r="A1157" s="2" t="str">
        <f>Communes_HDF!A1157</f>
        <v>59375</v>
      </c>
      <c r="B1157" s="2" t="str">
        <f>Communes_HDF!B1157</f>
        <v>Marchiennes</v>
      </c>
      <c r="C1157" s="2">
        <f t="array" ref="C1157">_xlfn.XLOOKUP(A1157, INSEE_Communes!$A$2:$A$3783, INSEE_Communes!$F$2:$F$3783, "code introuvable")</f>
        <v>11</v>
      </c>
    </row>
    <row r="1158">
      <c r="A1158" s="2" t="str">
        <f>Communes_HDF!A1158</f>
        <v>59377</v>
      </c>
      <c r="B1158" s="2" t="str">
        <f>Communes_HDF!B1158</f>
        <v>Marcoing</v>
      </c>
      <c r="C1158" s="2" t="str">
        <f t="array" ref="C1158">_xlfn.XLOOKUP(A1158, INSEE_Communes!$A$2:$A$3783, INSEE_Communes!$F$2:$F$3783, "code introuvable")</f>
        <v>non publié</v>
      </c>
    </row>
    <row r="1159">
      <c r="A1159" s="2" t="str">
        <f>Communes_HDF!A1159</f>
        <v>59378</v>
      </c>
      <c r="B1159" s="2" t="str">
        <f>Communes_HDF!B1159</f>
        <v>Marcq-en-Barœul</v>
      </c>
      <c r="C1159" s="2">
        <f t="array" ref="C1159">_xlfn.XLOOKUP(A1159, INSEE_Communes!$A$2:$A$3783, INSEE_Communes!$F$2:$F$3783, "code introuvable")</f>
        <v>10.7</v>
      </c>
    </row>
    <row r="1160">
      <c r="A1160" s="2" t="str">
        <f>Communes_HDF!A1160</f>
        <v>59379</v>
      </c>
      <c r="B1160" s="2" t="str">
        <f>Communes_HDF!B1160</f>
        <v>Marcq-en-Ostrevent</v>
      </c>
      <c r="C1160" s="2" t="str">
        <f t="array" ref="C1160">_xlfn.XLOOKUP(A1160, INSEE_Communes!$A$2:$A$3783, INSEE_Communes!$F$2:$F$3783, "code introuvable")</f>
        <v>non publié</v>
      </c>
    </row>
    <row r="1161">
      <c r="A1161" s="2" t="str">
        <f>Communes_HDF!A1161</f>
        <v>59381</v>
      </c>
      <c r="B1161" s="2" t="str">
        <f>Communes_HDF!B1161</f>
        <v>Maresches</v>
      </c>
      <c r="C1161" s="2" t="str">
        <f t="array" ref="C1161">_xlfn.XLOOKUP(A1161, INSEE_Communes!$A$2:$A$3783, INSEE_Communes!$F$2:$F$3783, "code introuvable")</f>
        <v>non publié</v>
      </c>
    </row>
    <row r="1162">
      <c r="A1162" s="2" t="str">
        <f>Communes_HDF!A1162</f>
        <v>59382</v>
      </c>
      <c r="B1162" s="2" t="str">
        <f>Communes_HDF!B1162</f>
        <v>Maretz</v>
      </c>
      <c r="C1162" s="2" t="str">
        <f t="array" ref="C1162">_xlfn.XLOOKUP(A1162, INSEE_Communes!$A$2:$A$3783, INSEE_Communes!$F$2:$F$3783, "code introuvable")</f>
        <v>non publié</v>
      </c>
    </row>
    <row r="1163">
      <c r="A1163" s="2" t="str">
        <f>Communes_HDF!A1163</f>
        <v>59383</v>
      </c>
      <c r="B1163" s="2" t="str">
        <f>Communes_HDF!B1163</f>
        <v>Marly</v>
      </c>
      <c r="C1163" s="2">
        <f t="array" ref="C1163">_xlfn.XLOOKUP(A1163, INSEE_Communes!$A$2:$A$3783, INSEE_Communes!$F$2:$F$3783, "code introuvable")</f>
        <v>22</v>
      </c>
    </row>
    <row r="1164">
      <c r="A1164" s="2" t="str">
        <f>Communes_HDF!A1164</f>
        <v>59384</v>
      </c>
      <c r="B1164" s="2" t="str">
        <f>Communes_HDF!B1164</f>
        <v>Maroilles</v>
      </c>
      <c r="C1164" s="2" t="str">
        <f t="array" ref="C1164">_xlfn.XLOOKUP(A1164, INSEE_Communes!$A$2:$A$3783, INSEE_Communes!$F$2:$F$3783, "code introuvable")</f>
        <v>non publié</v>
      </c>
    </row>
    <row r="1165">
      <c r="A1165" s="2" t="str">
        <f>Communes_HDF!A1165</f>
        <v>59385</v>
      </c>
      <c r="B1165" s="2" t="str">
        <f>Communes_HDF!B1165</f>
        <v>Marpent</v>
      </c>
      <c r="C1165" s="2">
        <f t="array" ref="C1165">_xlfn.XLOOKUP(A1165, INSEE_Communes!$A$2:$A$3783, INSEE_Communes!$F$2:$F$3783, "code introuvable")</f>
        <v>26</v>
      </c>
    </row>
    <row r="1166">
      <c r="A1166" s="2" t="str">
        <f>Communes_HDF!A1166</f>
        <v>59387</v>
      </c>
      <c r="B1166" s="2" t="str">
        <f>Communes_HDF!B1166</f>
        <v>Marquette-en-Ostrevant</v>
      </c>
      <c r="C1166" s="2" t="str">
        <f t="array" ref="C1166">_xlfn.XLOOKUP(A1166, INSEE_Communes!$A$2:$A$3783, INSEE_Communes!$F$2:$F$3783, "code introuvable")</f>
        <v>non publié</v>
      </c>
    </row>
    <row r="1167">
      <c r="A1167" s="2" t="str">
        <f>Communes_HDF!A1167</f>
        <v>59386</v>
      </c>
      <c r="B1167" s="2" t="str">
        <f>Communes_HDF!B1167</f>
        <v>Marquette-lez-Lille</v>
      </c>
      <c r="C1167" s="2">
        <f t="array" ref="C1167">_xlfn.XLOOKUP(A1167, INSEE_Communes!$A$2:$A$3783, INSEE_Communes!$F$2:$F$3783, "code introuvable")</f>
        <v>12</v>
      </c>
    </row>
    <row r="1168">
      <c r="A1168" s="2" t="str">
        <f>Communes_HDF!A1168</f>
        <v>59388</v>
      </c>
      <c r="B1168" s="2" t="str">
        <f>Communes_HDF!B1168</f>
        <v>Marquillies</v>
      </c>
      <c r="C1168" s="2" t="str">
        <f t="array" ref="C1168">_xlfn.XLOOKUP(A1168, INSEE_Communes!$A$2:$A$3783, INSEE_Communes!$F$2:$F$3783, "code introuvable")</f>
        <v>non publié</v>
      </c>
    </row>
    <row r="1169">
      <c r="A1169" s="2" t="str">
        <f>Communes_HDF!A1169</f>
        <v>59389</v>
      </c>
      <c r="B1169" s="2" t="str">
        <f>Communes_HDF!B1169</f>
        <v>Masnières</v>
      </c>
      <c r="C1169" s="2">
        <f t="array" ref="C1169">_xlfn.XLOOKUP(A1169, INSEE_Communes!$A$2:$A$3783, INSEE_Communes!$F$2:$F$3783, "code introuvable")</f>
        <v>17</v>
      </c>
    </row>
    <row r="1170">
      <c r="A1170" s="2" t="str">
        <f>Communes_HDF!A1170</f>
        <v>59390</v>
      </c>
      <c r="B1170" s="2" t="str">
        <f>Communes_HDF!B1170</f>
        <v>Masny</v>
      </c>
      <c r="C1170" s="2">
        <f t="array" ref="C1170">_xlfn.XLOOKUP(A1170, INSEE_Communes!$A$2:$A$3783, INSEE_Communes!$F$2:$F$3783, "code introuvable")</f>
        <v>28</v>
      </c>
    </row>
    <row r="1171">
      <c r="A1171" s="2" t="str">
        <f>Communes_HDF!A1171</f>
        <v>59391</v>
      </c>
      <c r="B1171" s="2" t="str">
        <f>Communes_HDF!B1171</f>
        <v>Mastaing</v>
      </c>
      <c r="C1171" s="2" t="str">
        <f t="array" ref="C1171">_xlfn.XLOOKUP(A1171, INSEE_Communes!$A$2:$A$3783, INSEE_Communes!$F$2:$F$3783, "code introuvable")</f>
        <v>non publié</v>
      </c>
    </row>
    <row r="1172">
      <c r="A1172" s="2" t="str">
        <f>Communes_HDF!A1172</f>
        <v>59392</v>
      </c>
      <c r="B1172" s="2" t="str">
        <f>Communes_HDF!B1172</f>
        <v>Maubeuge</v>
      </c>
      <c r="C1172" s="2">
        <f t="array" ref="C1172">_xlfn.XLOOKUP(A1172, INSEE_Communes!$A$2:$A$3783, INSEE_Communes!$F$2:$F$3783, "code introuvable")</f>
        <v>37.7</v>
      </c>
    </row>
    <row r="1173">
      <c r="A1173" s="2" t="str">
        <f>Communes_HDF!A1173</f>
        <v>59393</v>
      </c>
      <c r="B1173" s="2" t="str">
        <f>Communes_HDF!B1173</f>
        <v>Maulde</v>
      </c>
      <c r="C1173" s="2" t="str">
        <f t="array" ref="C1173">_xlfn.XLOOKUP(A1173, INSEE_Communes!$A$2:$A$3783, INSEE_Communes!$F$2:$F$3783, "code introuvable")</f>
        <v>non publié</v>
      </c>
    </row>
    <row r="1174">
      <c r="A1174" s="2" t="str">
        <f>Communes_HDF!A1174</f>
        <v>59394</v>
      </c>
      <c r="B1174" s="2" t="str">
        <f>Communes_HDF!B1174</f>
        <v>Maurois</v>
      </c>
      <c r="C1174" s="2" t="str">
        <f t="array" ref="C1174">_xlfn.XLOOKUP(A1174, INSEE_Communes!$A$2:$A$3783, INSEE_Communes!$F$2:$F$3783, "code introuvable")</f>
        <v>non publié</v>
      </c>
    </row>
    <row r="1175">
      <c r="A1175" s="2" t="str">
        <f>Communes_HDF!A1175</f>
        <v>59395</v>
      </c>
      <c r="B1175" s="2" t="str">
        <f>Communes_HDF!B1175</f>
        <v>Mazinghien</v>
      </c>
      <c r="C1175" s="2" t="str">
        <f t="array" ref="C1175">_xlfn.XLOOKUP(A1175, INSEE_Communes!$A$2:$A$3783, INSEE_Communes!$F$2:$F$3783, "code introuvable")</f>
        <v>non publié</v>
      </c>
    </row>
    <row r="1176">
      <c r="A1176" s="2" t="str">
        <f>Communes_HDF!A1176</f>
        <v>59396</v>
      </c>
      <c r="B1176" s="2" t="str">
        <f>Communes_HDF!B1176</f>
        <v>Mecquignies</v>
      </c>
      <c r="C1176" s="2" t="str">
        <f t="array" ref="C1176">_xlfn.XLOOKUP(A1176, INSEE_Communes!$A$2:$A$3783, INSEE_Communes!$F$2:$F$3783, "code introuvable")</f>
        <v>non publié</v>
      </c>
    </row>
    <row r="1177">
      <c r="A1177" s="2" t="str">
        <f>Communes_HDF!A1177</f>
        <v>59397</v>
      </c>
      <c r="B1177" s="2" t="str">
        <f>Communes_HDF!B1177</f>
        <v>Merckeghem</v>
      </c>
      <c r="C1177" s="2" t="str">
        <f t="array" ref="C1177">_xlfn.XLOOKUP(A1177, INSEE_Communes!$A$2:$A$3783, INSEE_Communes!$F$2:$F$3783, "code introuvable")</f>
        <v>non publié</v>
      </c>
    </row>
    <row r="1178">
      <c r="A1178" s="2" t="str">
        <f>Communes_HDF!A1178</f>
        <v>59399</v>
      </c>
      <c r="B1178" s="2" t="str">
        <f>Communes_HDF!B1178</f>
        <v>Merris</v>
      </c>
      <c r="C1178" s="2" t="str">
        <f t="array" ref="C1178">_xlfn.XLOOKUP(A1178, INSEE_Communes!$A$2:$A$3783, INSEE_Communes!$F$2:$F$3783, "code introuvable")</f>
        <v>non publié</v>
      </c>
    </row>
    <row r="1179">
      <c r="A1179" s="2" t="str">
        <f>Communes_HDF!A1179</f>
        <v>59400</v>
      </c>
      <c r="B1179" s="2" t="str">
        <f>Communes_HDF!B1179</f>
        <v>Merville</v>
      </c>
      <c r="C1179" s="2">
        <f t="array" ref="C1179">_xlfn.XLOOKUP(A1179, INSEE_Communes!$A$2:$A$3783, INSEE_Communes!$F$2:$F$3783, "code introuvable")</f>
        <v>17</v>
      </c>
    </row>
    <row r="1180">
      <c r="A1180" s="2" t="str">
        <f>Communes_HDF!A1180</f>
        <v>59402</v>
      </c>
      <c r="B1180" s="2" t="str">
        <f>Communes_HDF!B1180</f>
        <v>Millam</v>
      </c>
      <c r="C1180" s="2" t="str">
        <f t="array" ref="C1180">_xlfn.XLOOKUP(A1180, INSEE_Communes!$A$2:$A$3783, INSEE_Communes!$F$2:$F$3783, "code introuvable")</f>
        <v>non publié</v>
      </c>
    </row>
    <row r="1181">
      <c r="A1181" s="2" t="str">
        <f>Communes_HDF!A1181</f>
        <v>59403</v>
      </c>
      <c r="B1181" s="2" t="str">
        <f>Communes_HDF!B1181</f>
        <v>Millonfosse</v>
      </c>
      <c r="C1181" s="2" t="str">
        <f t="array" ref="C1181">_xlfn.XLOOKUP(A1181, INSEE_Communes!$A$2:$A$3783, INSEE_Communes!$F$2:$F$3783, "code introuvable")</f>
        <v>non publié</v>
      </c>
    </row>
    <row r="1182">
      <c r="A1182" s="2" t="str">
        <f>Communes_HDF!A1182</f>
        <v>59406</v>
      </c>
      <c r="B1182" s="2" t="str">
        <f>Communes_HDF!B1182</f>
        <v>Monceau-Saint-Waast</v>
      </c>
      <c r="C1182" s="2" t="str">
        <f t="array" ref="C1182">_xlfn.XLOOKUP(A1182, INSEE_Communes!$A$2:$A$3783, INSEE_Communes!$F$2:$F$3783, "code introuvable")</f>
        <v>non publié</v>
      </c>
    </row>
    <row r="1183">
      <c r="A1183" s="2" t="str">
        <f>Communes_HDF!A1183</f>
        <v>59407</v>
      </c>
      <c r="B1183" s="2" t="str">
        <f>Communes_HDF!B1183</f>
        <v>Monchaux-sur-Écaillon</v>
      </c>
      <c r="C1183" s="2" t="str">
        <f t="array" ref="C1183">_xlfn.XLOOKUP(A1183, INSEE_Communes!$A$2:$A$3783, INSEE_Communes!$F$2:$F$3783, "code introuvable")</f>
        <v>non publié</v>
      </c>
    </row>
    <row r="1184">
      <c r="A1184" s="2" t="str">
        <f>Communes_HDF!A1184</f>
        <v>59408</v>
      </c>
      <c r="B1184" s="2" t="str">
        <f>Communes_HDF!B1184</f>
        <v>Moncheaux</v>
      </c>
      <c r="C1184" s="2" t="str">
        <f t="array" ref="C1184">_xlfn.XLOOKUP(A1184, INSEE_Communes!$A$2:$A$3783, INSEE_Communes!$F$2:$F$3783, "code introuvable")</f>
        <v>non publié</v>
      </c>
    </row>
    <row r="1185">
      <c r="A1185" s="2" t="str">
        <f>Communes_HDF!A1185</f>
        <v>59409</v>
      </c>
      <c r="B1185" s="2" t="str">
        <f>Communes_HDF!B1185</f>
        <v>Monchecourt</v>
      </c>
      <c r="C1185" s="2">
        <f t="array" ref="C1185">_xlfn.XLOOKUP(A1185, INSEE_Communes!$A$2:$A$3783, INSEE_Communes!$F$2:$F$3783, "code introuvable")</f>
        <v>17</v>
      </c>
    </row>
    <row r="1186">
      <c r="A1186" s="2" t="str">
        <f>Communes_HDF!A1186</f>
        <v>59410</v>
      </c>
      <c r="B1186" s="2" t="str">
        <f>Communes_HDF!B1186</f>
        <v>Mons-en-Barœul</v>
      </c>
      <c r="C1186" s="2">
        <f t="array" ref="C1186">_xlfn.XLOOKUP(A1186, INSEE_Communes!$A$2:$A$3783, INSEE_Communes!$F$2:$F$3783, "code introuvable")</f>
        <v>28</v>
      </c>
    </row>
    <row r="1187">
      <c r="A1187" s="2" t="str">
        <f>Communes_HDF!A1187</f>
        <v>59411</v>
      </c>
      <c r="B1187" s="2" t="str">
        <f>Communes_HDF!B1187</f>
        <v>Mons-en-Pévèle</v>
      </c>
      <c r="C1187" s="2">
        <f t="array" ref="C1187">_xlfn.XLOOKUP(A1187, INSEE_Communes!$A$2:$A$3783, INSEE_Communes!$F$2:$F$3783, "code introuvable")</f>
        <v>5</v>
      </c>
    </row>
    <row r="1188">
      <c r="A1188" s="2" t="str">
        <f>Communes_HDF!A1188</f>
        <v>59412</v>
      </c>
      <c r="B1188" s="2" t="str">
        <f>Communes_HDF!B1188</f>
        <v>Montay</v>
      </c>
      <c r="C1188" s="2" t="str">
        <f t="array" ref="C1188">_xlfn.XLOOKUP(A1188, INSEE_Communes!$A$2:$A$3783, INSEE_Communes!$F$2:$F$3783, "code introuvable")</f>
        <v>non publié</v>
      </c>
    </row>
    <row r="1189">
      <c r="A1189" s="2" t="str">
        <f>Communes_HDF!A1189</f>
        <v>59413</v>
      </c>
      <c r="B1189" s="2" t="str">
        <f>Communes_HDF!B1189</f>
        <v>Montigny-en-Cambrésis</v>
      </c>
      <c r="C1189" s="2" t="str">
        <f t="array" ref="C1189">_xlfn.XLOOKUP(A1189, INSEE_Communes!$A$2:$A$3783, INSEE_Communes!$F$2:$F$3783, "code introuvable")</f>
        <v>non publié</v>
      </c>
    </row>
    <row r="1190">
      <c r="A1190" s="2" t="str">
        <f>Communes_HDF!A1190</f>
        <v>59414</v>
      </c>
      <c r="B1190" s="2" t="str">
        <f>Communes_HDF!B1190</f>
        <v>Montigny-en-Ostrevent</v>
      </c>
      <c r="C1190" s="2">
        <f t="array" ref="C1190">_xlfn.XLOOKUP(A1190, INSEE_Communes!$A$2:$A$3783, INSEE_Communes!$F$2:$F$3783, "code introuvable")</f>
        <v>22</v>
      </c>
    </row>
    <row r="1191">
      <c r="A1191" s="2" t="str">
        <f>Communes_HDF!A1191</f>
        <v>59415</v>
      </c>
      <c r="B1191" s="2" t="str">
        <f>Communes_HDF!B1191</f>
        <v>Montrécourt</v>
      </c>
      <c r="C1191" s="2" t="str">
        <f t="array" ref="C1191">_xlfn.XLOOKUP(A1191, INSEE_Communes!$A$2:$A$3783, INSEE_Communes!$F$2:$F$3783, "code introuvable")</f>
        <v>non publié</v>
      </c>
    </row>
    <row r="1192">
      <c r="A1192" s="2" t="str">
        <f>Communes_HDF!A1192</f>
        <v>59416</v>
      </c>
      <c r="B1192" s="2" t="str">
        <f>Communes_HDF!B1192</f>
        <v>Morbecque</v>
      </c>
      <c r="C1192" s="2">
        <f t="array" ref="C1192">_xlfn.XLOOKUP(A1192, INSEE_Communes!$A$2:$A$3783, INSEE_Communes!$F$2:$F$3783, "code introuvable")</f>
        <v>8</v>
      </c>
    </row>
    <row r="1193">
      <c r="A1193" s="2" t="str">
        <f>Communes_HDF!A1193</f>
        <v>59418</v>
      </c>
      <c r="B1193" s="2" t="str">
        <f>Communes_HDF!B1193</f>
        <v>Mortagne-du-Nord</v>
      </c>
      <c r="C1193" s="2" t="str">
        <f t="array" ref="C1193">_xlfn.XLOOKUP(A1193, INSEE_Communes!$A$2:$A$3783, INSEE_Communes!$F$2:$F$3783, "code introuvable")</f>
        <v>non publié</v>
      </c>
    </row>
    <row r="1194">
      <c r="A1194" s="2" t="str">
        <f>Communes_HDF!A1194</f>
        <v>59419</v>
      </c>
      <c r="B1194" s="2" t="str">
        <f>Communes_HDF!B1194</f>
        <v>Mouchin</v>
      </c>
      <c r="C1194" s="2" t="str">
        <f t="array" ref="C1194">_xlfn.XLOOKUP(A1194, INSEE_Communes!$A$2:$A$3783, INSEE_Communes!$F$2:$F$3783, "code introuvable")</f>
        <v>non publié</v>
      </c>
    </row>
    <row r="1195">
      <c r="A1195" s="2" t="str">
        <f>Communes_HDF!A1195</f>
        <v>59420</v>
      </c>
      <c r="B1195" s="2" t="str">
        <f>Communes_HDF!B1195</f>
        <v>Moustier-en-Fagne</v>
      </c>
      <c r="C1195" s="2" t="str">
        <f t="array" ref="C1195">_xlfn.XLOOKUP(A1195, INSEE_Communes!$A$2:$A$3783, INSEE_Communes!$F$2:$F$3783, "code introuvable")</f>
        <v>non publié</v>
      </c>
    </row>
    <row r="1196">
      <c r="A1196" s="2" t="str">
        <f>Communes_HDF!A1196</f>
        <v>59421</v>
      </c>
      <c r="B1196" s="2" t="str">
        <f>Communes_HDF!B1196</f>
        <v>Mouvaux</v>
      </c>
      <c r="C1196" s="2">
        <f t="array" ref="C1196">_xlfn.XLOOKUP(A1196, INSEE_Communes!$A$2:$A$3783, INSEE_Communes!$F$2:$F$3783, "code introuvable")</f>
        <v>9</v>
      </c>
    </row>
    <row r="1197">
      <c r="A1197" s="2" t="str">
        <f>Communes_HDF!A1197</f>
        <v>59398</v>
      </c>
      <c r="B1197" s="2" t="str">
        <f>Communes_HDF!B1197</f>
        <v>Mérignies</v>
      </c>
      <c r="C1197" s="2">
        <f t="array" ref="C1197">_xlfn.XLOOKUP(A1197, INSEE_Communes!$A$2:$A$3783, INSEE_Communes!$F$2:$F$3783, "code introuvable")</f>
        <v>4</v>
      </c>
    </row>
    <row r="1198">
      <c r="A1198" s="2" t="str">
        <f>Communes_HDF!A1198</f>
        <v>59401</v>
      </c>
      <c r="B1198" s="2" t="str">
        <f>Communes_HDF!B1198</f>
        <v>Méteren</v>
      </c>
      <c r="C1198" s="2">
        <f t="array" ref="C1198">_xlfn.XLOOKUP(A1198, INSEE_Communes!$A$2:$A$3783, INSEE_Communes!$F$2:$F$3783, "code introuvable")</f>
        <v>8</v>
      </c>
    </row>
    <row r="1199">
      <c r="A1199" s="2" t="str">
        <f>Communes_HDF!A1199</f>
        <v>59405</v>
      </c>
      <c r="B1199" s="2" t="str">
        <f>Communes_HDF!B1199</f>
        <v>Mœuvres</v>
      </c>
      <c r="C1199" s="2" t="str">
        <f t="array" ref="C1199">_xlfn.XLOOKUP(A1199, INSEE_Communes!$A$2:$A$3783, INSEE_Communes!$F$2:$F$3783, "code introuvable")</f>
        <v>non publié</v>
      </c>
    </row>
    <row r="1200">
      <c r="A1200" s="2" t="str">
        <f>Communes_HDF!A1200</f>
        <v>59422</v>
      </c>
      <c r="B1200" s="2" t="str">
        <f>Communes_HDF!B1200</f>
        <v>Naves</v>
      </c>
      <c r="C1200" s="2" t="str">
        <f t="array" ref="C1200">_xlfn.XLOOKUP(A1200, INSEE_Communes!$A$2:$A$3783, INSEE_Communes!$F$2:$F$3783, "code introuvable")</f>
        <v>non publié</v>
      </c>
    </row>
    <row r="1201">
      <c r="A1201" s="2" t="str">
        <f>Communes_HDF!A1201</f>
        <v>59423</v>
      </c>
      <c r="B1201" s="2" t="str">
        <f>Communes_HDF!B1201</f>
        <v>Neuf-Berquin</v>
      </c>
      <c r="C1201" s="2" t="str">
        <f t="array" ref="C1201">_xlfn.XLOOKUP(A1201, INSEE_Communes!$A$2:$A$3783, INSEE_Communes!$F$2:$F$3783, "code introuvable")</f>
        <v>non publié</v>
      </c>
    </row>
    <row r="1202">
      <c r="A1202" s="2" t="str">
        <f>Communes_HDF!A1202</f>
        <v>59424</v>
      </c>
      <c r="B1202" s="2" t="str">
        <f>Communes_HDF!B1202</f>
        <v>Neuf-Mesnil</v>
      </c>
      <c r="C1202" s="2" t="str">
        <f t="array" ref="C1202">_xlfn.XLOOKUP(A1202, INSEE_Communes!$A$2:$A$3783, INSEE_Communes!$F$2:$F$3783, "code introuvable")</f>
        <v>non publié</v>
      </c>
    </row>
    <row r="1203">
      <c r="A1203" s="2" t="str">
        <f>Communes_HDF!A1203</f>
        <v>59428</v>
      </c>
      <c r="B1203" s="2" t="str">
        <f>Communes_HDF!B1203</f>
        <v>Neuville-Saint-Rémy</v>
      </c>
      <c r="C1203" s="2">
        <f t="array" ref="C1203">_xlfn.XLOOKUP(A1203, INSEE_Communes!$A$2:$A$3783, INSEE_Communes!$F$2:$F$3783, "code introuvable")</f>
        <v>22</v>
      </c>
    </row>
    <row r="1204">
      <c r="A1204" s="2" t="str">
        <f>Communes_HDF!A1204</f>
        <v>59425</v>
      </c>
      <c r="B1204" s="2" t="str">
        <f>Communes_HDF!B1204</f>
        <v>Neuville-en-Avesnois</v>
      </c>
      <c r="C1204" s="2" t="str">
        <f t="array" ref="C1204">_xlfn.XLOOKUP(A1204, INSEE_Communes!$A$2:$A$3783, INSEE_Communes!$F$2:$F$3783, "code introuvable")</f>
        <v>non publié</v>
      </c>
    </row>
    <row r="1205">
      <c r="A1205" s="2" t="str">
        <f>Communes_HDF!A1205</f>
        <v>59426</v>
      </c>
      <c r="B1205" s="2" t="str">
        <f>Communes_HDF!B1205</f>
        <v>Neuville-en-Ferrain</v>
      </c>
      <c r="C1205" s="2">
        <f t="array" ref="C1205">_xlfn.XLOOKUP(A1205, INSEE_Communes!$A$2:$A$3783, INSEE_Communes!$F$2:$F$3783, "code introuvable")</f>
        <v>7</v>
      </c>
    </row>
    <row r="1206">
      <c r="A1206" s="2" t="str">
        <f>Communes_HDF!A1206</f>
        <v>59429</v>
      </c>
      <c r="B1206" s="2" t="str">
        <f>Communes_HDF!B1206</f>
        <v>Neuville-sur-Escaut</v>
      </c>
      <c r="C1206" s="2">
        <f t="array" ref="C1206">_xlfn.XLOOKUP(A1206, INSEE_Communes!$A$2:$A$3783, INSEE_Communes!$F$2:$F$3783, "code introuvable")</f>
        <v>16</v>
      </c>
    </row>
    <row r="1207">
      <c r="A1207" s="2" t="str">
        <f>Communes_HDF!A1207</f>
        <v>59430</v>
      </c>
      <c r="B1207" s="2" t="str">
        <f>Communes_HDF!B1207</f>
        <v>Neuvilly</v>
      </c>
      <c r="C1207" s="2" t="str">
        <f t="array" ref="C1207">_xlfn.XLOOKUP(A1207, INSEE_Communes!$A$2:$A$3783, INSEE_Communes!$F$2:$F$3783, "code introuvable")</f>
        <v>non publié</v>
      </c>
    </row>
    <row r="1208">
      <c r="A1208" s="2" t="str">
        <f>Communes_HDF!A1208</f>
        <v>59431</v>
      </c>
      <c r="B1208" s="2" t="str">
        <f>Communes_HDF!B1208</f>
        <v>Nieppe</v>
      </c>
      <c r="C1208" s="2">
        <f t="array" ref="C1208">_xlfn.XLOOKUP(A1208, INSEE_Communes!$A$2:$A$3783, INSEE_Communes!$F$2:$F$3783, "code introuvable")</f>
        <v>12</v>
      </c>
    </row>
    <row r="1209">
      <c r="A1209" s="2" t="str">
        <f>Communes_HDF!A1209</f>
        <v>59432</v>
      </c>
      <c r="B1209" s="2" t="str">
        <f>Communes_HDF!B1209</f>
        <v>Niergnies</v>
      </c>
      <c r="C1209" s="2" t="str">
        <f t="array" ref="C1209">_xlfn.XLOOKUP(A1209, INSEE_Communes!$A$2:$A$3783, INSEE_Communes!$F$2:$F$3783, "code introuvable")</f>
        <v>non publié</v>
      </c>
    </row>
    <row r="1210">
      <c r="A1210" s="2" t="str">
        <f>Communes_HDF!A1210</f>
        <v>59433</v>
      </c>
      <c r="B1210" s="2" t="str">
        <f>Communes_HDF!B1210</f>
        <v>Nieurlet</v>
      </c>
      <c r="C1210" s="2" t="str">
        <f t="array" ref="C1210">_xlfn.XLOOKUP(A1210, INSEE_Communes!$A$2:$A$3783, INSEE_Communes!$F$2:$F$3783, "code introuvable")</f>
        <v>non publié</v>
      </c>
    </row>
    <row r="1211">
      <c r="A1211" s="2" t="str">
        <f>Communes_HDF!A1211</f>
        <v>59434</v>
      </c>
      <c r="B1211" s="2" t="str">
        <f>Communes_HDF!B1211</f>
        <v>Nivelle</v>
      </c>
      <c r="C1211" s="2" t="str">
        <f t="array" ref="C1211">_xlfn.XLOOKUP(A1211, INSEE_Communes!$A$2:$A$3783, INSEE_Communes!$F$2:$F$3783, "code introuvable")</f>
        <v>non publié</v>
      </c>
    </row>
    <row r="1212">
      <c r="A1212" s="2" t="str">
        <f>Communes_HDF!A1212</f>
        <v>59435</v>
      </c>
      <c r="B1212" s="2" t="str">
        <f>Communes_HDF!B1212</f>
        <v>Nomain</v>
      </c>
      <c r="C1212" s="2">
        <f t="array" ref="C1212">_xlfn.XLOOKUP(A1212, INSEE_Communes!$A$2:$A$3783, INSEE_Communes!$F$2:$F$3783, "code introuvable")</f>
        <v>8</v>
      </c>
    </row>
    <row r="1213">
      <c r="A1213" s="2" t="str">
        <f>Communes_HDF!A1213</f>
        <v>59436</v>
      </c>
      <c r="B1213" s="2" t="str">
        <f>Communes_HDF!B1213</f>
        <v>Noordpeene</v>
      </c>
      <c r="C1213" s="2" t="str">
        <f t="array" ref="C1213">_xlfn.XLOOKUP(A1213, INSEE_Communes!$A$2:$A$3783, INSEE_Communes!$F$2:$F$3783, "code introuvable")</f>
        <v>non publié</v>
      </c>
    </row>
    <row r="1214">
      <c r="A1214" s="2" t="str">
        <f>Communes_HDF!A1214</f>
        <v>59437</v>
      </c>
      <c r="B1214" s="2" t="str">
        <f>Communes_HDF!B1214</f>
        <v>Noyelles-lès-Seclin</v>
      </c>
      <c r="C1214" s="2" t="str">
        <f t="array" ref="C1214">_xlfn.XLOOKUP(A1214, INSEE_Communes!$A$2:$A$3783, INSEE_Communes!$F$2:$F$3783, "code introuvable")</f>
        <v>non publié</v>
      </c>
    </row>
    <row r="1215">
      <c r="A1215" s="2" t="str">
        <f>Communes_HDF!A1215</f>
        <v>59438</v>
      </c>
      <c r="B1215" s="2" t="str">
        <f>Communes_HDF!B1215</f>
        <v>Noyelles-sur-Escaut</v>
      </c>
      <c r="C1215" s="2" t="str">
        <f t="array" ref="C1215">_xlfn.XLOOKUP(A1215, INSEE_Communes!$A$2:$A$3783, INSEE_Communes!$F$2:$F$3783, "code introuvable")</f>
        <v>non publié</v>
      </c>
    </row>
    <row r="1216">
      <c r="A1216" s="2" t="str">
        <f>Communes_HDF!A1216</f>
        <v>59439</v>
      </c>
      <c r="B1216" s="2" t="str">
        <f>Communes_HDF!B1216</f>
        <v>Noyelles-sur-Sambre</v>
      </c>
      <c r="C1216" s="2" t="str">
        <f t="array" ref="C1216">_xlfn.XLOOKUP(A1216, INSEE_Communes!$A$2:$A$3783, INSEE_Communes!$F$2:$F$3783, "code introuvable")</f>
        <v>non publié</v>
      </c>
    </row>
    <row r="1217">
      <c r="A1217" s="2" t="str">
        <f>Communes_HDF!A1217</f>
        <v>59440</v>
      </c>
      <c r="B1217" s="2" t="str">
        <f>Communes_HDF!B1217</f>
        <v>Noyelles-sur-Selle</v>
      </c>
      <c r="C1217" s="2" t="str">
        <f t="array" ref="C1217">_xlfn.XLOOKUP(A1217, INSEE_Communes!$A$2:$A$3783, INSEE_Communes!$F$2:$F$3783, "code introuvable")</f>
        <v>non publié</v>
      </c>
    </row>
    <row r="1218">
      <c r="A1218" s="2" t="str">
        <f>Communes_HDF!A1218</f>
        <v>59441</v>
      </c>
      <c r="B1218" s="2" t="str">
        <f>Communes_HDF!B1218</f>
        <v>Obies</v>
      </c>
      <c r="C1218" s="2" t="str">
        <f t="array" ref="C1218">_xlfn.XLOOKUP(A1218, INSEE_Communes!$A$2:$A$3783, INSEE_Communes!$F$2:$F$3783, "code introuvable")</f>
        <v>non publié</v>
      </c>
    </row>
    <row r="1219">
      <c r="A1219" s="2" t="str">
        <f>Communes_HDF!A1219</f>
        <v>59442</v>
      </c>
      <c r="B1219" s="2" t="str">
        <f>Communes_HDF!B1219</f>
        <v>Obrechies</v>
      </c>
      <c r="C1219" s="2" t="str">
        <f t="array" ref="C1219">_xlfn.XLOOKUP(A1219, INSEE_Communes!$A$2:$A$3783, INSEE_Communes!$F$2:$F$3783, "code introuvable")</f>
        <v>non publié</v>
      </c>
    </row>
    <row r="1220">
      <c r="A1220" s="2" t="str">
        <f>Communes_HDF!A1220</f>
        <v>59443</v>
      </c>
      <c r="B1220" s="2" t="str">
        <f>Communes_HDF!B1220</f>
        <v>Ochtezeele</v>
      </c>
      <c r="C1220" s="2" t="str">
        <f t="array" ref="C1220">_xlfn.XLOOKUP(A1220, INSEE_Communes!$A$2:$A$3783, INSEE_Communes!$F$2:$F$3783, "code introuvable")</f>
        <v>non publié</v>
      </c>
    </row>
    <row r="1221">
      <c r="A1221" s="2" t="str">
        <f>Communes_HDF!A1221</f>
        <v>59444</v>
      </c>
      <c r="B1221" s="2" t="str">
        <f>Communes_HDF!B1221</f>
        <v>Odomez</v>
      </c>
      <c r="C1221" s="2" t="str">
        <f t="array" ref="C1221">_xlfn.XLOOKUP(A1221, INSEE_Communes!$A$2:$A$3783, INSEE_Communes!$F$2:$F$3783, "code introuvable")</f>
        <v>non publié</v>
      </c>
    </row>
    <row r="1222">
      <c r="A1222" s="2" t="str">
        <f>Communes_HDF!A1222</f>
        <v>59445</v>
      </c>
      <c r="B1222" s="2" t="str">
        <f>Communes_HDF!B1222</f>
        <v>Ohain</v>
      </c>
      <c r="C1222" s="2" t="str">
        <f t="array" ref="C1222">_xlfn.XLOOKUP(A1222, INSEE_Communes!$A$2:$A$3783, INSEE_Communes!$F$2:$F$3783, "code introuvable")</f>
        <v>non publié</v>
      </c>
    </row>
    <row r="1223">
      <c r="A1223" s="2" t="str">
        <f>Communes_HDF!A1223</f>
        <v>59446</v>
      </c>
      <c r="B1223" s="2" t="str">
        <f>Communes_HDF!B1223</f>
        <v>Oisy</v>
      </c>
      <c r="C1223" s="2" t="str">
        <f t="array" ref="C1223">_xlfn.XLOOKUP(A1223, INSEE_Communes!$A$2:$A$3783, INSEE_Communes!$F$2:$F$3783, "code introuvable")</f>
        <v>non publié</v>
      </c>
    </row>
    <row r="1224">
      <c r="A1224" s="2" t="str">
        <f>Communes_HDF!A1224</f>
        <v>59447</v>
      </c>
      <c r="B1224" s="2" t="str">
        <f>Communes_HDF!B1224</f>
        <v>Onnaing</v>
      </c>
      <c r="C1224" s="2">
        <f t="array" ref="C1224">_xlfn.XLOOKUP(A1224, INSEE_Communes!$A$2:$A$3783, INSEE_Communes!$F$2:$F$3783, "code introuvable")</f>
        <v>25</v>
      </c>
    </row>
    <row r="1225">
      <c r="A1225" s="2" t="str">
        <f>Communes_HDF!A1225</f>
        <v>59448</v>
      </c>
      <c r="B1225" s="2" t="str">
        <f>Communes_HDF!B1225</f>
        <v>Oost-Cappel</v>
      </c>
      <c r="C1225" s="2" t="str">
        <f t="array" ref="C1225">_xlfn.XLOOKUP(A1225, INSEE_Communes!$A$2:$A$3783, INSEE_Communes!$F$2:$F$3783, "code introuvable")</f>
        <v>non publié</v>
      </c>
    </row>
    <row r="1226">
      <c r="A1226" s="2" t="str">
        <f>Communes_HDF!A1226</f>
        <v>59449</v>
      </c>
      <c r="B1226" s="2" t="str">
        <f>Communes_HDF!B1226</f>
        <v>Orchies</v>
      </c>
      <c r="C1226" s="2">
        <f t="array" ref="C1226">_xlfn.XLOOKUP(A1226, INSEE_Communes!$A$2:$A$3783, INSEE_Communes!$F$2:$F$3783, "code introuvable")</f>
        <v>14</v>
      </c>
    </row>
    <row r="1227">
      <c r="A1227" s="2" t="str">
        <f>Communes_HDF!A1227</f>
        <v>59450</v>
      </c>
      <c r="B1227" s="2" t="str">
        <f>Communes_HDF!B1227</f>
        <v>Ors</v>
      </c>
      <c r="C1227" s="2" t="str">
        <f t="array" ref="C1227">_xlfn.XLOOKUP(A1227, INSEE_Communes!$A$2:$A$3783, INSEE_Communes!$F$2:$F$3783, "code introuvable")</f>
        <v>non publié</v>
      </c>
    </row>
    <row r="1228">
      <c r="A1228" s="2" t="str">
        <f>Communes_HDF!A1228</f>
        <v>59451</v>
      </c>
      <c r="B1228" s="2" t="str">
        <f>Communes_HDF!B1228</f>
        <v>Orsinval</v>
      </c>
      <c r="C1228" s="2" t="str">
        <f t="array" ref="C1228">_xlfn.XLOOKUP(A1228, INSEE_Communes!$A$2:$A$3783, INSEE_Communes!$F$2:$F$3783, "code introuvable")</f>
        <v>non publié</v>
      </c>
    </row>
    <row r="1229">
      <c r="A1229" s="2" t="str">
        <f>Communes_HDF!A1229</f>
        <v>59452</v>
      </c>
      <c r="B1229" s="2" t="str">
        <f>Communes_HDF!B1229</f>
        <v>Ostricourt</v>
      </c>
      <c r="C1229" s="2">
        <f t="array" ref="C1229">_xlfn.XLOOKUP(A1229, INSEE_Communes!$A$2:$A$3783, INSEE_Communes!$F$2:$F$3783, "code introuvable")</f>
        <v>25</v>
      </c>
    </row>
    <row r="1230">
      <c r="A1230" s="2" t="str">
        <f>Communes_HDF!A1230</f>
        <v>59453</v>
      </c>
      <c r="B1230" s="2" t="str">
        <f>Communes_HDF!B1230</f>
        <v>Oudezeele</v>
      </c>
      <c r="C1230" s="2" t="str">
        <f t="array" ref="C1230">_xlfn.XLOOKUP(A1230, INSEE_Communes!$A$2:$A$3783, INSEE_Communes!$F$2:$F$3783, "code introuvable")</f>
        <v>non publié</v>
      </c>
    </row>
    <row r="1231">
      <c r="A1231" s="2" t="str">
        <f>Communes_HDF!A1231</f>
        <v>59454</v>
      </c>
      <c r="B1231" s="2" t="str">
        <f>Communes_HDF!B1231</f>
        <v>Oxelaëre</v>
      </c>
      <c r="C1231" s="2" t="str">
        <f t="array" ref="C1231">_xlfn.XLOOKUP(A1231, INSEE_Communes!$A$2:$A$3783, INSEE_Communes!$F$2:$F$3783, "code introuvable")</f>
        <v>non publié</v>
      </c>
    </row>
    <row r="1232">
      <c r="A1232" s="2" t="str">
        <f>Communes_HDF!A1232</f>
        <v>59455</v>
      </c>
      <c r="B1232" s="2" t="str">
        <f>Communes_HDF!B1232</f>
        <v>Paillencourt</v>
      </c>
      <c r="C1232" s="2" t="str">
        <f t="array" ref="C1232">_xlfn.XLOOKUP(A1232, INSEE_Communes!$A$2:$A$3783, INSEE_Communes!$F$2:$F$3783, "code introuvable")</f>
        <v>non publié</v>
      </c>
    </row>
    <row r="1233">
      <c r="A1233" s="2" t="str">
        <f>Communes_HDF!A1233</f>
        <v>59456</v>
      </c>
      <c r="B1233" s="2" t="str">
        <f>Communes_HDF!B1233</f>
        <v>Pecquencourt</v>
      </c>
      <c r="C1233" s="2">
        <f t="array" ref="C1233">_xlfn.XLOOKUP(A1233, INSEE_Communes!$A$2:$A$3783, INSEE_Communes!$F$2:$F$3783, "code introuvable")</f>
        <v>28</v>
      </c>
    </row>
    <row r="1234">
      <c r="A1234" s="2" t="str">
        <f>Communes_HDF!A1234</f>
        <v>59461</v>
      </c>
      <c r="B1234" s="2" t="str">
        <f>Communes_HDF!B1234</f>
        <v>Petit-Fayt</v>
      </c>
      <c r="C1234" s="2" t="str">
        <f t="array" ref="C1234">_xlfn.XLOOKUP(A1234, INSEE_Communes!$A$2:$A$3783, INSEE_Communes!$F$2:$F$3783, "code introuvable")</f>
        <v>non publié</v>
      </c>
    </row>
    <row r="1235">
      <c r="A1235" s="2" t="str">
        <f>Communes_HDF!A1235</f>
        <v>59459</v>
      </c>
      <c r="B1235" s="2" t="str">
        <f>Communes_HDF!B1235</f>
        <v>Petite-Forêt</v>
      </c>
      <c r="C1235" s="2">
        <f t="array" ref="C1235">_xlfn.XLOOKUP(A1235, INSEE_Communes!$A$2:$A$3783, INSEE_Communes!$F$2:$F$3783, "code introuvable")</f>
        <v>18</v>
      </c>
    </row>
    <row r="1236">
      <c r="A1236" s="2" t="str">
        <f>Communes_HDF!A1236</f>
        <v>59462</v>
      </c>
      <c r="B1236" s="2" t="str">
        <f>Communes_HDF!B1236</f>
        <v>Phalempin</v>
      </c>
      <c r="C1236" s="2">
        <f t="array" ref="C1236">_xlfn.XLOOKUP(A1236, INSEE_Communes!$A$2:$A$3783, INSEE_Communes!$F$2:$F$3783, "code introuvable")</f>
        <v>6</v>
      </c>
    </row>
    <row r="1237">
      <c r="A1237" s="2" t="str">
        <f>Communes_HDF!A1237</f>
        <v>59463</v>
      </c>
      <c r="B1237" s="2" t="str">
        <f>Communes_HDF!B1237</f>
        <v>Pitgam</v>
      </c>
      <c r="C1237" s="2" t="str">
        <f t="array" ref="C1237">_xlfn.XLOOKUP(A1237, INSEE_Communes!$A$2:$A$3783, INSEE_Communes!$F$2:$F$3783, "code introuvable")</f>
        <v>non publié</v>
      </c>
    </row>
    <row r="1238">
      <c r="A1238" s="2" t="str">
        <f>Communes_HDF!A1238</f>
        <v>59464</v>
      </c>
      <c r="B1238" s="2" t="str">
        <f>Communes_HDF!B1238</f>
        <v>Poix-du-Nord</v>
      </c>
      <c r="C1238" s="2">
        <f t="array" ref="C1238">_xlfn.XLOOKUP(A1238, INSEE_Communes!$A$2:$A$3783, INSEE_Communes!$F$2:$F$3783, "code introuvable")</f>
        <v>26</v>
      </c>
    </row>
    <row r="1239">
      <c r="A1239" s="2" t="str">
        <f>Communes_HDF!A1239</f>
        <v>59465</v>
      </c>
      <c r="B1239" s="2" t="str">
        <f>Communes_HDF!B1239</f>
        <v>Pommereuil</v>
      </c>
      <c r="C1239" s="2" t="str">
        <f t="array" ref="C1239">_xlfn.XLOOKUP(A1239, INSEE_Communes!$A$2:$A$3783, INSEE_Communes!$F$2:$F$3783, "code introuvable")</f>
        <v>non publié</v>
      </c>
    </row>
    <row r="1240">
      <c r="A1240" s="2" t="str">
        <f>Communes_HDF!A1240</f>
        <v>59467</v>
      </c>
      <c r="B1240" s="2" t="str">
        <f>Communes_HDF!B1240</f>
        <v>Pont-sur-Sambre</v>
      </c>
      <c r="C1240" s="2">
        <f t="array" ref="C1240">_xlfn.XLOOKUP(A1240, INSEE_Communes!$A$2:$A$3783, INSEE_Communes!$F$2:$F$3783, "code introuvable")</f>
        <v>19</v>
      </c>
    </row>
    <row r="1241">
      <c r="A1241" s="2" t="str">
        <f>Communes_HDF!A1241</f>
        <v>59466</v>
      </c>
      <c r="B1241" s="2" t="str">
        <f>Communes_HDF!B1241</f>
        <v>Pont-à-Marcq</v>
      </c>
      <c r="C1241" s="2">
        <f t="array" ref="C1241">_xlfn.XLOOKUP(A1241, INSEE_Communes!$A$2:$A$3783, INSEE_Communes!$F$2:$F$3783, "code introuvable")</f>
        <v>7</v>
      </c>
    </row>
    <row r="1242">
      <c r="A1242" s="2" t="str">
        <f>Communes_HDF!A1242</f>
        <v>59468</v>
      </c>
      <c r="B1242" s="2" t="str">
        <f>Communes_HDF!B1242</f>
        <v>Potelle</v>
      </c>
      <c r="C1242" s="2" t="str">
        <f t="array" ref="C1242">_xlfn.XLOOKUP(A1242, INSEE_Communes!$A$2:$A$3783, INSEE_Communes!$F$2:$F$3783, "code introuvable")</f>
        <v>non publié</v>
      </c>
    </row>
    <row r="1243">
      <c r="A1243" s="2" t="str">
        <f>Communes_HDF!A1243</f>
        <v>59469</v>
      </c>
      <c r="B1243" s="2" t="str">
        <f>Communes_HDF!B1243</f>
        <v>Pradelles</v>
      </c>
      <c r="C1243" s="2" t="str">
        <f t="array" ref="C1243">_xlfn.XLOOKUP(A1243, INSEE_Communes!$A$2:$A$3783, INSEE_Communes!$F$2:$F$3783, "code introuvable")</f>
        <v>non publié</v>
      </c>
    </row>
    <row r="1244">
      <c r="A1244" s="2" t="str">
        <f>Communes_HDF!A1244</f>
        <v>59472</v>
      </c>
      <c r="B1244" s="2" t="str">
        <f>Communes_HDF!B1244</f>
        <v>Preux-au-Bois</v>
      </c>
      <c r="C1244" s="2" t="str">
        <f t="array" ref="C1244">_xlfn.XLOOKUP(A1244, INSEE_Communes!$A$2:$A$3783, INSEE_Communes!$F$2:$F$3783, "code introuvable")</f>
        <v>non publié</v>
      </c>
    </row>
    <row r="1245">
      <c r="A1245" s="2" t="str">
        <f>Communes_HDF!A1245</f>
        <v>59473</v>
      </c>
      <c r="B1245" s="2" t="str">
        <f>Communes_HDF!B1245</f>
        <v>Preux-au-Sart</v>
      </c>
      <c r="C1245" s="2" t="str">
        <f t="array" ref="C1245">_xlfn.XLOOKUP(A1245, INSEE_Communes!$A$2:$A$3783, INSEE_Communes!$F$2:$F$3783, "code introuvable")</f>
        <v>non publié</v>
      </c>
    </row>
    <row r="1246">
      <c r="A1246" s="2" t="str">
        <f>Communes_HDF!A1246</f>
        <v>59474</v>
      </c>
      <c r="B1246" s="2" t="str">
        <f>Communes_HDF!B1246</f>
        <v>Prisches</v>
      </c>
      <c r="C1246" s="2" t="str">
        <f t="array" ref="C1246">_xlfn.XLOOKUP(A1246, INSEE_Communes!$A$2:$A$3783, INSEE_Communes!$F$2:$F$3783, "code introuvable")</f>
        <v>non publié</v>
      </c>
    </row>
    <row r="1247">
      <c r="A1247" s="2" t="str">
        <f>Communes_HDF!A1247</f>
        <v>59475</v>
      </c>
      <c r="B1247" s="2" t="str">
        <f>Communes_HDF!B1247</f>
        <v>Prouvy</v>
      </c>
      <c r="C1247" s="2">
        <f t="array" ref="C1247">_xlfn.XLOOKUP(A1247, INSEE_Communes!$A$2:$A$3783, INSEE_Communes!$F$2:$F$3783, "code introuvable")</f>
        <v>16</v>
      </c>
    </row>
    <row r="1248">
      <c r="A1248" s="2" t="str">
        <f>Communes_HDF!A1248</f>
        <v>59476</v>
      </c>
      <c r="B1248" s="2" t="str">
        <f>Communes_HDF!B1248</f>
        <v>Proville</v>
      </c>
      <c r="C1248" s="2">
        <f t="array" ref="C1248">_xlfn.XLOOKUP(A1248, INSEE_Communes!$A$2:$A$3783, INSEE_Communes!$F$2:$F$3783, "code introuvable")</f>
        <v>11</v>
      </c>
    </row>
    <row r="1249">
      <c r="A1249" s="2" t="str">
        <f>Communes_HDF!A1249</f>
        <v>59477</v>
      </c>
      <c r="B1249" s="2" t="str">
        <f>Communes_HDF!B1249</f>
        <v>Provin</v>
      </c>
      <c r="C1249" s="2">
        <f t="array" ref="C1249">_xlfn.XLOOKUP(A1249, INSEE_Communes!$A$2:$A$3783, INSEE_Communes!$F$2:$F$3783, "code introuvable")</f>
        <v>13</v>
      </c>
    </row>
    <row r="1250">
      <c r="A1250" s="2" t="str">
        <f>Communes_HDF!A1250</f>
        <v>59470</v>
      </c>
      <c r="B1250" s="2" t="str">
        <f>Communes_HDF!B1250</f>
        <v>Prémesques</v>
      </c>
      <c r="C1250" s="2">
        <f t="array" ref="C1250">_xlfn.XLOOKUP(A1250, INSEE_Communes!$A$2:$A$3783, INSEE_Communes!$F$2:$F$3783, "code introuvable")</f>
        <v>5</v>
      </c>
    </row>
    <row r="1251">
      <c r="A1251" s="2" t="str">
        <f>Communes_HDF!A1251</f>
        <v>59471</v>
      </c>
      <c r="B1251" s="2" t="str">
        <f>Communes_HDF!B1251</f>
        <v>Préseau</v>
      </c>
      <c r="C1251" s="2">
        <f t="array" ref="C1251">_xlfn.XLOOKUP(A1251, INSEE_Communes!$A$2:$A$3783, INSEE_Communes!$F$2:$F$3783, "code introuvable")</f>
        <v>8</v>
      </c>
    </row>
    <row r="1252">
      <c r="A1252" s="2" t="str">
        <f>Communes_HDF!A1252</f>
        <v>59457</v>
      </c>
      <c r="B1252" s="2" t="str">
        <f>Communes_HDF!B1252</f>
        <v>Pérenchies</v>
      </c>
      <c r="C1252" s="2">
        <f t="array" ref="C1252">_xlfn.XLOOKUP(A1252, INSEE_Communes!$A$2:$A$3783, INSEE_Communes!$F$2:$F$3783, "code introuvable")</f>
        <v>12</v>
      </c>
    </row>
    <row r="1253">
      <c r="A1253" s="2" t="str">
        <f>Communes_HDF!A1253</f>
        <v>59458</v>
      </c>
      <c r="B1253" s="2" t="str">
        <f>Communes_HDF!B1253</f>
        <v>Péronne-en-Mélantois</v>
      </c>
      <c r="C1253" s="2" t="str">
        <f t="array" ref="C1253">_xlfn.XLOOKUP(A1253, INSEE_Communes!$A$2:$A$3783, INSEE_Communes!$F$2:$F$3783, "code introuvable")</f>
        <v>non publié</v>
      </c>
    </row>
    <row r="1254">
      <c r="A1254" s="2" t="str">
        <f>Communes_HDF!A1254</f>
        <v>59479</v>
      </c>
      <c r="B1254" s="2" t="str">
        <f>Communes_HDF!B1254</f>
        <v>Quarouble</v>
      </c>
      <c r="C1254" s="2">
        <f t="array" ref="C1254">_xlfn.XLOOKUP(A1254, INSEE_Communes!$A$2:$A$3783, INSEE_Communes!$F$2:$F$3783, "code introuvable")</f>
        <v>14</v>
      </c>
    </row>
    <row r="1255">
      <c r="A1255" s="2" t="str">
        <f>Communes_HDF!A1255</f>
        <v>59478</v>
      </c>
      <c r="B1255" s="2" t="str">
        <f>Communes_HDF!B1255</f>
        <v>Quaëdypre</v>
      </c>
      <c r="C1255" s="2" t="str">
        <f t="array" ref="C1255">_xlfn.XLOOKUP(A1255, INSEE_Communes!$A$2:$A$3783, INSEE_Communes!$F$2:$F$3783, "code introuvable")</f>
        <v>non publié</v>
      </c>
    </row>
    <row r="1256">
      <c r="A1256" s="2" t="str">
        <f>Communes_HDF!A1256</f>
        <v>59482</v>
      </c>
      <c r="B1256" s="2" t="str">
        <f>Communes_HDF!B1256</f>
        <v>Quesnoy-sur-Deûle</v>
      </c>
      <c r="C1256" s="2">
        <f t="array" ref="C1256">_xlfn.XLOOKUP(A1256, INSEE_Communes!$A$2:$A$3783, INSEE_Communes!$F$2:$F$3783, "code introuvable")</f>
        <v>10</v>
      </c>
    </row>
    <row r="1257">
      <c r="A1257" s="2" t="str">
        <f>Communes_HDF!A1257</f>
        <v>59483</v>
      </c>
      <c r="B1257" s="2" t="str">
        <f>Communes_HDF!B1257</f>
        <v>Quiévelon</v>
      </c>
      <c r="C1257" s="2" t="str">
        <f t="array" ref="C1257">_xlfn.XLOOKUP(A1257, INSEE_Communes!$A$2:$A$3783, INSEE_Communes!$F$2:$F$3783, "code introuvable")</f>
        <v>non publié</v>
      </c>
    </row>
    <row r="1258">
      <c r="A1258" s="2" t="str">
        <f>Communes_HDF!A1258</f>
        <v>59484</v>
      </c>
      <c r="B1258" s="2" t="str">
        <f>Communes_HDF!B1258</f>
        <v>Quiévrechain</v>
      </c>
      <c r="C1258" s="2">
        <f t="array" ref="C1258">_xlfn.XLOOKUP(A1258, INSEE_Communes!$A$2:$A$3783, INSEE_Communes!$F$2:$F$3783, "code introuvable")</f>
        <v>33</v>
      </c>
    </row>
    <row r="1259">
      <c r="A1259" s="2" t="str">
        <f>Communes_HDF!A1259</f>
        <v>59485</v>
      </c>
      <c r="B1259" s="2" t="str">
        <f>Communes_HDF!B1259</f>
        <v>Quiévy</v>
      </c>
      <c r="C1259" s="2" t="str">
        <f t="array" ref="C1259">_xlfn.XLOOKUP(A1259, INSEE_Communes!$A$2:$A$3783, INSEE_Communes!$F$2:$F$3783, "code introuvable")</f>
        <v>non publié</v>
      </c>
    </row>
    <row r="1260">
      <c r="A1260" s="2" t="str">
        <f>Communes_HDF!A1260</f>
        <v>59480</v>
      </c>
      <c r="B1260" s="2" t="str">
        <f>Communes_HDF!B1260</f>
        <v>Quérénaing</v>
      </c>
      <c r="C1260" s="2" t="str">
        <f t="array" ref="C1260">_xlfn.XLOOKUP(A1260, INSEE_Communes!$A$2:$A$3783, INSEE_Communes!$F$2:$F$3783, "code introuvable")</f>
        <v>non publié</v>
      </c>
    </row>
    <row r="1261">
      <c r="A1261" s="2" t="str">
        <f>Communes_HDF!A1261</f>
        <v>59487</v>
      </c>
      <c r="B1261" s="2" t="str">
        <f>Communes_HDF!B1261</f>
        <v>Radinghem-en-Weppes</v>
      </c>
      <c r="C1261" s="2" t="str">
        <f t="array" ref="C1261">_xlfn.XLOOKUP(A1261, INSEE_Communes!$A$2:$A$3783, INSEE_Communes!$F$2:$F$3783, "code introuvable")</f>
        <v>non publié</v>
      </c>
    </row>
    <row r="1262">
      <c r="A1262" s="2" t="str">
        <f>Communes_HDF!A1262</f>
        <v>59488</v>
      </c>
      <c r="B1262" s="2" t="str">
        <f>Communes_HDF!B1262</f>
        <v>Raillencourt-Sainte-Olle</v>
      </c>
      <c r="C1262" s="2">
        <f t="array" ref="C1262">_xlfn.XLOOKUP(A1262, INSEE_Communes!$A$2:$A$3783, INSEE_Communes!$F$2:$F$3783, "code introuvable")</f>
        <v>13</v>
      </c>
    </row>
    <row r="1263">
      <c r="A1263" s="2" t="str">
        <f>Communes_HDF!A1263</f>
        <v>59489</v>
      </c>
      <c r="B1263" s="2" t="str">
        <f>Communes_HDF!B1263</f>
        <v>Raimbeaucourt</v>
      </c>
      <c r="C1263" s="2">
        <f t="array" ref="C1263">_xlfn.XLOOKUP(A1263, INSEE_Communes!$A$2:$A$3783, INSEE_Communes!$F$2:$F$3783, "code introuvable")</f>
        <v>12</v>
      </c>
    </row>
    <row r="1264">
      <c r="A1264" s="2" t="str">
        <f>Communes_HDF!A1264</f>
        <v>59490</v>
      </c>
      <c r="B1264" s="2" t="str">
        <f>Communes_HDF!B1264</f>
        <v>Rainsars</v>
      </c>
      <c r="C1264" s="2" t="str">
        <f t="array" ref="C1264">_xlfn.XLOOKUP(A1264, INSEE_Communes!$A$2:$A$3783, INSEE_Communes!$F$2:$F$3783, "code introuvable")</f>
        <v>non publié</v>
      </c>
    </row>
    <row r="1265">
      <c r="A1265" s="2" t="str">
        <f>Communes_HDF!A1265</f>
        <v>59491</v>
      </c>
      <c r="B1265" s="2" t="str">
        <f>Communes_HDF!B1265</f>
        <v>Raismes</v>
      </c>
      <c r="C1265" s="2">
        <f t="array" ref="C1265">_xlfn.XLOOKUP(A1265, INSEE_Communes!$A$2:$A$3783, INSEE_Communes!$F$2:$F$3783, "code introuvable")</f>
        <v>30</v>
      </c>
    </row>
    <row r="1266">
      <c r="A1266" s="2" t="str">
        <f>Communes_HDF!A1266</f>
        <v>59492</v>
      </c>
      <c r="B1266" s="2" t="str">
        <f>Communes_HDF!B1266</f>
        <v>Ramillies</v>
      </c>
      <c r="C1266" s="2" t="str">
        <f t="array" ref="C1266">_xlfn.XLOOKUP(A1266, INSEE_Communes!$A$2:$A$3783, INSEE_Communes!$F$2:$F$3783, "code introuvable")</f>
        <v>non publié</v>
      </c>
    </row>
    <row r="1267">
      <c r="A1267" s="2" t="str">
        <f>Communes_HDF!A1267</f>
        <v>59493</v>
      </c>
      <c r="B1267" s="2" t="str">
        <f>Communes_HDF!B1267</f>
        <v>Ramousies</v>
      </c>
      <c r="C1267" s="2" t="str">
        <f t="array" ref="C1267">_xlfn.XLOOKUP(A1267, INSEE_Communes!$A$2:$A$3783, INSEE_Communes!$F$2:$F$3783, "code introuvable")</f>
        <v>non publié</v>
      </c>
    </row>
    <row r="1268">
      <c r="A1268" s="2" t="str">
        <f>Communes_HDF!A1268</f>
        <v>59494</v>
      </c>
      <c r="B1268" s="2" t="str">
        <f>Communes_HDF!B1268</f>
        <v>Raucourt-au-Bois</v>
      </c>
      <c r="C1268" s="2" t="str">
        <f t="array" ref="C1268">_xlfn.XLOOKUP(A1268, INSEE_Communes!$A$2:$A$3783, INSEE_Communes!$F$2:$F$3783, "code introuvable")</f>
        <v>non publié</v>
      </c>
    </row>
    <row r="1269">
      <c r="A1269" s="2" t="str">
        <f>Communes_HDF!A1269</f>
        <v>59495</v>
      </c>
      <c r="B1269" s="2" t="str">
        <f>Communes_HDF!B1269</f>
        <v>Recquignies</v>
      </c>
      <c r="C1269" s="2">
        <f t="array" ref="C1269">_xlfn.XLOOKUP(A1269, INSEE_Communes!$A$2:$A$3783, INSEE_Communes!$F$2:$F$3783, "code introuvable")</f>
        <v>26</v>
      </c>
    </row>
    <row r="1270">
      <c r="A1270" s="2" t="str">
        <f>Communes_HDF!A1270</f>
        <v>59496</v>
      </c>
      <c r="B1270" s="2" t="str">
        <f>Communes_HDF!B1270</f>
        <v>Rejet-de-Beaulieu</v>
      </c>
      <c r="C1270" s="2" t="str">
        <f t="array" ref="C1270">_xlfn.XLOOKUP(A1270, INSEE_Communes!$A$2:$A$3783, INSEE_Communes!$F$2:$F$3783, "code introuvable")</f>
        <v>non publié</v>
      </c>
    </row>
    <row r="1271">
      <c r="A1271" s="2" t="str">
        <f>Communes_HDF!A1271</f>
        <v>59497</v>
      </c>
      <c r="B1271" s="2" t="str">
        <f>Communes_HDF!B1271</f>
        <v>Renescure</v>
      </c>
      <c r="C1271" s="2">
        <f t="array" ref="C1271">_xlfn.XLOOKUP(A1271, INSEE_Communes!$A$2:$A$3783, INSEE_Communes!$F$2:$F$3783, "code introuvable")</f>
        <v>10</v>
      </c>
    </row>
    <row r="1272">
      <c r="A1272" s="2" t="str">
        <f>Communes_HDF!A1272</f>
        <v>59498</v>
      </c>
      <c r="B1272" s="2" t="str">
        <f>Communes_HDF!B1272</f>
        <v>Reumont</v>
      </c>
      <c r="C1272" s="2" t="str">
        <f t="array" ref="C1272">_xlfn.XLOOKUP(A1272, INSEE_Communes!$A$2:$A$3783, INSEE_Communes!$F$2:$F$3783, "code introuvable")</f>
        <v>non publié</v>
      </c>
    </row>
    <row r="1273">
      <c r="A1273" s="2" t="str">
        <f>Communes_HDF!A1273</f>
        <v>59499</v>
      </c>
      <c r="B1273" s="2" t="str">
        <f>Communes_HDF!B1273</f>
        <v>Rexpoëde</v>
      </c>
      <c r="C1273" s="2" t="str">
        <f t="array" ref="C1273">_xlfn.XLOOKUP(A1273, INSEE_Communes!$A$2:$A$3783, INSEE_Communes!$F$2:$F$3783, "code introuvable")</f>
        <v>non publié</v>
      </c>
    </row>
    <row r="1274">
      <c r="A1274" s="2" t="str">
        <f>Communes_HDF!A1274</f>
        <v>59500</v>
      </c>
      <c r="B1274" s="2" t="str">
        <f>Communes_HDF!B1274</f>
        <v>Ribécourt-la-Tour</v>
      </c>
      <c r="C1274" s="2" t="str">
        <f t="array" ref="C1274">_xlfn.XLOOKUP(A1274, INSEE_Communes!$A$2:$A$3783, INSEE_Communes!$F$2:$F$3783, "code introuvable")</f>
        <v>non publié</v>
      </c>
    </row>
    <row r="1275">
      <c r="A1275" s="2" t="str">
        <f>Communes_HDF!A1275</f>
        <v>59501</v>
      </c>
      <c r="B1275" s="2" t="str">
        <f>Communes_HDF!B1275</f>
        <v>Rieulay</v>
      </c>
      <c r="C1275" s="2" t="str">
        <f t="array" ref="C1275">_xlfn.XLOOKUP(A1275, INSEE_Communes!$A$2:$A$3783, INSEE_Communes!$F$2:$F$3783, "code introuvable")</f>
        <v>non publié</v>
      </c>
    </row>
    <row r="1276">
      <c r="A1276" s="2" t="str">
        <f>Communes_HDF!A1276</f>
        <v>59502</v>
      </c>
      <c r="B1276" s="2" t="str">
        <f>Communes_HDF!B1276</f>
        <v>Rieux-en-Cambrésis</v>
      </c>
      <c r="C1276" s="2" t="str">
        <f t="array" ref="C1276">_xlfn.XLOOKUP(A1276, INSEE_Communes!$A$2:$A$3783, INSEE_Communes!$F$2:$F$3783, "code introuvable")</f>
        <v>non publié</v>
      </c>
    </row>
    <row r="1277">
      <c r="A1277" s="2" t="str">
        <f>Communes_HDF!A1277</f>
        <v>59503</v>
      </c>
      <c r="B1277" s="2" t="str">
        <f>Communes_HDF!B1277</f>
        <v>Robersart</v>
      </c>
      <c r="C1277" s="2" t="str">
        <f t="array" ref="C1277">_xlfn.XLOOKUP(A1277, INSEE_Communes!$A$2:$A$3783, INSEE_Communes!$F$2:$F$3783, "code introuvable")</f>
        <v>non publié</v>
      </c>
    </row>
    <row r="1278">
      <c r="A1278" s="2" t="str">
        <f>Communes_HDF!A1278</f>
        <v>59505</v>
      </c>
      <c r="B1278" s="2" t="str">
        <f>Communes_HDF!B1278</f>
        <v>Rombies-et-Marchipont</v>
      </c>
      <c r="C1278" s="2" t="str">
        <f t="array" ref="C1278">_xlfn.XLOOKUP(A1278, INSEE_Communes!$A$2:$A$3783, INSEE_Communes!$F$2:$F$3783, "code introuvable")</f>
        <v>non publié</v>
      </c>
    </row>
    <row r="1279">
      <c r="A1279" s="2" t="str">
        <f>Communes_HDF!A1279</f>
        <v>59506</v>
      </c>
      <c r="B1279" s="2" t="str">
        <f>Communes_HDF!B1279</f>
        <v>Romeries</v>
      </c>
      <c r="C1279" s="2" t="str">
        <f t="array" ref="C1279">_xlfn.XLOOKUP(A1279, INSEE_Communes!$A$2:$A$3783, INSEE_Communes!$F$2:$F$3783, "code introuvable")</f>
        <v>non publié</v>
      </c>
    </row>
    <row r="1280">
      <c r="A1280" s="2" t="str">
        <f>Communes_HDF!A1280</f>
        <v>59507</v>
      </c>
      <c r="B1280" s="2" t="str">
        <f>Communes_HDF!B1280</f>
        <v>Ronchin</v>
      </c>
      <c r="C1280" s="2">
        <f t="array" ref="C1280">_xlfn.XLOOKUP(A1280, INSEE_Communes!$A$2:$A$3783, INSEE_Communes!$F$2:$F$3783, "code introuvable")</f>
        <v>21</v>
      </c>
    </row>
    <row r="1281">
      <c r="A1281" s="2" t="str">
        <f>Communes_HDF!A1281</f>
        <v>59508</v>
      </c>
      <c r="B1281" s="2" t="str">
        <f>Communes_HDF!B1281</f>
        <v>Roncq</v>
      </c>
      <c r="C1281" s="2">
        <f t="array" ref="C1281">_xlfn.XLOOKUP(A1281, INSEE_Communes!$A$2:$A$3783, INSEE_Communes!$F$2:$F$3783, "code introuvable")</f>
        <v>10</v>
      </c>
    </row>
    <row r="1282">
      <c r="A1282" s="2" t="str">
        <f>Communes_HDF!A1282</f>
        <v>59509</v>
      </c>
      <c r="B1282" s="2" t="str">
        <f>Communes_HDF!B1282</f>
        <v>Roost-Warendin</v>
      </c>
      <c r="C1282" s="2">
        <f t="array" ref="C1282">_xlfn.XLOOKUP(A1282, INSEE_Communes!$A$2:$A$3783, INSEE_Communes!$F$2:$F$3783, "code introuvable")</f>
        <v>17</v>
      </c>
    </row>
    <row r="1283">
      <c r="A1283" s="2" t="str">
        <f>Communes_HDF!A1283</f>
        <v>59511</v>
      </c>
      <c r="B1283" s="2" t="str">
        <f>Communes_HDF!B1283</f>
        <v>Rosult</v>
      </c>
      <c r="C1283" s="2">
        <f t="array" ref="C1283">_xlfn.XLOOKUP(A1283, INSEE_Communes!$A$2:$A$3783, INSEE_Communes!$F$2:$F$3783, "code introuvable")</f>
        <v>5</v>
      </c>
    </row>
    <row r="1284">
      <c r="A1284" s="2" t="str">
        <f>Communes_HDF!A1284</f>
        <v>59512</v>
      </c>
      <c r="B1284" s="2" t="str">
        <f>Communes_HDF!B1284</f>
        <v>Roubaix</v>
      </c>
      <c r="C1284" s="2">
        <f t="array" ref="C1284">_xlfn.XLOOKUP(A1284, INSEE_Communes!$A$2:$A$3783, INSEE_Communes!$F$2:$F$3783, "code introuvable")</f>
        <v>47.4</v>
      </c>
    </row>
    <row r="1285">
      <c r="A1285" s="2" t="str">
        <f>Communes_HDF!A1285</f>
        <v>59513</v>
      </c>
      <c r="B1285" s="2" t="str">
        <f>Communes_HDF!B1285</f>
        <v>Roucourt</v>
      </c>
      <c r="C1285" s="2" t="str">
        <f t="array" ref="C1285">_xlfn.XLOOKUP(A1285, INSEE_Communes!$A$2:$A$3783, INSEE_Communes!$F$2:$F$3783, "code introuvable")</f>
        <v>non publié</v>
      </c>
    </row>
    <row r="1286">
      <c r="A1286" s="2" t="str">
        <f>Communes_HDF!A1286</f>
        <v>59514</v>
      </c>
      <c r="B1286" s="2" t="str">
        <f>Communes_HDF!B1286</f>
        <v>Rousies</v>
      </c>
      <c r="C1286" s="2">
        <f t="array" ref="C1286">_xlfn.XLOOKUP(A1286, INSEE_Communes!$A$2:$A$3783, INSEE_Communes!$F$2:$F$3783, "code introuvable")</f>
        <v>18</v>
      </c>
    </row>
    <row r="1287">
      <c r="A1287" s="2" t="str">
        <f>Communes_HDF!A1287</f>
        <v>59515</v>
      </c>
      <c r="B1287" s="2" t="str">
        <f>Communes_HDF!B1287</f>
        <v>Rouvignies</v>
      </c>
      <c r="C1287" s="2" t="str">
        <f t="array" ref="C1287">_xlfn.XLOOKUP(A1287, INSEE_Communes!$A$2:$A$3783, INSEE_Communes!$F$2:$F$3783, "code introuvable")</f>
        <v>non publié</v>
      </c>
    </row>
    <row r="1288">
      <c r="A1288" s="2" t="str">
        <f>Communes_HDF!A1288</f>
        <v>59516</v>
      </c>
      <c r="B1288" s="2" t="str">
        <f>Communes_HDF!B1288</f>
        <v>Rubrouck</v>
      </c>
      <c r="C1288" s="2" t="str">
        <f t="array" ref="C1288">_xlfn.XLOOKUP(A1288, INSEE_Communes!$A$2:$A$3783, INSEE_Communes!$F$2:$F$3783, "code introuvable")</f>
        <v>non publié</v>
      </c>
    </row>
    <row r="1289">
      <c r="A1289" s="2" t="str">
        <f>Communes_HDF!A1289</f>
        <v>59518</v>
      </c>
      <c r="B1289" s="2" t="str">
        <f>Communes_HDF!B1289</f>
        <v>Ruesnes</v>
      </c>
      <c r="C1289" s="2" t="str">
        <f t="array" ref="C1289">_xlfn.XLOOKUP(A1289, INSEE_Communes!$A$2:$A$3783, INSEE_Communes!$F$2:$F$3783, "code introuvable")</f>
        <v>non publié</v>
      </c>
    </row>
    <row r="1290">
      <c r="A1290" s="2" t="str">
        <f>Communes_HDF!A1290</f>
        <v>59519</v>
      </c>
      <c r="B1290" s="2" t="str">
        <f>Communes_HDF!B1290</f>
        <v>Rumegies</v>
      </c>
      <c r="C1290" s="2" t="str">
        <f t="array" ref="C1290">_xlfn.XLOOKUP(A1290, INSEE_Communes!$A$2:$A$3783, INSEE_Communes!$F$2:$F$3783, "code introuvable")</f>
        <v>non publié</v>
      </c>
    </row>
    <row r="1291">
      <c r="A1291" s="2" t="str">
        <f>Communes_HDF!A1291</f>
        <v>59520</v>
      </c>
      <c r="B1291" s="2" t="str">
        <f>Communes_HDF!B1291</f>
        <v>Rumilly-en-Cambrésis</v>
      </c>
      <c r="C1291" s="2" t="str">
        <f t="array" ref="C1291">_xlfn.XLOOKUP(A1291, INSEE_Communes!$A$2:$A$3783, INSEE_Communes!$F$2:$F$3783, "code introuvable")</f>
        <v>non publié</v>
      </c>
    </row>
    <row r="1292">
      <c r="A1292" s="2" t="str">
        <f>Communes_HDF!A1292</f>
        <v>59486</v>
      </c>
      <c r="B1292" s="2" t="str">
        <f>Communes_HDF!B1292</f>
        <v>Râches</v>
      </c>
      <c r="C1292" s="2">
        <f t="array" ref="C1292">_xlfn.XLOOKUP(A1292, INSEE_Communes!$A$2:$A$3783, INSEE_Communes!$F$2:$F$3783, "code introuvable")</f>
        <v>12</v>
      </c>
    </row>
    <row r="1293">
      <c r="A1293" s="2" t="str">
        <f>Communes_HDF!A1293</f>
        <v>59504</v>
      </c>
      <c r="B1293" s="2" t="str">
        <f>Communes_HDF!B1293</f>
        <v>Rœulx</v>
      </c>
      <c r="C1293" s="2">
        <f t="array" ref="C1293">_xlfn.XLOOKUP(A1293, INSEE_Communes!$A$2:$A$3783, INSEE_Communes!$F$2:$F$3783, "code introuvable")</f>
        <v>22</v>
      </c>
    </row>
    <row r="1294">
      <c r="A1294" s="2" t="str">
        <f>Communes_HDF!A1294</f>
        <v>59521</v>
      </c>
      <c r="B1294" s="2" t="str">
        <f>Communes_HDF!B1294</f>
        <v>Sailly-lez-Cambrai</v>
      </c>
      <c r="C1294" s="2" t="str">
        <f t="array" ref="C1294">_xlfn.XLOOKUP(A1294, INSEE_Communes!$A$2:$A$3783, INSEE_Communes!$F$2:$F$3783, "code introuvable")</f>
        <v>non publié</v>
      </c>
    </row>
    <row r="1295">
      <c r="A1295" s="2" t="str">
        <f>Communes_HDF!A1295</f>
        <v>59522</v>
      </c>
      <c r="B1295" s="2" t="str">
        <f>Communes_HDF!B1295</f>
        <v>Sailly-lez-Lannoy</v>
      </c>
      <c r="C1295" s="2" t="str">
        <f t="array" ref="C1295">_xlfn.XLOOKUP(A1295, INSEE_Communes!$A$2:$A$3783, INSEE_Communes!$F$2:$F$3783, "code introuvable")</f>
        <v>non publié</v>
      </c>
    </row>
    <row r="1296">
      <c r="A1296" s="2" t="str">
        <f>Communes_HDF!A1296</f>
        <v>59523</v>
      </c>
      <c r="B1296" s="2" t="str">
        <f>Communes_HDF!B1296</f>
        <v>Sainghin-en-Mélantois</v>
      </c>
      <c r="C1296" s="2">
        <f t="array" ref="C1296">_xlfn.XLOOKUP(A1296, INSEE_Communes!$A$2:$A$3783, INSEE_Communes!$F$2:$F$3783, "code introuvable")</f>
        <v>6</v>
      </c>
    </row>
    <row r="1297">
      <c r="A1297" s="2" t="str">
        <f>Communes_HDF!A1297</f>
        <v>59524</v>
      </c>
      <c r="B1297" s="2" t="str">
        <f>Communes_HDF!B1297</f>
        <v>Sainghin-en-Weppes</v>
      </c>
      <c r="C1297" s="2">
        <f t="array" ref="C1297">_xlfn.XLOOKUP(A1297, INSEE_Communes!$A$2:$A$3783, INSEE_Communes!$F$2:$F$3783, "code introuvable")</f>
        <v>8</v>
      </c>
    </row>
    <row r="1298">
      <c r="A1298" s="2" t="str">
        <f>Communes_HDF!A1298</f>
        <v>59525</v>
      </c>
      <c r="B1298" s="2" t="str">
        <f>Communes_HDF!B1298</f>
        <v>Sains-du-Nord</v>
      </c>
      <c r="C1298" s="2">
        <f t="array" ref="C1298">_xlfn.XLOOKUP(A1298, INSEE_Communes!$A$2:$A$3783, INSEE_Communes!$F$2:$F$3783, "code introuvable")</f>
        <v>29</v>
      </c>
    </row>
    <row r="1299">
      <c r="A1299" s="2" t="str">
        <f>Communes_HDF!A1299</f>
        <v>59526</v>
      </c>
      <c r="B1299" s="2" t="str">
        <f>Communes_HDF!B1299</f>
        <v>Saint-Amand-les-Eaux</v>
      </c>
      <c r="C1299" s="2">
        <f t="array" ref="C1299">_xlfn.XLOOKUP(A1299, INSEE_Communes!$A$2:$A$3783, INSEE_Communes!$F$2:$F$3783, "code introuvable")</f>
        <v>19</v>
      </c>
    </row>
    <row r="1300">
      <c r="A1300" s="2" t="str">
        <f>Communes_HDF!A1300</f>
        <v>59527</v>
      </c>
      <c r="B1300" s="2" t="str">
        <f>Communes_HDF!B1300</f>
        <v>Saint-André-lez-Lille</v>
      </c>
      <c r="C1300" s="2">
        <f t="array" ref="C1300">_xlfn.XLOOKUP(A1300, INSEE_Communes!$A$2:$A$3783, INSEE_Communes!$F$2:$F$3783, "code introuvable")</f>
        <v>12</v>
      </c>
    </row>
    <row r="1301">
      <c r="A1301" s="2" t="str">
        <f>Communes_HDF!A1301</f>
        <v>59528</v>
      </c>
      <c r="B1301" s="2" t="str">
        <f>Communes_HDF!B1301</f>
        <v>Saint-Aubert</v>
      </c>
      <c r="C1301" s="2" t="str">
        <f t="array" ref="C1301">_xlfn.XLOOKUP(A1301, INSEE_Communes!$A$2:$A$3783, INSEE_Communes!$F$2:$F$3783, "code introuvable")</f>
        <v>non publié</v>
      </c>
    </row>
    <row r="1302">
      <c r="A1302" s="2" t="str">
        <f>Communes_HDF!A1302</f>
        <v>59529</v>
      </c>
      <c r="B1302" s="2" t="str">
        <f>Communes_HDF!B1302</f>
        <v>Saint-Aubin</v>
      </c>
      <c r="C1302" s="2" t="str">
        <f t="array" ref="C1302">_xlfn.XLOOKUP(A1302, INSEE_Communes!$A$2:$A$3783, INSEE_Communes!$F$2:$F$3783, "code introuvable")</f>
        <v>non publié</v>
      </c>
    </row>
    <row r="1303">
      <c r="A1303" s="2" t="str">
        <f>Communes_HDF!A1303</f>
        <v>59530</v>
      </c>
      <c r="B1303" s="2" t="str">
        <f>Communes_HDF!B1303</f>
        <v>Saint-Aybert</v>
      </c>
      <c r="C1303" s="2" t="str">
        <f t="array" ref="C1303">_xlfn.XLOOKUP(A1303, INSEE_Communes!$A$2:$A$3783, INSEE_Communes!$F$2:$F$3783, "code introuvable")</f>
        <v>non publié</v>
      </c>
    </row>
    <row r="1304">
      <c r="A1304" s="2" t="str">
        <f>Communes_HDF!A1304</f>
        <v>59531</v>
      </c>
      <c r="B1304" s="2" t="str">
        <f>Communes_HDF!B1304</f>
        <v>Saint-Benin</v>
      </c>
      <c r="C1304" s="2" t="str">
        <f t="array" ref="C1304">_xlfn.XLOOKUP(A1304, INSEE_Communes!$A$2:$A$3783, INSEE_Communes!$F$2:$F$3783, "code introuvable")</f>
        <v>non publié</v>
      </c>
    </row>
    <row r="1305">
      <c r="A1305" s="2" t="str">
        <f>Communes_HDF!A1305</f>
        <v>59532</v>
      </c>
      <c r="B1305" s="2" t="str">
        <f>Communes_HDF!B1305</f>
        <v>Saint-Georges-sur-l'Aa</v>
      </c>
      <c r="C1305" s="2" t="str">
        <f t="array" ref="C1305">_xlfn.XLOOKUP(A1305, INSEE_Communes!$A$2:$A$3783, INSEE_Communes!$F$2:$F$3783, "code introuvable")</f>
        <v>non publié</v>
      </c>
    </row>
    <row r="1306">
      <c r="A1306" s="2" t="str">
        <f>Communes_HDF!A1306</f>
        <v>59533</v>
      </c>
      <c r="B1306" s="2" t="str">
        <f>Communes_HDF!B1306</f>
        <v>Saint-Hilaire-lez-Cambrai</v>
      </c>
      <c r="C1306" s="2" t="str">
        <f t="array" ref="C1306">_xlfn.XLOOKUP(A1306, INSEE_Communes!$A$2:$A$3783, INSEE_Communes!$F$2:$F$3783, "code introuvable")</f>
        <v>non publié</v>
      </c>
    </row>
    <row r="1307">
      <c r="A1307" s="2" t="str">
        <f>Communes_HDF!A1307</f>
        <v>59534</v>
      </c>
      <c r="B1307" s="2" t="str">
        <f>Communes_HDF!B1307</f>
        <v>Saint-Hilaire-sur-Helpe</v>
      </c>
      <c r="C1307" s="2" t="str">
        <f t="array" ref="C1307">_xlfn.XLOOKUP(A1307, INSEE_Communes!$A$2:$A$3783, INSEE_Communes!$F$2:$F$3783, "code introuvable")</f>
        <v>non publié</v>
      </c>
    </row>
    <row r="1308">
      <c r="A1308" s="2" t="str">
        <f>Communes_HDF!A1308</f>
        <v>59535</v>
      </c>
      <c r="B1308" s="2" t="str">
        <f>Communes_HDF!B1308</f>
        <v>Saint-Jans-Cappel</v>
      </c>
      <c r="C1308" s="2" t="str">
        <f t="array" ref="C1308">_xlfn.XLOOKUP(A1308, INSEE_Communes!$A$2:$A$3783, INSEE_Communes!$F$2:$F$3783, "code introuvable")</f>
        <v>non publié</v>
      </c>
    </row>
    <row r="1309">
      <c r="A1309" s="2" t="str">
        <f>Communes_HDF!A1309</f>
        <v>59537</v>
      </c>
      <c r="B1309" s="2" t="str">
        <f>Communes_HDF!B1309</f>
        <v>Saint-Martin-sur-Écaillon</v>
      </c>
      <c r="C1309" s="2" t="str">
        <f t="array" ref="C1309">_xlfn.XLOOKUP(A1309, INSEE_Communes!$A$2:$A$3783, INSEE_Communes!$F$2:$F$3783, "code introuvable")</f>
        <v>non publié</v>
      </c>
    </row>
    <row r="1310">
      <c r="A1310" s="2" t="str">
        <f>Communes_HDF!A1310</f>
        <v>59538</v>
      </c>
      <c r="B1310" s="2" t="str">
        <f>Communes_HDF!B1310</f>
        <v>Saint-Momelin</v>
      </c>
      <c r="C1310" s="2" t="str">
        <f t="array" ref="C1310">_xlfn.XLOOKUP(A1310, INSEE_Communes!$A$2:$A$3783, INSEE_Communes!$F$2:$F$3783, "code introuvable")</f>
        <v>non publié</v>
      </c>
    </row>
    <row r="1311">
      <c r="A1311" s="2" t="str">
        <f>Communes_HDF!A1311</f>
        <v>59539</v>
      </c>
      <c r="B1311" s="2" t="str">
        <f>Communes_HDF!B1311</f>
        <v>Saint-Pierre-Brouck</v>
      </c>
      <c r="C1311" s="2" t="str">
        <f t="array" ref="C1311">_xlfn.XLOOKUP(A1311, INSEE_Communes!$A$2:$A$3783, INSEE_Communes!$F$2:$F$3783, "code introuvable")</f>
        <v>non publié</v>
      </c>
    </row>
    <row r="1312">
      <c r="A1312" s="2" t="str">
        <f>Communes_HDF!A1312</f>
        <v>59541</v>
      </c>
      <c r="B1312" s="2" t="str">
        <f>Communes_HDF!B1312</f>
        <v>Saint-Python</v>
      </c>
      <c r="C1312" s="2" t="str">
        <f t="array" ref="C1312">_xlfn.XLOOKUP(A1312, INSEE_Communes!$A$2:$A$3783, INSEE_Communes!$F$2:$F$3783, "code introuvable")</f>
        <v>non publié</v>
      </c>
    </row>
    <row r="1313">
      <c r="A1313" s="2" t="str">
        <f>Communes_HDF!A1313</f>
        <v>59542</v>
      </c>
      <c r="B1313" s="2" t="str">
        <f>Communes_HDF!B1313</f>
        <v>Saint-Remy-Chaussée</v>
      </c>
      <c r="C1313" s="2" t="str">
        <f t="array" ref="C1313">_xlfn.XLOOKUP(A1313, INSEE_Communes!$A$2:$A$3783, INSEE_Communes!$F$2:$F$3783, "code introuvable")</f>
        <v>non publié</v>
      </c>
    </row>
    <row r="1314">
      <c r="A1314" s="2" t="str">
        <f>Communes_HDF!A1314</f>
        <v>59543</v>
      </c>
      <c r="B1314" s="2" t="str">
        <f>Communes_HDF!B1314</f>
        <v>Saint-Remy-du-Nord</v>
      </c>
      <c r="C1314" s="2" t="str">
        <f t="array" ref="C1314">_xlfn.XLOOKUP(A1314, INSEE_Communes!$A$2:$A$3783, INSEE_Communes!$F$2:$F$3783, "code introuvable")</f>
        <v>non publié</v>
      </c>
    </row>
    <row r="1315">
      <c r="A1315" s="2" t="str">
        <f>Communes_HDF!A1315</f>
        <v>59544</v>
      </c>
      <c r="B1315" s="2" t="str">
        <f>Communes_HDF!B1315</f>
        <v>Saint-Saulve</v>
      </c>
      <c r="C1315" s="2">
        <f t="array" ref="C1315">_xlfn.XLOOKUP(A1315, INSEE_Communes!$A$2:$A$3783, INSEE_Communes!$F$2:$F$3783, "code introuvable")</f>
        <v>19</v>
      </c>
    </row>
    <row r="1316">
      <c r="A1316" s="2" t="str">
        <f>Communes_HDF!A1316</f>
        <v>59545</v>
      </c>
      <c r="B1316" s="2" t="str">
        <f>Communes_HDF!B1316</f>
        <v>Saint-Souplet</v>
      </c>
      <c r="C1316" s="2" t="str">
        <f t="array" ref="C1316">_xlfn.XLOOKUP(A1316, INSEE_Communes!$A$2:$A$3783, INSEE_Communes!$F$2:$F$3783, "code introuvable")</f>
        <v>non publié</v>
      </c>
    </row>
    <row r="1317">
      <c r="A1317" s="2" t="str">
        <f>Communes_HDF!A1317</f>
        <v>59546</v>
      </c>
      <c r="B1317" s="2" t="str">
        <f>Communes_HDF!B1317</f>
        <v>Saint-Sylvestre-Cappel</v>
      </c>
      <c r="C1317" s="2" t="str">
        <f t="array" ref="C1317">_xlfn.XLOOKUP(A1317, INSEE_Communes!$A$2:$A$3783, INSEE_Communes!$F$2:$F$3783, "code introuvable")</f>
        <v>non publié</v>
      </c>
    </row>
    <row r="1318">
      <c r="A1318" s="2" t="str">
        <f>Communes_HDF!A1318</f>
        <v>59547</v>
      </c>
      <c r="B1318" s="2" t="str">
        <f>Communes_HDF!B1318</f>
        <v>Saint-Vaast-en-Cambrésis</v>
      </c>
      <c r="C1318" s="2" t="str">
        <f t="array" ref="C1318">_xlfn.XLOOKUP(A1318, INSEE_Communes!$A$2:$A$3783, INSEE_Communes!$F$2:$F$3783, "code introuvable")</f>
        <v>non publié</v>
      </c>
    </row>
    <row r="1319">
      <c r="A1319" s="2" t="str">
        <f>Communes_HDF!A1319</f>
        <v>59548</v>
      </c>
      <c r="B1319" s="2" t="str">
        <f>Communes_HDF!B1319</f>
        <v>Saint-Waast</v>
      </c>
      <c r="C1319" s="2" t="str">
        <f t="array" ref="C1319">_xlfn.XLOOKUP(A1319, INSEE_Communes!$A$2:$A$3783, INSEE_Communes!$F$2:$F$3783, "code introuvable")</f>
        <v>non publié</v>
      </c>
    </row>
    <row r="1320">
      <c r="A1320" s="2" t="str">
        <f>Communes_HDF!A1320</f>
        <v>59536</v>
      </c>
      <c r="B1320" s="2" t="str">
        <f>Communes_HDF!B1320</f>
        <v>Sainte-Marie-Cappel</v>
      </c>
      <c r="C1320" s="2" t="str">
        <f t="array" ref="C1320">_xlfn.XLOOKUP(A1320, INSEE_Communes!$A$2:$A$3783, INSEE_Communes!$F$2:$F$3783, "code introuvable")</f>
        <v>non publié</v>
      </c>
    </row>
    <row r="1321">
      <c r="A1321" s="2" t="str">
        <f>Communes_HDF!A1321</f>
        <v>59549</v>
      </c>
      <c r="B1321" s="2" t="str">
        <f>Communes_HDF!B1321</f>
        <v>Salesches</v>
      </c>
      <c r="C1321" s="2" t="str">
        <f t="array" ref="C1321">_xlfn.XLOOKUP(A1321, INSEE_Communes!$A$2:$A$3783, INSEE_Communes!$F$2:$F$3783, "code introuvable")</f>
        <v>non publié</v>
      </c>
    </row>
    <row r="1322">
      <c r="A1322" s="2" t="str">
        <f>Communes_HDF!A1322</f>
        <v>59550</v>
      </c>
      <c r="B1322" s="2" t="str">
        <f>Communes_HDF!B1322</f>
        <v>Salomé</v>
      </c>
      <c r="C1322" s="2">
        <f t="array" ref="C1322">_xlfn.XLOOKUP(A1322, INSEE_Communes!$A$2:$A$3783, INSEE_Communes!$F$2:$F$3783, "code introuvable")</f>
        <v>13</v>
      </c>
    </row>
    <row r="1323">
      <c r="A1323" s="2" t="str">
        <f>Communes_HDF!A1323</f>
        <v>59551</v>
      </c>
      <c r="B1323" s="2" t="str">
        <f>Communes_HDF!B1323</f>
        <v>Saméon</v>
      </c>
      <c r="C1323" s="2" t="str">
        <f t="array" ref="C1323">_xlfn.XLOOKUP(A1323, INSEE_Communes!$A$2:$A$3783, INSEE_Communes!$F$2:$F$3783, "code introuvable")</f>
        <v>non publié</v>
      </c>
    </row>
    <row r="1324">
      <c r="A1324" s="2" t="str">
        <f>Communes_HDF!A1324</f>
        <v>59552</v>
      </c>
      <c r="B1324" s="2" t="str">
        <f>Communes_HDF!B1324</f>
        <v>Sancourt</v>
      </c>
      <c r="C1324" s="2" t="str">
        <f t="array" ref="C1324">_xlfn.XLOOKUP(A1324, INSEE_Communes!$A$2:$A$3783, INSEE_Communes!$F$2:$F$3783, "code introuvable")</f>
        <v>non publié</v>
      </c>
    </row>
    <row r="1325">
      <c r="A1325" s="2" t="str">
        <f>Communes_HDF!A1325</f>
        <v>59553</v>
      </c>
      <c r="B1325" s="2" t="str">
        <f>Communes_HDF!B1325</f>
        <v>Santes</v>
      </c>
      <c r="C1325" s="2">
        <f t="array" ref="C1325">_xlfn.XLOOKUP(A1325, INSEE_Communes!$A$2:$A$3783, INSEE_Communes!$F$2:$F$3783, "code introuvable")</f>
        <v>6</v>
      </c>
    </row>
    <row r="1326">
      <c r="A1326" s="2" t="str">
        <f>Communes_HDF!A1326</f>
        <v>59555</v>
      </c>
      <c r="B1326" s="2" t="str">
        <f>Communes_HDF!B1326</f>
        <v>Sars-Poteries</v>
      </c>
      <c r="C1326" s="2" t="str">
        <f t="array" ref="C1326">_xlfn.XLOOKUP(A1326, INSEE_Communes!$A$2:$A$3783, INSEE_Communes!$F$2:$F$3783, "code introuvable")</f>
        <v>non publié</v>
      </c>
    </row>
    <row r="1327">
      <c r="A1327" s="2" t="str">
        <f>Communes_HDF!A1327</f>
        <v>59554</v>
      </c>
      <c r="B1327" s="2" t="str">
        <f>Communes_HDF!B1327</f>
        <v>Sars-et-Rosières</v>
      </c>
      <c r="C1327" s="2" t="str">
        <f t="array" ref="C1327">_xlfn.XLOOKUP(A1327, INSEE_Communes!$A$2:$A$3783, INSEE_Communes!$F$2:$F$3783, "code introuvable")</f>
        <v>non publié</v>
      </c>
    </row>
    <row r="1328">
      <c r="A1328" s="2" t="str">
        <f>Communes_HDF!A1328</f>
        <v>59556</v>
      </c>
      <c r="B1328" s="2" t="str">
        <f>Communes_HDF!B1328</f>
        <v>Sassegnies</v>
      </c>
      <c r="C1328" s="2" t="str">
        <f t="array" ref="C1328">_xlfn.XLOOKUP(A1328, INSEE_Communes!$A$2:$A$3783, INSEE_Communes!$F$2:$F$3783, "code introuvable")</f>
        <v>non publié</v>
      </c>
    </row>
    <row r="1329">
      <c r="A1329" s="2" t="str">
        <f>Communes_HDF!A1329</f>
        <v>59557</v>
      </c>
      <c r="B1329" s="2" t="str">
        <f>Communes_HDF!B1329</f>
        <v>Saultain</v>
      </c>
      <c r="C1329" s="2">
        <f t="array" ref="C1329">_xlfn.XLOOKUP(A1329, INSEE_Communes!$A$2:$A$3783, INSEE_Communes!$F$2:$F$3783, "code introuvable")</f>
        <v>11</v>
      </c>
    </row>
    <row r="1330">
      <c r="A1330" s="2" t="str">
        <f>Communes_HDF!A1330</f>
        <v>59558</v>
      </c>
      <c r="B1330" s="2" t="str">
        <f>Communes_HDF!B1330</f>
        <v>Saulzoir</v>
      </c>
      <c r="C1330" s="2" t="str">
        <f t="array" ref="C1330">_xlfn.XLOOKUP(A1330, INSEE_Communes!$A$2:$A$3783, INSEE_Communes!$F$2:$F$3783, "code introuvable")</f>
        <v>non publié</v>
      </c>
    </row>
    <row r="1331">
      <c r="A1331" s="2" t="str">
        <f>Communes_HDF!A1331</f>
        <v>59559</v>
      </c>
      <c r="B1331" s="2" t="str">
        <f>Communes_HDF!B1331</f>
        <v>Sebourg</v>
      </c>
      <c r="C1331" s="2" t="str">
        <f t="array" ref="C1331">_xlfn.XLOOKUP(A1331, INSEE_Communes!$A$2:$A$3783, INSEE_Communes!$F$2:$F$3783, "code introuvable")</f>
        <v>non publié</v>
      </c>
    </row>
    <row r="1332">
      <c r="A1332" s="2" t="str">
        <f>Communes_HDF!A1332</f>
        <v>59560</v>
      </c>
      <c r="B1332" s="2" t="str">
        <f>Communes_HDF!B1332</f>
        <v>Seclin</v>
      </c>
      <c r="C1332" s="2">
        <f t="array" ref="C1332">_xlfn.XLOOKUP(A1332, INSEE_Communes!$A$2:$A$3783, INSEE_Communes!$F$2:$F$3783, "code introuvable")</f>
        <v>17</v>
      </c>
    </row>
    <row r="1333">
      <c r="A1333" s="2" t="str">
        <f>Communes_HDF!A1333</f>
        <v>59563</v>
      </c>
      <c r="B1333" s="2" t="str">
        <f>Communes_HDF!B1333</f>
        <v>Semousies</v>
      </c>
      <c r="C1333" s="2" t="str">
        <f t="array" ref="C1333">_xlfn.XLOOKUP(A1333, INSEE_Communes!$A$2:$A$3783, INSEE_Communes!$F$2:$F$3783, "code introuvable")</f>
        <v>non publié</v>
      </c>
    </row>
    <row r="1334">
      <c r="A1334" s="2" t="str">
        <f>Communes_HDF!A1334</f>
        <v>59565</v>
      </c>
      <c r="B1334" s="2" t="str">
        <f>Communes_HDF!B1334</f>
        <v>Sepmeries</v>
      </c>
      <c r="C1334" s="2" t="str">
        <f t="array" ref="C1334">_xlfn.XLOOKUP(A1334, INSEE_Communes!$A$2:$A$3783, INSEE_Communes!$F$2:$F$3783, "code introuvable")</f>
        <v>non publié</v>
      </c>
    </row>
    <row r="1335">
      <c r="A1335" s="2" t="str">
        <f>Communes_HDF!A1335</f>
        <v>59566</v>
      </c>
      <c r="B1335" s="2" t="str">
        <f>Communes_HDF!B1335</f>
        <v>Sequedin</v>
      </c>
      <c r="C1335" s="2">
        <f t="array" ref="C1335">_xlfn.XLOOKUP(A1335, INSEE_Communes!$A$2:$A$3783, INSEE_Communes!$F$2:$F$3783, "code introuvable")</f>
        <v>7</v>
      </c>
    </row>
    <row r="1336">
      <c r="A1336" s="2" t="str">
        <f>Communes_HDF!A1336</f>
        <v>59568</v>
      </c>
      <c r="B1336" s="2" t="str">
        <f>Communes_HDF!B1336</f>
        <v>Sercus</v>
      </c>
      <c r="C1336" s="2" t="str">
        <f t="array" ref="C1336">_xlfn.XLOOKUP(A1336, INSEE_Communes!$A$2:$A$3783, INSEE_Communes!$F$2:$F$3783, "code introuvable")</f>
        <v>non publié</v>
      </c>
    </row>
    <row r="1337">
      <c r="A1337" s="2" t="str">
        <f>Communes_HDF!A1337</f>
        <v>59569</v>
      </c>
      <c r="B1337" s="2" t="str">
        <f>Communes_HDF!B1337</f>
        <v>Sin-le-Noble</v>
      </c>
      <c r="C1337" s="2">
        <f t="array" ref="C1337">_xlfn.XLOOKUP(A1337, INSEE_Communes!$A$2:$A$3783, INSEE_Communes!$F$2:$F$3783, "code introuvable")</f>
        <v>26</v>
      </c>
    </row>
    <row r="1338">
      <c r="A1338" s="2" t="str">
        <f>Communes_HDF!A1338</f>
        <v>59570</v>
      </c>
      <c r="B1338" s="2" t="str">
        <f>Communes_HDF!B1338</f>
        <v>Socx</v>
      </c>
      <c r="C1338" s="2" t="str">
        <f t="array" ref="C1338">_xlfn.XLOOKUP(A1338, INSEE_Communes!$A$2:$A$3783, INSEE_Communes!$F$2:$F$3783, "code introuvable")</f>
        <v>non publié</v>
      </c>
    </row>
    <row r="1339">
      <c r="A1339" s="2" t="str">
        <f>Communes_HDF!A1339</f>
        <v>59571</v>
      </c>
      <c r="B1339" s="2" t="str">
        <f>Communes_HDF!B1339</f>
        <v>Solesmes</v>
      </c>
      <c r="C1339" s="2">
        <f t="array" ref="C1339">_xlfn.XLOOKUP(A1339, INSEE_Communes!$A$2:$A$3783, INSEE_Communes!$F$2:$F$3783, "code introuvable")</f>
        <v>20</v>
      </c>
    </row>
    <row r="1340">
      <c r="A1340" s="2" t="str">
        <f>Communes_HDF!A1340</f>
        <v>59572</v>
      </c>
      <c r="B1340" s="2" t="str">
        <f>Communes_HDF!B1340</f>
        <v>Solre-le-Château</v>
      </c>
      <c r="C1340" s="2" t="str">
        <f t="array" ref="C1340">_xlfn.XLOOKUP(A1340, INSEE_Communes!$A$2:$A$3783, INSEE_Communes!$F$2:$F$3783, "code introuvable")</f>
        <v>non publié</v>
      </c>
    </row>
    <row r="1341">
      <c r="A1341" s="2" t="str">
        <f>Communes_HDF!A1341</f>
        <v>59573</v>
      </c>
      <c r="B1341" s="2" t="str">
        <f>Communes_HDF!B1341</f>
        <v>Solrinnes</v>
      </c>
      <c r="C1341" s="2" t="str">
        <f t="array" ref="C1341">_xlfn.XLOOKUP(A1341, INSEE_Communes!$A$2:$A$3783, INSEE_Communes!$F$2:$F$3783, "code introuvable")</f>
        <v>non publié</v>
      </c>
    </row>
    <row r="1342">
      <c r="A1342" s="2" t="str">
        <f>Communes_HDF!A1342</f>
        <v>59574</v>
      </c>
      <c r="B1342" s="2" t="str">
        <f>Communes_HDF!B1342</f>
        <v>Somain</v>
      </c>
      <c r="C1342" s="2">
        <f t="array" ref="C1342">_xlfn.XLOOKUP(A1342, INSEE_Communes!$A$2:$A$3783, INSEE_Communes!$F$2:$F$3783, "code introuvable")</f>
        <v>24</v>
      </c>
    </row>
    <row r="1343">
      <c r="A1343" s="2" t="str">
        <f>Communes_HDF!A1343</f>
        <v>59575</v>
      </c>
      <c r="B1343" s="2" t="str">
        <f>Communes_HDF!B1343</f>
        <v>Sommaing</v>
      </c>
      <c r="C1343" s="2" t="str">
        <f t="array" ref="C1343">_xlfn.XLOOKUP(A1343, INSEE_Communes!$A$2:$A$3783, INSEE_Communes!$F$2:$F$3783, "code introuvable")</f>
        <v>non publié</v>
      </c>
    </row>
    <row r="1344">
      <c r="A1344" s="2" t="str">
        <f>Communes_HDF!A1344</f>
        <v>59576</v>
      </c>
      <c r="B1344" s="2" t="str">
        <f>Communes_HDF!B1344</f>
        <v>Spycker</v>
      </c>
      <c r="C1344" s="2" t="str">
        <f t="array" ref="C1344">_xlfn.XLOOKUP(A1344, INSEE_Communes!$A$2:$A$3783, INSEE_Communes!$F$2:$F$3783, "code introuvable")</f>
        <v>non publié</v>
      </c>
    </row>
    <row r="1345">
      <c r="A1345" s="2" t="str">
        <f>Communes_HDF!A1345</f>
        <v>59577</v>
      </c>
      <c r="B1345" s="2" t="str">
        <f>Communes_HDF!B1345</f>
        <v>Staple</v>
      </c>
      <c r="C1345" s="2" t="str">
        <f t="array" ref="C1345">_xlfn.XLOOKUP(A1345, INSEE_Communes!$A$2:$A$3783, INSEE_Communes!$F$2:$F$3783, "code introuvable")</f>
        <v>non publié</v>
      </c>
    </row>
    <row r="1346">
      <c r="A1346" s="2" t="str">
        <f>Communes_HDF!A1346</f>
        <v>59578</v>
      </c>
      <c r="B1346" s="2" t="str">
        <f>Communes_HDF!B1346</f>
        <v>Steenbecque</v>
      </c>
      <c r="C1346" s="2" t="str">
        <f t="array" ref="C1346">_xlfn.XLOOKUP(A1346, INSEE_Communes!$A$2:$A$3783, INSEE_Communes!$F$2:$F$3783, "code introuvable")</f>
        <v>non publié</v>
      </c>
    </row>
    <row r="1347">
      <c r="A1347" s="2" t="str">
        <f>Communes_HDF!A1347</f>
        <v>59579</v>
      </c>
      <c r="B1347" s="2" t="str">
        <f>Communes_HDF!B1347</f>
        <v>Steene</v>
      </c>
      <c r="C1347" s="2" t="str">
        <f t="array" ref="C1347">_xlfn.XLOOKUP(A1347, INSEE_Communes!$A$2:$A$3783, INSEE_Communes!$F$2:$F$3783, "code introuvable")</f>
        <v>non publié</v>
      </c>
    </row>
    <row r="1348">
      <c r="A1348" s="2" t="str">
        <f>Communes_HDF!A1348</f>
        <v>59580</v>
      </c>
      <c r="B1348" s="2" t="str">
        <f>Communes_HDF!B1348</f>
        <v>Steenvoorde</v>
      </c>
      <c r="C1348" s="2">
        <f t="array" ref="C1348">_xlfn.XLOOKUP(A1348, INSEE_Communes!$A$2:$A$3783, INSEE_Communes!$F$2:$F$3783, "code introuvable")</f>
        <v>13</v>
      </c>
    </row>
    <row r="1349">
      <c r="A1349" s="2" t="str">
        <f>Communes_HDF!A1349</f>
        <v>59581</v>
      </c>
      <c r="B1349" s="2" t="str">
        <f>Communes_HDF!B1349</f>
        <v>Steenwerck</v>
      </c>
      <c r="C1349" s="2">
        <f t="array" ref="C1349">_xlfn.XLOOKUP(A1349, INSEE_Communes!$A$2:$A$3783, INSEE_Communes!$F$2:$F$3783, "code introuvable")</f>
        <v>8</v>
      </c>
    </row>
    <row r="1350">
      <c r="A1350" s="2" t="str">
        <f>Communes_HDF!A1350</f>
        <v>59582</v>
      </c>
      <c r="B1350" s="2" t="str">
        <f>Communes_HDF!B1350</f>
        <v>Strazeele</v>
      </c>
      <c r="C1350" s="2" t="str">
        <f t="array" ref="C1350">_xlfn.XLOOKUP(A1350, INSEE_Communes!$A$2:$A$3783, INSEE_Communes!$F$2:$F$3783, "code introuvable")</f>
        <v>non publié</v>
      </c>
    </row>
    <row r="1351">
      <c r="A1351" s="2" t="str">
        <f>Communes_HDF!A1351</f>
        <v>59562</v>
      </c>
      <c r="B1351" s="2" t="str">
        <f>Communes_HDF!B1351</f>
        <v>Sémeries</v>
      </c>
      <c r="C1351" s="2" t="str">
        <f t="array" ref="C1351">_xlfn.XLOOKUP(A1351, INSEE_Communes!$A$2:$A$3783, INSEE_Communes!$F$2:$F$3783, "code introuvable")</f>
        <v>non publié</v>
      </c>
    </row>
    <row r="1352">
      <c r="A1352" s="2" t="str">
        <f>Communes_HDF!A1352</f>
        <v>59567</v>
      </c>
      <c r="B1352" s="2" t="str">
        <f>Communes_HDF!B1352</f>
        <v>Séranvillers-Forenville</v>
      </c>
      <c r="C1352" s="2" t="str">
        <f t="array" ref="C1352">_xlfn.XLOOKUP(A1352, INSEE_Communes!$A$2:$A$3783, INSEE_Communes!$F$2:$F$3783, "code introuvable")</f>
        <v>non publié</v>
      </c>
    </row>
    <row r="1353">
      <c r="A1353" s="2" t="str">
        <f>Communes_HDF!A1353</f>
        <v>59583</v>
      </c>
      <c r="B1353" s="2" t="str">
        <f>Communes_HDF!B1353</f>
        <v>Taisnières-en-Thiérache</v>
      </c>
      <c r="C1353" s="2" t="str">
        <f t="array" ref="C1353">_xlfn.XLOOKUP(A1353, INSEE_Communes!$A$2:$A$3783, INSEE_Communes!$F$2:$F$3783, "code introuvable")</f>
        <v>non publié</v>
      </c>
    </row>
    <row r="1354">
      <c r="A1354" s="2" t="str">
        <f>Communes_HDF!A1354</f>
        <v>59584</v>
      </c>
      <c r="B1354" s="2" t="str">
        <f>Communes_HDF!B1354</f>
        <v>Taisnières-sur-Hon</v>
      </c>
      <c r="C1354" s="2" t="str">
        <f t="array" ref="C1354">_xlfn.XLOOKUP(A1354, INSEE_Communes!$A$2:$A$3783, INSEE_Communes!$F$2:$F$3783, "code introuvable")</f>
        <v>non publié</v>
      </c>
    </row>
    <row r="1355">
      <c r="A1355" s="2" t="str">
        <f>Communes_HDF!A1355</f>
        <v>59585</v>
      </c>
      <c r="B1355" s="2" t="str">
        <f>Communes_HDF!B1355</f>
        <v>Templemars</v>
      </c>
      <c r="C1355" s="2">
        <f t="array" ref="C1355">_xlfn.XLOOKUP(A1355, INSEE_Communes!$A$2:$A$3783, INSEE_Communes!$F$2:$F$3783, "code introuvable")</f>
        <v>9</v>
      </c>
    </row>
    <row r="1356">
      <c r="A1356" s="2" t="str">
        <f>Communes_HDF!A1356</f>
        <v>59586</v>
      </c>
      <c r="B1356" s="2" t="str">
        <f>Communes_HDF!B1356</f>
        <v>Templeuve-en-Pévèle</v>
      </c>
      <c r="C1356" s="2">
        <f t="array" ref="C1356">_xlfn.XLOOKUP(A1356, INSEE_Communes!$A$2:$A$3783, INSEE_Communes!$F$2:$F$3783, "code introuvable")</f>
        <v>7</v>
      </c>
    </row>
    <row r="1357">
      <c r="A1357" s="2" t="str">
        <f>Communes_HDF!A1357</f>
        <v>59587</v>
      </c>
      <c r="B1357" s="2" t="str">
        <f>Communes_HDF!B1357</f>
        <v>Terdeghem</v>
      </c>
      <c r="C1357" s="2" t="str">
        <f t="array" ref="C1357">_xlfn.XLOOKUP(A1357, INSEE_Communes!$A$2:$A$3783, INSEE_Communes!$F$2:$F$3783, "code introuvable")</f>
        <v>non publié</v>
      </c>
    </row>
    <row r="1358">
      <c r="A1358" s="2" t="str">
        <f>Communes_HDF!A1358</f>
        <v>59589</v>
      </c>
      <c r="B1358" s="2" t="str">
        <f>Communes_HDF!B1358</f>
        <v>Thiant</v>
      </c>
      <c r="C1358" s="2">
        <f t="array" ref="C1358">_xlfn.XLOOKUP(A1358, INSEE_Communes!$A$2:$A$3783, INSEE_Communes!$F$2:$F$3783, "code introuvable")</f>
        <v>15</v>
      </c>
    </row>
    <row r="1359">
      <c r="A1359" s="2" t="str">
        <f>Communes_HDF!A1359</f>
        <v>59590</v>
      </c>
      <c r="B1359" s="2" t="str">
        <f>Communes_HDF!B1359</f>
        <v>Thiennes</v>
      </c>
      <c r="C1359" s="2" t="str">
        <f t="array" ref="C1359">_xlfn.XLOOKUP(A1359, INSEE_Communes!$A$2:$A$3783, INSEE_Communes!$F$2:$F$3783, "code introuvable")</f>
        <v>non publié</v>
      </c>
    </row>
    <row r="1360">
      <c r="A1360" s="2" t="str">
        <f>Communes_HDF!A1360</f>
        <v>59591</v>
      </c>
      <c r="B1360" s="2" t="str">
        <f>Communes_HDF!B1360</f>
        <v>Thivencelle</v>
      </c>
      <c r="C1360" s="2" t="str">
        <f t="array" ref="C1360">_xlfn.XLOOKUP(A1360, INSEE_Communes!$A$2:$A$3783, INSEE_Communes!$F$2:$F$3783, "code introuvable")</f>
        <v>non publié</v>
      </c>
    </row>
    <row r="1361">
      <c r="A1361" s="2" t="str">
        <f>Communes_HDF!A1361</f>
        <v>59592</v>
      </c>
      <c r="B1361" s="2" t="str">
        <f>Communes_HDF!B1361</f>
        <v>Thumeries</v>
      </c>
      <c r="C1361" s="2">
        <f t="array" ref="C1361">_xlfn.XLOOKUP(A1361, INSEE_Communes!$A$2:$A$3783, INSEE_Communes!$F$2:$F$3783, "code introuvable")</f>
        <v>7</v>
      </c>
    </row>
    <row r="1362">
      <c r="A1362" s="2" t="str">
        <f>Communes_HDF!A1362</f>
        <v>59594</v>
      </c>
      <c r="B1362" s="2" t="str">
        <f>Communes_HDF!B1362</f>
        <v>Thun-Saint-Amand</v>
      </c>
      <c r="C1362" s="2" t="str">
        <f t="array" ref="C1362">_xlfn.XLOOKUP(A1362, INSEE_Communes!$A$2:$A$3783, INSEE_Communes!$F$2:$F$3783, "code introuvable")</f>
        <v>non publié</v>
      </c>
    </row>
    <row r="1363">
      <c r="A1363" s="2" t="str">
        <f>Communes_HDF!A1363</f>
        <v>59595</v>
      </c>
      <c r="B1363" s="2" t="str">
        <f>Communes_HDF!B1363</f>
        <v>Thun-Saint-Martin</v>
      </c>
      <c r="C1363" s="2" t="str">
        <f t="array" ref="C1363">_xlfn.XLOOKUP(A1363, INSEE_Communes!$A$2:$A$3783, INSEE_Communes!$F$2:$F$3783, "code introuvable")</f>
        <v>non publié</v>
      </c>
    </row>
    <row r="1364">
      <c r="A1364" s="2" t="str">
        <f>Communes_HDF!A1364</f>
        <v>59593</v>
      </c>
      <c r="B1364" s="2" t="str">
        <f>Communes_HDF!B1364</f>
        <v>Thun-l'Évêque</v>
      </c>
      <c r="C1364" s="2" t="str">
        <f t="array" ref="C1364">_xlfn.XLOOKUP(A1364, INSEE_Communes!$A$2:$A$3783, INSEE_Communes!$F$2:$F$3783, "code introuvable")</f>
        <v>non publié</v>
      </c>
    </row>
    <row r="1365">
      <c r="A1365" s="2" t="str">
        <f>Communes_HDF!A1365</f>
        <v>59597</v>
      </c>
      <c r="B1365" s="2" t="str">
        <f>Communes_HDF!B1365</f>
        <v>Tilloy-lez-Cambrai</v>
      </c>
      <c r="C1365" s="2" t="str">
        <f t="array" ref="C1365">_xlfn.XLOOKUP(A1365, INSEE_Communes!$A$2:$A$3783, INSEE_Communes!$F$2:$F$3783, "code introuvable")</f>
        <v>non publié</v>
      </c>
    </row>
    <row r="1366">
      <c r="A1366" s="2" t="str">
        <f>Communes_HDF!A1366</f>
        <v>59596</v>
      </c>
      <c r="B1366" s="2" t="str">
        <f>Communes_HDF!B1366</f>
        <v>Tilloy-lez-Marchiennes</v>
      </c>
      <c r="C1366" s="2" t="str">
        <f t="array" ref="C1366">_xlfn.XLOOKUP(A1366, INSEE_Communes!$A$2:$A$3783, INSEE_Communes!$F$2:$F$3783, "code introuvable")</f>
        <v>non publié</v>
      </c>
    </row>
    <row r="1367">
      <c r="A1367" s="2" t="str">
        <f>Communes_HDF!A1367</f>
        <v>59598</v>
      </c>
      <c r="B1367" s="2" t="str">
        <f>Communes_HDF!B1367</f>
        <v>Toufflers</v>
      </c>
      <c r="C1367" s="2">
        <f t="array" ref="C1367">_xlfn.XLOOKUP(A1367, INSEE_Communes!$A$2:$A$3783, INSEE_Communes!$F$2:$F$3783, "code introuvable")</f>
        <v>9</v>
      </c>
    </row>
    <row r="1368">
      <c r="A1368" s="2" t="str">
        <f>Communes_HDF!A1368</f>
        <v>59599</v>
      </c>
      <c r="B1368" s="2" t="str">
        <f>Communes_HDF!B1368</f>
        <v>Tourcoing</v>
      </c>
      <c r="C1368" s="2">
        <f t="array" ref="C1368">_xlfn.XLOOKUP(A1368, INSEE_Communes!$A$2:$A$3783, INSEE_Communes!$F$2:$F$3783, "code introuvable")</f>
        <v>30.3</v>
      </c>
    </row>
    <row r="1369">
      <c r="A1369" s="2" t="str">
        <f>Communes_HDF!A1369</f>
        <v>59600</v>
      </c>
      <c r="B1369" s="2" t="str">
        <f>Communes_HDF!B1369</f>
        <v>Tourmignies</v>
      </c>
      <c r="C1369" s="2" t="str">
        <f t="array" ref="C1369">_xlfn.XLOOKUP(A1369, INSEE_Communes!$A$2:$A$3783, INSEE_Communes!$F$2:$F$3783, "code introuvable")</f>
        <v>non publié</v>
      </c>
    </row>
    <row r="1370">
      <c r="A1370" s="2" t="str">
        <f>Communes_HDF!A1370</f>
        <v>59602</v>
      </c>
      <c r="B1370" s="2" t="str">
        <f>Communes_HDF!B1370</f>
        <v>Tressin</v>
      </c>
      <c r="C1370" s="2" t="str">
        <f t="array" ref="C1370">_xlfn.XLOOKUP(A1370, INSEE_Communes!$A$2:$A$3783, INSEE_Communes!$F$2:$F$3783, "code introuvable")</f>
        <v>non publié</v>
      </c>
    </row>
    <row r="1371">
      <c r="A1371" s="2" t="str">
        <f>Communes_HDF!A1371</f>
        <v>59603</v>
      </c>
      <c r="B1371" s="2" t="str">
        <f>Communes_HDF!B1371</f>
        <v>Trith-Saint-Léger</v>
      </c>
      <c r="C1371" s="2">
        <f t="array" ref="C1371">_xlfn.XLOOKUP(A1371, INSEE_Communes!$A$2:$A$3783, INSEE_Communes!$F$2:$F$3783, "code introuvable")</f>
        <v>20</v>
      </c>
    </row>
    <row r="1372">
      <c r="A1372" s="2" t="str">
        <f>Communes_HDF!A1372</f>
        <v>59604</v>
      </c>
      <c r="B1372" s="2" t="str">
        <f>Communes_HDF!B1372</f>
        <v>Troisvilles</v>
      </c>
      <c r="C1372" s="2" t="str">
        <f t="array" ref="C1372">_xlfn.XLOOKUP(A1372, INSEE_Communes!$A$2:$A$3783, INSEE_Communes!$F$2:$F$3783, "code introuvable")</f>
        <v>non publié</v>
      </c>
    </row>
    <row r="1373">
      <c r="A1373" s="2" t="str">
        <f>Communes_HDF!A1373</f>
        <v>59601</v>
      </c>
      <c r="B1373" s="2" t="str">
        <f>Communes_HDF!B1373</f>
        <v>Trélon</v>
      </c>
      <c r="C1373" s="2">
        <f t="array" ref="C1373">_xlfn.XLOOKUP(A1373, INSEE_Communes!$A$2:$A$3783, INSEE_Communes!$F$2:$F$3783, "code introuvable")</f>
        <v>22</v>
      </c>
    </row>
    <row r="1374">
      <c r="A1374" s="2" t="str">
        <f>Communes_HDF!A1374</f>
        <v>59588</v>
      </c>
      <c r="B1374" s="2" t="str">
        <f>Communes_HDF!B1374</f>
        <v>Téteghem-Coudekerque-Village</v>
      </c>
      <c r="C1374" s="2">
        <f t="array" ref="C1374">_xlfn.XLOOKUP(A1374, INSEE_Communes!$A$2:$A$3783, INSEE_Communes!$F$2:$F$3783, "code introuvable")</f>
        <v>9</v>
      </c>
    </row>
    <row r="1375">
      <c r="A1375" s="2" t="str">
        <f>Communes_HDF!A1375</f>
        <v>59605</v>
      </c>
      <c r="B1375" s="2" t="str">
        <f>Communes_HDF!B1375</f>
        <v>Uxem</v>
      </c>
      <c r="C1375" s="2" t="str">
        <f t="array" ref="C1375">_xlfn.XLOOKUP(A1375, INSEE_Communes!$A$2:$A$3783, INSEE_Communes!$F$2:$F$3783, "code introuvable")</f>
        <v>non publié</v>
      </c>
    </row>
    <row r="1376">
      <c r="A1376" s="2" t="str">
        <f>Communes_HDF!A1376</f>
        <v>59606</v>
      </c>
      <c r="B1376" s="2" t="str">
        <f>Communes_HDF!B1376</f>
        <v>Valenciennes</v>
      </c>
      <c r="C1376" s="2">
        <f t="array" ref="C1376">_xlfn.XLOOKUP(A1376, INSEE_Communes!$A$2:$A$3783, INSEE_Communes!$F$2:$F$3783, "code introuvable")</f>
        <v>27.8</v>
      </c>
    </row>
    <row r="1377">
      <c r="A1377" s="2" t="str">
        <f>Communes_HDF!A1377</f>
        <v>59607</v>
      </c>
      <c r="B1377" s="2" t="str">
        <f>Communes_HDF!B1377</f>
        <v>Vendegies-au-Bois</v>
      </c>
      <c r="C1377" s="2" t="str">
        <f t="array" ref="C1377">_xlfn.XLOOKUP(A1377, INSEE_Communes!$A$2:$A$3783, INSEE_Communes!$F$2:$F$3783, "code introuvable")</f>
        <v>non publié</v>
      </c>
    </row>
    <row r="1378">
      <c r="A1378" s="2" t="str">
        <f>Communes_HDF!A1378</f>
        <v>59608</v>
      </c>
      <c r="B1378" s="2" t="str">
        <f>Communes_HDF!B1378</f>
        <v>Vendegies-sur-Écaillon</v>
      </c>
      <c r="C1378" s="2" t="str">
        <f t="array" ref="C1378">_xlfn.XLOOKUP(A1378, INSEE_Communes!$A$2:$A$3783, INSEE_Communes!$F$2:$F$3783, "code introuvable")</f>
        <v>non publié</v>
      </c>
    </row>
    <row r="1379">
      <c r="A1379" s="2" t="str">
        <f>Communes_HDF!A1379</f>
        <v>59609</v>
      </c>
      <c r="B1379" s="2" t="str">
        <f>Communes_HDF!B1379</f>
        <v>Vendeville</v>
      </c>
      <c r="C1379" s="2" t="str">
        <f t="array" ref="C1379">_xlfn.XLOOKUP(A1379, INSEE_Communes!$A$2:$A$3783, INSEE_Communes!$F$2:$F$3783, "code introuvable")</f>
        <v>non publié</v>
      </c>
    </row>
    <row r="1380">
      <c r="A1380" s="2" t="str">
        <f>Communes_HDF!A1380</f>
        <v>59610</v>
      </c>
      <c r="B1380" s="2" t="str">
        <f>Communes_HDF!B1380</f>
        <v>Verchain-Maugré</v>
      </c>
      <c r="C1380" s="2" t="str">
        <f t="array" ref="C1380">_xlfn.XLOOKUP(A1380, INSEE_Communes!$A$2:$A$3783, INSEE_Communes!$F$2:$F$3783, "code introuvable")</f>
        <v>non publié</v>
      </c>
    </row>
    <row r="1381">
      <c r="A1381" s="2" t="str">
        <f>Communes_HDF!A1381</f>
        <v>59611</v>
      </c>
      <c r="B1381" s="2" t="str">
        <f>Communes_HDF!B1381</f>
        <v>Verlinghem</v>
      </c>
      <c r="C1381" s="2">
        <f t="array" ref="C1381">_xlfn.XLOOKUP(A1381, INSEE_Communes!$A$2:$A$3783, INSEE_Communes!$F$2:$F$3783, "code introuvable")</f>
        <v>6</v>
      </c>
    </row>
    <row r="1382">
      <c r="A1382" s="2" t="str">
        <f>Communes_HDF!A1382</f>
        <v>59612</v>
      </c>
      <c r="B1382" s="2" t="str">
        <f>Communes_HDF!B1382</f>
        <v>Vertain</v>
      </c>
      <c r="C1382" s="2" t="str">
        <f t="array" ref="C1382">_xlfn.XLOOKUP(A1382, INSEE_Communes!$A$2:$A$3783, INSEE_Communes!$F$2:$F$3783, "code introuvable")</f>
        <v>non publié</v>
      </c>
    </row>
    <row r="1383">
      <c r="A1383" s="2" t="str">
        <f>Communes_HDF!A1383</f>
        <v>59613</v>
      </c>
      <c r="B1383" s="2" t="str">
        <f>Communes_HDF!B1383</f>
        <v>Vicq</v>
      </c>
      <c r="C1383" s="2" t="str">
        <f t="array" ref="C1383">_xlfn.XLOOKUP(A1383, INSEE_Communes!$A$2:$A$3783, INSEE_Communes!$F$2:$F$3783, "code introuvable")</f>
        <v>non publié</v>
      </c>
    </row>
    <row r="1384">
      <c r="A1384" s="2" t="str">
        <f>Communes_HDF!A1384</f>
        <v>59614</v>
      </c>
      <c r="B1384" s="2" t="str">
        <f>Communes_HDF!B1384</f>
        <v>Viesly</v>
      </c>
      <c r="C1384" s="2" t="str">
        <f t="array" ref="C1384">_xlfn.XLOOKUP(A1384, INSEE_Communes!$A$2:$A$3783, INSEE_Communes!$F$2:$F$3783, "code introuvable")</f>
        <v>non publié</v>
      </c>
    </row>
    <row r="1385">
      <c r="A1385" s="2" t="str">
        <f>Communes_HDF!A1385</f>
        <v>59615</v>
      </c>
      <c r="B1385" s="2" t="str">
        <f>Communes_HDF!B1385</f>
        <v>Vieux-Berquin</v>
      </c>
      <c r="C1385" s="2">
        <f t="array" ref="C1385">_xlfn.XLOOKUP(A1385, INSEE_Communes!$A$2:$A$3783, INSEE_Communes!$F$2:$F$3783, "code introuvable")</f>
        <v>7</v>
      </c>
    </row>
    <row r="1386">
      <c r="A1386" s="2" t="str">
        <f>Communes_HDF!A1386</f>
        <v>59616</v>
      </c>
      <c r="B1386" s="2" t="str">
        <f>Communes_HDF!B1386</f>
        <v>Vieux-Condé</v>
      </c>
      <c r="C1386" s="2">
        <f t="array" ref="C1386">_xlfn.XLOOKUP(A1386, INSEE_Communes!$A$2:$A$3783, INSEE_Communes!$F$2:$F$3783, "code introuvable")</f>
        <v>28</v>
      </c>
    </row>
    <row r="1387">
      <c r="A1387" s="2" t="str">
        <f>Communes_HDF!A1387</f>
        <v>59617</v>
      </c>
      <c r="B1387" s="2" t="str">
        <f>Communes_HDF!B1387</f>
        <v>Vieux-Mesnil</v>
      </c>
      <c r="C1387" s="2" t="str">
        <f t="array" ref="C1387">_xlfn.XLOOKUP(A1387, INSEE_Communes!$A$2:$A$3783, INSEE_Communes!$F$2:$F$3783, "code introuvable")</f>
        <v>non publié</v>
      </c>
    </row>
    <row r="1388">
      <c r="A1388" s="2" t="str">
        <f>Communes_HDF!A1388</f>
        <v>59618</v>
      </c>
      <c r="B1388" s="2" t="str">
        <f>Communes_HDF!B1388</f>
        <v>Vieux-Reng</v>
      </c>
      <c r="C1388" s="2" t="str">
        <f t="array" ref="C1388">_xlfn.XLOOKUP(A1388, INSEE_Communes!$A$2:$A$3783, INSEE_Communes!$F$2:$F$3783, "code introuvable")</f>
        <v>non publié</v>
      </c>
    </row>
    <row r="1389">
      <c r="A1389" s="2" t="str">
        <f>Communes_HDF!A1389</f>
        <v>59009</v>
      </c>
      <c r="B1389" s="2" t="str">
        <f>Communes_HDF!B1389</f>
        <v>Villeneuve-d'Ascq</v>
      </c>
      <c r="C1389" s="2">
        <f t="array" ref="C1389">_xlfn.XLOOKUP(A1389, INSEE_Communes!$A$2:$A$3783, INSEE_Communes!$F$2:$F$3783, "code introuvable")</f>
        <v>24</v>
      </c>
    </row>
    <row r="1390">
      <c r="A1390" s="2" t="str">
        <f>Communes_HDF!A1390</f>
        <v>59619</v>
      </c>
      <c r="B1390" s="2" t="str">
        <f>Communes_HDF!B1390</f>
        <v>Villereau</v>
      </c>
      <c r="C1390" s="2" t="str">
        <f t="array" ref="C1390">_xlfn.XLOOKUP(A1390, INSEE_Communes!$A$2:$A$3783, INSEE_Communes!$F$2:$F$3783, "code introuvable")</f>
        <v>non publié</v>
      </c>
    </row>
    <row r="1391">
      <c r="A1391" s="2" t="str">
        <f>Communes_HDF!A1391</f>
        <v>59623</v>
      </c>
      <c r="B1391" s="2" t="str">
        <f>Communes_HDF!B1391</f>
        <v>Villers-Guislain</v>
      </c>
      <c r="C1391" s="2" t="str">
        <f t="array" ref="C1391">_xlfn.XLOOKUP(A1391, INSEE_Communes!$A$2:$A$3783, INSEE_Communes!$F$2:$F$3783, "code introuvable")</f>
        <v>non publié</v>
      </c>
    </row>
    <row r="1392">
      <c r="A1392" s="2" t="str">
        <f>Communes_HDF!A1392</f>
        <v>59624</v>
      </c>
      <c r="B1392" s="2" t="str">
        <f>Communes_HDF!B1392</f>
        <v>Villers-Outréaux</v>
      </c>
      <c r="C1392" s="2">
        <f t="array" ref="C1392">_xlfn.XLOOKUP(A1392, INSEE_Communes!$A$2:$A$3783, INSEE_Communes!$F$2:$F$3783, "code introuvable")</f>
        <v>20</v>
      </c>
    </row>
    <row r="1393">
      <c r="A1393" s="2" t="str">
        <f>Communes_HDF!A1393</f>
        <v>59625</v>
      </c>
      <c r="B1393" s="2" t="str">
        <f>Communes_HDF!B1393</f>
        <v>Villers-Plouich</v>
      </c>
      <c r="C1393" s="2" t="str">
        <f t="array" ref="C1393">_xlfn.XLOOKUP(A1393, INSEE_Communes!$A$2:$A$3783, INSEE_Communes!$F$2:$F$3783, "code introuvable")</f>
        <v>non publié</v>
      </c>
    </row>
    <row r="1394">
      <c r="A1394" s="2" t="str">
        <f>Communes_HDF!A1394</f>
        <v>59626</v>
      </c>
      <c r="B1394" s="2" t="str">
        <f>Communes_HDF!B1394</f>
        <v>Villers-Pol</v>
      </c>
      <c r="C1394" s="2" t="str">
        <f t="array" ref="C1394">_xlfn.XLOOKUP(A1394, INSEE_Communes!$A$2:$A$3783, INSEE_Communes!$F$2:$F$3783, "code introuvable")</f>
        <v>non publié</v>
      </c>
    </row>
    <row r="1395">
      <c r="A1395" s="2" t="str">
        <f>Communes_HDF!A1395</f>
        <v>59627</v>
      </c>
      <c r="B1395" s="2" t="str">
        <f>Communes_HDF!B1395</f>
        <v>Villers-Sire-Nicole</v>
      </c>
      <c r="C1395" s="2" t="str">
        <f t="array" ref="C1395">_xlfn.XLOOKUP(A1395, INSEE_Communes!$A$2:$A$3783, INSEE_Communes!$F$2:$F$3783, "code introuvable")</f>
        <v>non publié</v>
      </c>
    </row>
    <row r="1396">
      <c r="A1396" s="2" t="str">
        <f>Communes_HDF!A1396</f>
        <v>59620</v>
      </c>
      <c r="B1396" s="2" t="str">
        <f>Communes_HDF!B1396</f>
        <v>Villers-au-Tertre</v>
      </c>
      <c r="C1396" s="2" t="str">
        <f t="array" ref="C1396">_xlfn.XLOOKUP(A1396, INSEE_Communes!$A$2:$A$3783, INSEE_Communes!$F$2:$F$3783, "code introuvable")</f>
        <v>non publié</v>
      </c>
    </row>
    <row r="1397">
      <c r="A1397" s="2" t="str">
        <f>Communes_HDF!A1397</f>
        <v>59622</v>
      </c>
      <c r="B1397" s="2" t="str">
        <f>Communes_HDF!B1397</f>
        <v>Villers-en-Cauchies</v>
      </c>
      <c r="C1397" s="2" t="str">
        <f t="array" ref="C1397">_xlfn.XLOOKUP(A1397, INSEE_Communes!$A$2:$A$3783, INSEE_Communes!$F$2:$F$3783, "code introuvable")</f>
        <v>non publié</v>
      </c>
    </row>
    <row r="1398">
      <c r="A1398" s="2" t="str">
        <f>Communes_HDF!A1398</f>
        <v>59628</v>
      </c>
      <c r="B1398" s="2" t="str">
        <f>Communes_HDF!B1398</f>
        <v>Volckerinckhove</v>
      </c>
      <c r="C1398" s="2" t="str">
        <f t="array" ref="C1398">_xlfn.XLOOKUP(A1398, INSEE_Communes!$A$2:$A$3783, INSEE_Communes!$F$2:$F$3783, "code introuvable")</f>
        <v>non publié</v>
      </c>
    </row>
    <row r="1399">
      <c r="A1399" s="2" t="str">
        <f>Communes_HDF!A1399</f>
        <v>59629</v>
      </c>
      <c r="B1399" s="2" t="str">
        <f>Communes_HDF!B1399</f>
        <v>Vred</v>
      </c>
      <c r="C1399" s="2" t="str">
        <f t="array" ref="C1399">_xlfn.XLOOKUP(A1399, INSEE_Communes!$A$2:$A$3783, INSEE_Communes!$F$2:$F$3783, "code introuvable")</f>
        <v>non publié</v>
      </c>
    </row>
    <row r="1400">
      <c r="A1400" s="2" t="str">
        <f>Communes_HDF!A1400</f>
        <v>59630</v>
      </c>
      <c r="B1400" s="2" t="str">
        <f>Communes_HDF!B1400</f>
        <v>Wahagnies</v>
      </c>
      <c r="C1400" s="2">
        <f t="array" ref="C1400">_xlfn.XLOOKUP(A1400, INSEE_Communes!$A$2:$A$3783, INSEE_Communes!$F$2:$F$3783, "code introuvable")</f>
        <v>10</v>
      </c>
    </row>
    <row r="1401">
      <c r="A1401" s="2" t="str">
        <f>Communes_HDF!A1401</f>
        <v>59631</v>
      </c>
      <c r="B1401" s="2" t="str">
        <f>Communes_HDF!B1401</f>
        <v>Walincourt-Selvigny</v>
      </c>
      <c r="C1401" s="2">
        <f t="array" ref="C1401">_xlfn.XLOOKUP(A1401, INSEE_Communes!$A$2:$A$3783, INSEE_Communes!$F$2:$F$3783, "code introuvable")</f>
        <v>20</v>
      </c>
    </row>
    <row r="1402">
      <c r="A1402" s="2" t="str">
        <f>Communes_HDF!A1402</f>
        <v>59632</v>
      </c>
      <c r="B1402" s="2" t="str">
        <f>Communes_HDF!B1402</f>
        <v>Wallers</v>
      </c>
      <c r="C1402" s="2">
        <f t="array" ref="C1402">_xlfn.XLOOKUP(A1402, INSEE_Communes!$A$2:$A$3783, INSEE_Communes!$F$2:$F$3783, "code introuvable")</f>
        <v>20</v>
      </c>
    </row>
    <row r="1403">
      <c r="A1403" s="2" t="str">
        <f>Communes_HDF!A1403</f>
        <v>59633</v>
      </c>
      <c r="B1403" s="2" t="str">
        <f>Communes_HDF!B1403</f>
        <v>Wallers-en-Fagne</v>
      </c>
      <c r="C1403" s="2" t="str">
        <f t="array" ref="C1403">_xlfn.XLOOKUP(A1403, INSEE_Communes!$A$2:$A$3783, INSEE_Communes!$F$2:$F$3783, "code introuvable")</f>
        <v>non publié</v>
      </c>
    </row>
    <row r="1404">
      <c r="A1404" s="2" t="str">
        <f>Communes_HDF!A1404</f>
        <v>59634</v>
      </c>
      <c r="B1404" s="2" t="str">
        <f>Communes_HDF!B1404</f>
        <v>Wallon-Cappel</v>
      </c>
      <c r="C1404" s="2" t="str">
        <f t="array" ref="C1404">_xlfn.XLOOKUP(A1404, INSEE_Communes!$A$2:$A$3783, INSEE_Communes!$F$2:$F$3783, "code introuvable")</f>
        <v>non publié</v>
      </c>
    </row>
    <row r="1405">
      <c r="A1405" s="2" t="str">
        <f>Communes_HDF!A1405</f>
        <v>59635</v>
      </c>
      <c r="B1405" s="2" t="str">
        <f>Communes_HDF!B1405</f>
        <v>Wambaix</v>
      </c>
      <c r="C1405" s="2" t="str">
        <f t="array" ref="C1405">_xlfn.XLOOKUP(A1405, INSEE_Communes!$A$2:$A$3783, INSEE_Communes!$F$2:$F$3783, "code introuvable")</f>
        <v>non publié</v>
      </c>
    </row>
    <row r="1406">
      <c r="A1406" s="2" t="str">
        <f>Communes_HDF!A1406</f>
        <v>59636</v>
      </c>
      <c r="B1406" s="2" t="str">
        <f>Communes_HDF!B1406</f>
        <v>Wambrechies</v>
      </c>
      <c r="C1406" s="2">
        <f t="array" ref="C1406">_xlfn.XLOOKUP(A1406, INSEE_Communes!$A$2:$A$3783, INSEE_Communes!$F$2:$F$3783, "code introuvable")</f>
        <v>8</v>
      </c>
    </row>
    <row r="1407">
      <c r="A1407" s="2" t="str">
        <f>Communes_HDF!A1407</f>
        <v>59637</v>
      </c>
      <c r="B1407" s="2" t="str">
        <f>Communes_HDF!B1407</f>
        <v>Wandignies-Hamage</v>
      </c>
      <c r="C1407" s="2" t="str">
        <f t="array" ref="C1407">_xlfn.XLOOKUP(A1407, INSEE_Communes!$A$2:$A$3783, INSEE_Communes!$F$2:$F$3783, "code introuvable")</f>
        <v>non publié</v>
      </c>
    </row>
    <row r="1408">
      <c r="A1408" s="2" t="str">
        <f>Communes_HDF!A1408</f>
        <v>59638</v>
      </c>
      <c r="B1408" s="2" t="str">
        <f>Communes_HDF!B1408</f>
        <v>Wannehain</v>
      </c>
      <c r="C1408" s="2" t="str">
        <f t="array" ref="C1408">_xlfn.XLOOKUP(A1408, INSEE_Communes!$A$2:$A$3783, INSEE_Communes!$F$2:$F$3783, "code introuvable")</f>
        <v>non publié</v>
      </c>
    </row>
    <row r="1409">
      <c r="A1409" s="2" t="str">
        <f>Communes_HDF!A1409</f>
        <v>59639</v>
      </c>
      <c r="B1409" s="2" t="str">
        <f>Communes_HDF!B1409</f>
        <v>Wargnies-le-Grand</v>
      </c>
      <c r="C1409" s="2" t="str">
        <f t="array" ref="C1409">_xlfn.XLOOKUP(A1409, INSEE_Communes!$A$2:$A$3783, INSEE_Communes!$F$2:$F$3783, "code introuvable")</f>
        <v>non publié</v>
      </c>
    </row>
    <row r="1410">
      <c r="A1410" s="2" t="str">
        <f>Communes_HDF!A1410</f>
        <v>59640</v>
      </c>
      <c r="B1410" s="2" t="str">
        <f>Communes_HDF!B1410</f>
        <v>Wargnies-le-Petit</v>
      </c>
      <c r="C1410" s="2" t="str">
        <f t="array" ref="C1410">_xlfn.XLOOKUP(A1410, INSEE_Communes!$A$2:$A$3783, INSEE_Communes!$F$2:$F$3783, "code introuvable")</f>
        <v>non publié</v>
      </c>
    </row>
    <row r="1411">
      <c r="A1411" s="2" t="str">
        <f>Communes_HDF!A1411</f>
        <v>59641</v>
      </c>
      <c r="B1411" s="2" t="str">
        <f>Communes_HDF!B1411</f>
        <v>Warhem</v>
      </c>
      <c r="C1411" s="2" t="str">
        <f t="array" ref="C1411">_xlfn.XLOOKUP(A1411, INSEE_Communes!$A$2:$A$3783, INSEE_Communes!$F$2:$F$3783, "code introuvable")</f>
        <v>non publié</v>
      </c>
    </row>
    <row r="1412">
      <c r="A1412" s="2" t="str">
        <f>Communes_HDF!A1412</f>
        <v>59642</v>
      </c>
      <c r="B1412" s="2" t="str">
        <f>Communes_HDF!B1412</f>
        <v>Warlaing</v>
      </c>
      <c r="C1412" s="2" t="str">
        <f t="array" ref="C1412">_xlfn.XLOOKUP(A1412, INSEE_Communes!$A$2:$A$3783, INSEE_Communes!$F$2:$F$3783, "code introuvable")</f>
        <v>non publié</v>
      </c>
    </row>
    <row r="1413">
      <c r="A1413" s="2" t="str">
        <f>Communes_HDF!A1413</f>
        <v>59643</v>
      </c>
      <c r="B1413" s="2" t="str">
        <f>Communes_HDF!B1413</f>
        <v>Warneton</v>
      </c>
      <c r="C1413" s="2" t="str">
        <f t="array" ref="C1413">_xlfn.XLOOKUP(A1413, INSEE_Communes!$A$2:$A$3783, INSEE_Communes!$F$2:$F$3783, "code introuvable")</f>
        <v>non publié</v>
      </c>
    </row>
    <row r="1414">
      <c r="A1414" s="2" t="str">
        <f>Communes_HDF!A1414</f>
        <v>59645</v>
      </c>
      <c r="B1414" s="2" t="str">
        <f>Communes_HDF!B1414</f>
        <v>Wasnes-au-Bac</v>
      </c>
      <c r="C1414" s="2" t="str">
        <f t="array" ref="C1414">_xlfn.XLOOKUP(A1414, INSEE_Communes!$A$2:$A$3783, INSEE_Communes!$F$2:$F$3783, "code introuvable")</f>
        <v>non publié</v>
      </c>
    </row>
    <row r="1415">
      <c r="A1415" s="2" t="str">
        <f>Communes_HDF!A1415</f>
        <v>59646</v>
      </c>
      <c r="B1415" s="2" t="str">
        <f>Communes_HDF!B1415</f>
        <v>Wasquehal</v>
      </c>
      <c r="C1415" s="2">
        <f t="array" ref="C1415">_xlfn.XLOOKUP(A1415, INSEE_Communes!$A$2:$A$3783, INSEE_Communes!$F$2:$F$3783, "code introuvable")</f>
        <v>12.1</v>
      </c>
    </row>
    <row r="1416">
      <c r="A1416" s="2" t="str">
        <f>Communes_HDF!A1416</f>
        <v>59647</v>
      </c>
      <c r="B1416" s="2" t="str">
        <f>Communes_HDF!B1416</f>
        <v>Watten</v>
      </c>
      <c r="C1416" s="2">
        <f t="array" ref="C1416">_xlfn.XLOOKUP(A1416, INSEE_Communes!$A$2:$A$3783, INSEE_Communes!$F$2:$F$3783, "code introuvable")</f>
        <v>19</v>
      </c>
    </row>
    <row r="1417">
      <c r="A1417" s="2" t="str">
        <f>Communes_HDF!A1417</f>
        <v>59648</v>
      </c>
      <c r="B1417" s="2" t="str">
        <f>Communes_HDF!B1417</f>
        <v>Wattignies</v>
      </c>
      <c r="C1417" s="2">
        <f t="array" ref="C1417">_xlfn.XLOOKUP(A1417, INSEE_Communes!$A$2:$A$3783, INSEE_Communes!$F$2:$F$3783, "code introuvable")</f>
        <v>22</v>
      </c>
    </row>
    <row r="1418">
      <c r="A1418" s="2" t="str">
        <f>Communes_HDF!A1418</f>
        <v>59649</v>
      </c>
      <c r="B1418" s="2" t="str">
        <f>Communes_HDF!B1418</f>
        <v>Wattignies-la-Victoire</v>
      </c>
      <c r="C1418" s="2" t="str">
        <f t="array" ref="C1418">_xlfn.XLOOKUP(A1418, INSEE_Communes!$A$2:$A$3783, INSEE_Communes!$F$2:$F$3783, "code introuvable")</f>
        <v>non publié</v>
      </c>
    </row>
    <row r="1419">
      <c r="A1419" s="2" t="str">
        <f>Communes_HDF!A1419</f>
        <v>59650</v>
      </c>
      <c r="B1419" s="2" t="str">
        <f>Communes_HDF!B1419</f>
        <v>Wattrelos</v>
      </c>
      <c r="C1419" s="2">
        <f t="array" ref="C1419">_xlfn.XLOOKUP(A1419, INSEE_Communes!$A$2:$A$3783, INSEE_Communes!$F$2:$F$3783, "code introuvable")</f>
        <v>23.8</v>
      </c>
    </row>
    <row r="1420">
      <c r="A1420" s="2" t="str">
        <f>Communes_HDF!A1420</f>
        <v>59651</v>
      </c>
      <c r="B1420" s="2" t="str">
        <f>Communes_HDF!B1420</f>
        <v>Wavrechain-sous-Denain</v>
      </c>
      <c r="C1420" s="2" t="str">
        <f t="array" ref="C1420">_xlfn.XLOOKUP(A1420, INSEE_Communes!$A$2:$A$3783, INSEE_Communes!$F$2:$F$3783, "code introuvable")</f>
        <v>non publié</v>
      </c>
    </row>
    <row r="1421">
      <c r="A1421" s="2" t="str">
        <f>Communes_HDF!A1421</f>
        <v>59652</v>
      </c>
      <c r="B1421" s="2" t="str">
        <f>Communes_HDF!B1421</f>
        <v>Wavrechain-sous-Faulx</v>
      </c>
      <c r="C1421" s="2" t="str">
        <f t="array" ref="C1421">_xlfn.XLOOKUP(A1421, INSEE_Communes!$A$2:$A$3783, INSEE_Communes!$F$2:$F$3783, "code introuvable")</f>
        <v>non publié</v>
      </c>
    </row>
    <row r="1422">
      <c r="A1422" s="2" t="str">
        <f>Communes_HDF!A1422</f>
        <v>59653</v>
      </c>
      <c r="B1422" s="2" t="str">
        <f>Communes_HDF!B1422</f>
        <v>Wavrin</v>
      </c>
      <c r="C1422" s="2">
        <f t="array" ref="C1422">_xlfn.XLOOKUP(A1422, INSEE_Communes!$A$2:$A$3783, INSEE_Communes!$F$2:$F$3783, "code introuvable")</f>
        <v>12</v>
      </c>
    </row>
    <row r="1423">
      <c r="A1423" s="2" t="str">
        <f>Communes_HDF!A1423</f>
        <v>59654</v>
      </c>
      <c r="B1423" s="2" t="str">
        <f>Communes_HDF!B1423</f>
        <v>Waziers</v>
      </c>
      <c r="C1423" s="2">
        <f t="array" ref="C1423">_xlfn.XLOOKUP(A1423, INSEE_Communes!$A$2:$A$3783, INSEE_Communes!$F$2:$F$3783, "code introuvable")</f>
        <v>33</v>
      </c>
    </row>
    <row r="1424">
      <c r="A1424" s="2" t="str">
        <f>Communes_HDF!A1424</f>
        <v>59655</v>
      </c>
      <c r="B1424" s="2" t="str">
        <f>Communes_HDF!B1424</f>
        <v>Wemaers-Cappel</v>
      </c>
      <c r="C1424" s="2" t="str">
        <f t="array" ref="C1424">_xlfn.XLOOKUP(A1424, INSEE_Communes!$A$2:$A$3783, INSEE_Communes!$F$2:$F$3783, "code introuvable")</f>
        <v>non publié</v>
      </c>
    </row>
    <row r="1425">
      <c r="A1425" s="2" t="str">
        <f>Communes_HDF!A1425</f>
        <v>59656</v>
      </c>
      <c r="B1425" s="2" t="str">
        <f>Communes_HDF!B1425</f>
        <v>Wervicq-Sud</v>
      </c>
      <c r="C1425" s="2">
        <f t="array" ref="C1425">_xlfn.XLOOKUP(A1425, INSEE_Communes!$A$2:$A$3783, INSEE_Communes!$F$2:$F$3783, "code introuvable")</f>
        <v>15</v>
      </c>
    </row>
    <row r="1426">
      <c r="A1426" s="2" t="str">
        <f>Communes_HDF!A1426</f>
        <v>59657</v>
      </c>
      <c r="B1426" s="2" t="str">
        <f>Communes_HDF!B1426</f>
        <v>West-Cappel</v>
      </c>
      <c r="C1426" s="2" t="str">
        <f t="array" ref="C1426">_xlfn.XLOOKUP(A1426, INSEE_Communes!$A$2:$A$3783, INSEE_Communes!$F$2:$F$3783, "code introuvable")</f>
        <v>non publié</v>
      </c>
    </row>
    <row r="1427">
      <c r="A1427" s="2" t="str">
        <f>Communes_HDF!A1427</f>
        <v>59658</v>
      </c>
      <c r="B1427" s="2" t="str">
        <f>Communes_HDF!B1427</f>
        <v>Wicres</v>
      </c>
      <c r="C1427" s="2" t="str">
        <f t="array" ref="C1427">_xlfn.XLOOKUP(A1427, INSEE_Communes!$A$2:$A$3783, INSEE_Communes!$F$2:$F$3783, "code introuvable")</f>
        <v>non publié</v>
      </c>
    </row>
    <row r="1428">
      <c r="A1428" s="2" t="str">
        <f>Communes_HDF!A1428</f>
        <v>59659</v>
      </c>
      <c r="B1428" s="2" t="str">
        <f>Communes_HDF!B1428</f>
        <v>Wignehies</v>
      </c>
      <c r="C1428" s="2">
        <f t="array" ref="C1428">_xlfn.XLOOKUP(A1428, INSEE_Communes!$A$2:$A$3783, INSEE_Communes!$F$2:$F$3783, "code introuvable")</f>
        <v>29</v>
      </c>
    </row>
    <row r="1429">
      <c r="A1429" s="2" t="str">
        <f>Communes_HDF!A1429</f>
        <v>59660</v>
      </c>
      <c r="B1429" s="2" t="str">
        <f>Communes_HDF!B1429</f>
        <v>Willems</v>
      </c>
      <c r="C1429" s="2">
        <f t="array" ref="C1429">_xlfn.XLOOKUP(A1429, INSEE_Communes!$A$2:$A$3783, INSEE_Communes!$F$2:$F$3783, "code introuvable")</f>
        <v>10</v>
      </c>
    </row>
    <row r="1430">
      <c r="A1430" s="2" t="str">
        <f>Communes_HDF!A1430</f>
        <v>59661</v>
      </c>
      <c r="B1430" s="2" t="str">
        <f>Communes_HDF!B1430</f>
        <v>Willies</v>
      </c>
      <c r="C1430" s="2" t="str">
        <f t="array" ref="C1430">_xlfn.XLOOKUP(A1430, INSEE_Communes!$A$2:$A$3783, INSEE_Communes!$F$2:$F$3783, "code introuvable")</f>
        <v>non publié</v>
      </c>
    </row>
    <row r="1431">
      <c r="A1431" s="2" t="str">
        <f>Communes_HDF!A1431</f>
        <v>59662</v>
      </c>
      <c r="B1431" s="2" t="str">
        <f>Communes_HDF!B1431</f>
        <v>Winnezeele</v>
      </c>
      <c r="C1431" s="2" t="str">
        <f t="array" ref="C1431">_xlfn.XLOOKUP(A1431, INSEE_Communes!$A$2:$A$3783, INSEE_Communes!$F$2:$F$3783, "code introuvable")</f>
        <v>non publié</v>
      </c>
    </row>
    <row r="1432">
      <c r="A1432" s="2" t="str">
        <f>Communes_HDF!A1432</f>
        <v>59663</v>
      </c>
      <c r="B1432" s="2" t="str">
        <f>Communes_HDF!B1432</f>
        <v>Wormhout</v>
      </c>
      <c r="C1432" s="2">
        <f t="array" ref="C1432">_xlfn.XLOOKUP(A1432, INSEE_Communes!$A$2:$A$3783, INSEE_Communes!$F$2:$F$3783, "code introuvable")</f>
        <v>9</v>
      </c>
    </row>
    <row r="1433">
      <c r="A1433" s="2" t="str">
        <f>Communes_HDF!A1433</f>
        <v>59664</v>
      </c>
      <c r="B1433" s="2" t="str">
        <f>Communes_HDF!B1433</f>
        <v>Wulverdinghe</v>
      </c>
      <c r="C1433" s="2" t="str">
        <f t="array" ref="C1433">_xlfn.XLOOKUP(A1433, INSEE_Communes!$A$2:$A$3783, INSEE_Communes!$F$2:$F$3783, "code introuvable")</f>
        <v>non publié</v>
      </c>
    </row>
    <row r="1434">
      <c r="A1434" s="2" t="str">
        <f>Communes_HDF!A1434</f>
        <v>59665</v>
      </c>
      <c r="B1434" s="2" t="str">
        <f>Communes_HDF!B1434</f>
        <v>Wylder</v>
      </c>
      <c r="C1434" s="2" t="str">
        <f t="array" ref="C1434">_xlfn.XLOOKUP(A1434, INSEE_Communes!$A$2:$A$3783, INSEE_Communes!$F$2:$F$3783, "code introuvable")</f>
        <v>non publié</v>
      </c>
    </row>
    <row r="1435">
      <c r="A1435" s="2" t="str">
        <f>Communes_HDF!A1435</f>
        <v>59666</v>
      </c>
      <c r="B1435" s="2" t="str">
        <f>Communes_HDF!B1435</f>
        <v>Zegerscappel</v>
      </c>
      <c r="C1435" s="2" t="str">
        <f t="array" ref="C1435">_xlfn.XLOOKUP(A1435, INSEE_Communes!$A$2:$A$3783, INSEE_Communes!$F$2:$F$3783, "code introuvable")</f>
        <v>non publié</v>
      </c>
    </row>
    <row r="1436">
      <c r="A1436" s="2" t="str">
        <f>Communes_HDF!A1436</f>
        <v>59667</v>
      </c>
      <c r="B1436" s="2" t="str">
        <f>Communes_HDF!B1436</f>
        <v>Zermezeele</v>
      </c>
      <c r="C1436" s="2" t="str">
        <f t="array" ref="C1436">_xlfn.XLOOKUP(A1436, INSEE_Communes!$A$2:$A$3783, INSEE_Communes!$F$2:$F$3783, "code introuvable")</f>
        <v>non publié</v>
      </c>
    </row>
    <row r="1437">
      <c r="A1437" s="2" t="str">
        <f>Communes_HDF!A1437</f>
        <v>59668</v>
      </c>
      <c r="B1437" s="2" t="str">
        <f>Communes_HDF!B1437</f>
        <v>Zuydcoote</v>
      </c>
      <c r="C1437" s="2" t="str">
        <f t="array" ref="C1437">_xlfn.XLOOKUP(A1437, INSEE_Communes!$A$2:$A$3783, INSEE_Communes!$F$2:$F$3783, "code introuvable")</f>
        <v>non publié</v>
      </c>
    </row>
    <row r="1438">
      <c r="A1438" s="2" t="str">
        <f>Communes_HDF!A1438</f>
        <v>59669</v>
      </c>
      <c r="B1438" s="2" t="str">
        <f>Communes_HDF!B1438</f>
        <v>Zuytpeene</v>
      </c>
      <c r="C1438" s="2" t="str">
        <f t="array" ref="C1438">_xlfn.XLOOKUP(A1438, INSEE_Communes!$A$2:$A$3783, INSEE_Communes!$F$2:$F$3783, "code introuvable")</f>
        <v>non publié</v>
      </c>
    </row>
    <row r="1439">
      <c r="A1439" s="2" t="str">
        <f>Communes_HDF!A1439</f>
        <v>59185</v>
      </c>
      <c r="B1439" s="2" t="str">
        <f>Communes_HDF!B1439</f>
        <v>Écaillon</v>
      </c>
      <c r="C1439" s="2" t="str">
        <f t="array" ref="C1439">_xlfn.XLOOKUP(A1439, INSEE_Communes!$A$2:$A$3783, INSEE_Communes!$F$2:$F$3783, "code introuvable")</f>
        <v>non publié</v>
      </c>
    </row>
    <row r="1440">
      <c r="A1440" s="2" t="str">
        <f>Communes_HDF!A1440</f>
        <v>59187</v>
      </c>
      <c r="B1440" s="2" t="str">
        <f>Communes_HDF!B1440</f>
        <v>Éclaibes</v>
      </c>
      <c r="C1440" s="2" t="str">
        <f t="array" ref="C1440">_xlfn.XLOOKUP(A1440, INSEE_Communes!$A$2:$A$3783, INSEE_Communes!$F$2:$F$3783, "code introuvable")</f>
        <v>non publié</v>
      </c>
    </row>
    <row r="1441">
      <c r="A1441" s="2" t="str">
        <f>Communes_HDF!A1441</f>
        <v>59188</v>
      </c>
      <c r="B1441" s="2" t="str">
        <f>Communes_HDF!B1441</f>
        <v>Écuélin</v>
      </c>
      <c r="C1441" s="2" t="str">
        <f t="array" ref="C1441">_xlfn.XLOOKUP(A1441, INSEE_Communes!$A$2:$A$3783, INSEE_Communes!$F$2:$F$3783, "code introuvable")</f>
        <v>non publié</v>
      </c>
    </row>
    <row r="1442">
      <c r="A1442" s="2" t="str">
        <f>Communes_HDF!A1442</f>
        <v>59190</v>
      </c>
      <c r="B1442" s="2" t="str">
        <f>Communes_HDF!B1442</f>
        <v>Élesmes</v>
      </c>
      <c r="C1442" s="2" t="str">
        <f t="array" ref="C1442">_xlfn.XLOOKUP(A1442, INSEE_Communes!$A$2:$A$3783, INSEE_Communes!$F$2:$F$3783, "code introuvable")</f>
        <v>non publié</v>
      </c>
    </row>
    <row r="1443">
      <c r="A1443" s="2" t="str">
        <f>Communes_HDF!A1443</f>
        <v>59191</v>
      </c>
      <c r="B1443" s="2" t="str">
        <f>Communes_HDF!B1443</f>
        <v>Élincourt</v>
      </c>
      <c r="C1443" s="2" t="str">
        <f t="array" ref="C1443">_xlfn.XLOOKUP(A1443, INSEE_Communes!$A$2:$A$3783, INSEE_Communes!$F$2:$F$3783, "code introuvable")</f>
        <v>non publié</v>
      </c>
    </row>
    <row r="1444">
      <c r="A1444" s="2" t="str">
        <f>Communes_HDF!A1444</f>
        <v>59192</v>
      </c>
      <c r="B1444" s="2" t="str">
        <f>Communes_HDF!B1444</f>
        <v>Émerchicourt</v>
      </c>
      <c r="C1444" s="2" t="str">
        <f t="array" ref="C1444">_xlfn.XLOOKUP(A1444, INSEE_Communes!$A$2:$A$3783, INSEE_Communes!$F$2:$F$3783, "code introuvable")</f>
        <v>non publié</v>
      </c>
    </row>
    <row r="1445">
      <c r="A1445" s="2" t="str">
        <f>Communes_HDF!A1445</f>
        <v>59218</v>
      </c>
      <c r="B1445" s="2" t="str">
        <f>Communes_HDF!B1445</f>
        <v>Étrœungt</v>
      </c>
      <c r="C1445" s="2" t="str">
        <f t="array" ref="C1445">_xlfn.XLOOKUP(A1445, INSEE_Communes!$A$2:$A$3783, INSEE_Communes!$F$2:$F$3783, "code introuvable")</f>
        <v>non publié</v>
      </c>
    </row>
    <row r="1446">
      <c r="A1446" s="2" t="str">
        <f>Communes_HDF!A1446</f>
        <v>60001</v>
      </c>
      <c r="B1446" s="2" t="str">
        <f>Communes_HDF!B1446</f>
        <v>Abancourt</v>
      </c>
      <c r="C1446" s="2" t="str">
        <f t="array" ref="C1446">_xlfn.XLOOKUP(A1446, INSEE_Communes!$A$2:$A$3783, INSEE_Communes!$F$2:$F$3783, "code introuvable")</f>
        <v>non publié</v>
      </c>
    </row>
    <row r="1447">
      <c r="A1447" s="2" t="str">
        <f>Communes_HDF!A1447</f>
        <v>60002</v>
      </c>
      <c r="B1447" s="2" t="str">
        <f>Communes_HDF!B1447</f>
        <v>Abbecourt</v>
      </c>
      <c r="C1447" s="2" t="str">
        <f t="array" ref="C1447">_xlfn.XLOOKUP(A1447, INSEE_Communes!$A$2:$A$3783, INSEE_Communes!$F$2:$F$3783, "code introuvable")</f>
        <v>non publié</v>
      </c>
    </row>
    <row r="1448">
      <c r="A1448" s="2" t="str">
        <f>Communes_HDF!A1448</f>
        <v>60003</v>
      </c>
      <c r="B1448" s="2" t="str">
        <f>Communes_HDF!B1448</f>
        <v>Abbeville-Saint-Lucien</v>
      </c>
      <c r="C1448" s="2" t="str">
        <f t="array" ref="C1448">_xlfn.XLOOKUP(A1448, INSEE_Communes!$A$2:$A$3783, INSEE_Communes!$F$2:$F$3783, "code introuvable")</f>
        <v>non publié</v>
      </c>
    </row>
    <row r="1449">
      <c r="A1449" s="2" t="str">
        <f>Communes_HDF!A1449</f>
        <v>60004</v>
      </c>
      <c r="B1449" s="2" t="str">
        <f>Communes_HDF!B1449</f>
        <v>Achy</v>
      </c>
      <c r="C1449" s="2" t="str">
        <f t="array" ref="C1449">_xlfn.XLOOKUP(A1449, INSEE_Communes!$A$2:$A$3783, INSEE_Communes!$F$2:$F$3783, "code introuvable")</f>
        <v>non publié</v>
      </c>
    </row>
    <row r="1450">
      <c r="A1450" s="2" t="str">
        <f>Communes_HDF!A1450</f>
        <v>60005</v>
      </c>
      <c r="B1450" s="2" t="str">
        <f>Communes_HDF!B1450</f>
        <v>Acy-en-Multien</v>
      </c>
      <c r="C1450" s="2" t="str">
        <f t="array" ref="C1450">_xlfn.XLOOKUP(A1450, INSEE_Communes!$A$2:$A$3783, INSEE_Communes!$F$2:$F$3783, "code introuvable")</f>
        <v>non publié</v>
      </c>
    </row>
    <row r="1451">
      <c r="A1451" s="2" t="str">
        <f>Communes_HDF!A1451</f>
        <v>60007</v>
      </c>
      <c r="B1451" s="2" t="str">
        <f>Communes_HDF!B1451</f>
        <v>Agnetz</v>
      </c>
      <c r="C1451" s="2">
        <f t="array" ref="C1451">_xlfn.XLOOKUP(A1451, INSEE_Communes!$A$2:$A$3783, INSEE_Communes!$F$2:$F$3783, "code introuvable")</f>
        <v>5</v>
      </c>
    </row>
    <row r="1452">
      <c r="A1452" s="2" t="str">
        <f>Communes_HDF!A1452</f>
        <v>60008</v>
      </c>
      <c r="B1452" s="2" t="str">
        <f>Communes_HDF!B1452</f>
        <v>Airion</v>
      </c>
      <c r="C1452" s="2" t="str">
        <f t="array" ref="C1452">_xlfn.XLOOKUP(A1452, INSEE_Communes!$A$2:$A$3783, INSEE_Communes!$F$2:$F$3783, "code introuvable")</f>
        <v>non publié</v>
      </c>
    </row>
    <row r="1453">
      <c r="A1453" s="2" t="str">
        <f>Communes_HDF!A1453</f>
        <v>60009</v>
      </c>
      <c r="B1453" s="2" t="str">
        <f>Communes_HDF!B1453</f>
        <v>Allonne</v>
      </c>
      <c r="C1453" s="2" t="str">
        <f t="array" ref="C1453">_xlfn.XLOOKUP(A1453, INSEE_Communes!$A$2:$A$3783, INSEE_Communes!$F$2:$F$3783, "code introuvable")</f>
        <v>non publié</v>
      </c>
    </row>
    <row r="1454">
      <c r="A1454" s="2" t="str">
        <f>Communes_HDF!A1454</f>
        <v>60010</v>
      </c>
      <c r="B1454" s="2" t="str">
        <f>Communes_HDF!B1454</f>
        <v>Amblainville</v>
      </c>
      <c r="C1454" s="2" t="str">
        <f t="array" ref="C1454">_xlfn.XLOOKUP(A1454, INSEE_Communes!$A$2:$A$3783, INSEE_Communes!$F$2:$F$3783, "code introuvable")</f>
        <v>non publié</v>
      </c>
    </row>
    <row r="1455">
      <c r="A1455" s="2" t="str">
        <f>Communes_HDF!A1455</f>
        <v>60011</v>
      </c>
      <c r="B1455" s="2" t="str">
        <f>Communes_HDF!B1455</f>
        <v>Amy</v>
      </c>
      <c r="C1455" s="2" t="str">
        <f t="array" ref="C1455">_xlfn.XLOOKUP(A1455, INSEE_Communes!$A$2:$A$3783, INSEE_Communes!$F$2:$F$3783, "code introuvable")</f>
        <v>non publié</v>
      </c>
    </row>
    <row r="1456">
      <c r="A1456" s="2" t="str">
        <f>Communes_HDF!A1456</f>
        <v>60012</v>
      </c>
      <c r="B1456" s="2" t="str">
        <f>Communes_HDF!B1456</f>
        <v>Andeville</v>
      </c>
      <c r="C1456" s="2">
        <f t="array" ref="C1456">_xlfn.XLOOKUP(A1456, INSEE_Communes!$A$2:$A$3783, INSEE_Communes!$F$2:$F$3783, "code introuvable")</f>
        <v>7</v>
      </c>
    </row>
    <row r="1457">
      <c r="A1457" s="2" t="str">
        <f>Communes_HDF!A1457</f>
        <v>60013</v>
      </c>
      <c r="B1457" s="2" t="str">
        <f>Communes_HDF!B1457</f>
        <v>Angicourt</v>
      </c>
      <c r="C1457" s="2" t="str">
        <f t="array" ref="C1457">_xlfn.XLOOKUP(A1457, INSEE_Communes!$A$2:$A$3783, INSEE_Communes!$F$2:$F$3783, "code introuvable")</f>
        <v>non publié</v>
      </c>
    </row>
    <row r="1458">
      <c r="A1458" s="2" t="str">
        <f>Communes_HDF!A1458</f>
        <v>60014</v>
      </c>
      <c r="B1458" s="2" t="str">
        <f>Communes_HDF!B1458</f>
        <v>Angivillers</v>
      </c>
      <c r="C1458" s="2" t="str">
        <f t="array" ref="C1458">_xlfn.XLOOKUP(A1458, INSEE_Communes!$A$2:$A$3783, INSEE_Communes!$F$2:$F$3783, "code introuvable")</f>
        <v>non publié</v>
      </c>
    </row>
    <row r="1459">
      <c r="A1459" s="2" t="str">
        <f>Communes_HDF!A1459</f>
        <v>60015</v>
      </c>
      <c r="B1459" s="2" t="str">
        <f>Communes_HDF!B1459</f>
        <v>Angy</v>
      </c>
      <c r="C1459" s="2" t="str">
        <f t="array" ref="C1459">_xlfn.XLOOKUP(A1459, INSEE_Communes!$A$2:$A$3783, INSEE_Communes!$F$2:$F$3783, "code introuvable")</f>
        <v>non publié</v>
      </c>
    </row>
    <row r="1460">
      <c r="A1460" s="2" t="str">
        <f>Communes_HDF!A1460</f>
        <v>60016</v>
      </c>
      <c r="B1460" s="2" t="str">
        <f>Communes_HDF!B1460</f>
        <v>Ansacq</v>
      </c>
      <c r="C1460" s="2" t="str">
        <f t="array" ref="C1460">_xlfn.XLOOKUP(A1460, INSEE_Communes!$A$2:$A$3783, INSEE_Communes!$F$2:$F$3783, "code introuvable")</f>
        <v>non publié</v>
      </c>
    </row>
    <row r="1461">
      <c r="A1461" s="2" t="str">
        <f>Communes_HDF!A1461</f>
        <v>60017</v>
      </c>
      <c r="B1461" s="2" t="str">
        <f>Communes_HDF!B1461</f>
        <v>Ansauvillers</v>
      </c>
      <c r="C1461" s="2" t="str">
        <f t="array" ref="C1461">_xlfn.XLOOKUP(A1461, INSEE_Communes!$A$2:$A$3783, INSEE_Communes!$F$2:$F$3783, "code introuvable")</f>
        <v>non publié</v>
      </c>
    </row>
    <row r="1462">
      <c r="A1462" s="2" t="str">
        <f>Communes_HDF!A1462</f>
        <v>60019</v>
      </c>
      <c r="B1462" s="2" t="str">
        <f>Communes_HDF!B1462</f>
        <v>Antheuil-Portes</v>
      </c>
      <c r="C1462" s="2" t="str">
        <f t="array" ref="C1462">_xlfn.XLOOKUP(A1462, INSEE_Communes!$A$2:$A$3783, INSEE_Communes!$F$2:$F$3783, "code introuvable")</f>
        <v>non publié</v>
      </c>
    </row>
    <row r="1463">
      <c r="A1463" s="2" t="str">
        <f>Communes_HDF!A1463</f>
        <v>60020</v>
      </c>
      <c r="B1463" s="2" t="str">
        <f>Communes_HDF!B1463</f>
        <v>Antilly</v>
      </c>
      <c r="C1463" s="2" t="str">
        <f t="array" ref="C1463">_xlfn.XLOOKUP(A1463, INSEE_Communes!$A$2:$A$3783, INSEE_Communes!$F$2:$F$3783, "code introuvable")</f>
        <v>non publié</v>
      </c>
    </row>
    <row r="1464">
      <c r="A1464" s="2" t="str">
        <f>Communes_HDF!A1464</f>
        <v>60021</v>
      </c>
      <c r="B1464" s="2" t="str">
        <f>Communes_HDF!B1464</f>
        <v>Appilly</v>
      </c>
      <c r="C1464" s="2" t="str">
        <f t="array" ref="C1464">_xlfn.XLOOKUP(A1464, INSEE_Communes!$A$2:$A$3783, INSEE_Communes!$F$2:$F$3783, "code introuvable")</f>
        <v>non publié</v>
      </c>
    </row>
    <row r="1465">
      <c r="A1465" s="2" t="str">
        <f>Communes_HDF!A1465</f>
        <v>60022</v>
      </c>
      <c r="B1465" s="2" t="str">
        <f>Communes_HDF!B1465</f>
        <v>Apremont</v>
      </c>
      <c r="C1465" s="2" t="str">
        <f t="array" ref="C1465">_xlfn.XLOOKUP(A1465, INSEE_Communes!$A$2:$A$3783, INSEE_Communes!$F$2:$F$3783, "code introuvable")</f>
        <v>non publié</v>
      </c>
    </row>
    <row r="1466">
      <c r="A1466" s="2" t="str">
        <f>Communes_HDF!A1466</f>
        <v>60023</v>
      </c>
      <c r="B1466" s="2" t="str">
        <f>Communes_HDF!B1466</f>
        <v>Armancourt</v>
      </c>
      <c r="C1466" s="2" t="str">
        <f t="array" ref="C1466">_xlfn.XLOOKUP(A1466, INSEE_Communes!$A$2:$A$3783, INSEE_Communes!$F$2:$F$3783, "code introuvable")</f>
        <v>non publié</v>
      </c>
    </row>
    <row r="1467">
      <c r="A1467" s="2" t="str">
        <f>Communes_HDF!A1467</f>
        <v>60024</v>
      </c>
      <c r="B1467" s="2" t="str">
        <f>Communes_HDF!B1467</f>
        <v>Arsy</v>
      </c>
      <c r="C1467" s="2" t="str">
        <f t="array" ref="C1467">_xlfn.XLOOKUP(A1467, INSEE_Communes!$A$2:$A$3783, INSEE_Communes!$F$2:$F$3783, "code introuvable")</f>
        <v>non publié</v>
      </c>
    </row>
    <row r="1468">
      <c r="A1468" s="2" t="str">
        <f>Communes_HDF!A1468</f>
        <v>60025</v>
      </c>
      <c r="B1468" s="2" t="str">
        <f>Communes_HDF!B1468</f>
        <v>Attichy</v>
      </c>
      <c r="C1468" s="2" t="str">
        <f t="array" ref="C1468">_xlfn.XLOOKUP(A1468, INSEE_Communes!$A$2:$A$3783, INSEE_Communes!$F$2:$F$3783, "code introuvable")</f>
        <v>non publié</v>
      </c>
    </row>
    <row r="1469">
      <c r="A1469" s="2" t="str">
        <f>Communes_HDF!A1469</f>
        <v>60026</v>
      </c>
      <c r="B1469" s="2" t="str">
        <f>Communes_HDF!B1469</f>
        <v>Auchy-la-Montagne</v>
      </c>
      <c r="C1469" s="2" t="str">
        <f t="array" ref="C1469">_xlfn.XLOOKUP(A1469, INSEE_Communes!$A$2:$A$3783, INSEE_Communes!$F$2:$F$3783, "code introuvable")</f>
        <v>non publié</v>
      </c>
    </row>
    <row r="1470">
      <c r="A1470" s="2" t="str">
        <f>Communes_HDF!A1470</f>
        <v>60027</v>
      </c>
      <c r="B1470" s="2" t="str">
        <f>Communes_HDF!B1470</f>
        <v>Auger-Saint-Vincent</v>
      </c>
      <c r="C1470" s="2" t="str">
        <f t="array" ref="C1470">_xlfn.XLOOKUP(A1470, INSEE_Communes!$A$2:$A$3783, INSEE_Communes!$F$2:$F$3783, "code introuvable")</f>
        <v>non publié</v>
      </c>
    </row>
    <row r="1471">
      <c r="A1471" s="2" t="str">
        <f>Communes_HDF!A1471</f>
        <v>60028</v>
      </c>
      <c r="B1471" s="2" t="str">
        <f>Communes_HDF!B1471</f>
        <v>Aumont-en-Halatte</v>
      </c>
      <c r="C1471" s="2" t="str">
        <f t="array" ref="C1471">_xlfn.XLOOKUP(A1471, INSEE_Communes!$A$2:$A$3783, INSEE_Communes!$F$2:$F$3783, "code introuvable")</f>
        <v>non publié</v>
      </c>
    </row>
    <row r="1472">
      <c r="A1472" s="2" t="str">
        <f>Communes_HDF!A1472</f>
        <v>60029</v>
      </c>
      <c r="B1472" s="2" t="str">
        <f>Communes_HDF!B1472</f>
        <v>Auneuil</v>
      </c>
      <c r="C1472" s="2">
        <f t="array" ref="C1472">_xlfn.XLOOKUP(A1472, INSEE_Communes!$A$2:$A$3783, INSEE_Communes!$F$2:$F$3783, "code introuvable")</f>
        <v>13</v>
      </c>
    </row>
    <row r="1473">
      <c r="A1473" s="2" t="str">
        <f>Communes_HDF!A1473</f>
        <v>60030</v>
      </c>
      <c r="B1473" s="2" t="str">
        <f>Communes_HDF!B1473</f>
        <v>Auteuil</v>
      </c>
      <c r="C1473" s="2" t="str">
        <f t="array" ref="C1473">_xlfn.XLOOKUP(A1473, INSEE_Communes!$A$2:$A$3783, INSEE_Communes!$F$2:$F$3783, "code introuvable")</f>
        <v>non publié</v>
      </c>
    </row>
    <row r="1474">
      <c r="A1474" s="2" t="str">
        <f>Communes_HDF!A1474</f>
        <v>60031</v>
      </c>
      <c r="B1474" s="2" t="str">
        <f>Communes_HDF!B1474</f>
        <v>Autheuil-en-Valois</v>
      </c>
      <c r="C1474" s="2" t="str">
        <f t="array" ref="C1474">_xlfn.XLOOKUP(A1474, INSEE_Communes!$A$2:$A$3783, INSEE_Communes!$F$2:$F$3783, "code introuvable")</f>
        <v>non publié</v>
      </c>
    </row>
    <row r="1475">
      <c r="A1475" s="2" t="str">
        <f>Communes_HDF!A1475</f>
        <v>60032</v>
      </c>
      <c r="B1475" s="2" t="str">
        <f>Communes_HDF!B1475</f>
        <v>Autrêches</v>
      </c>
      <c r="C1475" s="2" t="str">
        <f t="array" ref="C1475">_xlfn.XLOOKUP(A1475, INSEE_Communes!$A$2:$A$3783, INSEE_Communes!$F$2:$F$3783, "code introuvable")</f>
        <v>non publié</v>
      </c>
    </row>
    <row r="1476">
      <c r="A1476" s="2" t="str">
        <f>Communes_HDF!A1476</f>
        <v>60703</v>
      </c>
      <c r="B1476" s="2" t="str">
        <f>Communes_HDF!B1476</f>
        <v>Aux Marais</v>
      </c>
      <c r="C1476" s="2" t="str">
        <f t="array" ref="C1476">_xlfn.XLOOKUP(A1476, INSEE_Communes!$A$2:$A$3783, INSEE_Communes!$F$2:$F$3783, "code introuvable")</f>
        <v>non publié</v>
      </c>
    </row>
    <row r="1477">
      <c r="A1477" s="2" t="str">
        <f>Communes_HDF!A1477</f>
        <v>60033</v>
      </c>
      <c r="B1477" s="2" t="str">
        <f>Communes_HDF!B1477</f>
        <v>Avilly-Saint-Léonard</v>
      </c>
      <c r="C1477" s="2" t="str">
        <f t="array" ref="C1477">_xlfn.XLOOKUP(A1477, INSEE_Communes!$A$2:$A$3783, INSEE_Communes!$F$2:$F$3783, "code introuvable")</f>
        <v>non publié</v>
      </c>
    </row>
    <row r="1478">
      <c r="A1478" s="2" t="str">
        <f>Communes_HDF!A1478</f>
        <v>60034</v>
      </c>
      <c r="B1478" s="2" t="str">
        <f>Communes_HDF!B1478</f>
        <v>Avrechy</v>
      </c>
      <c r="C1478" s="2" t="str">
        <f t="array" ref="C1478">_xlfn.XLOOKUP(A1478, INSEE_Communes!$A$2:$A$3783, INSEE_Communes!$F$2:$F$3783, "code introuvable")</f>
        <v>non publié</v>
      </c>
    </row>
    <row r="1479">
      <c r="A1479" s="2" t="str">
        <f>Communes_HDF!A1479</f>
        <v>60035</v>
      </c>
      <c r="B1479" s="2" t="str">
        <f>Communes_HDF!B1479</f>
        <v>Avricourt</v>
      </c>
      <c r="C1479" s="2" t="str">
        <f t="array" ref="C1479">_xlfn.XLOOKUP(A1479, INSEE_Communes!$A$2:$A$3783, INSEE_Communes!$F$2:$F$3783, "code introuvable")</f>
        <v>non publié</v>
      </c>
    </row>
    <row r="1480">
      <c r="A1480" s="2" t="str">
        <f>Communes_HDF!A1480</f>
        <v>60036</v>
      </c>
      <c r="B1480" s="2" t="str">
        <f>Communes_HDF!B1480</f>
        <v>Avrigny</v>
      </c>
      <c r="C1480" s="2" t="str">
        <f t="array" ref="C1480">_xlfn.XLOOKUP(A1480, INSEE_Communes!$A$2:$A$3783, INSEE_Communes!$F$2:$F$3783, "code introuvable")</f>
        <v>non publié</v>
      </c>
    </row>
    <row r="1481">
      <c r="A1481" s="2" t="str">
        <f>Communes_HDF!A1481</f>
        <v>60037</v>
      </c>
      <c r="B1481" s="2" t="str">
        <f>Communes_HDF!B1481</f>
        <v>Babœuf</v>
      </c>
      <c r="C1481" s="2" t="str">
        <f t="array" ref="C1481">_xlfn.XLOOKUP(A1481, INSEE_Communes!$A$2:$A$3783, INSEE_Communes!$F$2:$F$3783, "code introuvable")</f>
        <v>non publié</v>
      </c>
    </row>
    <row r="1482">
      <c r="A1482" s="2" t="str">
        <f>Communes_HDF!A1482</f>
        <v>60039</v>
      </c>
      <c r="B1482" s="2" t="str">
        <f>Communes_HDF!B1482</f>
        <v>Bacouël</v>
      </c>
      <c r="C1482" s="2" t="str">
        <f t="array" ref="C1482">_xlfn.XLOOKUP(A1482, INSEE_Communes!$A$2:$A$3783, INSEE_Communes!$F$2:$F$3783, "code introuvable")</f>
        <v>non publié</v>
      </c>
    </row>
    <row r="1483">
      <c r="A1483" s="2" t="str">
        <f>Communes_HDF!A1483</f>
        <v>60040</v>
      </c>
      <c r="B1483" s="2" t="str">
        <f>Communes_HDF!B1483</f>
        <v>Bailleul-le-Soc</v>
      </c>
      <c r="C1483" s="2" t="str">
        <f t="array" ref="C1483">_xlfn.XLOOKUP(A1483, INSEE_Communes!$A$2:$A$3783, INSEE_Communes!$F$2:$F$3783, "code introuvable")</f>
        <v>non publié</v>
      </c>
    </row>
    <row r="1484">
      <c r="A1484" s="2" t="str">
        <f>Communes_HDF!A1484</f>
        <v>60041</v>
      </c>
      <c r="B1484" s="2" t="str">
        <f>Communes_HDF!B1484</f>
        <v>Bailleul-sur-Thérain</v>
      </c>
      <c r="C1484" s="2">
        <f t="array" ref="C1484">_xlfn.XLOOKUP(A1484, INSEE_Communes!$A$2:$A$3783, INSEE_Communes!$F$2:$F$3783, "code introuvable")</f>
        <v>10</v>
      </c>
    </row>
    <row r="1485">
      <c r="A1485" s="2" t="str">
        <f>Communes_HDF!A1485</f>
        <v>60042</v>
      </c>
      <c r="B1485" s="2" t="str">
        <f>Communes_HDF!B1485</f>
        <v>Bailleval</v>
      </c>
      <c r="C1485" s="2" t="str">
        <f t="array" ref="C1485">_xlfn.XLOOKUP(A1485, INSEE_Communes!$A$2:$A$3783, INSEE_Communes!$F$2:$F$3783, "code introuvable")</f>
        <v>non publié</v>
      </c>
    </row>
    <row r="1486">
      <c r="A1486" s="2" t="str">
        <f>Communes_HDF!A1486</f>
        <v>60043</v>
      </c>
      <c r="B1486" s="2" t="str">
        <f>Communes_HDF!B1486</f>
        <v>Bailly</v>
      </c>
      <c r="C1486" s="2" t="str">
        <f t="array" ref="C1486">_xlfn.XLOOKUP(A1486, INSEE_Communes!$A$2:$A$3783, INSEE_Communes!$F$2:$F$3783, "code introuvable")</f>
        <v>non publié</v>
      </c>
    </row>
    <row r="1487">
      <c r="A1487" s="2" t="str">
        <f>Communes_HDF!A1487</f>
        <v>60044</v>
      </c>
      <c r="B1487" s="2" t="str">
        <f>Communes_HDF!B1487</f>
        <v>Balagny-sur-Thérain</v>
      </c>
      <c r="C1487" s="2" t="str">
        <f t="array" ref="C1487">_xlfn.XLOOKUP(A1487, INSEE_Communes!$A$2:$A$3783, INSEE_Communes!$F$2:$F$3783, "code introuvable")</f>
        <v>non publié</v>
      </c>
    </row>
    <row r="1488">
      <c r="A1488" s="2" t="str">
        <f>Communes_HDF!A1488</f>
        <v>60045</v>
      </c>
      <c r="B1488" s="2" t="str">
        <f>Communes_HDF!B1488</f>
        <v>Barbery</v>
      </c>
      <c r="C1488" s="2" t="str">
        <f t="array" ref="C1488">_xlfn.XLOOKUP(A1488, INSEE_Communes!$A$2:$A$3783, INSEE_Communes!$F$2:$F$3783, "code introuvable")</f>
        <v>non publié</v>
      </c>
    </row>
    <row r="1489">
      <c r="A1489" s="2" t="str">
        <f>Communes_HDF!A1489</f>
        <v>60046</v>
      </c>
      <c r="B1489" s="2" t="str">
        <f>Communes_HDF!B1489</f>
        <v>Bargny</v>
      </c>
      <c r="C1489" s="2" t="str">
        <f t="array" ref="C1489">_xlfn.XLOOKUP(A1489, INSEE_Communes!$A$2:$A$3783, INSEE_Communes!$F$2:$F$3783, "code introuvable")</f>
        <v>non publié</v>
      </c>
    </row>
    <row r="1490">
      <c r="A1490" s="2" t="str">
        <f>Communes_HDF!A1490</f>
        <v>60047</v>
      </c>
      <c r="B1490" s="2" t="str">
        <f>Communes_HDF!B1490</f>
        <v>Baron</v>
      </c>
      <c r="C1490" s="2" t="str">
        <f t="array" ref="C1490">_xlfn.XLOOKUP(A1490, INSEE_Communes!$A$2:$A$3783, INSEE_Communes!$F$2:$F$3783, "code introuvable")</f>
        <v>non publié</v>
      </c>
    </row>
    <row r="1491">
      <c r="A1491" s="2" t="str">
        <f>Communes_HDF!A1491</f>
        <v>60048</v>
      </c>
      <c r="B1491" s="2" t="str">
        <f>Communes_HDF!B1491</f>
        <v>Baugy</v>
      </c>
      <c r="C1491" s="2" t="str">
        <f t="array" ref="C1491">_xlfn.XLOOKUP(A1491, INSEE_Communes!$A$2:$A$3783, INSEE_Communes!$F$2:$F$3783, "code introuvable")</f>
        <v>non publié</v>
      </c>
    </row>
    <row r="1492">
      <c r="A1492" s="2" t="str">
        <f>Communes_HDF!A1492</f>
        <v>60049</v>
      </c>
      <c r="B1492" s="2" t="str">
        <f>Communes_HDF!B1492</f>
        <v>Bazancourt</v>
      </c>
      <c r="C1492" s="2" t="str">
        <f t="array" ref="C1492">_xlfn.XLOOKUP(A1492, INSEE_Communes!$A$2:$A$3783, INSEE_Communes!$F$2:$F$3783, "code introuvable")</f>
        <v>non publié</v>
      </c>
    </row>
    <row r="1493">
      <c r="A1493" s="2" t="str">
        <f>Communes_HDF!A1493</f>
        <v>60050</v>
      </c>
      <c r="B1493" s="2" t="str">
        <f>Communes_HDF!B1493</f>
        <v>Bazicourt</v>
      </c>
      <c r="C1493" s="2" t="str">
        <f t="array" ref="C1493">_xlfn.XLOOKUP(A1493, INSEE_Communes!$A$2:$A$3783, INSEE_Communes!$F$2:$F$3783, "code introuvable")</f>
        <v>non publié</v>
      </c>
    </row>
    <row r="1494">
      <c r="A1494" s="2" t="str">
        <f>Communes_HDF!A1494</f>
        <v>60051</v>
      </c>
      <c r="B1494" s="2" t="str">
        <f>Communes_HDF!B1494</f>
        <v>Beaudéduit</v>
      </c>
      <c r="C1494" s="2" t="str">
        <f t="array" ref="C1494">_xlfn.XLOOKUP(A1494, INSEE_Communes!$A$2:$A$3783, INSEE_Communes!$F$2:$F$3783, "code introuvable")</f>
        <v>non publié</v>
      </c>
    </row>
    <row r="1495">
      <c r="A1495" s="2" t="str">
        <f>Communes_HDF!A1495</f>
        <v>60052</v>
      </c>
      <c r="B1495" s="2" t="str">
        <f>Communes_HDF!B1495</f>
        <v>Beaugies-sous-Bois</v>
      </c>
      <c r="C1495" s="2" t="str">
        <f t="array" ref="C1495">_xlfn.XLOOKUP(A1495, INSEE_Communes!$A$2:$A$3783, INSEE_Communes!$F$2:$F$3783, "code introuvable")</f>
        <v>non publié</v>
      </c>
    </row>
    <row r="1496">
      <c r="A1496" s="2" t="str">
        <f>Communes_HDF!A1496</f>
        <v>60053</v>
      </c>
      <c r="B1496" s="2" t="str">
        <f>Communes_HDF!B1496</f>
        <v>Beaulieu-les-Fontaines</v>
      </c>
      <c r="C1496" s="2" t="str">
        <f t="array" ref="C1496">_xlfn.XLOOKUP(A1496, INSEE_Communes!$A$2:$A$3783, INSEE_Communes!$F$2:$F$3783, "code introuvable")</f>
        <v>non publié</v>
      </c>
    </row>
    <row r="1497">
      <c r="A1497" s="2" t="str">
        <f>Communes_HDF!A1497</f>
        <v>60054</v>
      </c>
      <c r="B1497" s="2" t="str">
        <f>Communes_HDF!B1497</f>
        <v>Beaumont-les-Nonains</v>
      </c>
      <c r="C1497" s="2" t="str">
        <f t="array" ref="C1497">_xlfn.XLOOKUP(A1497, INSEE_Communes!$A$2:$A$3783, INSEE_Communes!$F$2:$F$3783, "code introuvable")</f>
        <v>non publié</v>
      </c>
    </row>
    <row r="1498">
      <c r="A1498" s="2" t="str">
        <f>Communes_HDF!A1498</f>
        <v>60055</v>
      </c>
      <c r="B1498" s="2" t="str">
        <f>Communes_HDF!B1498</f>
        <v>Beaurains-lès-Noyon</v>
      </c>
      <c r="C1498" s="2" t="str">
        <f t="array" ref="C1498">_xlfn.XLOOKUP(A1498, INSEE_Communes!$A$2:$A$3783, INSEE_Communes!$F$2:$F$3783, "code introuvable")</f>
        <v>non publié</v>
      </c>
    </row>
    <row r="1499">
      <c r="A1499" s="2" t="str">
        <f>Communes_HDF!A1499</f>
        <v>60056</v>
      </c>
      <c r="B1499" s="2" t="str">
        <f>Communes_HDF!B1499</f>
        <v>Beaurepaire</v>
      </c>
      <c r="C1499" s="2" t="str">
        <f t="array" ref="C1499">_xlfn.XLOOKUP(A1499, INSEE_Communes!$A$2:$A$3783, INSEE_Communes!$F$2:$F$3783, "code introuvable")</f>
        <v>non publié</v>
      </c>
    </row>
    <row r="1500">
      <c r="A1500" s="2" t="str">
        <f>Communes_HDF!A1500</f>
        <v>60057</v>
      </c>
      <c r="B1500" s="2" t="str">
        <f>Communes_HDF!B1500</f>
        <v>Beauvais</v>
      </c>
      <c r="C1500" s="2">
        <f t="array" ref="C1500">_xlfn.XLOOKUP(A1500, INSEE_Communes!$A$2:$A$3783, INSEE_Communes!$F$2:$F$3783, "code introuvable")</f>
        <v>27.3</v>
      </c>
    </row>
    <row r="1501">
      <c r="A1501" s="2" t="str">
        <f>Communes_HDF!A1501</f>
        <v>60058</v>
      </c>
      <c r="B1501" s="2" t="str">
        <f>Communes_HDF!B1501</f>
        <v>Beauvoir</v>
      </c>
      <c r="C1501" s="2" t="str">
        <f t="array" ref="C1501">_xlfn.XLOOKUP(A1501, INSEE_Communes!$A$2:$A$3783, INSEE_Communes!$F$2:$F$3783, "code introuvable")</f>
        <v>non publié</v>
      </c>
    </row>
    <row r="1502">
      <c r="A1502" s="2" t="str">
        <f>Communes_HDF!A1502</f>
        <v>60060</v>
      </c>
      <c r="B1502" s="2" t="str">
        <f>Communes_HDF!B1502</f>
        <v>Belle-Église</v>
      </c>
      <c r="C1502" s="2" t="str">
        <f t="array" ref="C1502">_xlfn.XLOOKUP(A1502, INSEE_Communes!$A$2:$A$3783, INSEE_Communes!$F$2:$F$3783, "code introuvable")</f>
        <v>non publié</v>
      </c>
    </row>
    <row r="1503">
      <c r="A1503" s="2" t="str">
        <f>Communes_HDF!A1503</f>
        <v>60061</v>
      </c>
      <c r="B1503" s="2" t="str">
        <f>Communes_HDF!B1503</f>
        <v>Belloy</v>
      </c>
      <c r="C1503" s="2" t="str">
        <f t="array" ref="C1503">_xlfn.XLOOKUP(A1503, INSEE_Communes!$A$2:$A$3783, INSEE_Communes!$F$2:$F$3783, "code introuvable")</f>
        <v>non publié</v>
      </c>
    </row>
    <row r="1504">
      <c r="A1504" s="2" t="str">
        <f>Communes_HDF!A1504</f>
        <v>60062</v>
      </c>
      <c r="B1504" s="2" t="str">
        <f>Communes_HDF!B1504</f>
        <v>Berlancourt</v>
      </c>
      <c r="C1504" s="2" t="str">
        <f t="array" ref="C1504">_xlfn.XLOOKUP(A1504, INSEE_Communes!$A$2:$A$3783, INSEE_Communes!$F$2:$F$3783, "code introuvable")</f>
        <v>non publié</v>
      </c>
    </row>
    <row r="1505">
      <c r="A1505" s="2" t="str">
        <f>Communes_HDF!A1505</f>
        <v>60063</v>
      </c>
      <c r="B1505" s="2" t="str">
        <f>Communes_HDF!B1505</f>
        <v>Berneuil-en-Bray</v>
      </c>
      <c r="C1505" s="2" t="str">
        <f t="array" ref="C1505">_xlfn.XLOOKUP(A1505, INSEE_Communes!$A$2:$A$3783, INSEE_Communes!$F$2:$F$3783, "code introuvable")</f>
        <v>non publié</v>
      </c>
    </row>
    <row r="1506">
      <c r="A1506" s="2" t="str">
        <f>Communes_HDF!A1506</f>
        <v>60064</v>
      </c>
      <c r="B1506" s="2" t="str">
        <f>Communes_HDF!B1506</f>
        <v>Berneuil-sur-Aisne</v>
      </c>
      <c r="C1506" s="2" t="str">
        <f t="array" ref="C1506">_xlfn.XLOOKUP(A1506, INSEE_Communes!$A$2:$A$3783, INSEE_Communes!$F$2:$F$3783, "code introuvable")</f>
        <v>non publié</v>
      </c>
    </row>
    <row r="1507">
      <c r="A1507" s="2" t="str">
        <f>Communes_HDF!A1507</f>
        <v>60065</v>
      </c>
      <c r="B1507" s="2" t="str">
        <f>Communes_HDF!B1507</f>
        <v>Berthecourt</v>
      </c>
      <c r="C1507" s="2" t="str">
        <f t="array" ref="C1507">_xlfn.XLOOKUP(A1507, INSEE_Communes!$A$2:$A$3783, INSEE_Communes!$F$2:$F$3783, "code introuvable")</f>
        <v>non publié</v>
      </c>
    </row>
    <row r="1508">
      <c r="A1508" s="2" t="str">
        <f>Communes_HDF!A1508</f>
        <v>60069</v>
      </c>
      <c r="B1508" s="2" t="str">
        <f>Communes_HDF!B1508</f>
        <v>Betz</v>
      </c>
      <c r="C1508" s="2" t="str">
        <f t="array" ref="C1508">_xlfn.XLOOKUP(A1508, INSEE_Communes!$A$2:$A$3783, INSEE_Communes!$F$2:$F$3783, "code introuvable")</f>
        <v>non publié</v>
      </c>
    </row>
    <row r="1509">
      <c r="A1509" s="2" t="str">
        <f>Communes_HDF!A1509</f>
        <v>60070</v>
      </c>
      <c r="B1509" s="2" t="str">
        <f>Communes_HDF!B1509</f>
        <v>Bienville</v>
      </c>
      <c r="C1509" s="2" t="str">
        <f t="array" ref="C1509">_xlfn.XLOOKUP(A1509, INSEE_Communes!$A$2:$A$3783, INSEE_Communes!$F$2:$F$3783, "code introuvable")</f>
        <v>non publié</v>
      </c>
    </row>
    <row r="1510">
      <c r="A1510" s="2" t="str">
        <f>Communes_HDF!A1510</f>
        <v>60071</v>
      </c>
      <c r="B1510" s="2" t="str">
        <f>Communes_HDF!B1510</f>
        <v>Biermont</v>
      </c>
      <c r="C1510" s="2" t="str">
        <f t="array" ref="C1510">_xlfn.XLOOKUP(A1510, INSEE_Communes!$A$2:$A$3783, INSEE_Communes!$F$2:$F$3783, "code introuvable")</f>
        <v>non publié</v>
      </c>
    </row>
    <row r="1511">
      <c r="A1511" s="2" t="str">
        <f>Communes_HDF!A1511</f>
        <v>60072</v>
      </c>
      <c r="B1511" s="2" t="str">
        <f>Communes_HDF!B1511</f>
        <v>Bitry</v>
      </c>
      <c r="C1511" s="2" t="str">
        <f t="array" ref="C1511">_xlfn.XLOOKUP(A1511, INSEE_Communes!$A$2:$A$3783, INSEE_Communes!$F$2:$F$3783, "code introuvable")</f>
        <v>non publié</v>
      </c>
    </row>
    <row r="1512">
      <c r="A1512" s="2" t="str">
        <f>Communes_HDF!A1512</f>
        <v>60073</v>
      </c>
      <c r="B1512" s="2" t="str">
        <f>Communes_HDF!B1512</f>
        <v>Blacourt</v>
      </c>
      <c r="C1512" s="2" t="str">
        <f t="array" ref="C1512">_xlfn.XLOOKUP(A1512, INSEE_Communes!$A$2:$A$3783, INSEE_Communes!$F$2:$F$3783, "code introuvable")</f>
        <v>non publié</v>
      </c>
    </row>
    <row r="1513">
      <c r="A1513" s="2" t="str">
        <f>Communes_HDF!A1513</f>
        <v>60074</v>
      </c>
      <c r="B1513" s="2" t="str">
        <f>Communes_HDF!B1513</f>
        <v>Blaincourt-lès-Précy</v>
      </c>
      <c r="C1513" s="2" t="str">
        <f t="array" ref="C1513">_xlfn.XLOOKUP(A1513, INSEE_Communes!$A$2:$A$3783, INSEE_Communes!$F$2:$F$3783, "code introuvable")</f>
        <v>non publié</v>
      </c>
    </row>
    <row r="1514">
      <c r="A1514" s="2" t="str">
        <f>Communes_HDF!A1514</f>
        <v>60075</v>
      </c>
      <c r="B1514" s="2" t="str">
        <f>Communes_HDF!B1514</f>
        <v>Blancfossé</v>
      </c>
      <c r="C1514" s="2" t="str">
        <f t="array" ref="C1514">_xlfn.XLOOKUP(A1514, INSEE_Communes!$A$2:$A$3783, INSEE_Communes!$F$2:$F$3783, "code introuvable")</f>
        <v>non publié</v>
      </c>
    </row>
    <row r="1515">
      <c r="A1515" s="2" t="str">
        <f>Communes_HDF!A1515</f>
        <v>60076</v>
      </c>
      <c r="B1515" s="2" t="str">
        <f>Communes_HDF!B1515</f>
        <v>Blargies</v>
      </c>
      <c r="C1515" s="2" t="str">
        <f t="array" ref="C1515">_xlfn.XLOOKUP(A1515, INSEE_Communes!$A$2:$A$3783, INSEE_Communes!$F$2:$F$3783, "code introuvable")</f>
        <v>non publié</v>
      </c>
    </row>
    <row r="1516">
      <c r="A1516" s="2" t="str">
        <f>Communes_HDF!A1516</f>
        <v>60077</v>
      </c>
      <c r="B1516" s="2" t="str">
        <f>Communes_HDF!B1516</f>
        <v>Blicourt</v>
      </c>
      <c r="C1516" s="2" t="str">
        <f t="array" ref="C1516">_xlfn.XLOOKUP(A1516, INSEE_Communes!$A$2:$A$3783, INSEE_Communes!$F$2:$F$3783, "code introuvable")</f>
        <v>non publié</v>
      </c>
    </row>
    <row r="1517">
      <c r="A1517" s="2" t="str">
        <f>Communes_HDF!A1517</f>
        <v>60078</v>
      </c>
      <c r="B1517" s="2" t="str">
        <f>Communes_HDF!B1517</f>
        <v>Blincourt</v>
      </c>
      <c r="C1517" s="2" t="str">
        <f t="array" ref="C1517">_xlfn.XLOOKUP(A1517, INSEE_Communes!$A$2:$A$3783, INSEE_Communes!$F$2:$F$3783, "code introuvable")</f>
        <v>non publié</v>
      </c>
    </row>
    <row r="1518">
      <c r="A1518" s="2" t="str">
        <f>Communes_HDF!A1518</f>
        <v>60079</v>
      </c>
      <c r="B1518" s="2" t="str">
        <f>Communes_HDF!B1518</f>
        <v>Boissy-Fresnoy</v>
      </c>
      <c r="C1518" s="2" t="str">
        <f t="array" ref="C1518">_xlfn.XLOOKUP(A1518, INSEE_Communes!$A$2:$A$3783, INSEE_Communes!$F$2:$F$3783, "code introuvable")</f>
        <v>non publié</v>
      </c>
    </row>
    <row r="1519">
      <c r="A1519" s="2" t="str">
        <f>Communes_HDF!A1519</f>
        <v>60081</v>
      </c>
      <c r="B1519" s="2" t="str">
        <f>Communes_HDF!B1519</f>
        <v>Bonlier</v>
      </c>
      <c r="C1519" s="2" t="str">
        <f t="array" ref="C1519">_xlfn.XLOOKUP(A1519, INSEE_Communes!$A$2:$A$3783, INSEE_Communes!$F$2:$F$3783, "code introuvable")</f>
        <v>non publié</v>
      </c>
    </row>
    <row r="1520">
      <c r="A1520" s="2" t="str">
        <f>Communes_HDF!A1520</f>
        <v>60083</v>
      </c>
      <c r="B1520" s="2" t="str">
        <f>Communes_HDF!B1520</f>
        <v>Bonneuil-en-Valois</v>
      </c>
      <c r="C1520" s="2" t="str">
        <f t="array" ref="C1520">_xlfn.XLOOKUP(A1520, INSEE_Communes!$A$2:$A$3783, INSEE_Communes!$F$2:$F$3783, "code introuvable")</f>
        <v>non publié</v>
      </c>
    </row>
    <row r="1521">
      <c r="A1521" s="2" t="str">
        <f>Communes_HDF!A1521</f>
        <v>60082</v>
      </c>
      <c r="B1521" s="2" t="str">
        <f>Communes_HDF!B1521</f>
        <v>Bonneuil-les-Eaux</v>
      </c>
      <c r="C1521" s="2" t="str">
        <f t="array" ref="C1521">_xlfn.XLOOKUP(A1521, INSEE_Communes!$A$2:$A$3783, INSEE_Communes!$F$2:$F$3783, "code introuvable")</f>
        <v>non publié</v>
      </c>
    </row>
    <row r="1522">
      <c r="A1522" s="2" t="str">
        <f>Communes_HDF!A1522</f>
        <v>60084</v>
      </c>
      <c r="B1522" s="2" t="str">
        <f>Communes_HDF!B1522</f>
        <v>Bonnières</v>
      </c>
      <c r="C1522" s="2" t="str">
        <f t="array" ref="C1522">_xlfn.XLOOKUP(A1522, INSEE_Communes!$A$2:$A$3783, INSEE_Communes!$F$2:$F$3783, "code introuvable")</f>
        <v>non publié</v>
      </c>
    </row>
    <row r="1523">
      <c r="A1523" s="2" t="str">
        <f>Communes_HDF!A1523</f>
        <v>60085</v>
      </c>
      <c r="B1523" s="2" t="str">
        <f>Communes_HDF!B1523</f>
        <v>Bonvillers</v>
      </c>
      <c r="C1523" s="2" t="str">
        <f t="array" ref="C1523">_xlfn.XLOOKUP(A1523, INSEE_Communes!$A$2:$A$3783, INSEE_Communes!$F$2:$F$3783, "code introuvable")</f>
        <v>non publié</v>
      </c>
    </row>
    <row r="1524">
      <c r="A1524" s="2" t="str">
        <f>Communes_HDF!A1524</f>
        <v>60086</v>
      </c>
      <c r="B1524" s="2" t="str">
        <f>Communes_HDF!B1524</f>
        <v>Boran-sur-Oise</v>
      </c>
      <c r="C1524" s="2" t="str">
        <f t="array" ref="C1524">_xlfn.XLOOKUP(A1524, INSEE_Communes!$A$2:$A$3783, INSEE_Communes!$F$2:$F$3783, "code introuvable")</f>
        <v>non publié</v>
      </c>
    </row>
    <row r="1525">
      <c r="A1525" s="2" t="str">
        <f>Communes_HDF!A1525</f>
        <v>60087</v>
      </c>
      <c r="B1525" s="2" t="str">
        <f>Communes_HDF!B1525</f>
        <v>Borest</v>
      </c>
      <c r="C1525" s="2" t="str">
        <f t="array" ref="C1525">_xlfn.XLOOKUP(A1525, INSEE_Communes!$A$2:$A$3783, INSEE_Communes!$F$2:$F$3783, "code introuvable")</f>
        <v>non publié</v>
      </c>
    </row>
    <row r="1526">
      <c r="A1526" s="2" t="str">
        <f>Communes_HDF!A1526</f>
        <v>60088</v>
      </c>
      <c r="B1526" s="2" t="str">
        <f>Communes_HDF!B1526</f>
        <v>Bornel</v>
      </c>
      <c r="C1526" s="2">
        <f t="array" ref="C1526">_xlfn.XLOOKUP(A1526, INSEE_Communes!$A$2:$A$3783, INSEE_Communes!$F$2:$F$3783, "code introuvable")</f>
        <v>7</v>
      </c>
    </row>
    <row r="1527">
      <c r="A1527" s="2" t="str">
        <f>Communes_HDF!A1527</f>
        <v>60089</v>
      </c>
      <c r="B1527" s="2" t="str">
        <f>Communes_HDF!B1527</f>
        <v>Boubiers</v>
      </c>
      <c r="C1527" s="2" t="str">
        <f t="array" ref="C1527">_xlfn.XLOOKUP(A1527, INSEE_Communes!$A$2:$A$3783, INSEE_Communes!$F$2:$F$3783, "code introuvable")</f>
        <v>non publié</v>
      </c>
    </row>
    <row r="1528">
      <c r="A1528" s="2" t="str">
        <f>Communes_HDF!A1528</f>
        <v>60090</v>
      </c>
      <c r="B1528" s="2" t="str">
        <f>Communes_HDF!B1528</f>
        <v>Bouconvillers</v>
      </c>
      <c r="C1528" s="2" t="str">
        <f t="array" ref="C1528">_xlfn.XLOOKUP(A1528, INSEE_Communes!$A$2:$A$3783, INSEE_Communes!$F$2:$F$3783, "code introuvable")</f>
        <v>non publié</v>
      </c>
    </row>
    <row r="1529">
      <c r="A1529" s="2" t="str">
        <f>Communes_HDF!A1529</f>
        <v>60091</v>
      </c>
      <c r="B1529" s="2" t="str">
        <f>Communes_HDF!B1529</f>
        <v>Bouillancy</v>
      </c>
      <c r="C1529" s="2" t="str">
        <f t="array" ref="C1529">_xlfn.XLOOKUP(A1529, INSEE_Communes!$A$2:$A$3783, INSEE_Communes!$F$2:$F$3783, "code introuvable")</f>
        <v>non publié</v>
      </c>
    </row>
    <row r="1530">
      <c r="A1530" s="2" t="str">
        <f>Communes_HDF!A1530</f>
        <v>60092</v>
      </c>
      <c r="B1530" s="2" t="str">
        <f>Communes_HDF!B1530</f>
        <v>Boullarre</v>
      </c>
      <c r="C1530" s="2" t="str">
        <f t="array" ref="C1530">_xlfn.XLOOKUP(A1530, INSEE_Communes!$A$2:$A$3783, INSEE_Communes!$F$2:$F$3783, "code introuvable")</f>
        <v>non publié</v>
      </c>
    </row>
    <row r="1531">
      <c r="A1531" s="2" t="str">
        <f>Communes_HDF!A1531</f>
        <v>60093</v>
      </c>
      <c r="B1531" s="2" t="str">
        <f>Communes_HDF!B1531</f>
        <v>Boulogne-la-Grasse</v>
      </c>
      <c r="C1531" s="2" t="str">
        <f t="array" ref="C1531">_xlfn.XLOOKUP(A1531, INSEE_Communes!$A$2:$A$3783, INSEE_Communes!$F$2:$F$3783, "code introuvable")</f>
        <v>non publié</v>
      </c>
    </row>
    <row r="1532">
      <c r="A1532" s="2" t="str">
        <f>Communes_HDF!A1532</f>
        <v>60094</v>
      </c>
      <c r="B1532" s="2" t="str">
        <f>Communes_HDF!B1532</f>
        <v>Boursonne</v>
      </c>
      <c r="C1532" s="2" t="str">
        <f t="array" ref="C1532">_xlfn.XLOOKUP(A1532, INSEE_Communes!$A$2:$A$3783, INSEE_Communes!$F$2:$F$3783, "code introuvable")</f>
        <v>non publié</v>
      </c>
    </row>
    <row r="1533">
      <c r="A1533" s="2" t="str">
        <f>Communes_HDF!A1533</f>
        <v>60095</v>
      </c>
      <c r="B1533" s="2" t="str">
        <f>Communes_HDF!B1533</f>
        <v>Boury-en-Vexin</v>
      </c>
      <c r="C1533" s="2" t="str">
        <f t="array" ref="C1533">_xlfn.XLOOKUP(A1533, INSEE_Communes!$A$2:$A$3783, INSEE_Communes!$F$2:$F$3783, "code introuvable")</f>
        <v>non publié</v>
      </c>
    </row>
    <row r="1534">
      <c r="A1534" s="2" t="str">
        <f>Communes_HDF!A1534</f>
        <v>60097</v>
      </c>
      <c r="B1534" s="2" t="str">
        <f>Communes_HDF!B1534</f>
        <v>Boutencourt</v>
      </c>
      <c r="C1534" s="2" t="str">
        <f t="array" ref="C1534">_xlfn.XLOOKUP(A1534, INSEE_Communes!$A$2:$A$3783, INSEE_Communes!$F$2:$F$3783, "code introuvable")</f>
        <v>non publié</v>
      </c>
    </row>
    <row r="1535">
      <c r="A1535" s="2" t="str">
        <f>Communes_HDF!A1535</f>
        <v>60098</v>
      </c>
      <c r="B1535" s="2" t="str">
        <f>Communes_HDF!B1535</f>
        <v>Bouvresse</v>
      </c>
      <c r="C1535" s="2" t="str">
        <f t="array" ref="C1535">_xlfn.XLOOKUP(A1535, INSEE_Communes!$A$2:$A$3783, INSEE_Communes!$F$2:$F$3783, "code introuvable")</f>
        <v>non publié</v>
      </c>
    </row>
    <row r="1536">
      <c r="A1536" s="2" t="str">
        <f>Communes_HDF!A1536</f>
        <v>60099</v>
      </c>
      <c r="B1536" s="2" t="str">
        <f>Communes_HDF!B1536</f>
        <v>Braisnes-sur-Aronde</v>
      </c>
      <c r="C1536" s="2" t="str">
        <f t="array" ref="C1536">_xlfn.XLOOKUP(A1536, INSEE_Communes!$A$2:$A$3783, INSEE_Communes!$F$2:$F$3783, "code introuvable")</f>
        <v>non publié</v>
      </c>
    </row>
    <row r="1537">
      <c r="A1537" s="2" t="str">
        <f>Communes_HDF!A1537</f>
        <v>60100</v>
      </c>
      <c r="B1537" s="2" t="str">
        <f>Communes_HDF!B1537</f>
        <v>Brasseuse</v>
      </c>
      <c r="C1537" s="2" t="str">
        <f t="array" ref="C1537">_xlfn.XLOOKUP(A1537, INSEE_Communes!$A$2:$A$3783, INSEE_Communes!$F$2:$F$3783, "code introuvable")</f>
        <v>non publié</v>
      </c>
    </row>
    <row r="1538">
      <c r="A1538" s="2" t="str">
        <f>Communes_HDF!A1538</f>
        <v>60102</v>
      </c>
      <c r="B1538" s="2" t="str">
        <f>Communes_HDF!B1538</f>
        <v>Brenouille</v>
      </c>
      <c r="C1538" s="2">
        <f t="array" ref="C1538">_xlfn.XLOOKUP(A1538, INSEE_Communes!$A$2:$A$3783, INSEE_Communes!$F$2:$F$3783, "code introuvable")</f>
        <v>8</v>
      </c>
    </row>
    <row r="1539">
      <c r="A1539" s="2" t="str">
        <f>Communes_HDF!A1539</f>
        <v>60103</v>
      </c>
      <c r="B1539" s="2" t="str">
        <f>Communes_HDF!B1539</f>
        <v>Bresles</v>
      </c>
      <c r="C1539" s="2">
        <f t="array" ref="C1539">_xlfn.XLOOKUP(A1539, INSEE_Communes!$A$2:$A$3783, INSEE_Communes!$F$2:$F$3783, "code introuvable")</f>
        <v>13</v>
      </c>
    </row>
    <row r="1540">
      <c r="A1540" s="2" t="str">
        <f>Communes_HDF!A1540</f>
        <v>60104</v>
      </c>
      <c r="B1540" s="2" t="str">
        <f>Communes_HDF!B1540</f>
        <v>Breteuil</v>
      </c>
      <c r="C1540" s="2">
        <f t="array" ref="C1540">_xlfn.XLOOKUP(A1540, INSEE_Communes!$A$2:$A$3783, INSEE_Communes!$F$2:$F$3783, "code introuvable")</f>
        <v>24</v>
      </c>
    </row>
    <row r="1541">
      <c r="A1541" s="2" t="str">
        <f>Communes_HDF!A1541</f>
        <v>60106</v>
      </c>
      <c r="B1541" s="2" t="str">
        <f>Communes_HDF!B1541</f>
        <v>Breuil-le-Sec</v>
      </c>
      <c r="C1541" s="2">
        <f t="array" ref="C1541">_xlfn.XLOOKUP(A1541, INSEE_Communes!$A$2:$A$3783, INSEE_Communes!$F$2:$F$3783, "code introuvable")</f>
        <v>6</v>
      </c>
    </row>
    <row r="1542">
      <c r="A1542" s="2" t="str">
        <f>Communes_HDF!A1542</f>
        <v>60107</v>
      </c>
      <c r="B1542" s="2" t="str">
        <f>Communes_HDF!B1542</f>
        <v>Breuil-le-Vert</v>
      </c>
      <c r="C1542" s="2">
        <f t="array" ref="C1542">_xlfn.XLOOKUP(A1542, INSEE_Communes!$A$2:$A$3783, INSEE_Communes!$F$2:$F$3783, "code introuvable")</f>
        <v>6</v>
      </c>
    </row>
    <row r="1543">
      <c r="A1543" s="2" t="str">
        <f>Communes_HDF!A1543</f>
        <v>60108</v>
      </c>
      <c r="B1543" s="2" t="str">
        <f>Communes_HDF!B1543</f>
        <v>Briot</v>
      </c>
      <c r="C1543" s="2" t="str">
        <f t="array" ref="C1543">_xlfn.XLOOKUP(A1543, INSEE_Communes!$A$2:$A$3783, INSEE_Communes!$F$2:$F$3783, "code introuvable")</f>
        <v>non publié</v>
      </c>
    </row>
    <row r="1544">
      <c r="A1544" s="2" t="str">
        <f>Communes_HDF!A1544</f>
        <v>60109</v>
      </c>
      <c r="B1544" s="2" t="str">
        <f>Communes_HDF!B1544</f>
        <v>Brombos</v>
      </c>
      <c r="C1544" s="2" t="str">
        <f t="array" ref="C1544">_xlfn.XLOOKUP(A1544, INSEE_Communes!$A$2:$A$3783, INSEE_Communes!$F$2:$F$3783, "code introuvable")</f>
        <v>non publié</v>
      </c>
    </row>
    <row r="1545">
      <c r="A1545" s="2" t="str">
        <f>Communes_HDF!A1545</f>
        <v>60110</v>
      </c>
      <c r="B1545" s="2" t="str">
        <f>Communes_HDF!B1545</f>
        <v>Broquiers</v>
      </c>
      <c r="C1545" s="2" t="str">
        <f t="array" ref="C1545">_xlfn.XLOOKUP(A1545, INSEE_Communes!$A$2:$A$3783, INSEE_Communes!$F$2:$F$3783, "code introuvable")</f>
        <v>non publié</v>
      </c>
    </row>
    <row r="1546">
      <c r="A1546" s="2" t="str">
        <f>Communes_HDF!A1546</f>
        <v>60111</v>
      </c>
      <c r="B1546" s="2" t="str">
        <f>Communes_HDF!B1546</f>
        <v>Broyes</v>
      </c>
      <c r="C1546" s="2" t="str">
        <f t="array" ref="C1546">_xlfn.XLOOKUP(A1546, INSEE_Communes!$A$2:$A$3783, INSEE_Communes!$F$2:$F$3783, "code introuvable")</f>
        <v>non publié</v>
      </c>
    </row>
    <row r="1547">
      <c r="A1547" s="2" t="str">
        <f>Communes_HDF!A1547</f>
        <v>60112</v>
      </c>
      <c r="B1547" s="2" t="str">
        <f>Communes_HDF!B1547</f>
        <v>Brunvillers-la-Motte</v>
      </c>
      <c r="C1547" s="2" t="str">
        <f t="array" ref="C1547">_xlfn.XLOOKUP(A1547, INSEE_Communes!$A$2:$A$3783, INSEE_Communes!$F$2:$F$3783, "code introuvable")</f>
        <v>non publié</v>
      </c>
    </row>
    <row r="1548">
      <c r="A1548" s="2" t="str">
        <f>Communes_HDF!A1548</f>
        <v>60101</v>
      </c>
      <c r="B1548" s="2" t="str">
        <f>Communes_HDF!B1548</f>
        <v>Brégy</v>
      </c>
      <c r="C1548" s="2" t="str">
        <f t="array" ref="C1548">_xlfn.XLOOKUP(A1548, INSEE_Communes!$A$2:$A$3783, INSEE_Communes!$F$2:$F$3783, "code introuvable")</f>
        <v>non publié</v>
      </c>
    </row>
    <row r="1549">
      <c r="A1549" s="2" t="str">
        <f>Communes_HDF!A1549</f>
        <v>60105</v>
      </c>
      <c r="B1549" s="2" t="str">
        <f>Communes_HDF!B1549</f>
        <v>Brétigny</v>
      </c>
      <c r="C1549" s="2" t="str">
        <f t="array" ref="C1549">_xlfn.XLOOKUP(A1549, INSEE_Communes!$A$2:$A$3783, INSEE_Communes!$F$2:$F$3783, "code introuvable")</f>
        <v>non publié</v>
      </c>
    </row>
    <row r="1550">
      <c r="A1550" s="2" t="str">
        <f>Communes_HDF!A1550</f>
        <v>60113</v>
      </c>
      <c r="B1550" s="2" t="str">
        <f>Communes_HDF!B1550</f>
        <v>Bucamps</v>
      </c>
      <c r="C1550" s="2" t="str">
        <f t="array" ref="C1550">_xlfn.XLOOKUP(A1550, INSEE_Communes!$A$2:$A$3783, INSEE_Communes!$F$2:$F$3783, "code introuvable")</f>
        <v>non publié</v>
      </c>
    </row>
    <row r="1551">
      <c r="A1551" s="2" t="str">
        <f>Communes_HDF!A1551</f>
        <v>60114</v>
      </c>
      <c r="B1551" s="2" t="str">
        <f>Communes_HDF!B1551</f>
        <v>Buicourt</v>
      </c>
      <c r="C1551" s="2" t="str">
        <f t="array" ref="C1551">_xlfn.XLOOKUP(A1551, INSEE_Communes!$A$2:$A$3783, INSEE_Communes!$F$2:$F$3783, "code introuvable")</f>
        <v>non publié</v>
      </c>
    </row>
    <row r="1552">
      <c r="A1552" s="2" t="str">
        <f>Communes_HDF!A1552</f>
        <v>60115</v>
      </c>
      <c r="B1552" s="2" t="str">
        <f>Communes_HDF!B1552</f>
        <v>Bulles</v>
      </c>
      <c r="C1552" s="2" t="str">
        <f t="array" ref="C1552">_xlfn.XLOOKUP(A1552, INSEE_Communes!$A$2:$A$3783, INSEE_Communes!$F$2:$F$3783, "code introuvable")</f>
        <v>non publié</v>
      </c>
    </row>
    <row r="1553">
      <c r="A1553" s="2" t="str">
        <f>Communes_HDF!A1553</f>
        <v>60116</v>
      </c>
      <c r="B1553" s="2" t="str">
        <f>Communes_HDF!B1553</f>
        <v>Bury</v>
      </c>
      <c r="C1553" s="2">
        <f t="array" ref="C1553">_xlfn.XLOOKUP(A1553, INSEE_Communes!$A$2:$A$3783, INSEE_Communes!$F$2:$F$3783, "code introuvable")</f>
        <v>10</v>
      </c>
    </row>
    <row r="1554">
      <c r="A1554" s="2" t="str">
        <f>Communes_HDF!A1554</f>
        <v>60117</v>
      </c>
      <c r="B1554" s="2" t="str">
        <f>Communes_HDF!B1554</f>
        <v>Bussy</v>
      </c>
      <c r="C1554" s="2" t="str">
        <f t="array" ref="C1554">_xlfn.XLOOKUP(A1554, INSEE_Communes!$A$2:$A$3783, INSEE_Communes!$F$2:$F$3783, "code introuvable")</f>
        <v>non publié</v>
      </c>
    </row>
    <row r="1555">
      <c r="A1555" s="2" t="str">
        <f>Communes_HDF!A1555</f>
        <v>60059</v>
      </c>
      <c r="B1555" s="2" t="str">
        <f>Communes_HDF!B1555</f>
        <v>Béhéricourt</v>
      </c>
      <c r="C1555" s="2" t="str">
        <f t="array" ref="C1555">_xlfn.XLOOKUP(A1555, INSEE_Communes!$A$2:$A$3783, INSEE_Communes!$F$2:$F$3783, "code introuvable")</f>
        <v>non publié</v>
      </c>
    </row>
    <row r="1556">
      <c r="A1556" s="2" t="str">
        <f>Communes_HDF!A1556</f>
        <v>60066</v>
      </c>
      <c r="B1556" s="2" t="str">
        <f>Communes_HDF!B1556</f>
        <v>Béthancourt-en-Valois</v>
      </c>
      <c r="C1556" s="2" t="str">
        <f t="array" ref="C1556">_xlfn.XLOOKUP(A1556, INSEE_Communes!$A$2:$A$3783, INSEE_Communes!$F$2:$F$3783, "code introuvable")</f>
        <v>non publié</v>
      </c>
    </row>
    <row r="1557">
      <c r="A1557" s="2" t="str">
        <f>Communes_HDF!A1557</f>
        <v>60067</v>
      </c>
      <c r="B1557" s="2" t="str">
        <f>Communes_HDF!B1557</f>
        <v>Béthisy-Saint-Martin</v>
      </c>
      <c r="C1557" s="2" t="str">
        <f t="array" ref="C1557">_xlfn.XLOOKUP(A1557, INSEE_Communes!$A$2:$A$3783, INSEE_Communes!$F$2:$F$3783, "code introuvable")</f>
        <v>non publié</v>
      </c>
    </row>
    <row r="1558">
      <c r="A1558" s="2" t="str">
        <f>Communes_HDF!A1558</f>
        <v>60068</v>
      </c>
      <c r="B1558" s="2" t="str">
        <f>Communes_HDF!B1558</f>
        <v>Béthisy-Saint-Pierre</v>
      </c>
      <c r="C1558" s="2">
        <f t="array" ref="C1558">_xlfn.XLOOKUP(A1558, INSEE_Communes!$A$2:$A$3783, INSEE_Communes!$F$2:$F$3783, "code introuvable")</f>
        <v>14</v>
      </c>
    </row>
    <row r="1559">
      <c r="A1559" s="2" t="str">
        <f>Communes_HDF!A1559</f>
        <v>60118</v>
      </c>
      <c r="B1559" s="2" t="str">
        <f>Communes_HDF!B1559</f>
        <v>Caisnes</v>
      </c>
      <c r="C1559" s="2" t="str">
        <f t="array" ref="C1559">_xlfn.XLOOKUP(A1559, INSEE_Communes!$A$2:$A$3783, INSEE_Communes!$F$2:$F$3783, "code introuvable")</f>
        <v>non publié</v>
      </c>
    </row>
    <row r="1560">
      <c r="A1560" s="2" t="str">
        <f>Communes_HDF!A1560</f>
        <v>60120</v>
      </c>
      <c r="B1560" s="2" t="str">
        <f>Communes_HDF!B1560</f>
        <v>Cambronne-lès-Clermont</v>
      </c>
      <c r="C1560" s="2" t="str">
        <f t="array" ref="C1560">_xlfn.XLOOKUP(A1560, INSEE_Communes!$A$2:$A$3783, INSEE_Communes!$F$2:$F$3783, "code introuvable")</f>
        <v>non publié</v>
      </c>
    </row>
    <row r="1561">
      <c r="A1561" s="2" t="str">
        <f>Communes_HDF!A1561</f>
        <v>60119</v>
      </c>
      <c r="B1561" s="2" t="str">
        <f>Communes_HDF!B1561</f>
        <v>Cambronne-lès-Ribécourt</v>
      </c>
      <c r="C1561" s="2" t="str">
        <f t="array" ref="C1561">_xlfn.XLOOKUP(A1561, INSEE_Communes!$A$2:$A$3783, INSEE_Communes!$F$2:$F$3783, "code introuvable")</f>
        <v>non publié</v>
      </c>
    </row>
    <row r="1562">
      <c r="A1562" s="2" t="str">
        <f>Communes_HDF!A1562</f>
        <v>60121</v>
      </c>
      <c r="B1562" s="2" t="str">
        <f>Communes_HDF!B1562</f>
        <v>Campagne</v>
      </c>
      <c r="C1562" s="2" t="str">
        <f t="array" ref="C1562">_xlfn.XLOOKUP(A1562, INSEE_Communes!$A$2:$A$3783, INSEE_Communes!$F$2:$F$3783, "code introuvable")</f>
        <v>non publié</v>
      </c>
    </row>
    <row r="1563">
      <c r="A1563" s="2" t="str">
        <f>Communes_HDF!A1563</f>
        <v>60122</v>
      </c>
      <c r="B1563" s="2" t="str">
        <f>Communes_HDF!B1563</f>
        <v>Campeaux</v>
      </c>
      <c r="C1563" s="2" t="str">
        <f t="array" ref="C1563">_xlfn.XLOOKUP(A1563, INSEE_Communes!$A$2:$A$3783, INSEE_Communes!$F$2:$F$3783, "code introuvable")</f>
        <v>non publié</v>
      </c>
    </row>
    <row r="1564">
      <c r="A1564" s="2" t="str">
        <f>Communes_HDF!A1564</f>
        <v>60123</v>
      </c>
      <c r="B1564" s="2" t="str">
        <f>Communes_HDF!B1564</f>
        <v>Campremy</v>
      </c>
      <c r="C1564" s="2" t="str">
        <f t="array" ref="C1564">_xlfn.XLOOKUP(A1564, INSEE_Communes!$A$2:$A$3783, INSEE_Communes!$F$2:$F$3783, "code introuvable")</f>
        <v>non publié</v>
      </c>
    </row>
    <row r="1565">
      <c r="A1565" s="2" t="str">
        <f>Communes_HDF!A1565</f>
        <v>60124</v>
      </c>
      <c r="B1565" s="2" t="str">
        <f>Communes_HDF!B1565</f>
        <v>Candor</v>
      </c>
      <c r="C1565" s="2" t="str">
        <f t="array" ref="C1565">_xlfn.XLOOKUP(A1565, INSEE_Communes!$A$2:$A$3783, INSEE_Communes!$F$2:$F$3783, "code introuvable")</f>
        <v>non publié</v>
      </c>
    </row>
    <row r="1566">
      <c r="A1566" s="2" t="str">
        <f>Communes_HDF!A1566</f>
        <v>60125</v>
      </c>
      <c r="B1566" s="2" t="str">
        <f>Communes_HDF!B1566</f>
        <v>Canly</v>
      </c>
      <c r="C1566" s="2" t="str">
        <f t="array" ref="C1566">_xlfn.XLOOKUP(A1566, INSEE_Communes!$A$2:$A$3783, INSEE_Communes!$F$2:$F$3783, "code introuvable")</f>
        <v>non publié</v>
      </c>
    </row>
    <row r="1567">
      <c r="A1567" s="2" t="str">
        <f>Communes_HDF!A1567</f>
        <v>60126</v>
      </c>
      <c r="B1567" s="2" t="str">
        <f>Communes_HDF!B1567</f>
        <v>Cannectancourt</v>
      </c>
      <c r="C1567" s="2" t="str">
        <f t="array" ref="C1567">_xlfn.XLOOKUP(A1567, INSEE_Communes!$A$2:$A$3783, INSEE_Communes!$F$2:$F$3783, "code introuvable")</f>
        <v>non publié</v>
      </c>
    </row>
    <row r="1568">
      <c r="A1568" s="2" t="str">
        <f>Communes_HDF!A1568</f>
        <v>60127</v>
      </c>
      <c r="B1568" s="2" t="str">
        <f>Communes_HDF!B1568</f>
        <v>Canny-sur-Matz</v>
      </c>
      <c r="C1568" s="2" t="str">
        <f t="array" ref="C1568">_xlfn.XLOOKUP(A1568, INSEE_Communes!$A$2:$A$3783, INSEE_Communes!$F$2:$F$3783, "code introuvable")</f>
        <v>non publié</v>
      </c>
    </row>
    <row r="1569">
      <c r="A1569" s="2" t="str">
        <f>Communes_HDF!A1569</f>
        <v>60128</v>
      </c>
      <c r="B1569" s="2" t="str">
        <f>Communes_HDF!B1569</f>
        <v>Canny-sur-Thérain</v>
      </c>
      <c r="C1569" s="2" t="str">
        <f t="array" ref="C1569">_xlfn.XLOOKUP(A1569, INSEE_Communes!$A$2:$A$3783, INSEE_Communes!$F$2:$F$3783, "code introuvable")</f>
        <v>non publié</v>
      </c>
    </row>
    <row r="1570">
      <c r="A1570" s="2" t="str">
        <f>Communes_HDF!A1570</f>
        <v>60129</v>
      </c>
      <c r="B1570" s="2" t="str">
        <f>Communes_HDF!B1570</f>
        <v>Carlepont</v>
      </c>
      <c r="C1570" s="2" t="str">
        <f t="array" ref="C1570">_xlfn.XLOOKUP(A1570, INSEE_Communes!$A$2:$A$3783, INSEE_Communes!$F$2:$F$3783, "code introuvable")</f>
        <v>non publié</v>
      </c>
    </row>
    <row r="1571">
      <c r="A1571" s="2" t="str">
        <f>Communes_HDF!A1571</f>
        <v>60130</v>
      </c>
      <c r="B1571" s="2" t="str">
        <f>Communes_HDF!B1571</f>
        <v>Catenoy</v>
      </c>
      <c r="C1571" s="2" t="str">
        <f t="array" ref="C1571">_xlfn.XLOOKUP(A1571, INSEE_Communes!$A$2:$A$3783, INSEE_Communes!$F$2:$F$3783, "code introuvable")</f>
        <v>non publié</v>
      </c>
    </row>
    <row r="1572">
      <c r="A1572" s="2" t="str">
        <f>Communes_HDF!A1572</f>
        <v>60131</v>
      </c>
      <c r="B1572" s="2" t="str">
        <f>Communes_HDF!B1572</f>
        <v>Catheux</v>
      </c>
      <c r="C1572" s="2" t="str">
        <f t="array" ref="C1572">_xlfn.XLOOKUP(A1572, INSEE_Communes!$A$2:$A$3783, INSEE_Communes!$F$2:$F$3783, "code introuvable")</f>
        <v>non publié</v>
      </c>
    </row>
    <row r="1573">
      <c r="A1573" s="2" t="str">
        <f>Communes_HDF!A1573</f>
        <v>60132</v>
      </c>
      <c r="B1573" s="2" t="str">
        <f>Communes_HDF!B1573</f>
        <v>Catigny</v>
      </c>
      <c r="C1573" s="2" t="str">
        <f t="array" ref="C1573">_xlfn.XLOOKUP(A1573, INSEE_Communes!$A$2:$A$3783, INSEE_Communes!$F$2:$F$3783, "code introuvable")</f>
        <v>non publié</v>
      </c>
    </row>
    <row r="1574">
      <c r="A1574" s="2" t="str">
        <f>Communes_HDF!A1574</f>
        <v>60133</v>
      </c>
      <c r="B1574" s="2" t="str">
        <f>Communes_HDF!B1574</f>
        <v>Catillon-Fumechon</v>
      </c>
      <c r="C1574" s="2" t="str">
        <f t="array" ref="C1574">_xlfn.XLOOKUP(A1574, INSEE_Communes!$A$2:$A$3783, INSEE_Communes!$F$2:$F$3783, "code introuvable")</f>
        <v>non publié</v>
      </c>
    </row>
    <row r="1575">
      <c r="A1575" s="2" t="str">
        <f>Communes_HDF!A1575</f>
        <v>60134</v>
      </c>
      <c r="B1575" s="2" t="str">
        <f>Communes_HDF!B1575</f>
        <v>Cauffry</v>
      </c>
      <c r="C1575" s="2">
        <f t="array" ref="C1575">_xlfn.XLOOKUP(A1575, INSEE_Communes!$A$2:$A$3783, INSEE_Communes!$F$2:$F$3783, "code introuvable")</f>
        <v>9</v>
      </c>
    </row>
    <row r="1576">
      <c r="A1576" s="2" t="str">
        <f>Communes_HDF!A1576</f>
        <v>60135</v>
      </c>
      <c r="B1576" s="2" t="str">
        <f>Communes_HDF!B1576</f>
        <v>Cauvigny</v>
      </c>
      <c r="C1576" s="2" t="str">
        <f t="array" ref="C1576">_xlfn.XLOOKUP(A1576, INSEE_Communes!$A$2:$A$3783, INSEE_Communes!$F$2:$F$3783, "code introuvable")</f>
        <v>non publié</v>
      </c>
    </row>
    <row r="1577">
      <c r="A1577" s="2" t="str">
        <f>Communes_HDF!A1577</f>
        <v>60136</v>
      </c>
      <c r="B1577" s="2" t="str">
        <f>Communes_HDF!B1577</f>
        <v>Cempuis</v>
      </c>
      <c r="C1577" s="2" t="str">
        <f t="array" ref="C1577">_xlfn.XLOOKUP(A1577, INSEE_Communes!$A$2:$A$3783, INSEE_Communes!$F$2:$F$3783, "code introuvable")</f>
        <v>non publié</v>
      </c>
    </row>
    <row r="1578">
      <c r="A1578" s="2" t="str">
        <f>Communes_HDF!A1578</f>
        <v>60137</v>
      </c>
      <c r="B1578" s="2" t="str">
        <f>Communes_HDF!B1578</f>
        <v>Cernoy</v>
      </c>
      <c r="C1578" s="2" t="str">
        <f t="array" ref="C1578">_xlfn.XLOOKUP(A1578, INSEE_Communes!$A$2:$A$3783, INSEE_Communes!$F$2:$F$3783, "code introuvable")</f>
        <v>non publié</v>
      </c>
    </row>
    <row r="1579">
      <c r="A1579" s="2" t="str">
        <f>Communes_HDF!A1579</f>
        <v>60138</v>
      </c>
      <c r="B1579" s="2" t="str">
        <f>Communes_HDF!B1579</f>
        <v>Chamant</v>
      </c>
      <c r="C1579" s="2" t="str">
        <f t="array" ref="C1579">_xlfn.XLOOKUP(A1579, INSEE_Communes!$A$2:$A$3783, INSEE_Communes!$F$2:$F$3783, "code introuvable")</f>
        <v>non publié</v>
      </c>
    </row>
    <row r="1580">
      <c r="A1580" s="2" t="str">
        <f>Communes_HDF!A1580</f>
        <v>60139</v>
      </c>
      <c r="B1580" s="2" t="str">
        <f>Communes_HDF!B1580</f>
        <v>Chambly</v>
      </c>
      <c r="C1580" s="2">
        <f t="array" ref="C1580">_xlfn.XLOOKUP(A1580, INSEE_Communes!$A$2:$A$3783, INSEE_Communes!$F$2:$F$3783, "code introuvable")</f>
        <v>12</v>
      </c>
    </row>
    <row r="1581">
      <c r="A1581" s="2" t="str">
        <f>Communes_HDF!A1581</f>
        <v>60140</v>
      </c>
      <c r="B1581" s="2" t="str">
        <f>Communes_HDF!B1581</f>
        <v>Chambors</v>
      </c>
      <c r="C1581" s="2" t="str">
        <f t="array" ref="C1581">_xlfn.XLOOKUP(A1581, INSEE_Communes!$A$2:$A$3783, INSEE_Communes!$F$2:$F$3783, "code introuvable")</f>
        <v>non publié</v>
      </c>
    </row>
    <row r="1582">
      <c r="A1582" s="2" t="str">
        <f>Communes_HDF!A1582</f>
        <v>60141</v>
      </c>
      <c r="B1582" s="2" t="str">
        <f>Communes_HDF!B1582</f>
        <v>Chantilly</v>
      </c>
      <c r="C1582" s="2">
        <f t="array" ref="C1582">_xlfn.XLOOKUP(A1582, INSEE_Communes!$A$2:$A$3783, INSEE_Communes!$F$2:$F$3783, "code introuvable")</f>
        <v>11</v>
      </c>
    </row>
    <row r="1583">
      <c r="A1583" s="2" t="str">
        <f>Communes_HDF!A1583</f>
        <v>60143</v>
      </c>
      <c r="B1583" s="2" t="str">
        <f>Communes_HDF!B1583</f>
        <v>Chaumont-en-Vexin</v>
      </c>
      <c r="C1583" s="2">
        <f t="array" ref="C1583">_xlfn.XLOOKUP(A1583, INSEE_Communes!$A$2:$A$3783, INSEE_Communes!$F$2:$F$3783, "code introuvable")</f>
        <v>10</v>
      </c>
    </row>
    <row r="1584">
      <c r="A1584" s="2" t="str">
        <f>Communes_HDF!A1584</f>
        <v>60144</v>
      </c>
      <c r="B1584" s="2" t="str">
        <f>Communes_HDF!B1584</f>
        <v>Chavençon</v>
      </c>
      <c r="C1584" s="2" t="str">
        <f t="array" ref="C1584">_xlfn.XLOOKUP(A1584, INSEE_Communes!$A$2:$A$3783, INSEE_Communes!$F$2:$F$3783, "code introuvable")</f>
        <v>non publié</v>
      </c>
    </row>
    <row r="1585">
      <c r="A1585" s="2" t="str">
        <f>Communes_HDF!A1585</f>
        <v>60145</v>
      </c>
      <c r="B1585" s="2" t="str">
        <f>Communes_HDF!B1585</f>
        <v>Chelles</v>
      </c>
      <c r="C1585" s="2" t="str">
        <f t="array" ref="C1585">_xlfn.XLOOKUP(A1585, INSEE_Communes!$A$2:$A$3783, INSEE_Communes!$F$2:$F$3783, "code introuvable")</f>
        <v>non publié</v>
      </c>
    </row>
    <row r="1586">
      <c r="A1586" s="2" t="str">
        <f>Communes_HDF!A1586</f>
        <v>60146</v>
      </c>
      <c r="B1586" s="2" t="str">
        <f>Communes_HDF!B1586</f>
        <v>Chepoix</v>
      </c>
      <c r="C1586" s="2" t="str">
        <f t="array" ref="C1586">_xlfn.XLOOKUP(A1586, INSEE_Communes!$A$2:$A$3783, INSEE_Communes!$F$2:$F$3783, "code introuvable")</f>
        <v>non publié</v>
      </c>
    </row>
    <row r="1587">
      <c r="A1587" s="2" t="str">
        <f>Communes_HDF!A1587</f>
        <v>60147</v>
      </c>
      <c r="B1587" s="2" t="str">
        <f>Communes_HDF!B1587</f>
        <v>Chevincourt</v>
      </c>
      <c r="C1587" s="2" t="str">
        <f t="array" ref="C1587">_xlfn.XLOOKUP(A1587, INSEE_Communes!$A$2:$A$3783, INSEE_Communes!$F$2:$F$3783, "code introuvable")</f>
        <v>non publié</v>
      </c>
    </row>
    <row r="1588">
      <c r="A1588" s="2" t="str">
        <f>Communes_HDF!A1588</f>
        <v>60149</v>
      </c>
      <c r="B1588" s="2" t="str">
        <f>Communes_HDF!B1588</f>
        <v>Chevrières</v>
      </c>
      <c r="C1588" s="2">
        <f t="array" ref="C1588">_xlfn.XLOOKUP(A1588, INSEE_Communes!$A$2:$A$3783, INSEE_Communes!$F$2:$F$3783, "code introuvable")</f>
        <v>7</v>
      </c>
    </row>
    <row r="1589">
      <c r="A1589" s="2" t="str">
        <f>Communes_HDF!A1589</f>
        <v>60150</v>
      </c>
      <c r="B1589" s="2" t="str">
        <f>Communes_HDF!B1589</f>
        <v>Chiry-Ourscamp</v>
      </c>
      <c r="C1589" s="2" t="str">
        <f t="array" ref="C1589">_xlfn.XLOOKUP(A1589, INSEE_Communes!$A$2:$A$3783, INSEE_Communes!$F$2:$F$3783, "code introuvable")</f>
        <v>non publié</v>
      </c>
    </row>
    <row r="1590">
      <c r="A1590" s="2" t="str">
        <f>Communes_HDF!A1590</f>
        <v>60151</v>
      </c>
      <c r="B1590" s="2" t="str">
        <f>Communes_HDF!B1590</f>
        <v>Choisy-au-Bac</v>
      </c>
      <c r="C1590" s="2">
        <f t="array" ref="C1590">_xlfn.XLOOKUP(A1590, INSEE_Communes!$A$2:$A$3783, INSEE_Communes!$F$2:$F$3783, "code introuvable")</f>
        <v>8</v>
      </c>
    </row>
    <row r="1591">
      <c r="A1591" s="2" t="str">
        <f>Communes_HDF!A1591</f>
        <v>60152</v>
      </c>
      <c r="B1591" s="2" t="str">
        <f>Communes_HDF!B1591</f>
        <v>Choisy-la-Victoire</v>
      </c>
      <c r="C1591" s="2" t="str">
        <f t="array" ref="C1591">_xlfn.XLOOKUP(A1591, INSEE_Communes!$A$2:$A$3783, INSEE_Communes!$F$2:$F$3783, "code introuvable")</f>
        <v>non publié</v>
      </c>
    </row>
    <row r="1592">
      <c r="A1592" s="2" t="str">
        <f>Communes_HDF!A1592</f>
        <v>60153</v>
      </c>
      <c r="B1592" s="2" t="str">
        <f>Communes_HDF!B1592</f>
        <v>Choqueuse-les-Bénards</v>
      </c>
      <c r="C1592" s="2" t="str">
        <f t="array" ref="C1592">_xlfn.XLOOKUP(A1592, INSEE_Communes!$A$2:$A$3783, INSEE_Communes!$F$2:$F$3783, "code introuvable")</f>
        <v>non publié</v>
      </c>
    </row>
    <row r="1593">
      <c r="A1593" s="2" t="str">
        <f>Communes_HDF!A1593</f>
        <v>60148</v>
      </c>
      <c r="B1593" s="2" t="str">
        <f>Communes_HDF!B1593</f>
        <v>Chèvreville</v>
      </c>
      <c r="C1593" s="2" t="str">
        <f t="array" ref="C1593">_xlfn.XLOOKUP(A1593, INSEE_Communes!$A$2:$A$3783, INSEE_Communes!$F$2:$F$3783, "code introuvable")</f>
        <v>non publié</v>
      </c>
    </row>
    <row r="1594">
      <c r="A1594" s="2" t="str">
        <f>Communes_HDF!A1594</f>
        <v>60154</v>
      </c>
      <c r="B1594" s="2" t="str">
        <f>Communes_HDF!B1594</f>
        <v>Cinqueux</v>
      </c>
      <c r="C1594" s="2" t="str">
        <f t="array" ref="C1594">_xlfn.XLOOKUP(A1594, INSEE_Communes!$A$2:$A$3783, INSEE_Communes!$F$2:$F$3783, "code introuvable")</f>
        <v>non publié</v>
      </c>
    </row>
    <row r="1595">
      <c r="A1595" s="2" t="str">
        <f>Communes_HDF!A1595</f>
        <v>60155</v>
      </c>
      <c r="B1595" s="2" t="str">
        <f>Communes_HDF!B1595</f>
        <v>Cires-lès-Mello</v>
      </c>
      <c r="C1595" s="2">
        <f t="array" ref="C1595">_xlfn.XLOOKUP(A1595, INSEE_Communes!$A$2:$A$3783, INSEE_Communes!$F$2:$F$3783, "code introuvable")</f>
        <v>12</v>
      </c>
    </row>
    <row r="1596">
      <c r="A1596" s="2" t="str">
        <f>Communes_HDF!A1596</f>
        <v>60156</v>
      </c>
      <c r="B1596" s="2" t="str">
        <f>Communes_HDF!B1596</f>
        <v>Clairoix</v>
      </c>
      <c r="C1596" s="2">
        <f t="array" ref="C1596">_xlfn.XLOOKUP(A1596, INSEE_Communes!$A$2:$A$3783, INSEE_Communes!$F$2:$F$3783, "code introuvable")</f>
        <v>7</v>
      </c>
    </row>
    <row r="1597">
      <c r="A1597" s="2" t="str">
        <f>Communes_HDF!A1597</f>
        <v>60157</v>
      </c>
      <c r="B1597" s="2" t="str">
        <f>Communes_HDF!B1597</f>
        <v>Clermont</v>
      </c>
      <c r="C1597" s="2">
        <f t="array" ref="C1597">_xlfn.XLOOKUP(A1597, INSEE_Communes!$A$2:$A$3783, INSEE_Communes!$F$2:$F$3783, "code introuvable")</f>
        <v>19</v>
      </c>
    </row>
    <row r="1598">
      <c r="A1598" s="2" t="str">
        <f>Communes_HDF!A1598</f>
        <v>60158</v>
      </c>
      <c r="B1598" s="2" t="str">
        <f>Communes_HDF!B1598</f>
        <v>Coivrel</v>
      </c>
      <c r="C1598" s="2" t="str">
        <f t="array" ref="C1598">_xlfn.XLOOKUP(A1598, INSEE_Communes!$A$2:$A$3783, INSEE_Communes!$F$2:$F$3783, "code introuvable")</f>
        <v>non publié</v>
      </c>
    </row>
    <row r="1599">
      <c r="A1599" s="2" t="str">
        <f>Communes_HDF!A1599</f>
        <v>60159</v>
      </c>
      <c r="B1599" s="2" t="str">
        <f>Communes_HDF!B1599</f>
        <v>Compiègne</v>
      </c>
      <c r="C1599" s="2">
        <f t="array" ref="C1599">_xlfn.XLOOKUP(A1599, INSEE_Communes!$A$2:$A$3783, INSEE_Communes!$F$2:$F$3783, "code introuvable")</f>
        <v>24.4</v>
      </c>
    </row>
    <row r="1600">
      <c r="A1600" s="2" t="str">
        <f>Communes_HDF!A1600</f>
        <v>60160</v>
      </c>
      <c r="B1600" s="2" t="str">
        <f>Communes_HDF!B1600</f>
        <v>Conchy-les-Pots</v>
      </c>
      <c r="C1600" s="2" t="str">
        <f t="array" ref="C1600">_xlfn.XLOOKUP(A1600, INSEE_Communes!$A$2:$A$3783, INSEE_Communes!$F$2:$F$3783, "code introuvable")</f>
        <v>non publié</v>
      </c>
    </row>
    <row r="1601">
      <c r="A1601" s="2" t="str">
        <f>Communes_HDF!A1601</f>
        <v>60161</v>
      </c>
      <c r="B1601" s="2" t="str">
        <f>Communes_HDF!B1601</f>
        <v>Conteville</v>
      </c>
      <c r="C1601" s="2" t="str">
        <f t="array" ref="C1601">_xlfn.XLOOKUP(A1601, INSEE_Communes!$A$2:$A$3783, INSEE_Communes!$F$2:$F$3783, "code introuvable")</f>
        <v>non publié</v>
      </c>
    </row>
    <row r="1602">
      <c r="A1602" s="2" t="str">
        <f>Communes_HDF!A1602</f>
        <v>60162</v>
      </c>
      <c r="B1602" s="2" t="str">
        <f>Communes_HDF!B1602</f>
        <v>Corbeil-Cerf</v>
      </c>
      <c r="C1602" s="2" t="str">
        <f t="array" ref="C1602">_xlfn.XLOOKUP(A1602, INSEE_Communes!$A$2:$A$3783, INSEE_Communes!$F$2:$F$3783, "code introuvable")</f>
        <v>non publié</v>
      </c>
    </row>
    <row r="1603">
      <c r="A1603" s="2" t="str">
        <f>Communes_HDF!A1603</f>
        <v>60163</v>
      </c>
      <c r="B1603" s="2" t="str">
        <f>Communes_HDF!B1603</f>
        <v>Cormeilles</v>
      </c>
      <c r="C1603" s="2" t="str">
        <f t="array" ref="C1603">_xlfn.XLOOKUP(A1603, INSEE_Communes!$A$2:$A$3783, INSEE_Communes!$F$2:$F$3783, "code introuvable")</f>
        <v>non publié</v>
      </c>
    </row>
    <row r="1604">
      <c r="A1604" s="2" t="str">
        <f>Communes_HDF!A1604</f>
        <v>60166</v>
      </c>
      <c r="B1604" s="2" t="str">
        <f>Communes_HDF!B1604</f>
        <v>Coudun</v>
      </c>
      <c r="C1604" s="2" t="str">
        <f t="array" ref="C1604">_xlfn.XLOOKUP(A1604, INSEE_Communes!$A$2:$A$3783, INSEE_Communes!$F$2:$F$3783, "code introuvable")</f>
        <v>non publié</v>
      </c>
    </row>
    <row r="1605">
      <c r="A1605" s="2" t="str">
        <f>Communes_HDF!A1605</f>
        <v>60167</v>
      </c>
      <c r="B1605" s="2" t="str">
        <f>Communes_HDF!B1605</f>
        <v>Couloisy</v>
      </c>
      <c r="C1605" s="2" t="str">
        <f t="array" ref="C1605">_xlfn.XLOOKUP(A1605, INSEE_Communes!$A$2:$A$3783, INSEE_Communes!$F$2:$F$3783, "code introuvable")</f>
        <v>non publié</v>
      </c>
    </row>
    <row r="1606">
      <c r="A1606" s="2" t="str">
        <f>Communes_HDF!A1606</f>
        <v>60168</v>
      </c>
      <c r="B1606" s="2" t="str">
        <f>Communes_HDF!B1606</f>
        <v>Courcelles-Epayelles</v>
      </c>
      <c r="C1606" s="2" t="str">
        <f t="array" ref="C1606">_xlfn.XLOOKUP(A1606, INSEE_Communes!$A$2:$A$3783, INSEE_Communes!$F$2:$F$3783, "code introuvable")</f>
        <v>non publié</v>
      </c>
    </row>
    <row r="1607">
      <c r="A1607" s="2" t="str">
        <f>Communes_HDF!A1607</f>
        <v>60169</v>
      </c>
      <c r="B1607" s="2" t="str">
        <f>Communes_HDF!B1607</f>
        <v>Courcelles-lès-Gisors</v>
      </c>
      <c r="C1607" s="2" t="str">
        <f t="array" ref="C1607">_xlfn.XLOOKUP(A1607, INSEE_Communes!$A$2:$A$3783, INSEE_Communes!$F$2:$F$3783, "code introuvable")</f>
        <v>non publié</v>
      </c>
    </row>
    <row r="1608">
      <c r="A1608" s="2" t="str">
        <f>Communes_HDF!A1608</f>
        <v>60170</v>
      </c>
      <c r="B1608" s="2" t="str">
        <f>Communes_HDF!B1608</f>
        <v>Courteuil</v>
      </c>
      <c r="C1608" s="2" t="str">
        <f t="array" ref="C1608">_xlfn.XLOOKUP(A1608, INSEE_Communes!$A$2:$A$3783, INSEE_Communes!$F$2:$F$3783, "code introuvable")</f>
        <v>non publié</v>
      </c>
    </row>
    <row r="1609">
      <c r="A1609" s="2" t="str">
        <f>Communes_HDF!A1609</f>
        <v>60171</v>
      </c>
      <c r="B1609" s="2" t="str">
        <f>Communes_HDF!B1609</f>
        <v>Courtieux</v>
      </c>
      <c r="C1609" s="2" t="str">
        <f t="array" ref="C1609">_xlfn.XLOOKUP(A1609, INSEE_Communes!$A$2:$A$3783, INSEE_Communes!$F$2:$F$3783, "code introuvable")</f>
        <v>non publié</v>
      </c>
    </row>
    <row r="1610">
      <c r="A1610" s="2" t="str">
        <f>Communes_HDF!A1610</f>
        <v>60172</v>
      </c>
      <c r="B1610" s="2" t="str">
        <f>Communes_HDF!B1610</f>
        <v>Coye-la-Forêt</v>
      </c>
      <c r="C1610" s="2">
        <f t="array" ref="C1610">_xlfn.XLOOKUP(A1610, INSEE_Communes!$A$2:$A$3783, INSEE_Communes!$F$2:$F$3783, "code introuvable")</f>
        <v>6</v>
      </c>
    </row>
    <row r="1611">
      <c r="A1611" s="2" t="str">
        <f>Communes_HDF!A1611</f>
        <v>60173</v>
      </c>
      <c r="B1611" s="2" t="str">
        <f>Communes_HDF!B1611</f>
        <v>Cramoisy</v>
      </c>
      <c r="C1611" s="2" t="str">
        <f t="array" ref="C1611">_xlfn.XLOOKUP(A1611, INSEE_Communes!$A$2:$A$3783, INSEE_Communes!$F$2:$F$3783, "code introuvable")</f>
        <v>non publié</v>
      </c>
    </row>
    <row r="1612">
      <c r="A1612" s="2" t="str">
        <f>Communes_HDF!A1612</f>
        <v>60174</v>
      </c>
      <c r="B1612" s="2" t="str">
        <f>Communes_HDF!B1612</f>
        <v>Crapeaumesnil</v>
      </c>
      <c r="C1612" s="2" t="str">
        <f t="array" ref="C1612">_xlfn.XLOOKUP(A1612, INSEE_Communes!$A$2:$A$3783, INSEE_Communes!$F$2:$F$3783, "code introuvable")</f>
        <v>non publié</v>
      </c>
    </row>
    <row r="1613">
      <c r="A1613" s="2" t="str">
        <f>Communes_HDF!A1613</f>
        <v>60175</v>
      </c>
      <c r="B1613" s="2" t="str">
        <f>Communes_HDF!B1613</f>
        <v>Creil</v>
      </c>
      <c r="C1613" s="2">
        <f t="array" ref="C1613">_xlfn.XLOOKUP(A1613, INSEE_Communes!$A$2:$A$3783, INSEE_Communes!$F$2:$F$3783, "code introuvable")</f>
        <v>43.5</v>
      </c>
    </row>
    <row r="1614">
      <c r="A1614" s="2" t="str">
        <f>Communes_HDF!A1614</f>
        <v>60177</v>
      </c>
      <c r="B1614" s="2" t="str">
        <f>Communes_HDF!B1614</f>
        <v>Cressonsacq</v>
      </c>
      <c r="C1614" s="2" t="str">
        <f t="array" ref="C1614">_xlfn.XLOOKUP(A1614, INSEE_Communes!$A$2:$A$3783, INSEE_Communes!$F$2:$F$3783, "code introuvable")</f>
        <v>non publié</v>
      </c>
    </row>
    <row r="1615">
      <c r="A1615" s="2" t="str">
        <f>Communes_HDF!A1615</f>
        <v>60180</v>
      </c>
      <c r="B1615" s="2" t="str">
        <f>Communes_HDF!B1615</f>
        <v>Crillon</v>
      </c>
      <c r="C1615" s="2" t="str">
        <f t="array" ref="C1615">_xlfn.XLOOKUP(A1615, INSEE_Communes!$A$2:$A$3783, INSEE_Communes!$F$2:$F$3783, "code introuvable")</f>
        <v>non publié</v>
      </c>
    </row>
    <row r="1616">
      <c r="A1616" s="2" t="str">
        <f>Communes_HDF!A1616</f>
        <v>60181</v>
      </c>
      <c r="B1616" s="2" t="str">
        <f>Communes_HDF!B1616</f>
        <v>Crisolles</v>
      </c>
      <c r="C1616" s="2" t="str">
        <f t="array" ref="C1616">_xlfn.XLOOKUP(A1616, INSEE_Communes!$A$2:$A$3783, INSEE_Communes!$F$2:$F$3783, "code introuvable")</f>
        <v>non publié</v>
      </c>
    </row>
    <row r="1617">
      <c r="A1617" s="2" t="str">
        <f>Communes_HDF!A1617</f>
        <v>60183</v>
      </c>
      <c r="B1617" s="2" t="str">
        <f>Communes_HDF!B1617</f>
        <v>Croissy-sur-Celle</v>
      </c>
      <c r="C1617" s="2" t="str">
        <f t="array" ref="C1617">_xlfn.XLOOKUP(A1617, INSEE_Communes!$A$2:$A$3783, INSEE_Communes!$F$2:$F$3783, "code introuvable")</f>
        <v>non publié</v>
      </c>
    </row>
    <row r="1618">
      <c r="A1618" s="2" t="str">
        <f>Communes_HDF!A1618</f>
        <v>60184</v>
      </c>
      <c r="B1618" s="2" t="str">
        <f>Communes_HDF!B1618</f>
        <v>Croutoy</v>
      </c>
      <c r="C1618" s="2" t="str">
        <f t="array" ref="C1618">_xlfn.XLOOKUP(A1618, INSEE_Communes!$A$2:$A$3783, INSEE_Communes!$F$2:$F$3783, "code introuvable")</f>
        <v>non publié</v>
      </c>
    </row>
    <row r="1619">
      <c r="A1619" s="2" t="str">
        <f>Communes_HDF!A1619</f>
        <v>60185</v>
      </c>
      <c r="B1619" s="2" t="str">
        <f>Communes_HDF!B1619</f>
        <v>Crouy-en-Thelle</v>
      </c>
      <c r="C1619" s="2" t="str">
        <f t="array" ref="C1619">_xlfn.XLOOKUP(A1619, INSEE_Communes!$A$2:$A$3783, INSEE_Communes!$F$2:$F$3783, "code introuvable")</f>
        <v>non publié</v>
      </c>
    </row>
    <row r="1620">
      <c r="A1620" s="2" t="str">
        <f>Communes_HDF!A1620</f>
        <v>60178</v>
      </c>
      <c r="B1620" s="2" t="str">
        <f>Communes_HDF!B1620</f>
        <v>Crèvecœur-le-Grand</v>
      </c>
      <c r="C1620" s="2">
        <f t="array" ref="C1620">_xlfn.XLOOKUP(A1620, INSEE_Communes!$A$2:$A$3783, INSEE_Communes!$F$2:$F$3783, "code introuvable")</f>
        <v>20</v>
      </c>
    </row>
    <row r="1621">
      <c r="A1621" s="2" t="str">
        <f>Communes_HDF!A1621</f>
        <v>60179</v>
      </c>
      <c r="B1621" s="2" t="str">
        <f>Communes_HDF!B1621</f>
        <v>Crèvecœur-le-Petit</v>
      </c>
      <c r="C1621" s="2" t="str">
        <f t="array" ref="C1621">_xlfn.XLOOKUP(A1621, INSEE_Communes!$A$2:$A$3783, INSEE_Communes!$F$2:$F$3783, "code introuvable")</f>
        <v>non publié</v>
      </c>
    </row>
    <row r="1622">
      <c r="A1622" s="2" t="str">
        <f>Communes_HDF!A1622</f>
        <v>60176</v>
      </c>
      <c r="B1622" s="2" t="str">
        <f>Communes_HDF!B1622</f>
        <v>Crépy-en-Valois</v>
      </c>
      <c r="C1622" s="2">
        <f t="array" ref="C1622">_xlfn.XLOOKUP(A1622, INSEE_Communes!$A$2:$A$3783, INSEE_Communes!$F$2:$F$3783, "code introuvable")</f>
        <v>13</v>
      </c>
    </row>
    <row r="1623">
      <c r="A1623" s="2" t="str">
        <f>Communes_HDF!A1623</f>
        <v>60186</v>
      </c>
      <c r="B1623" s="2" t="str">
        <f>Communes_HDF!B1623</f>
        <v>Cuignières</v>
      </c>
      <c r="C1623" s="2" t="str">
        <f t="array" ref="C1623">_xlfn.XLOOKUP(A1623, INSEE_Communes!$A$2:$A$3783, INSEE_Communes!$F$2:$F$3783, "code introuvable")</f>
        <v>non publié</v>
      </c>
    </row>
    <row r="1624">
      <c r="A1624" s="2" t="str">
        <f>Communes_HDF!A1624</f>
        <v>60187</v>
      </c>
      <c r="B1624" s="2" t="str">
        <f>Communes_HDF!B1624</f>
        <v>Cuigy-en-Bray</v>
      </c>
      <c r="C1624" s="2" t="str">
        <f t="array" ref="C1624">_xlfn.XLOOKUP(A1624, INSEE_Communes!$A$2:$A$3783, INSEE_Communes!$F$2:$F$3783, "code introuvable")</f>
        <v>non publié</v>
      </c>
    </row>
    <row r="1625">
      <c r="A1625" s="2" t="str">
        <f>Communes_HDF!A1625</f>
        <v>60188</v>
      </c>
      <c r="B1625" s="2" t="str">
        <f>Communes_HDF!B1625</f>
        <v>Cuise-la-Motte</v>
      </c>
      <c r="C1625" s="2" t="str">
        <f t="array" ref="C1625">_xlfn.XLOOKUP(A1625, INSEE_Communes!$A$2:$A$3783, INSEE_Communes!$F$2:$F$3783, "code introuvable")</f>
        <v>non publié</v>
      </c>
    </row>
    <row r="1626">
      <c r="A1626" s="2" t="str">
        <f>Communes_HDF!A1626</f>
        <v>60189</v>
      </c>
      <c r="B1626" s="2" t="str">
        <f>Communes_HDF!B1626</f>
        <v>Cuts</v>
      </c>
      <c r="C1626" s="2" t="str">
        <f t="array" ref="C1626">_xlfn.XLOOKUP(A1626, INSEE_Communes!$A$2:$A$3783, INSEE_Communes!$F$2:$F$3783, "code introuvable")</f>
        <v>non publié</v>
      </c>
    </row>
    <row r="1627">
      <c r="A1627" s="2" t="str">
        <f>Communes_HDF!A1627</f>
        <v>60190</v>
      </c>
      <c r="B1627" s="2" t="str">
        <f>Communes_HDF!B1627</f>
        <v>Cuvergnon</v>
      </c>
      <c r="C1627" s="2" t="str">
        <f t="array" ref="C1627">_xlfn.XLOOKUP(A1627, INSEE_Communes!$A$2:$A$3783, INSEE_Communes!$F$2:$F$3783, "code introuvable")</f>
        <v>non publié</v>
      </c>
    </row>
    <row r="1628">
      <c r="A1628" s="2" t="str">
        <f>Communes_HDF!A1628</f>
        <v>60191</v>
      </c>
      <c r="B1628" s="2" t="str">
        <f>Communes_HDF!B1628</f>
        <v>Cuvilly</v>
      </c>
      <c r="C1628" s="2" t="str">
        <f t="array" ref="C1628">_xlfn.XLOOKUP(A1628, INSEE_Communes!$A$2:$A$3783, INSEE_Communes!$F$2:$F$3783, "code introuvable")</f>
        <v>non publié</v>
      </c>
    </row>
    <row r="1629">
      <c r="A1629" s="2" t="str">
        <f>Communes_HDF!A1629</f>
        <v>60192</v>
      </c>
      <c r="B1629" s="2" t="str">
        <f>Communes_HDF!B1629</f>
        <v>Cuy</v>
      </c>
      <c r="C1629" s="2" t="str">
        <f t="array" ref="C1629">_xlfn.XLOOKUP(A1629, INSEE_Communes!$A$2:$A$3783, INSEE_Communes!$F$2:$F$3783, "code introuvable")</f>
        <v>non publié</v>
      </c>
    </row>
    <row r="1630">
      <c r="A1630" s="2" t="str">
        <f>Communes_HDF!A1630</f>
        <v>60193</v>
      </c>
      <c r="B1630" s="2" t="str">
        <f>Communes_HDF!B1630</f>
        <v>Daméraucourt</v>
      </c>
      <c r="C1630" s="2" t="str">
        <f t="array" ref="C1630">_xlfn.XLOOKUP(A1630, INSEE_Communes!$A$2:$A$3783, INSEE_Communes!$F$2:$F$3783, "code introuvable")</f>
        <v>non publié</v>
      </c>
    </row>
    <row r="1631">
      <c r="A1631" s="2" t="str">
        <f>Communes_HDF!A1631</f>
        <v>60194</v>
      </c>
      <c r="B1631" s="2" t="str">
        <f>Communes_HDF!B1631</f>
        <v>Dargies</v>
      </c>
      <c r="C1631" s="2" t="str">
        <f t="array" ref="C1631">_xlfn.XLOOKUP(A1631, INSEE_Communes!$A$2:$A$3783, INSEE_Communes!$F$2:$F$3783, "code introuvable")</f>
        <v>non publié</v>
      </c>
    </row>
    <row r="1632">
      <c r="A1632" s="2" t="str">
        <f>Communes_HDF!A1632</f>
        <v>60195</v>
      </c>
      <c r="B1632" s="2" t="str">
        <f>Communes_HDF!B1632</f>
        <v>Delincourt</v>
      </c>
      <c r="C1632" s="2" t="str">
        <f t="array" ref="C1632">_xlfn.XLOOKUP(A1632, INSEE_Communes!$A$2:$A$3783, INSEE_Communes!$F$2:$F$3783, "code introuvable")</f>
        <v>non publié</v>
      </c>
    </row>
    <row r="1633">
      <c r="A1633" s="2" t="str">
        <f>Communes_HDF!A1633</f>
        <v>60197</v>
      </c>
      <c r="B1633" s="2" t="str">
        <f>Communes_HDF!B1633</f>
        <v>Dieudonné</v>
      </c>
      <c r="C1633" s="2" t="str">
        <f t="array" ref="C1633">_xlfn.XLOOKUP(A1633, INSEE_Communes!$A$2:$A$3783, INSEE_Communes!$F$2:$F$3783, "code introuvable")</f>
        <v>non publié</v>
      </c>
    </row>
    <row r="1634">
      <c r="A1634" s="2" t="str">
        <f>Communes_HDF!A1634</f>
        <v>60198</v>
      </c>
      <c r="B1634" s="2" t="str">
        <f>Communes_HDF!B1634</f>
        <v>Dives</v>
      </c>
      <c r="C1634" s="2" t="str">
        <f t="array" ref="C1634">_xlfn.XLOOKUP(A1634, INSEE_Communes!$A$2:$A$3783, INSEE_Communes!$F$2:$F$3783, "code introuvable")</f>
        <v>non publié</v>
      </c>
    </row>
    <row r="1635">
      <c r="A1635" s="2" t="str">
        <f>Communes_HDF!A1635</f>
        <v>60200</v>
      </c>
      <c r="B1635" s="2" t="str">
        <f>Communes_HDF!B1635</f>
        <v>Domfront</v>
      </c>
      <c r="C1635" s="2" t="str">
        <f t="array" ref="C1635">_xlfn.XLOOKUP(A1635, INSEE_Communes!$A$2:$A$3783, INSEE_Communes!$F$2:$F$3783, "code introuvable")</f>
        <v>non publié</v>
      </c>
    </row>
    <row r="1636">
      <c r="A1636" s="2" t="str">
        <f>Communes_HDF!A1636</f>
        <v>60201</v>
      </c>
      <c r="B1636" s="2" t="str">
        <f>Communes_HDF!B1636</f>
        <v>Dompierre</v>
      </c>
      <c r="C1636" s="2" t="str">
        <f t="array" ref="C1636">_xlfn.XLOOKUP(A1636, INSEE_Communes!$A$2:$A$3783, INSEE_Communes!$F$2:$F$3783, "code introuvable")</f>
        <v>non publié</v>
      </c>
    </row>
    <row r="1637">
      <c r="A1637" s="2" t="str">
        <f>Communes_HDF!A1637</f>
        <v>60199</v>
      </c>
      <c r="B1637" s="2" t="str">
        <f>Communes_HDF!B1637</f>
        <v>Doméliers</v>
      </c>
      <c r="C1637" s="2" t="str">
        <f t="array" ref="C1637">_xlfn.XLOOKUP(A1637, INSEE_Communes!$A$2:$A$3783, INSEE_Communes!$F$2:$F$3783, "code introuvable")</f>
        <v>non publié</v>
      </c>
    </row>
    <row r="1638">
      <c r="A1638" s="2" t="str">
        <f>Communes_HDF!A1638</f>
        <v>60203</v>
      </c>
      <c r="B1638" s="2" t="str">
        <f>Communes_HDF!B1638</f>
        <v>Duvy</v>
      </c>
      <c r="C1638" s="2" t="str">
        <f t="array" ref="C1638">_xlfn.XLOOKUP(A1638, INSEE_Communes!$A$2:$A$3783, INSEE_Communes!$F$2:$F$3783, "code introuvable")</f>
        <v>non publié</v>
      </c>
    </row>
    <row r="1639">
      <c r="A1639" s="2" t="str">
        <f>Communes_HDF!A1639</f>
        <v>60212</v>
      </c>
      <c r="B1639" s="2" t="str">
        <f>Communes_HDF!B1639</f>
        <v>Ercuis</v>
      </c>
      <c r="C1639" s="2" t="str">
        <f t="array" ref="C1639">_xlfn.XLOOKUP(A1639, INSEE_Communes!$A$2:$A$3783, INSEE_Communes!$F$2:$F$3783, "code introuvable")</f>
        <v>non publié</v>
      </c>
    </row>
    <row r="1640">
      <c r="A1640" s="2" t="str">
        <f>Communes_HDF!A1640</f>
        <v>60213</v>
      </c>
      <c r="B1640" s="2" t="str">
        <f>Communes_HDF!B1640</f>
        <v>Ermenonville</v>
      </c>
      <c r="C1640" s="2" t="str">
        <f t="array" ref="C1640">_xlfn.XLOOKUP(A1640, INSEE_Communes!$A$2:$A$3783, INSEE_Communes!$F$2:$F$3783, "code introuvable")</f>
        <v>non publié</v>
      </c>
    </row>
    <row r="1641">
      <c r="A1641" s="2" t="str">
        <f>Communes_HDF!A1641</f>
        <v>60214</v>
      </c>
      <c r="B1641" s="2" t="str">
        <f>Communes_HDF!B1641</f>
        <v>Ernemont-Boutavent</v>
      </c>
      <c r="C1641" s="2" t="str">
        <f t="array" ref="C1641">_xlfn.XLOOKUP(A1641, INSEE_Communes!$A$2:$A$3783, INSEE_Communes!$F$2:$F$3783, "code introuvable")</f>
        <v>non publié</v>
      </c>
    </row>
    <row r="1642">
      <c r="A1642" s="2" t="str">
        <f>Communes_HDF!A1642</f>
        <v>60215</v>
      </c>
      <c r="B1642" s="2" t="str">
        <f>Communes_HDF!B1642</f>
        <v>Erquery</v>
      </c>
      <c r="C1642" s="2" t="str">
        <f t="array" ref="C1642">_xlfn.XLOOKUP(A1642, INSEE_Communes!$A$2:$A$3783, INSEE_Communes!$F$2:$F$3783, "code introuvable")</f>
        <v>non publié</v>
      </c>
    </row>
    <row r="1643">
      <c r="A1643" s="2" t="str">
        <f>Communes_HDF!A1643</f>
        <v>60216</v>
      </c>
      <c r="B1643" s="2" t="str">
        <f>Communes_HDF!B1643</f>
        <v>Erquinvillers</v>
      </c>
      <c r="C1643" s="2" t="str">
        <f t="array" ref="C1643">_xlfn.XLOOKUP(A1643, INSEE_Communes!$A$2:$A$3783, INSEE_Communes!$F$2:$F$3783, "code introuvable")</f>
        <v>non publié</v>
      </c>
    </row>
    <row r="1644">
      <c r="A1644" s="2" t="str">
        <f>Communes_HDF!A1644</f>
        <v>60217</v>
      </c>
      <c r="B1644" s="2" t="str">
        <f>Communes_HDF!B1644</f>
        <v>Escames</v>
      </c>
      <c r="C1644" s="2" t="str">
        <f t="array" ref="C1644">_xlfn.XLOOKUP(A1644, INSEE_Communes!$A$2:$A$3783, INSEE_Communes!$F$2:$F$3783, "code introuvable")</f>
        <v>non publié</v>
      </c>
    </row>
    <row r="1645">
      <c r="A1645" s="2" t="str">
        <f>Communes_HDF!A1645</f>
        <v>60218</v>
      </c>
      <c r="B1645" s="2" t="str">
        <f>Communes_HDF!B1645</f>
        <v>Esches</v>
      </c>
      <c r="C1645" s="2" t="str">
        <f t="array" ref="C1645">_xlfn.XLOOKUP(A1645, INSEE_Communes!$A$2:$A$3783, INSEE_Communes!$F$2:$F$3783, "code introuvable")</f>
        <v>non publié</v>
      </c>
    </row>
    <row r="1646">
      <c r="A1646" s="2" t="str">
        <f>Communes_HDF!A1646</f>
        <v>60219</v>
      </c>
      <c r="B1646" s="2" t="str">
        <f>Communes_HDF!B1646</f>
        <v>Escles-Saint-Pierre</v>
      </c>
      <c r="C1646" s="2" t="str">
        <f t="array" ref="C1646">_xlfn.XLOOKUP(A1646, INSEE_Communes!$A$2:$A$3783, INSEE_Communes!$F$2:$F$3783, "code introuvable")</f>
        <v>non publié</v>
      </c>
    </row>
    <row r="1647">
      <c r="A1647" s="2" t="str">
        <f>Communes_HDF!A1647</f>
        <v>60220</v>
      </c>
      <c r="B1647" s="2" t="str">
        <f>Communes_HDF!B1647</f>
        <v>Espaubourg</v>
      </c>
      <c r="C1647" s="2" t="str">
        <f t="array" ref="C1647">_xlfn.XLOOKUP(A1647, INSEE_Communes!$A$2:$A$3783, INSEE_Communes!$F$2:$F$3783, "code introuvable")</f>
        <v>non publié</v>
      </c>
    </row>
    <row r="1648">
      <c r="A1648" s="2" t="str">
        <f>Communes_HDF!A1648</f>
        <v>60221</v>
      </c>
      <c r="B1648" s="2" t="str">
        <f>Communes_HDF!B1648</f>
        <v>Esquennoy</v>
      </c>
      <c r="C1648" s="2" t="str">
        <f t="array" ref="C1648">_xlfn.XLOOKUP(A1648, INSEE_Communes!$A$2:$A$3783, INSEE_Communes!$F$2:$F$3783, "code introuvable")</f>
        <v>non publié</v>
      </c>
    </row>
    <row r="1649">
      <c r="A1649" s="2" t="str">
        <f>Communes_HDF!A1649</f>
        <v>60222</v>
      </c>
      <c r="B1649" s="2" t="str">
        <f>Communes_HDF!B1649</f>
        <v>Essuiles</v>
      </c>
      <c r="C1649" s="2" t="str">
        <f t="array" ref="C1649">_xlfn.XLOOKUP(A1649, INSEE_Communes!$A$2:$A$3783, INSEE_Communes!$F$2:$F$3783, "code introuvable")</f>
        <v>non publié</v>
      </c>
    </row>
    <row r="1650">
      <c r="A1650" s="2" t="str">
        <f>Communes_HDF!A1650</f>
        <v>60223</v>
      </c>
      <c r="B1650" s="2" t="str">
        <f>Communes_HDF!B1650</f>
        <v>Estrées-Saint-Denis</v>
      </c>
      <c r="C1650" s="2">
        <f t="array" ref="C1650">_xlfn.XLOOKUP(A1650, INSEE_Communes!$A$2:$A$3783, INSEE_Communes!$F$2:$F$3783, "code introuvable")</f>
        <v>9</v>
      </c>
    </row>
    <row r="1651">
      <c r="A1651" s="2" t="str">
        <f>Communes_HDF!A1651</f>
        <v>60228</v>
      </c>
      <c r="B1651" s="2" t="str">
        <f>Communes_HDF!B1651</f>
        <v>Fay-les-Étangs</v>
      </c>
      <c r="C1651" s="2" t="str">
        <f t="array" ref="C1651">_xlfn.XLOOKUP(A1651, INSEE_Communes!$A$2:$A$3783, INSEE_Communes!$F$2:$F$3783, "code introuvable")</f>
        <v>non publié</v>
      </c>
    </row>
    <row r="1652">
      <c r="A1652" s="2" t="str">
        <f>Communes_HDF!A1652</f>
        <v>60231</v>
      </c>
      <c r="B1652" s="2" t="str">
        <f>Communes_HDF!B1652</f>
        <v>Feigneux</v>
      </c>
      <c r="C1652" s="2" t="str">
        <f t="array" ref="C1652">_xlfn.XLOOKUP(A1652, INSEE_Communes!$A$2:$A$3783, INSEE_Communes!$F$2:$F$3783, "code introuvable")</f>
        <v>non publié</v>
      </c>
    </row>
    <row r="1653">
      <c r="A1653" s="2" t="str">
        <f>Communes_HDF!A1653</f>
        <v>60232</v>
      </c>
      <c r="B1653" s="2" t="str">
        <f>Communes_HDF!B1653</f>
        <v>Ferrières</v>
      </c>
      <c r="C1653" s="2" t="str">
        <f t="array" ref="C1653">_xlfn.XLOOKUP(A1653, INSEE_Communes!$A$2:$A$3783, INSEE_Communes!$F$2:$F$3783, "code introuvable")</f>
        <v>non publié</v>
      </c>
    </row>
    <row r="1654">
      <c r="A1654" s="2" t="str">
        <f>Communes_HDF!A1654</f>
        <v>60233</v>
      </c>
      <c r="B1654" s="2" t="str">
        <f>Communes_HDF!B1654</f>
        <v>Feuquières</v>
      </c>
      <c r="C1654" s="2" t="str">
        <f t="array" ref="C1654">_xlfn.XLOOKUP(A1654, INSEE_Communes!$A$2:$A$3783, INSEE_Communes!$F$2:$F$3783, "code introuvable")</f>
        <v>non publié</v>
      </c>
    </row>
    <row r="1655">
      <c r="A1655" s="2" t="str">
        <f>Communes_HDF!A1655</f>
        <v>60234</v>
      </c>
      <c r="B1655" s="2" t="str">
        <f>Communes_HDF!B1655</f>
        <v>Fitz-James</v>
      </c>
      <c r="C1655" s="2">
        <f t="array" ref="C1655">_xlfn.XLOOKUP(A1655, INSEE_Communes!$A$2:$A$3783, INSEE_Communes!$F$2:$F$3783, "code introuvable")</f>
        <v>9</v>
      </c>
    </row>
    <row r="1656">
      <c r="A1656" s="2" t="str">
        <f>Communes_HDF!A1656</f>
        <v>60235</v>
      </c>
      <c r="B1656" s="2" t="str">
        <f>Communes_HDF!B1656</f>
        <v>Flavacourt</v>
      </c>
      <c r="C1656" s="2" t="str">
        <f t="array" ref="C1656">_xlfn.XLOOKUP(A1656, INSEE_Communes!$A$2:$A$3783, INSEE_Communes!$F$2:$F$3783, "code introuvable")</f>
        <v>non publié</v>
      </c>
    </row>
    <row r="1657">
      <c r="A1657" s="2" t="str">
        <f>Communes_HDF!A1657</f>
        <v>60236</v>
      </c>
      <c r="B1657" s="2" t="str">
        <f>Communes_HDF!B1657</f>
        <v>Flavy-le-Meldeux</v>
      </c>
      <c r="C1657" s="2" t="str">
        <f t="array" ref="C1657">_xlfn.XLOOKUP(A1657, INSEE_Communes!$A$2:$A$3783, INSEE_Communes!$F$2:$F$3783, "code introuvable")</f>
        <v>non publié</v>
      </c>
    </row>
    <row r="1658">
      <c r="A1658" s="2" t="str">
        <f>Communes_HDF!A1658</f>
        <v>60238</v>
      </c>
      <c r="B1658" s="2" t="str">
        <f>Communes_HDF!B1658</f>
        <v>Fleurines</v>
      </c>
      <c r="C1658" s="2" t="str">
        <f t="array" ref="C1658">_xlfn.XLOOKUP(A1658, INSEE_Communes!$A$2:$A$3783, INSEE_Communes!$F$2:$F$3783, "code introuvable")</f>
        <v>non publié</v>
      </c>
    </row>
    <row r="1659">
      <c r="A1659" s="2" t="str">
        <f>Communes_HDF!A1659</f>
        <v>60239</v>
      </c>
      <c r="B1659" s="2" t="str">
        <f>Communes_HDF!B1659</f>
        <v>Fleury</v>
      </c>
      <c r="C1659" s="2" t="str">
        <f t="array" ref="C1659">_xlfn.XLOOKUP(A1659, INSEE_Communes!$A$2:$A$3783, INSEE_Communes!$F$2:$F$3783, "code introuvable")</f>
        <v>non publié</v>
      </c>
    </row>
    <row r="1660">
      <c r="A1660" s="2" t="str">
        <f>Communes_HDF!A1660</f>
        <v>60237</v>
      </c>
      <c r="B1660" s="2" t="str">
        <f>Communes_HDF!B1660</f>
        <v>Fléchy</v>
      </c>
      <c r="C1660" s="2" t="str">
        <f t="array" ref="C1660">_xlfn.XLOOKUP(A1660, INSEE_Communes!$A$2:$A$3783, INSEE_Communes!$F$2:$F$3783, "code introuvable")</f>
        <v>non publié</v>
      </c>
    </row>
    <row r="1661">
      <c r="A1661" s="2" t="str">
        <f>Communes_HDF!A1661</f>
        <v>60240</v>
      </c>
      <c r="B1661" s="2" t="str">
        <f>Communes_HDF!B1661</f>
        <v>Fontaine-Bonneleau</v>
      </c>
      <c r="C1661" s="2" t="str">
        <f t="array" ref="C1661">_xlfn.XLOOKUP(A1661, INSEE_Communes!$A$2:$A$3783, INSEE_Communes!$F$2:$F$3783, "code introuvable")</f>
        <v>non publié</v>
      </c>
    </row>
    <row r="1662">
      <c r="A1662" s="2" t="str">
        <f>Communes_HDF!A1662</f>
        <v>60241</v>
      </c>
      <c r="B1662" s="2" t="str">
        <f>Communes_HDF!B1662</f>
        <v>Fontaine-Chaalis</v>
      </c>
      <c r="C1662" s="2" t="str">
        <f t="array" ref="C1662">_xlfn.XLOOKUP(A1662, INSEE_Communes!$A$2:$A$3783, INSEE_Communes!$F$2:$F$3783, "code introuvable")</f>
        <v>non publié</v>
      </c>
    </row>
    <row r="1663">
      <c r="A1663" s="2" t="str">
        <f>Communes_HDF!A1663</f>
        <v>60242</v>
      </c>
      <c r="B1663" s="2" t="str">
        <f>Communes_HDF!B1663</f>
        <v>Fontaine-Lavaganne</v>
      </c>
      <c r="C1663" s="2" t="str">
        <f t="array" ref="C1663">_xlfn.XLOOKUP(A1663, INSEE_Communes!$A$2:$A$3783, INSEE_Communes!$F$2:$F$3783, "code introuvable")</f>
        <v>non publié</v>
      </c>
    </row>
    <row r="1664">
      <c r="A1664" s="2" t="str">
        <f>Communes_HDF!A1664</f>
        <v>60243</v>
      </c>
      <c r="B1664" s="2" t="str">
        <f>Communes_HDF!B1664</f>
        <v>Fontaine-Saint-Lucien</v>
      </c>
      <c r="C1664" s="2" t="str">
        <f t="array" ref="C1664">_xlfn.XLOOKUP(A1664, INSEE_Communes!$A$2:$A$3783, INSEE_Communes!$F$2:$F$3783, "code introuvable")</f>
        <v>non publié</v>
      </c>
    </row>
    <row r="1665">
      <c r="A1665" s="2" t="str">
        <f>Communes_HDF!A1665</f>
        <v>60244</v>
      </c>
      <c r="B1665" s="2" t="str">
        <f>Communes_HDF!B1665</f>
        <v>Fontenay-Torcy</v>
      </c>
      <c r="C1665" s="2" t="str">
        <f t="array" ref="C1665">_xlfn.XLOOKUP(A1665, INSEE_Communes!$A$2:$A$3783, INSEE_Communes!$F$2:$F$3783, "code introuvable")</f>
        <v>non publié</v>
      </c>
    </row>
    <row r="1666">
      <c r="A1666" s="2" t="str">
        <f>Communes_HDF!A1666</f>
        <v>60245</v>
      </c>
      <c r="B1666" s="2" t="str">
        <f>Communes_HDF!B1666</f>
        <v>Formerie</v>
      </c>
      <c r="C1666" s="2">
        <f t="array" ref="C1666">_xlfn.XLOOKUP(A1666, INSEE_Communes!$A$2:$A$3783, INSEE_Communes!$F$2:$F$3783, "code introuvable")</f>
        <v>24</v>
      </c>
    </row>
    <row r="1667">
      <c r="A1667" s="2" t="str">
        <f>Communes_HDF!A1667</f>
        <v>60247</v>
      </c>
      <c r="B1667" s="2" t="str">
        <f>Communes_HDF!B1667</f>
        <v>Fouilleuse</v>
      </c>
      <c r="C1667" s="2" t="str">
        <f t="array" ref="C1667">_xlfn.XLOOKUP(A1667, INSEE_Communes!$A$2:$A$3783, INSEE_Communes!$F$2:$F$3783, "code introuvable")</f>
        <v>non publié</v>
      </c>
    </row>
    <row r="1668">
      <c r="A1668" s="2" t="str">
        <f>Communes_HDF!A1668</f>
        <v>60248</v>
      </c>
      <c r="B1668" s="2" t="str">
        <f>Communes_HDF!B1668</f>
        <v>Fouilloy</v>
      </c>
      <c r="C1668" s="2" t="str">
        <f t="array" ref="C1668">_xlfn.XLOOKUP(A1668, INSEE_Communes!$A$2:$A$3783, INSEE_Communes!$F$2:$F$3783, "code introuvable")</f>
        <v>non publié</v>
      </c>
    </row>
    <row r="1669">
      <c r="A1669" s="2" t="str">
        <f>Communes_HDF!A1669</f>
        <v>60249</v>
      </c>
      <c r="B1669" s="2" t="str">
        <f>Communes_HDF!B1669</f>
        <v>Foulangues</v>
      </c>
      <c r="C1669" s="2" t="str">
        <f t="array" ref="C1669">_xlfn.XLOOKUP(A1669, INSEE_Communes!$A$2:$A$3783, INSEE_Communes!$F$2:$F$3783, "code introuvable")</f>
        <v>non publié</v>
      </c>
    </row>
    <row r="1670">
      <c r="A1670" s="2" t="str">
        <f>Communes_HDF!A1670</f>
        <v>60250</v>
      </c>
      <c r="B1670" s="2" t="str">
        <f>Communes_HDF!B1670</f>
        <v>Fouquenies</v>
      </c>
      <c r="C1670" s="2" t="str">
        <f t="array" ref="C1670">_xlfn.XLOOKUP(A1670, INSEE_Communes!$A$2:$A$3783, INSEE_Communes!$F$2:$F$3783, "code introuvable")</f>
        <v>non publié</v>
      </c>
    </row>
    <row r="1671">
      <c r="A1671" s="2" t="str">
        <f>Communes_HDF!A1671</f>
        <v>60251</v>
      </c>
      <c r="B1671" s="2" t="str">
        <f>Communes_HDF!B1671</f>
        <v>Fouquerolles</v>
      </c>
      <c r="C1671" s="2" t="str">
        <f t="array" ref="C1671">_xlfn.XLOOKUP(A1671, INSEE_Communes!$A$2:$A$3783, INSEE_Communes!$F$2:$F$3783, "code introuvable")</f>
        <v>non publié</v>
      </c>
    </row>
    <row r="1672">
      <c r="A1672" s="2" t="str">
        <f>Communes_HDF!A1672</f>
        <v>60252</v>
      </c>
      <c r="B1672" s="2" t="str">
        <f>Communes_HDF!B1672</f>
        <v>Fournival</v>
      </c>
      <c r="C1672" s="2" t="str">
        <f t="array" ref="C1672">_xlfn.XLOOKUP(A1672, INSEE_Communes!$A$2:$A$3783, INSEE_Communes!$F$2:$F$3783, "code introuvable")</f>
        <v>non publié</v>
      </c>
    </row>
    <row r="1673">
      <c r="A1673" s="2" t="str">
        <f>Communes_HDF!A1673</f>
        <v>60253</v>
      </c>
      <c r="B1673" s="2" t="str">
        <f>Communes_HDF!B1673</f>
        <v>Francastel</v>
      </c>
      <c r="C1673" s="2" t="str">
        <f t="array" ref="C1673">_xlfn.XLOOKUP(A1673, INSEE_Communes!$A$2:$A$3783, INSEE_Communes!$F$2:$F$3783, "code introuvable")</f>
        <v>non publié</v>
      </c>
    </row>
    <row r="1674">
      <c r="A1674" s="2" t="str">
        <f>Communes_HDF!A1674</f>
        <v>60254</v>
      </c>
      <c r="B1674" s="2" t="str">
        <f>Communes_HDF!B1674</f>
        <v>Francières</v>
      </c>
      <c r="C1674" s="2" t="str">
        <f t="array" ref="C1674">_xlfn.XLOOKUP(A1674, INSEE_Communes!$A$2:$A$3783, INSEE_Communes!$F$2:$F$3783, "code introuvable")</f>
        <v>non publié</v>
      </c>
    </row>
    <row r="1675">
      <c r="A1675" s="2" t="str">
        <f>Communes_HDF!A1675</f>
        <v>60257</v>
      </c>
      <c r="B1675" s="2" t="str">
        <f>Communes_HDF!B1675</f>
        <v>Fresne-Léguillon</v>
      </c>
      <c r="C1675" s="2" t="str">
        <f t="array" ref="C1675">_xlfn.XLOOKUP(A1675, INSEE_Communes!$A$2:$A$3783, INSEE_Communes!$F$2:$F$3783, "code introuvable")</f>
        <v>non publié</v>
      </c>
    </row>
    <row r="1676">
      <c r="A1676" s="2" t="str">
        <f>Communes_HDF!A1676</f>
        <v>60258</v>
      </c>
      <c r="B1676" s="2" t="str">
        <f>Communes_HDF!B1676</f>
        <v>Fresnières</v>
      </c>
      <c r="C1676" s="2" t="str">
        <f t="array" ref="C1676">_xlfn.XLOOKUP(A1676, INSEE_Communes!$A$2:$A$3783, INSEE_Communes!$F$2:$F$3783, "code introuvable")</f>
        <v>non publié</v>
      </c>
    </row>
    <row r="1677">
      <c r="A1677" s="2" t="str">
        <f>Communes_HDF!A1677</f>
        <v>60259</v>
      </c>
      <c r="B1677" s="2" t="str">
        <f>Communes_HDF!B1677</f>
        <v>Fresnoy-en-Thelle</v>
      </c>
      <c r="C1677" s="2" t="str">
        <f t="array" ref="C1677">_xlfn.XLOOKUP(A1677, INSEE_Communes!$A$2:$A$3783, INSEE_Communes!$F$2:$F$3783, "code introuvable")</f>
        <v>non publié</v>
      </c>
    </row>
    <row r="1678">
      <c r="A1678" s="2" t="str">
        <f>Communes_HDF!A1678</f>
        <v>60260</v>
      </c>
      <c r="B1678" s="2" t="str">
        <f>Communes_HDF!B1678</f>
        <v>Fresnoy-la-Rivière</v>
      </c>
      <c r="C1678" s="2" t="str">
        <f t="array" ref="C1678">_xlfn.XLOOKUP(A1678, INSEE_Communes!$A$2:$A$3783, INSEE_Communes!$F$2:$F$3783, "code introuvable")</f>
        <v>non publié</v>
      </c>
    </row>
    <row r="1679">
      <c r="A1679" s="2" t="str">
        <f>Communes_HDF!A1679</f>
        <v>60261</v>
      </c>
      <c r="B1679" s="2" t="str">
        <f>Communes_HDF!B1679</f>
        <v>Fresnoy-le-Luat</v>
      </c>
      <c r="C1679" s="2" t="str">
        <f t="array" ref="C1679">_xlfn.XLOOKUP(A1679, INSEE_Communes!$A$2:$A$3783, INSEE_Communes!$F$2:$F$3783, "code introuvable")</f>
        <v>non publié</v>
      </c>
    </row>
    <row r="1680">
      <c r="A1680" s="2" t="str">
        <f>Communes_HDF!A1680</f>
        <v>60264</v>
      </c>
      <c r="B1680" s="2" t="str">
        <f>Communes_HDF!B1680</f>
        <v>Frocourt</v>
      </c>
      <c r="C1680" s="2" t="str">
        <f t="array" ref="C1680">_xlfn.XLOOKUP(A1680, INSEE_Communes!$A$2:$A$3783, INSEE_Communes!$F$2:$F$3783, "code introuvable")</f>
        <v>non publié</v>
      </c>
    </row>
    <row r="1681">
      <c r="A1681" s="2" t="str">
        <f>Communes_HDF!A1681</f>
        <v>60265</v>
      </c>
      <c r="B1681" s="2" t="str">
        <f>Communes_HDF!B1681</f>
        <v>Froissy</v>
      </c>
      <c r="C1681" s="2" t="str">
        <f t="array" ref="C1681">_xlfn.XLOOKUP(A1681, INSEE_Communes!$A$2:$A$3783, INSEE_Communes!$F$2:$F$3783, "code introuvable")</f>
        <v>non publié</v>
      </c>
    </row>
    <row r="1682">
      <c r="A1682" s="2" t="str">
        <f>Communes_HDF!A1682</f>
        <v>60255</v>
      </c>
      <c r="B1682" s="2" t="str">
        <f>Communes_HDF!B1682</f>
        <v>Fréniches</v>
      </c>
      <c r="C1682" s="2" t="str">
        <f t="array" ref="C1682">_xlfn.XLOOKUP(A1682, INSEE_Communes!$A$2:$A$3783, INSEE_Communes!$F$2:$F$3783, "code introuvable")</f>
        <v>non publié</v>
      </c>
    </row>
    <row r="1683">
      <c r="A1683" s="2" t="str">
        <f>Communes_HDF!A1683</f>
        <v>60263</v>
      </c>
      <c r="B1683" s="2" t="str">
        <f>Communes_HDF!B1683</f>
        <v>Frétoy-le-Château</v>
      </c>
      <c r="C1683" s="2" t="str">
        <f t="array" ref="C1683">_xlfn.XLOOKUP(A1683, INSEE_Communes!$A$2:$A$3783, INSEE_Communes!$F$2:$F$3783, "code introuvable")</f>
        <v>non publié</v>
      </c>
    </row>
    <row r="1684">
      <c r="A1684" s="2" t="str">
        <f>Communes_HDF!A1684</f>
        <v>60268</v>
      </c>
      <c r="B1684" s="2" t="str">
        <f>Communes_HDF!B1684</f>
        <v>Gannes</v>
      </c>
      <c r="C1684" s="2" t="str">
        <f t="array" ref="C1684">_xlfn.XLOOKUP(A1684, INSEE_Communes!$A$2:$A$3783, INSEE_Communes!$F$2:$F$3783, "code introuvable")</f>
        <v>non publié</v>
      </c>
    </row>
    <row r="1685">
      <c r="A1685" s="2" t="str">
        <f>Communes_HDF!A1685</f>
        <v>60269</v>
      </c>
      <c r="B1685" s="2" t="str">
        <f>Communes_HDF!B1685</f>
        <v>Gaudechart</v>
      </c>
      <c r="C1685" s="2" t="str">
        <f t="array" ref="C1685">_xlfn.XLOOKUP(A1685, INSEE_Communes!$A$2:$A$3783, INSEE_Communes!$F$2:$F$3783, "code introuvable")</f>
        <v>non publié</v>
      </c>
    </row>
    <row r="1686">
      <c r="A1686" s="2" t="str">
        <f>Communes_HDF!A1686</f>
        <v>60270</v>
      </c>
      <c r="B1686" s="2" t="str">
        <f>Communes_HDF!B1686</f>
        <v>Genvry</v>
      </c>
      <c r="C1686" s="2" t="str">
        <f t="array" ref="C1686">_xlfn.XLOOKUP(A1686, INSEE_Communes!$A$2:$A$3783, INSEE_Communes!$F$2:$F$3783, "code introuvable")</f>
        <v>non publié</v>
      </c>
    </row>
    <row r="1687">
      <c r="A1687" s="2" t="str">
        <f>Communes_HDF!A1687</f>
        <v>60271</v>
      </c>
      <c r="B1687" s="2" t="str">
        <f>Communes_HDF!B1687</f>
        <v>Gerberoy</v>
      </c>
      <c r="C1687" s="2" t="str">
        <f t="array" ref="C1687">_xlfn.XLOOKUP(A1687, INSEE_Communes!$A$2:$A$3783, INSEE_Communes!$F$2:$F$3783, "code introuvable")</f>
        <v>non publié</v>
      </c>
    </row>
    <row r="1688">
      <c r="A1688" s="2" t="str">
        <f>Communes_HDF!A1688</f>
        <v>60272</v>
      </c>
      <c r="B1688" s="2" t="str">
        <f>Communes_HDF!B1688</f>
        <v>Gilocourt</v>
      </c>
      <c r="C1688" s="2" t="str">
        <f t="array" ref="C1688">_xlfn.XLOOKUP(A1688, INSEE_Communes!$A$2:$A$3783, INSEE_Communes!$F$2:$F$3783, "code introuvable")</f>
        <v>non publié</v>
      </c>
    </row>
    <row r="1689">
      <c r="A1689" s="2" t="str">
        <f>Communes_HDF!A1689</f>
        <v>60273</v>
      </c>
      <c r="B1689" s="2" t="str">
        <f>Communes_HDF!B1689</f>
        <v>Giraumont</v>
      </c>
      <c r="C1689" s="2" t="str">
        <f t="array" ref="C1689">_xlfn.XLOOKUP(A1689, INSEE_Communes!$A$2:$A$3783, INSEE_Communes!$F$2:$F$3783, "code introuvable")</f>
        <v>non publié</v>
      </c>
    </row>
    <row r="1690">
      <c r="A1690" s="2" t="str">
        <f>Communes_HDF!A1690</f>
        <v>60274</v>
      </c>
      <c r="B1690" s="2" t="str">
        <f>Communes_HDF!B1690</f>
        <v>Glaignes</v>
      </c>
      <c r="C1690" s="2" t="str">
        <f t="array" ref="C1690">_xlfn.XLOOKUP(A1690, INSEE_Communes!$A$2:$A$3783, INSEE_Communes!$F$2:$F$3783, "code introuvable")</f>
        <v>non publié</v>
      </c>
    </row>
    <row r="1691">
      <c r="A1691" s="2" t="str">
        <f>Communes_HDF!A1691</f>
        <v>60275</v>
      </c>
      <c r="B1691" s="2" t="str">
        <f>Communes_HDF!B1691</f>
        <v>Glatigny</v>
      </c>
      <c r="C1691" s="2" t="str">
        <f t="array" ref="C1691">_xlfn.XLOOKUP(A1691, INSEE_Communes!$A$2:$A$3783, INSEE_Communes!$F$2:$F$3783, "code introuvable")</f>
        <v>non publié</v>
      </c>
    </row>
    <row r="1692">
      <c r="A1692" s="2" t="str">
        <f>Communes_HDF!A1692</f>
        <v>60276</v>
      </c>
      <c r="B1692" s="2" t="str">
        <f>Communes_HDF!B1692</f>
        <v>Godenvillers</v>
      </c>
      <c r="C1692" s="2" t="str">
        <f t="array" ref="C1692">_xlfn.XLOOKUP(A1692, INSEE_Communes!$A$2:$A$3783, INSEE_Communes!$F$2:$F$3783, "code introuvable")</f>
        <v>non publié</v>
      </c>
    </row>
    <row r="1693">
      <c r="A1693" s="2" t="str">
        <f>Communes_HDF!A1693</f>
        <v>60277</v>
      </c>
      <c r="B1693" s="2" t="str">
        <f>Communes_HDF!B1693</f>
        <v>Goincourt</v>
      </c>
      <c r="C1693" s="2" t="str">
        <f t="array" ref="C1693">_xlfn.XLOOKUP(A1693, INSEE_Communes!$A$2:$A$3783, INSEE_Communes!$F$2:$F$3783, "code introuvable")</f>
        <v>non publié</v>
      </c>
    </row>
    <row r="1694">
      <c r="A1694" s="2" t="str">
        <f>Communes_HDF!A1694</f>
        <v>60278</v>
      </c>
      <c r="B1694" s="2" t="str">
        <f>Communes_HDF!B1694</f>
        <v>Golancourt</v>
      </c>
      <c r="C1694" s="2" t="str">
        <f t="array" ref="C1694">_xlfn.XLOOKUP(A1694, INSEE_Communes!$A$2:$A$3783, INSEE_Communes!$F$2:$F$3783, "code introuvable")</f>
        <v>non publié</v>
      </c>
    </row>
    <row r="1695">
      <c r="A1695" s="2" t="str">
        <f>Communes_HDF!A1695</f>
        <v>60279</v>
      </c>
      <c r="B1695" s="2" t="str">
        <f>Communes_HDF!B1695</f>
        <v>Gondreville</v>
      </c>
      <c r="C1695" s="2" t="str">
        <f t="array" ref="C1695">_xlfn.XLOOKUP(A1695, INSEE_Communes!$A$2:$A$3783, INSEE_Communes!$F$2:$F$3783, "code introuvable")</f>
        <v>non publié</v>
      </c>
    </row>
    <row r="1696">
      <c r="A1696" s="2" t="str">
        <f>Communes_HDF!A1696</f>
        <v>60280</v>
      </c>
      <c r="B1696" s="2" t="str">
        <f>Communes_HDF!B1696</f>
        <v>Gourchelles</v>
      </c>
      <c r="C1696" s="2" t="str">
        <f t="array" ref="C1696">_xlfn.XLOOKUP(A1696, INSEE_Communes!$A$2:$A$3783, INSEE_Communes!$F$2:$F$3783, "code introuvable")</f>
        <v>non publié</v>
      </c>
    </row>
    <row r="1697">
      <c r="A1697" s="2" t="str">
        <f>Communes_HDF!A1697</f>
        <v>60281</v>
      </c>
      <c r="B1697" s="2" t="str">
        <f>Communes_HDF!B1697</f>
        <v>Gournay-sur-Aronde</v>
      </c>
      <c r="C1697" s="2" t="str">
        <f t="array" ref="C1697">_xlfn.XLOOKUP(A1697, INSEE_Communes!$A$2:$A$3783, INSEE_Communes!$F$2:$F$3783, "code introuvable")</f>
        <v>non publié</v>
      </c>
    </row>
    <row r="1698">
      <c r="A1698" s="2" t="str">
        <f>Communes_HDF!A1698</f>
        <v>60282</v>
      </c>
      <c r="B1698" s="2" t="str">
        <f>Communes_HDF!B1698</f>
        <v>Gouvieux</v>
      </c>
      <c r="C1698" s="2">
        <f t="array" ref="C1698">_xlfn.XLOOKUP(A1698, INSEE_Communes!$A$2:$A$3783, INSEE_Communes!$F$2:$F$3783, "code introuvable")</f>
        <v>7</v>
      </c>
    </row>
    <row r="1699">
      <c r="A1699" s="2" t="str">
        <f>Communes_HDF!A1699</f>
        <v>60283</v>
      </c>
      <c r="B1699" s="2" t="str">
        <f>Communes_HDF!B1699</f>
        <v>Gouy-les-Groseillers</v>
      </c>
      <c r="C1699" s="2" t="str">
        <f t="array" ref="C1699">_xlfn.XLOOKUP(A1699, INSEE_Communes!$A$2:$A$3783, INSEE_Communes!$F$2:$F$3783, "code introuvable")</f>
        <v>non publié</v>
      </c>
    </row>
    <row r="1700">
      <c r="A1700" s="2" t="str">
        <f>Communes_HDF!A1700</f>
        <v>60284</v>
      </c>
      <c r="B1700" s="2" t="str">
        <f>Communes_HDF!B1700</f>
        <v>Grandfresnoy</v>
      </c>
      <c r="C1700" s="2" t="str">
        <f t="array" ref="C1700">_xlfn.XLOOKUP(A1700, INSEE_Communes!$A$2:$A$3783, INSEE_Communes!$F$2:$F$3783, "code introuvable")</f>
        <v>non publié</v>
      </c>
    </row>
    <row r="1701">
      <c r="A1701" s="2" t="str">
        <f>Communes_HDF!A1701</f>
        <v>60287</v>
      </c>
      <c r="B1701" s="2" t="str">
        <f>Communes_HDF!B1701</f>
        <v>Grandrû</v>
      </c>
      <c r="C1701" s="2" t="str">
        <f t="array" ref="C1701">_xlfn.XLOOKUP(A1701, INSEE_Communes!$A$2:$A$3783, INSEE_Communes!$F$2:$F$3783, "code introuvable")</f>
        <v>non publié</v>
      </c>
    </row>
    <row r="1702">
      <c r="A1702" s="2" t="str">
        <f>Communes_HDF!A1702</f>
        <v>60285</v>
      </c>
      <c r="B1702" s="2" t="str">
        <f>Communes_HDF!B1702</f>
        <v>Grandvillers-aux-Bois</v>
      </c>
      <c r="C1702" s="2" t="str">
        <f t="array" ref="C1702">_xlfn.XLOOKUP(A1702, INSEE_Communes!$A$2:$A$3783, INSEE_Communes!$F$2:$F$3783, "code introuvable")</f>
        <v>non publié</v>
      </c>
    </row>
    <row r="1703">
      <c r="A1703" s="2" t="str">
        <f>Communes_HDF!A1703</f>
        <v>60286</v>
      </c>
      <c r="B1703" s="2" t="str">
        <f>Communes_HDF!B1703</f>
        <v>Grandvilliers</v>
      </c>
      <c r="C1703" s="2">
        <f t="array" ref="C1703">_xlfn.XLOOKUP(A1703, INSEE_Communes!$A$2:$A$3783, INSEE_Communes!$F$2:$F$3783, "code introuvable")</f>
        <v>22</v>
      </c>
    </row>
    <row r="1704">
      <c r="A1704" s="2" t="str">
        <f>Communes_HDF!A1704</f>
        <v>60289</v>
      </c>
      <c r="B1704" s="2" t="str">
        <f>Communes_HDF!B1704</f>
        <v>Grez</v>
      </c>
      <c r="C1704" s="2" t="str">
        <f t="array" ref="C1704">_xlfn.XLOOKUP(A1704, INSEE_Communes!$A$2:$A$3783, INSEE_Communes!$F$2:$F$3783, "code introuvable")</f>
        <v>non publié</v>
      </c>
    </row>
    <row r="1705">
      <c r="A1705" s="2" t="str">
        <f>Communes_HDF!A1705</f>
        <v>60288</v>
      </c>
      <c r="B1705" s="2" t="str">
        <f>Communes_HDF!B1705</f>
        <v>Grémévillers</v>
      </c>
      <c r="C1705" s="2" t="str">
        <f t="array" ref="C1705">_xlfn.XLOOKUP(A1705, INSEE_Communes!$A$2:$A$3783, INSEE_Communes!$F$2:$F$3783, "code introuvable")</f>
        <v>non publié</v>
      </c>
    </row>
    <row r="1706">
      <c r="A1706" s="2" t="str">
        <f>Communes_HDF!A1706</f>
        <v>60290</v>
      </c>
      <c r="B1706" s="2" t="str">
        <f>Communes_HDF!B1706</f>
        <v>Guignecourt</v>
      </c>
      <c r="C1706" s="2" t="str">
        <f t="array" ref="C1706">_xlfn.XLOOKUP(A1706, INSEE_Communes!$A$2:$A$3783, INSEE_Communes!$F$2:$F$3783, "code introuvable")</f>
        <v>non publié</v>
      </c>
    </row>
    <row r="1707">
      <c r="A1707" s="2" t="str">
        <f>Communes_HDF!A1707</f>
        <v>60291</v>
      </c>
      <c r="B1707" s="2" t="str">
        <f>Communes_HDF!B1707</f>
        <v>Guiscard</v>
      </c>
      <c r="C1707" s="2" t="str">
        <f t="array" ref="C1707">_xlfn.XLOOKUP(A1707, INSEE_Communes!$A$2:$A$3783, INSEE_Communes!$F$2:$F$3783, "code introuvable")</f>
        <v>non publié</v>
      </c>
    </row>
    <row r="1708">
      <c r="A1708" s="2" t="str">
        <f>Communes_HDF!A1708</f>
        <v>60292</v>
      </c>
      <c r="B1708" s="2" t="str">
        <f>Communes_HDF!B1708</f>
        <v>Gury</v>
      </c>
      <c r="C1708" s="2" t="str">
        <f t="array" ref="C1708">_xlfn.XLOOKUP(A1708, INSEE_Communes!$A$2:$A$3783, INSEE_Communes!$F$2:$F$3783, "code introuvable")</f>
        <v>non publié</v>
      </c>
    </row>
    <row r="1709">
      <c r="A1709" s="2" t="str">
        <f>Communes_HDF!A1709</f>
        <v>60293</v>
      </c>
      <c r="B1709" s="2" t="str">
        <f>Communes_HDF!B1709</f>
        <v>Hadancourt-le-Haut-Clocher</v>
      </c>
      <c r="C1709" s="2" t="str">
        <f t="array" ref="C1709">_xlfn.XLOOKUP(A1709, INSEE_Communes!$A$2:$A$3783, INSEE_Communes!$F$2:$F$3783, "code introuvable")</f>
        <v>non publié</v>
      </c>
    </row>
    <row r="1710">
      <c r="A1710" s="2" t="str">
        <f>Communes_HDF!A1710</f>
        <v>60294</v>
      </c>
      <c r="B1710" s="2" t="str">
        <f>Communes_HDF!B1710</f>
        <v>Hainvillers</v>
      </c>
      <c r="C1710" s="2" t="str">
        <f t="array" ref="C1710">_xlfn.XLOOKUP(A1710, INSEE_Communes!$A$2:$A$3783, INSEE_Communes!$F$2:$F$3783, "code introuvable")</f>
        <v>non publié</v>
      </c>
    </row>
    <row r="1711">
      <c r="A1711" s="2" t="str">
        <f>Communes_HDF!A1711</f>
        <v>60295</v>
      </c>
      <c r="B1711" s="2" t="str">
        <f>Communes_HDF!B1711</f>
        <v>Halloy</v>
      </c>
      <c r="C1711" s="2" t="str">
        <f t="array" ref="C1711">_xlfn.XLOOKUP(A1711, INSEE_Communes!$A$2:$A$3783, INSEE_Communes!$F$2:$F$3783, "code introuvable")</f>
        <v>non publié</v>
      </c>
    </row>
    <row r="1712">
      <c r="A1712" s="2" t="str">
        <f>Communes_HDF!A1712</f>
        <v>60296</v>
      </c>
      <c r="B1712" s="2" t="str">
        <f>Communes_HDF!B1712</f>
        <v>Hannaches</v>
      </c>
      <c r="C1712" s="2" t="str">
        <f t="array" ref="C1712">_xlfn.XLOOKUP(A1712, INSEE_Communes!$A$2:$A$3783, INSEE_Communes!$F$2:$F$3783, "code introuvable")</f>
        <v>non publié</v>
      </c>
    </row>
    <row r="1713">
      <c r="A1713" s="2" t="str">
        <f>Communes_HDF!A1713</f>
        <v>60298</v>
      </c>
      <c r="B1713" s="2" t="str">
        <f>Communes_HDF!B1713</f>
        <v>Hanvoile</v>
      </c>
      <c r="C1713" s="2" t="str">
        <f t="array" ref="C1713">_xlfn.XLOOKUP(A1713, INSEE_Communes!$A$2:$A$3783, INSEE_Communes!$F$2:$F$3783, "code introuvable")</f>
        <v>non publié</v>
      </c>
    </row>
    <row r="1714">
      <c r="A1714" s="2" t="str">
        <f>Communes_HDF!A1714</f>
        <v>60299</v>
      </c>
      <c r="B1714" s="2" t="str">
        <f>Communes_HDF!B1714</f>
        <v>Hardivillers</v>
      </c>
      <c r="C1714" s="2" t="str">
        <f t="array" ref="C1714">_xlfn.XLOOKUP(A1714, INSEE_Communes!$A$2:$A$3783, INSEE_Communes!$F$2:$F$3783, "code introuvable")</f>
        <v>non publié</v>
      </c>
    </row>
    <row r="1715">
      <c r="A1715" s="2" t="str">
        <f>Communes_HDF!A1715</f>
        <v>60301</v>
      </c>
      <c r="B1715" s="2" t="str">
        <f>Communes_HDF!B1715</f>
        <v>Haucourt</v>
      </c>
      <c r="C1715" s="2" t="str">
        <f t="array" ref="C1715">_xlfn.XLOOKUP(A1715, INSEE_Communes!$A$2:$A$3783, INSEE_Communes!$F$2:$F$3783, "code introuvable")</f>
        <v>non publié</v>
      </c>
    </row>
    <row r="1716">
      <c r="A1716" s="2" t="str">
        <f>Communes_HDF!A1716</f>
        <v>60302</v>
      </c>
      <c r="B1716" s="2" t="str">
        <f>Communes_HDF!B1716</f>
        <v>Haudivillers</v>
      </c>
      <c r="C1716" s="2" t="str">
        <f t="array" ref="C1716">_xlfn.XLOOKUP(A1716, INSEE_Communes!$A$2:$A$3783, INSEE_Communes!$F$2:$F$3783, "code introuvable")</f>
        <v>non publié</v>
      </c>
    </row>
    <row r="1717">
      <c r="A1717" s="2" t="str">
        <f>Communes_HDF!A1717</f>
        <v>60303</v>
      </c>
      <c r="B1717" s="2" t="str">
        <f>Communes_HDF!B1717</f>
        <v>Hautbos</v>
      </c>
      <c r="C1717" s="2" t="str">
        <f t="array" ref="C1717">_xlfn.XLOOKUP(A1717, INSEE_Communes!$A$2:$A$3783, INSEE_Communes!$F$2:$F$3783, "code introuvable")</f>
        <v>non publié</v>
      </c>
    </row>
    <row r="1718">
      <c r="A1718" s="2" t="str">
        <f>Communes_HDF!A1718</f>
        <v>60304</v>
      </c>
      <c r="B1718" s="2" t="str">
        <f>Communes_HDF!B1718</f>
        <v>Haute-Épine</v>
      </c>
      <c r="C1718" s="2" t="str">
        <f t="array" ref="C1718">_xlfn.XLOOKUP(A1718, INSEE_Communes!$A$2:$A$3783, INSEE_Communes!$F$2:$F$3783, "code introuvable")</f>
        <v>non publié</v>
      </c>
    </row>
    <row r="1719">
      <c r="A1719" s="2" t="str">
        <f>Communes_HDF!A1719</f>
        <v>60305</v>
      </c>
      <c r="B1719" s="2" t="str">
        <f>Communes_HDF!B1719</f>
        <v>Hautefontaine</v>
      </c>
      <c r="C1719" s="2" t="str">
        <f t="array" ref="C1719">_xlfn.XLOOKUP(A1719, INSEE_Communes!$A$2:$A$3783, INSEE_Communes!$F$2:$F$3783, "code introuvable")</f>
        <v>non publié</v>
      </c>
    </row>
    <row r="1720">
      <c r="A1720" s="2" t="str">
        <f>Communes_HDF!A1720</f>
        <v>60307</v>
      </c>
      <c r="B1720" s="2" t="str">
        <f>Communes_HDF!B1720</f>
        <v>Heilles</v>
      </c>
      <c r="C1720" s="2" t="str">
        <f t="array" ref="C1720">_xlfn.XLOOKUP(A1720, INSEE_Communes!$A$2:$A$3783, INSEE_Communes!$F$2:$F$3783, "code introuvable")</f>
        <v>non publié</v>
      </c>
    </row>
    <row r="1721">
      <c r="A1721" s="2" t="str">
        <f>Communes_HDF!A1721</f>
        <v>60310</v>
      </c>
      <c r="B1721" s="2" t="str">
        <f>Communes_HDF!B1721</f>
        <v>Herchies</v>
      </c>
      <c r="C1721" s="2" t="str">
        <f t="array" ref="C1721">_xlfn.XLOOKUP(A1721, INSEE_Communes!$A$2:$A$3783, INSEE_Communes!$F$2:$F$3783, "code introuvable")</f>
        <v>non publié</v>
      </c>
    </row>
    <row r="1722">
      <c r="A1722" s="2" t="str">
        <f>Communes_HDF!A1722</f>
        <v>60313</v>
      </c>
      <c r="B1722" s="2" t="str">
        <f>Communes_HDF!B1722</f>
        <v>Hermes</v>
      </c>
      <c r="C1722" s="2">
        <f t="array" ref="C1722">_xlfn.XLOOKUP(A1722, INSEE_Communes!$A$2:$A$3783, INSEE_Communes!$F$2:$F$3783, "code introuvable")</f>
        <v>13</v>
      </c>
    </row>
    <row r="1723">
      <c r="A1723" s="2" t="str">
        <f>Communes_HDF!A1723</f>
        <v>60315</v>
      </c>
      <c r="B1723" s="2" t="str">
        <f>Communes_HDF!B1723</f>
        <v>Hodenc-en-Bray</v>
      </c>
      <c r="C1723" s="2" t="str">
        <f t="array" ref="C1723">_xlfn.XLOOKUP(A1723, INSEE_Communes!$A$2:$A$3783, INSEE_Communes!$F$2:$F$3783, "code introuvable")</f>
        <v>non publié</v>
      </c>
    </row>
    <row r="1724">
      <c r="A1724" s="2" t="str">
        <f>Communes_HDF!A1724</f>
        <v>60316</v>
      </c>
      <c r="B1724" s="2" t="str">
        <f>Communes_HDF!B1724</f>
        <v>Hodenc-l'Évêque</v>
      </c>
      <c r="C1724" s="2" t="str">
        <f t="array" ref="C1724">_xlfn.XLOOKUP(A1724, INSEE_Communes!$A$2:$A$3783, INSEE_Communes!$F$2:$F$3783, "code introuvable")</f>
        <v>non publié</v>
      </c>
    </row>
    <row r="1725">
      <c r="A1725" s="2" t="str">
        <f>Communes_HDF!A1725</f>
        <v>60317</v>
      </c>
      <c r="B1725" s="2" t="str">
        <f>Communes_HDF!B1725</f>
        <v>Hondainville</v>
      </c>
      <c r="C1725" s="2" t="str">
        <f t="array" ref="C1725">_xlfn.XLOOKUP(A1725, INSEE_Communes!$A$2:$A$3783, INSEE_Communes!$F$2:$F$3783, "code introuvable")</f>
        <v>non publié</v>
      </c>
    </row>
    <row r="1726">
      <c r="A1726" s="2" t="str">
        <f>Communes_HDF!A1726</f>
        <v>60318</v>
      </c>
      <c r="B1726" s="2" t="str">
        <f>Communes_HDF!B1726</f>
        <v>Houdancourt</v>
      </c>
      <c r="C1726" s="2" t="str">
        <f t="array" ref="C1726">_xlfn.XLOOKUP(A1726, INSEE_Communes!$A$2:$A$3783, INSEE_Communes!$F$2:$F$3783, "code introuvable")</f>
        <v>non publié</v>
      </c>
    </row>
    <row r="1727">
      <c r="A1727" s="2" t="str">
        <f>Communes_HDF!A1727</f>
        <v>60306</v>
      </c>
      <c r="B1727" s="2" t="str">
        <f>Communes_HDF!B1727</f>
        <v>Hécourt</v>
      </c>
      <c r="C1727" s="2" t="str">
        <f t="array" ref="C1727">_xlfn.XLOOKUP(A1727, INSEE_Communes!$A$2:$A$3783, INSEE_Communes!$F$2:$F$3783, "code introuvable")</f>
        <v>non publié</v>
      </c>
    </row>
    <row r="1728">
      <c r="A1728" s="2" t="str">
        <f>Communes_HDF!A1728</f>
        <v>60308</v>
      </c>
      <c r="B1728" s="2" t="str">
        <f>Communes_HDF!B1728</f>
        <v>Hémévillers</v>
      </c>
      <c r="C1728" s="2" t="str">
        <f t="array" ref="C1728">_xlfn.XLOOKUP(A1728, INSEE_Communes!$A$2:$A$3783, INSEE_Communes!$F$2:$F$3783, "code introuvable")</f>
        <v>non publié</v>
      </c>
    </row>
    <row r="1729">
      <c r="A1729" s="2" t="str">
        <f>Communes_HDF!A1729</f>
        <v>60309</v>
      </c>
      <c r="B1729" s="2" t="str">
        <f>Communes_HDF!B1729</f>
        <v>Hénonville</v>
      </c>
      <c r="C1729" s="2" t="str">
        <f t="array" ref="C1729">_xlfn.XLOOKUP(A1729, INSEE_Communes!$A$2:$A$3783, INSEE_Communes!$F$2:$F$3783, "code introuvable")</f>
        <v>non publié</v>
      </c>
    </row>
    <row r="1730">
      <c r="A1730" s="2" t="str">
        <f>Communes_HDF!A1730</f>
        <v>60312</v>
      </c>
      <c r="B1730" s="2" t="str">
        <f>Communes_HDF!B1730</f>
        <v>Héricourt-sur-Thérain</v>
      </c>
      <c r="C1730" s="2" t="str">
        <f t="array" ref="C1730">_xlfn.XLOOKUP(A1730, INSEE_Communes!$A$2:$A$3783, INSEE_Communes!$F$2:$F$3783, "code introuvable")</f>
        <v>non publié</v>
      </c>
    </row>
    <row r="1731">
      <c r="A1731" s="2" t="str">
        <f>Communes_HDF!A1731</f>
        <v>60314</v>
      </c>
      <c r="B1731" s="2" t="str">
        <f>Communes_HDF!B1731</f>
        <v>Hétomesnil</v>
      </c>
      <c r="C1731" s="2" t="str">
        <f t="array" ref="C1731">_xlfn.XLOOKUP(A1731, INSEE_Communes!$A$2:$A$3783, INSEE_Communes!$F$2:$F$3783, "code introuvable")</f>
        <v>non publié</v>
      </c>
    </row>
    <row r="1732">
      <c r="A1732" s="2" t="str">
        <f>Communes_HDF!A1732</f>
        <v>60320</v>
      </c>
      <c r="B1732" s="2" t="str">
        <f>Communes_HDF!B1732</f>
        <v>Ivors</v>
      </c>
      <c r="C1732" s="2" t="str">
        <f t="array" ref="C1732">_xlfn.XLOOKUP(A1732, INSEE_Communes!$A$2:$A$3783, INSEE_Communes!$F$2:$F$3783, "code introuvable")</f>
        <v>non publié</v>
      </c>
    </row>
    <row r="1733">
      <c r="A1733" s="2" t="str">
        <f>Communes_HDF!A1733</f>
        <v>60321</v>
      </c>
      <c r="B1733" s="2" t="str">
        <f>Communes_HDF!B1733</f>
        <v>Ivry-le-Temple</v>
      </c>
      <c r="C1733" s="2" t="str">
        <f t="array" ref="C1733">_xlfn.XLOOKUP(A1733, INSEE_Communes!$A$2:$A$3783, INSEE_Communes!$F$2:$F$3783, "code introuvable")</f>
        <v>non publié</v>
      </c>
    </row>
    <row r="1734">
      <c r="A1734" s="2" t="str">
        <f>Communes_HDF!A1734</f>
        <v>60322</v>
      </c>
      <c r="B1734" s="2" t="str">
        <f>Communes_HDF!B1734</f>
        <v>Jaméricourt</v>
      </c>
      <c r="C1734" s="2" t="str">
        <f t="array" ref="C1734">_xlfn.XLOOKUP(A1734, INSEE_Communes!$A$2:$A$3783, INSEE_Communes!$F$2:$F$3783, "code introuvable")</f>
        <v>non publié</v>
      </c>
    </row>
    <row r="1735">
      <c r="A1735" s="2" t="str">
        <f>Communes_HDF!A1735</f>
        <v>60323</v>
      </c>
      <c r="B1735" s="2" t="str">
        <f>Communes_HDF!B1735</f>
        <v>Janville</v>
      </c>
      <c r="C1735" s="2" t="str">
        <f t="array" ref="C1735">_xlfn.XLOOKUP(A1735, INSEE_Communes!$A$2:$A$3783, INSEE_Communes!$F$2:$F$3783, "code introuvable")</f>
        <v>non publié</v>
      </c>
    </row>
    <row r="1736">
      <c r="A1736" s="2" t="str">
        <f>Communes_HDF!A1736</f>
        <v>60324</v>
      </c>
      <c r="B1736" s="2" t="str">
        <f>Communes_HDF!B1736</f>
        <v>Jaulzy</v>
      </c>
      <c r="C1736" s="2" t="str">
        <f t="array" ref="C1736">_xlfn.XLOOKUP(A1736, INSEE_Communes!$A$2:$A$3783, INSEE_Communes!$F$2:$F$3783, "code introuvable")</f>
        <v>non publié</v>
      </c>
    </row>
    <row r="1737">
      <c r="A1737" s="2" t="str">
        <f>Communes_HDF!A1737</f>
        <v>60325</v>
      </c>
      <c r="B1737" s="2" t="str">
        <f>Communes_HDF!B1737</f>
        <v>Jaux</v>
      </c>
      <c r="C1737" s="2">
        <f t="array" ref="C1737">_xlfn.XLOOKUP(A1737, INSEE_Communes!$A$2:$A$3783, INSEE_Communes!$F$2:$F$3783, "code introuvable")</f>
        <v>9</v>
      </c>
    </row>
    <row r="1738">
      <c r="A1738" s="2" t="str">
        <f>Communes_HDF!A1738</f>
        <v>60326</v>
      </c>
      <c r="B1738" s="2" t="str">
        <f>Communes_HDF!B1738</f>
        <v>Jonquières</v>
      </c>
      <c r="C1738" s="2" t="str">
        <f t="array" ref="C1738">_xlfn.XLOOKUP(A1738, INSEE_Communes!$A$2:$A$3783, INSEE_Communes!$F$2:$F$3783, "code introuvable")</f>
        <v>non publié</v>
      </c>
    </row>
    <row r="1739">
      <c r="A1739" s="2" t="str">
        <f>Communes_HDF!A1739</f>
        <v>60327</v>
      </c>
      <c r="B1739" s="2" t="str">
        <f>Communes_HDF!B1739</f>
        <v>Jouy-sous-Thelle</v>
      </c>
      <c r="C1739" s="2" t="str">
        <f t="array" ref="C1739">_xlfn.XLOOKUP(A1739, INSEE_Communes!$A$2:$A$3783, INSEE_Communes!$F$2:$F$3783, "code introuvable")</f>
        <v>non publié</v>
      </c>
    </row>
    <row r="1740">
      <c r="A1740" s="2" t="str">
        <f>Communes_HDF!A1740</f>
        <v>60328</v>
      </c>
      <c r="B1740" s="2" t="str">
        <f>Communes_HDF!B1740</f>
        <v>Juvignies</v>
      </c>
      <c r="C1740" s="2" t="str">
        <f t="array" ref="C1740">_xlfn.XLOOKUP(A1740, INSEE_Communes!$A$2:$A$3783, INSEE_Communes!$F$2:$F$3783, "code introuvable")</f>
        <v>non publié</v>
      </c>
    </row>
    <row r="1741">
      <c r="A1741" s="2" t="str">
        <f>Communes_HDF!A1741</f>
        <v>60142</v>
      </c>
      <c r="B1741" s="2" t="str">
        <f>Communes_HDF!B1741</f>
        <v>La Chapelle-en-Serval</v>
      </c>
      <c r="C1741" s="2">
        <f t="array" ref="C1741">_xlfn.XLOOKUP(A1741, INSEE_Communes!$A$2:$A$3783, INSEE_Communes!$F$2:$F$3783, "code introuvable")</f>
        <v>6</v>
      </c>
    </row>
    <row r="1742">
      <c r="A1742" s="2" t="str">
        <f>Communes_HDF!A1742</f>
        <v>60209</v>
      </c>
      <c r="B1742" s="2" t="str">
        <f>Communes_HDF!B1742</f>
        <v>La Corne-en-Vexin</v>
      </c>
      <c r="C1742" s="2" t="str">
        <f t="array" ref="C1742">_xlfn.XLOOKUP(A1742, INSEE_Communes!$A$2:$A$3783, INSEE_Communes!$F$2:$F$3783, "code introuvable")</f>
        <v>non publié</v>
      </c>
    </row>
    <row r="1743">
      <c r="A1743" s="2" t="str">
        <f>Communes_HDF!A1743</f>
        <v>60196</v>
      </c>
      <c r="B1743" s="2" t="str">
        <f>Communes_HDF!B1743</f>
        <v>La Drenne</v>
      </c>
      <c r="C1743" s="2" t="str">
        <f t="array" ref="C1743">_xlfn.XLOOKUP(A1743, INSEE_Communes!$A$2:$A$3783, INSEE_Communes!$F$2:$F$3783, "code introuvable")</f>
        <v>non publié</v>
      </c>
    </row>
    <row r="1744">
      <c r="A1744" s="2" t="str">
        <f>Communes_HDF!A1744</f>
        <v>60319</v>
      </c>
      <c r="B1744" s="2" t="str">
        <f>Communes_HDF!B1744</f>
        <v>La Houssoye</v>
      </c>
      <c r="C1744" s="2" t="str">
        <f t="array" ref="C1744">_xlfn.XLOOKUP(A1744, INSEE_Communes!$A$2:$A$3783, INSEE_Communes!$F$2:$F$3783, "code introuvable")</f>
        <v>non publié</v>
      </c>
    </row>
    <row r="1745">
      <c r="A1745" s="2" t="str">
        <f>Communes_HDF!A1745</f>
        <v>60311</v>
      </c>
      <c r="B1745" s="2" t="str">
        <f>Communes_HDF!B1745</f>
        <v>La Hérelle</v>
      </c>
      <c r="C1745" s="2" t="str">
        <f t="array" ref="C1745">_xlfn.XLOOKUP(A1745, INSEE_Communes!$A$2:$A$3783, INSEE_Communes!$F$2:$F$3783, "code introuvable")</f>
        <v>non publié</v>
      </c>
    </row>
    <row r="1746">
      <c r="A1746" s="2" t="str">
        <f>Communes_HDF!A1746</f>
        <v>60456</v>
      </c>
      <c r="B1746" s="2" t="str">
        <f>Communes_HDF!B1746</f>
        <v>La Neuville-Roy</v>
      </c>
      <c r="C1746" s="2" t="str">
        <f t="array" ref="C1746">_xlfn.XLOOKUP(A1746, INSEE_Communes!$A$2:$A$3783, INSEE_Communes!$F$2:$F$3783, "code introuvable")</f>
        <v>non publié</v>
      </c>
    </row>
    <row r="1747">
      <c r="A1747" s="2" t="str">
        <f>Communes_HDF!A1747</f>
        <v>60457</v>
      </c>
      <c r="B1747" s="2" t="str">
        <f>Communes_HDF!B1747</f>
        <v>La Neuville-Saint-Pierre</v>
      </c>
      <c r="C1747" s="2" t="str">
        <f t="array" ref="C1747">_xlfn.XLOOKUP(A1747, INSEE_Communes!$A$2:$A$3783, INSEE_Communes!$F$2:$F$3783, "code introuvable")</f>
        <v>non publié</v>
      </c>
    </row>
    <row r="1748">
      <c r="A1748" s="2" t="str">
        <f>Communes_HDF!A1748</f>
        <v>60460</v>
      </c>
      <c r="B1748" s="2" t="str">
        <f>Communes_HDF!B1748</f>
        <v>La Neuville-Vault</v>
      </c>
      <c r="C1748" s="2" t="str">
        <f t="array" ref="C1748">_xlfn.XLOOKUP(A1748, INSEE_Communes!$A$2:$A$3783, INSEE_Communes!$F$2:$F$3783, "code introuvable")</f>
        <v>non publié</v>
      </c>
    </row>
    <row r="1749">
      <c r="A1749" s="2" t="str">
        <f>Communes_HDF!A1749</f>
        <v>60454</v>
      </c>
      <c r="B1749" s="2" t="str">
        <f>Communes_HDF!B1749</f>
        <v>La Neuville-en-Hez</v>
      </c>
      <c r="C1749" s="2" t="str">
        <f t="array" ref="C1749">_xlfn.XLOOKUP(A1749, INSEE_Communes!$A$2:$A$3783, INSEE_Communes!$F$2:$F$3783, "code introuvable")</f>
        <v>non publié</v>
      </c>
    </row>
    <row r="1750">
      <c r="A1750" s="2" t="str">
        <f>Communes_HDF!A1750</f>
        <v>60458</v>
      </c>
      <c r="B1750" s="2" t="str">
        <f>Communes_HDF!B1750</f>
        <v>La Neuville-sur-Oudeuil</v>
      </c>
      <c r="C1750" s="2" t="str">
        <f t="array" ref="C1750">_xlfn.XLOOKUP(A1750, INSEE_Communes!$A$2:$A$3783, INSEE_Communes!$F$2:$F$3783, "code introuvable")</f>
        <v>non publié</v>
      </c>
    </row>
    <row r="1751">
      <c r="A1751" s="2" t="str">
        <f>Communes_HDF!A1751</f>
        <v>60459</v>
      </c>
      <c r="B1751" s="2" t="str">
        <f>Communes_HDF!B1751</f>
        <v>La Neuville-sur-Ressons</v>
      </c>
      <c r="C1751" s="2" t="str">
        <f t="array" ref="C1751">_xlfn.XLOOKUP(A1751, INSEE_Communes!$A$2:$A$3783, INSEE_Communes!$F$2:$F$3783, "code introuvable")</f>
        <v>non publié</v>
      </c>
    </row>
    <row r="1752">
      <c r="A1752" s="2" t="str">
        <f>Communes_HDF!A1752</f>
        <v>60559</v>
      </c>
      <c r="B1752" s="2" t="str">
        <f>Communes_HDF!B1752</f>
        <v>La Rue-Saint-Pierre</v>
      </c>
      <c r="C1752" s="2" t="str">
        <f t="array" ref="C1752">_xlfn.XLOOKUP(A1752, INSEE_Communes!$A$2:$A$3783, INSEE_Communes!$F$2:$F$3783, "code introuvable")</f>
        <v>non publié</v>
      </c>
    </row>
    <row r="1753">
      <c r="A1753" s="2" t="str">
        <f>Communes_HDF!A1753</f>
        <v>60679</v>
      </c>
      <c r="B1753" s="2" t="str">
        <f>Communes_HDF!B1753</f>
        <v>La Villeneuve-sous-Thury</v>
      </c>
      <c r="C1753" s="2" t="str">
        <f t="array" ref="C1753">_xlfn.XLOOKUP(A1753, INSEE_Communes!$A$2:$A$3783, INSEE_Communes!$F$2:$F$3783, "code introuvable")</f>
        <v>non publié</v>
      </c>
    </row>
    <row r="1754">
      <c r="A1754" s="2" t="str">
        <f>Communes_HDF!A1754</f>
        <v>60329</v>
      </c>
      <c r="B1754" s="2" t="str">
        <f>Communes_HDF!B1754</f>
        <v>Laberlière</v>
      </c>
      <c r="C1754" s="2" t="str">
        <f t="array" ref="C1754">_xlfn.XLOOKUP(A1754, INSEE_Communes!$A$2:$A$3783, INSEE_Communes!$F$2:$F$3783, "code introuvable")</f>
        <v>non publié</v>
      </c>
    </row>
    <row r="1755">
      <c r="A1755" s="2" t="str">
        <f>Communes_HDF!A1755</f>
        <v>60330</v>
      </c>
      <c r="B1755" s="2" t="str">
        <f>Communes_HDF!B1755</f>
        <v>Laboissière-en-Thelle</v>
      </c>
      <c r="C1755" s="2" t="str">
        <f t="array" ref="C1755">_xlfn.XLOOKUP(A1755, INSEE_Communes!$A$2:$A$3783, INSEE_Communes!$F$2:$F$3783, "code introuvable")</f>
        <v>non publié</v>
      </c>
    </row>
    <row r="1756">
      <c r="A1756" s="2" t="str">
        <f>Communes_HDF!A1756</f>
        <v>60331</v>
      </c>
      <c r="B1756" s="2" t="str">
        <f>Communes_HDF!B1756</f>
        <v>Labosse</v>
      </c>
      <c r="C1756" s="2" t="str">
        <f t="array" ref="C1756">_xlfn.XLOOKUP(A1756, INSEE_Communes!$A$2:$A$3783, INSEE_Communes!$F$2:$F$3783, "code introuvable")</f>
        <v>non publié</v>
      </c>
    </row>
    <row r="1757">
      <c r="A1757" s="2" t="str">
        <f>Communes_HDF!A1757</f>
        <v>60332</v>
      </c>
      <c r="B1757" s="2" t="str">
        <f>Communes_HDF!B1757</f>
        <v>Labruyère</v>
      </c>
      <c r="C1757" s="2" t="str">
        <f t="array" ref="C1757">_xlfn.XLOOKUP(A1757, INSEE_Communes!$A$2:$A$3783, INSEE_Communes!$F$2:$F$3783, "code introuvable")</f>
        <v>non publié</v>
      </c>
    </row>
    <row r="1758">
      <c r="A1758" s="2" t="str">
        <f>Communes_HDF!A1758</f>
        <v>60334</v>
      </c>
      <c r="B1758" s="2" t="str">
        <f>Communes_HDF!B1758</f>
        <v>Lachapelle-Saint-Pierre</v>
      </c>
      <c r="C1758" s="2" t="str">
        <f t="array" ref="C1758">_xlfn.XLOOKUP(A1758, INSEE_Communes!$A$2:$A$3783, INSEE_Communes!$F$2:$F$3783, "code introuvable")</f>
        <v>non publié</v>
      </c>
    </row>
    <row r="1759">
      <c r="A1759" s="2" t="str">
        <f>Communes_HDF!A1759</f>
        <v>60333</v>
      </c>
      <c r="B1759" s="2" t="str">
        <f>Communes_HDF!B1759</f>
        <v>Lachapelle-aux-Pots</v>
      </c>
      <c r="C1759" s="2" t="str">
        <f t="array" ref="C1759">_xlfn.XLOOKUP(A1759, INSEE_Communes!$A$2:$A$3783, INSEE_Communes!$F$2:$F$3783, "code introuvable")</f>
        <v>non publié</v>
      </c>
    </row>
    <row r="1760">
      <c r="A1760" s="2" t="str">
        <f>Communes_HDF!A1760</f>
        <v>60335</v>
      </c>
      <c r="B1760" s="2" t="str">
        <f>Communes_HDF!B1760</f>
        <v>Lachapelle-sous-Gerberoy</v>
      </c>
      <c r="C1760" s="2" t="str">
        <f t="array" ref="C1760">_xlfn.XLOOKUP(A1760, INSEE_Communes!$A$2:$A$3783, INSEE_Communes!$F$2:$F$3783, "code introuvable")</f>
        <v>non publié</v>
      </c>
    </row>
    <row r="1761">
      <c r="A1761" s="2" t="str">
        <f>Communes_HDF!A1761</f>
        <v>60336</v>
      </c>
      <c r="B1761" s="2" t="str">
        <f>Communes_HDF!B1761</f>
        <v>Lachaussée-du-Bois-d'Écu</v>
      </c>
      <c r="C1761" s="2" t="str">
        <f t="array" ref="C1761">_xlfn.XLOOKUP(A1761, INSEE_Communes!$A$2:$A$3783, INSEE_Communes!$F$2:$F$3783, "code introuvable")</f>
        <v>non publié</v>
      </c>
    </row>
    <row r="1762">
      <c r="A1762" s="2" t="str">
        <f>Communes_HDF!A1762</f>
        <v>60337</v>
      </c>
      <c r="B1762" s="2" t="str">
        <f>Communes_HDF!B1762</f>
        <v>Lachelle</v>
      </c>
      <c r="C1762" s="2" t="str">
        <f t="array" ref="C1762">_xlfn.XLOOKUP(A1762, INSEE_Communes!$A$2:$A$3783, INSEE_Communes!$F$2:$F$3783, "code introuvable")</f>
        <v>non publié</v>
      </c>
    </row>
    <row r="1763">
      <c r="A1763" s="2" t="str">
        <f>Communes_HDF!A1763</f>
        <v>60338</v>
      </c>
      <c r="B1763" s="2" t="str">
        <f>Communes_HDF!B1763</f>
        <v>Lacroix-Saint-Ouen</v>
      </c>
      <c r="C1763" s="2">
        <f t="array" ref="C1763">_xlfn.XLOOKUP(A1763, INSEE_Communes!$A$2:$A$3783, INSEE_Communes!$F$2:$F$3783, "code introuvable")</f>
        <v>8</v>
      </c>
    </row>
    <row r="1764">
      <c r="A1764" s="2" t="str">
        <f>Communes_HDF!A1764</f>
        <v>60339</v>
      </c>
      <c r="B1764" s="2" t="str">
        <f>Communes_HDF!B1764</f>
        <v>Lafraye</v>
      </c>
      <c r="C1764" s="2" t="str">
        <f t="array" ref="C1764">_xlfn.XLOOKUP(A1764, INSEE_Communes!$A$2:$A$3783, INSEE_Communes!$F$2:$F$3783, "code introuvable")</f>
        <v>non publié</v>
      </c>
    </row>
    <row r="1765">
      <c r="A1765" s="2" t="str">
        <f>Communes_HDF!A1765</f>
        <v>60340</v>
      </c>
      <c r="B1765" s="2" t="str">
        <f>Communes_HDF!B1765</f>
        <v>Lagny</v>
      </c>
      <c r="C1765" s="2" t="str">
        <f t="array" ref="C1765">_xlfn.XLOOKUP(A1765, INSEE_Communes!$A$2:$A$3783, INSEE_Communes!$F$2:$F$3783, "code introuvable")</f>
        <v>non publié</v>
      </c>
    </row>
    <row r="1766">
      <c r="A1766" s="2" t="str">
        <f>Communes_HDF!A1766</f>
        <v>60341</v>
      </c>
      <c r="B1766" s="2" t="str">
        <f>Communes_HDF!B1766</f>
        <v>Lagny-le-Sec</v>
      </c>
      <c r="C1766" s="2">
        <f t="array" ref="C1766">_xlfn.XLOOKUP(A1766, INSEE_Communes!$A$2:$A$3783, INSEE_Communes!$F$2:$F$3783, "code introuvable")</f>
        <v>3</v>
      </c>
    </row>
    <row r="1767">
      <c r="A1767" s="2" t="str">
        <f>Communes_HDF!A1767</f>
        <v>60342</v>
      </c>
      <c r="B1767" s="2" t="str">
        <f>Communes_HDF!B1767</f>
        <v>Laigneville</v>
      </c>
      <c r="C1767" s="2">
        <f t="array" ref="C1767">_xlfn.XLOOKUP(A1767, INSEE_Communes!$A$2:$A$3783, INSEE_Communes!$F$2:$F$3783, "code introuvable")</f>
        <v>13</v>
      </c>
    </row>
    <row r="1768">
      <c r="A1768" s="2" t="str">
        <f>Communes_HDF!A1768</f>
        <v>60343</v>
      </c>
      <c r="B1768" s="2" t="str">
        <f>Communes_HDF!B1768</f>
        <v>Lalande-en-Son</v>
      </c>
      <c r="C1768" s="2" t="str">
        <f t="array" ref="C1768">_xlfn.XLOOKUP(A1768, INSEE_Communes!$A$2:$A$3783, INSEE_Communes!$F$2:$F$3783, "code introuvable")</f>
        <v>non publié</v>
      </c>
    </row>
    <row r="1769">
      <c r="A1769" s="2" t="str">
        <f>Communes_HDF!A1769</f>
        <v>60344</v>
      </c>
      <c r="B1769" s="2" t="str">
        <f>Communes_HDF!B1769</f>
        <v>Lalandelle</v>
      </c>
      <c r="C1769" s="2" t="str">
        <f t="array" ref="C1769">_xlfn.XLOOKUP(A1769, INSEE_Communes!$A$2:$A$3783, INSEE_Communes!$F$2:$F$3783, "code introuvable")</f>
        <v>non publié</v>
      </c>
    </row>
    <row r="1770">
      <c r="A1770" s="2" t="str">
        <f>Communes_HDF!A1770</f>
        <v>60346</v>
      </c>
      <c r="B1770" s="2" t="str">
        <f>Communes_HDF!B1770</f>
        <v>Lamorlaye</v>
      </c>
      <c r="C1770" s="2">
        <f t="array" ref="C1770">_xlfn.XLOOKUP(A1770, INSEE_Communes!$A$2:$A$3783, INSEE_Communes!$F$2:$F$3783, "code introuvable")</f>
        <v>7</v>
      </c>
    </row>
    <row r="1771">
      <c r="A1771" s="2" t="str">
        <f>Communes_HDF!A1771</f>
        <v>60345</v>
      </c>
      <c r="B1771" s="2" t="str">
        <f>Communes_HDF!B1771</f>
        <v>Lamécourt</v>
      </c>
      <c r="C1771" s="2" t="str">
        <f t="array" ref="C1771">_xlfn.XLOOKUP(A1771, INSEE_Communes!$A$2:$A$3783, INSEE_Communes!$F$2:$F$3783, "code introuvable")</f>
        <v>non publié</v>
      </c>
    </row>
    <row r="1772">
      <c r="A1772" s="2" t="str">
        <f>Communes_HDF!A1772</f>
        <v>60347</v>
      </c>
      <c r="B1772" s="2" t="str">
        <f>Communes_HDF!B1772</f>
        <v>Lannoy-Cuillère</v>
      </c>
      <c r="C1772" s="2" t="str">
        <f t="array" ref="C1772">_xlfn.XLOOKUP(A1772, INSEE_Communes!$A$2:$A$3783, INSEE_Communes!$F$2:$F$3783, "code introuvable")</f>
        <v>non publié</v>
      </c>
    </row>
    <row r="1773">
      <c r="A1773" s="2" t="str">
        <f>Communes_HDF!A1773</f>
        <v>60348</v>
      </c>
      <c r="B1773" s="2" t="str">
        <f>Communes_HDF!B1773</f>
        <v>Larbroye</v>
      </c>
      <c r="C1773" s="2" t="str">
        <f t="array" ref="C1773">_xlfn.XLOOKUP(A1773, INSEE_Communes!$A$2:$A$3783, INSEE_Communes!$F$2:$F$3783, "code introuvable")</f>
        <v>non publié</v>
      </c>
    </row>
    <row r="1774">
      <c r="A1774" s="2" t="str">
        <f>Communes_HDF!A1774</f>
        <v>60350</v>
      </c>
      <c r="B1774" s="2" t="str">
        <f>Communes_HDF!B1774</f>
        <v>Lassigny</v>
      </c>
      <c r="C1774" s="2" t="str">
        <f t="array" ref="C1774">_xlfn.XLOOKUP(A1774, INSEE_Communes!$A$2:$A$3783, INSEE_Communes!$F$2:$F$3783, "code introuvable")</f>
        <v>non publié</v>
      </c>
    </row>
    <row r="1775">
      <c r="A1775" s="2" t="str">
        <f>Communes_HDF!A1775</f>
        <v>60351</v>
      </c>
      <c r="B1775" s="2" t="str">
        <f>Communes_HDF!B1775</f>
        <v>Lataule</v>
      </c>
      <c r="C1775" s="2" t="str">
        <f t="array" ref="C1775">_xlfn.XLOOKUP(A1775, INSEE_Communes!$A$2:$A$3783, INSEE_Communes!$F$2:$F$3783, "code introuvable")</f>
        <v>non publié</v>
      </c>
    </row>
    <row r="1776">
      <c r="A1776" s="2" t="str">
        <f>Communes_HDF!A1776</f>
        <v>60352</v>
      </c>
      <c r="B1776" s="2" t="str">
        <f>Communes_HDF!B1776</f>
        <v>Lattainville</v>
      </c>
      <c r="C1776" s="2" t="str">
        <f t="array" ref="C1776">_xlfn.XLOOKUP(A1776, INSEE_Communes!$A$2:$A$3783, INSEE_Communes!$F$2:$F$3783, "code introuvable")</f>
        <v>non publié</v>
      </c>
    </row>
    <row r="1777">
      <c r="A1777" s="2" t="str">
        <f>Communes_HDF!A1777</f>
        <v>60353</v>
      </c>
      <c r="B1777" s="2" t="str">
        <f>Communes_HDF!B1777</f>
        <v>Lavacquerie</v>
      </c>
      <c r="C1777" s="2" t="str">
        <f t="array" ref="C1777">_xlfn.XLOOKUP(A1777, INSEE_Communes!$A$2:$A$3783, INSEE_Communes!$F$2:$F$3783, "code introuvable")</f>
        <v>non publié</v>
      </c>
    </row>
    <row r="1778">
      <c r="A1778" s="2" t="str">
        <f>Communes_HDF!A1778</f>
        <v>60354</v>
      </c>
      <c r="B1778" s="2" t="str">
        <f>Communes_HDF!B1778</f>
        <v>Laverrière</v>
      </c>
      <c r="C1778" s="2" t="str">
        <f t="array" ref="C1778">_xlfn.XLOOKUP(A1778, INSEE_Communes!$A$2:$A$3783, INSEE_Communes!$F$2:$F$3783, "code introuvable")</f>
        <v>non publié</v>
      </c>
    </row>
    <row r="1779">
      <c r="A1779" s="2" t="str">
        <f>Communes_HDF!A1779</f>
        <v>60355</v>
      </c>
      <c r="B1779" s="2" t="str">
        <f>Communes_HDF!B1779</f>
        <v>Laversines</v>
      </c>
      <c r="C1779" s="2" t="str">
        <f t="array" ref="C1779">_xlfn.XLOOKUP(A1779, INSEE_Communes!$A$2:$A$3783, INSEE_Communes!$F$2:$F$3783, "code introuvable")</f>
        <v>non publié</v>
      </c>
    </row>
    <row r="1780">
      <c r="A1780" s="2" t="str">
        <f>Communes_HDF!A1780</f>
        <v>60356</v>
      </c>
      <c r="B1780" s="2" t="str">
        <f>Communes_HDF!B1780</f>
        <v>Lavilletertre</v>
      </c>
      <c r="C1780" s="2" t="str">
        <f t="array" ref="C1780">_xlfn.XLOOKUP(A1780, INSEE_Communes!$A$2:$A$3783, INSEE_Communes!$F$2:$F$3783, "code introuvable")</f>
        <v>non publié</v>
      </c>
    </row>
    <row r="1781">
      <c r="A1781" s="2" t="str">
        <f>Communes_HDF!A1781</f>
        <v>60164</v>
      </c>
      <c r="B1781" s="2" t="str">
        <f>Communes_HDF!B1781</f>
        <v>Le Coudray-Saint-Germer</v>
      </c>
      <c r="C1781" s="2" t="str">
        <f t="array" ref="C1781">_xlfn.XLOOKUP(A1781, INSEE_Communes!$A$2:$A$3783, INSEE_Communes!$F$2:$F$3783, "code introuvable")</f>
        <v>non publié</v>
      </c>
    </row>
    <row r="1782">
      <c r="A1782" s="2" t="str">
        <f>Communes_HDF!A1782</f>
        <v>60165</v>
      </c>
      <c r="B1782" s="2" t="str">
        <f>Communes_HDF!B1782</f>
        <v>Le Coudray-sur-Thelle</v>
      </c>
      <c r="C1782" s="2" t="str">
        <f t="array" ref="C1782">_xlfn.XLOOKUP(A1782, INSEE_Communes!$A$2:$A$3783, INSEE_Communes!$F$2:$F$3783, "code introuvable")</f>
        <v>non publié</v>
      </c>
    </row>
    <row r="1783">
      <c r="A1783" s="2" t="str">
        <f>Communes_HDF!A1783</f>
        <v>60182</v>
      </c>
      <c r="B1783" s="2" t="str">
        <f>Communes_HDF!B1783</f>
        <v>Le Crocq</v>
      </c>
      <c r="C1783" s="2" t="str">
        <f t="array" ref="C1783">_xlfn.XLOOKUP(A1783, INSEE_Communes!$A$2:$A$3783, INSEE_Communes!$F$2:$F$3783, "code introuvable")</f>
        <v>non publié</v>
      </c>
    </row>
    <row r="1784">
      <c r="A1784" s="2" t="str">
        <f>Communes_HDF!A1784</f>
        <v>60230</v>
      </c>
      <c r="B1784" s="2" t="str">
        <f>Communes_HDF!B1784</f>
        <v>Le Fay-Saint-Quentin</v>
      </c>
      <c r="C1784" s="2" t="str">
        <f t="array" ref="C1784">_xlfn.XLOOKUP(A1784, INSEE_Communes!$A$2:$A$3783, INSEE_Communes!$F$2:$F$3783, "code introuvable")</f>
        <v>non publié</v>
      </c>
    </row>
    <row r="1785">
      <c r="A1785" s="2" t="str">
        <f>Communes_HDF!A1785</f>
        <v>60229</v>
      </c>
      <c r="B1785" s="2" t="str">
        <f>Communes_HDF!B1785</f>
        <v>Le Fayel</v>
      </c>
      <c r="C1785" s="2" t="str">
        <f t="array" ref="C1785">_xlfn.XLOOKUP(A1785, INSEE_Communes!$A$2:$A$3783, INSEE_Communes!$F$2:$F$3783, "code introuvable")</f>
        <v>non publié</v>
      </c>
    </row>
    <row r="1786">
      <c r="A1786" s="2" t="str">
        <f>Communes_HDF!A1786</f>
        <v>60262</v>
      </c>
      <c r="B1786" s="2" t="str">
        <f>Communes_HDF!B1786</f>
        <v>Le Frestoy-Vaux</v>
      </c>
      <c r="C1786" s="2" t="str">
        <f t="array" ref="C1786">_xlfn.XLOOKUP(A1786, INSEE_Communes!$A$2:$A$3783, INSEE_Communes!$F$2:$F$3783, "code introuvable")</f>
        <v>non publié</v>
      </c>
    </row>
    <row r="1787">
      <c r="A1787" s="2" t="str">
        <f>Communes_HDF!A1787</f>
        <v>60267</v>
      </c>
      <c r="B1787" s="2" t="str">
        <f>Communes_HDF!B1787</f>
        <v>Le Gallet</v>
      </c>
      <c r="C1787" s="2" t="str">
        <f t="array" ref="C1787">_xlfn.XLOOKUP(A1787, INSEE_Communes!$A$2:$A$3783, INSEE_Communes!$F$2:$F$3783, "code introuvable")</f>
        <v>non publié</v>
      </c>
    </row>
    <row r="1788">
      <c r="A1788" s="2" t="str">
        <f>Communes_HDF!A1788</f>
        <v>60297</v>
      </c>
      <c r="B1788" s="2" t="str">
        <f>Communes_HDF!B1788</f>
        <v>Le Hamel</v>
      </c>
      <c r="C1788" s="2" t="str">
        <f t="array" ref="C1788">_xlfn.XLOOKUP(A1788, INSEE_Communes!$A$2:$A$3783, INSEE_Communes!$F$2:$F$3783, "code introuvable")</f>
        <v>non publié</v>
      </c>
    </row>
    <row r="1789">
      <c r="A1789" s="2" t="str">
        <f>Communes_HDF!A1789</f>
        <v>60397</v>
      </c>
      <c r="B1789" s="2" t="str">
        <f>Communes_HDF!B1789</f>
        <v>Le Mesnil-Conteville</v>
      </c>
      <c r="C1789" s="2" t="str">
        <f t="array" ref="C1789">_xlfn.XLOOKUP(A1789, INSEE_Communes!$A$2:$A$3783, INSEE_Communes!$F$2:$F$3783, "code introuvable")</f>
        <v>non publié</v>
      </c>
    </row>
    <row r="1790">
      <c r="A1790" s="2" t="str">
        <f>Communes_HDF!A1790</f>
        <v>60399</v>
      </c>
      <c r="B1790" s="2" t="str">
        <f>Communes_HDF!B1790</f>
        <v>Le Mesnil-Saint-Firmin</v>
      </c>
      <c r="C1790" s="2" t="str">
        <f t="array" ref="C1790">_xlfn.XLOOKUP(A1790, INSEE_Communes!$A$2:$A$3783, INSEE_Communes!$F$2:$F$3783, "code introuvable")</f>
        <v>non publié</v>
      </c>
    </row>
    <row r="1791">
      <c r="A1791" s="2" t="str">
        <f>Communes_HDF!A1791</f>
        <v>60401</v>
      </c>
      <c r="B1791" s="2" t="str">
        <f>Communes_HDF!B1791</f>
        <v>Le Mesnil-Théribus</v>
      </c>
      <c r="C1791" s="2" t="str">
        <f t="array" ref="C1791">_xlfn.XLOOKUP(A1791, INSEE_Communes!$A$2:$A$3783, INSEE_Communes!$F$2:$F$3783, "code introuvable")</f>
        <v>non publié</v>
      </c>
    </row>
    <row r="1792">
      <c r="A1792" s="2" t="str">
        <f>Communes_HDF!A1792</f>
        <v>60398</v>
      </c>
      <c r="B1792" s="2" t="str">
        <f>Communes_HDF!B1792</f>
        <v>Le Mesnil-en-Thelle</v>
      </c>
      <c r="C1792" s="2">
        <f t="array" ref="C1792">_xlfn.XLOOKUP(A1792, INSEE_Communes!$A$2:$A$3783, INSEE_Communes!$F$2:$F$3783, "code introuvable")</f>
        <v>8</v>
      </c>
    </row>
    <row r="1793">
      <c r="A1793" s="2" t="str">
        <f>Communes_HDF!A1793</f>
        <v>60400</v>
      </c>
      <c r="B1793" s="2" t="str">
        <f>Communes_HDF!B1793</f>
        <v>Le Mesnil-sur-Bulles</v>
      </c>
      <c r="C1793" s="2" t="str">
        <f t="array" ref="C1793">_xlfn.XLOOKUP(A1793, INSEE_Communes!$A$2:$A$3783, INSEE_Communes!$F$2:$F$3783, "code introuvable")</f>
        <v>non publié</v>
      </c>
    </row>
    <row r="1794">
      <c r="A1794" s="2" t="str">
        <f>Communes_HDF!A1794</f>
        <v>60402</v>
      </c>
      <c r="B1794" s="2" t="str">
        <f>Communes_HDF!B1794</f>
        <v>Le Meux</v>
      </c>
      <c r="C1794" s="2">
        <f t="array" ref="C1794">_xlfn.XLOOKUP(A1794, INSEE_Communes!$A$2:$A$3783, INSEE_Communes!$F$2:$F$3783, "code introuvable")</f>
        <v>6</v>
      </c>
    </row>
    <row r="1795">
      <c r="A1795" s="2" t="str">
        <f>Communes_HDF!A1795</f>
        <v>60428</v>
      </c>
      <c r="B1795" s="2" t="str">
        <f>Communes_HDF!B1795</f>
        <v>Le Mont-Saint-Adrien</v>
      </c>
      <c r="C1795" s="2" t="str">
        <f t="array" ref="C1795">_xlfn.XLOOKUP(A1795, INSEE_Communes!$A$2:$A$3783, INSEE_Communes!$F$2:$F$3783, "code introuvable")</f>
        <v>non publié</v>
      </c>
    </row>
    <row r="1796">
      <c r="A1796" s="2" t="str">
        <f>Communes_HDF!A1796</f>
        <v>60497</v>
      </c>
      <c r="B1796" s="2" t="str">
        <f>Communes_HDF!B1796</f>
        <v>Le Plessier-sur-Bulles</v>
      </c>
      <c r="C1796" s="2" t="str">
        <f t="array" ref="C1796">_xlfn.XLOOKUP(A1796, INSEE_Communes!$A$2:$A$3783, INSEE_Communes!$F$2:$F$3783, "code introuvable")</f>
        <v>non publié</v>
      </c>
    </row>
    <row r="1797">
      <c r="A1797" s="2" t="str">
        <f>Communes_HDF!A1797</f>
        <v>60498</v>
      </c>
      <c r="B1797" s="2" t="str">
        <f>Communes_HDF!B1797</f>
        <v>Le Plessier-sur-Saint-Just</v>
      </c>
      <c r="C1797" s="2" t="str">
        <f t="array" ref="C1797">_xlfn.XLOOKUP(A1797, INSEE_Communes!$A$2:$A$3783, INSEE_Communes!$F$2:$F$3783, "code introuvable")</f>
        <v>non publié</v>
      </c>
    </row>
    <row r="1798">
      <c r="A1798" s="2" t="str">
        <f>Communes_HDF!A1798</f>
        <v>60500</v>
      </c>
      <c r="B1798" s="2" t="str">
        <f>Communes_HDF!B1798</f>
        <v>Le Plessis-Belleville</v>
      </c>
      <c r="C1798" s="2">
        <f t="array" ref="C1798">_xlfn.XLOOKUP(A1798, INSEE_Communes!$A$2:$A$3783, INSEE_Communes!$F$2:$F$3783, "code introuvable")</f>
        <v>8</v>
      </c>
    </row>
    <row r="1799">
      <c r="A1799" s="2" t="str">
        <f>Communes_HDF!A1799</f>
        <v>60501</v>
      </c>
      <c r="B1799" s="2" t="str">
        <f>Communes_HDF!B1799</f>
        <v>Le Plessis-Brion</v>
      </c>
      <c r="C1799" s="2" t="str">
        <f t="array" ref="C1799">_xlfn.XLOOKUP(A1799, INSEE_Communes!$A$2:$A$3783, INSEE_Communes!$F$2:$F$3783, "code introuvable")</f>
        <v>non publié</v>
      </c>
    </row>
    <row r="1800">
      <c r="A1800" s="2" t="str">
        <f>Communes_HDF!A1800</f>
        <v>60502</v>
      </c>
      <c r="B1800" s="2" t="str">
        <f>Communes_HDF!B1800</f>
        <v>Le Plessis-Patte-d'Oie</v>
      </c>
      <c r="C1800" s="2" t="str">
        <f t="array" ref="C1800">_xlfn.XLOOKUP(A1800, INSEE_Communes!$A$2:$A$3783, INSEE_Communes!$F$2:$F$3783, "code introuvable")</f>
        <v>non publié</v>
      </c>
    </row>
    <row r="1801">
      <c r="A1801" s="2" t="str">
        <f>Communes_HDF!A1801</f>
        <v>60503</v>
      </c>
      <c r="B1801" s="2" t="str">
        <f>Communes_HDF!B1801</f>
        <v>Le Ployron</v>
      </c>
      <c r="C1801" s="2" t="str">
        <f t="array" ref="C1801">_xlfn.XLOOKUP(A1801, INSEE_Communes!$A$2:$A$3783, INSEE_Communes!$F$2:$F$3783, "code introuvable")</f>
        <v>non publié</v>
      </c>
    </row>
    <row r="1802">
      <c r="A1802" s="2" t="str">
        <f>Communes_HDF!A1802</f>
        <v>60520</v>
      </c>
      <c r="B1802" s="2" t="str">
        <f>Communes_HDF!B1802</f>
        <v>Le Quesnel-Aubry</v>
      </c>
      <c r="C1802" s="2" t="str">
        <f t="array" ref="C1802">_xlfn.XLOOKUP(A1802, INSEE_Communes!$A$2:$A$3783, INSEE_Communes!$F$2:$F$3783, "code introuvable")</f>
        <v>non publié</v>
      </c>
    </row>
    <row r="1803">
      <c r="A1803" s="2" t="str">
        <f>Communes_HDF!A1803</f>
        <v>60608</v>
      </c>
      <c r="B1803" s="2" t="str">
        <f>Communes_HDF!B1803</f>
        <v>Le Saulchoy</v>
      </c>
      <c r="C1803" s="2" t="str">
        <f t="array" ref="C1803">_xlfn.XLOOKUP(A1803, INSEE_Communes!$A$2:$A$3783, INSEE_Communes!$F$2:$F$3783, "code introuvable")</f>
        <v>non publié</v>
      </c>
    </row>
    <row r="1804">
      <c r="A1804" s="2" t="str">
        <f>Communes_HDF!A1804</f>
        <v>60660</v>
      </c>
      <c r="B1804" s="2" t="str">
        <f>Communes_HDF!B1804</f>
        <v>Le Vaumain</v>
      </c>
      <c r="C1804" s="2" t="str">
        <f t="array" ref="C1804">_xlfn.XLOOKUP(A1804, INSEE_Communes!$A$2:$A$3783, INSEE_Communes!$F$2:$F$3783, "code introuvable")</f>
        <v>non publié</v>
      </c>
    </row>
    <row r="1805">
      <c r="A1805" s="2" t="str">
        <f>Communes_HDF!A1805</f>
        <v>60662</v>
      </c>
      <c r="B1805" s="2" t="str">
        <f>Communes_HDF!B1805</f>
        <v>Le Vauroux</v>
      </c>
      <c r="C1805" s="2" t="str">
        <f t="array" ref="C1805">_xlfn.XLOOKUP(A1805, INSEE_Communes!$A$2:$A$3783, INSEE_Communes!$F$2:$F$3783, "code introuvable")</f>
        <v>non publié</v>
      </c>
    </row>
    <row r="1806">
      <c r="A1806" s="2" t="str">
        <f>Communes_HDF!A1806</f>
        <v>60006</v>
      </c>
      <c r="B1806" s="2" t="str">
        <f>Communes_HDF!B1806</f>
        <v>Les Ageux</v>
      </c>
      <c r="C1806" s="2" t="str">
        <f t="array" ref="C1806">_xlfn.XLOOKUP(A1806, INSEE_Communes!$A$2:$A$3783, INSEE_Communes!$F$2:$F$3783, "code introuvable")</f>
        <v>non publié</v>
      </c>
    </row>
    <row r="1807">
      <c r="A1807" s="2" t="str">
        <f>Communes_HDF!A1807</f>
        <v>60694</v>
      </c>
      <c r="B1807" s="2" t="str">
        <f>Communes_HDF!B1807</f>
        <v>Les Hauts-Talican</v>
      </c>
      <c r="C1807" s="2" t="str">
        <f t="array" ref="C1807">_xlfn.XLOOKUP(A1807, INSEE_Communes!$A$2:$A$3783, INSEE_Communes!$F$2:$F$3783, "code introuvable")</f>
        <v>non publié</v>
      </c>
    </row>
    <row r="1808">
      <c r="A1808" s="2" t="str">
        <f>Communes_HDF!A1808</f>
        <v>60359</v>
      </c>
      <c r="B1808" s="2" t="str">
        <f>Communes_HDF!B1808</f>
        <v>Lhéraule</v>
      </c>
      <c r="C1808" s="2" t="str">
        <f t="array" ref="C1808">_xlfn.XLOOKUP(A1808, INSEE_Communes!$A$2:$A$3783, INSEE_Communes!$F$2:$F$3783, "code introuvable")</f>
        <v>non publié</v>
      </c>
    </row>
    <row r="1809">
      <c r="A1809" s="2" t="str">
        <f>Communes_HDF!A1809</f>
        <v>60360</v>
      </c>
      <c r="B1809" s="2" t="str">
        <f>Communes_HDF!B1809</f>
        <v>Liancourt</v>
      </c>
      <c r="C1809" s="2">
        <f t="array" ref="C1809">_xlfn.XLOOKUP(A1809, INSEE_Communes!$A$2:$A$3783, INSEE_Communes!$F$2:$F$3783, "code introuvable")</f>
        <v>19</v>
      </c>
    </row>
    <row r="1810">
      <c r="A1810" s="2" t="str">
        <f>Communes_HDF!A1810</f>
        <v>60361</v>
      </c>
      <c r="B1810" s="2" t="str">
        <f>Communes_HDF!B1810</f>
        <v>Liancourt-Saint-Pierre</v>
      </c>
      <c r="C1810" s="2" t="str">
        <f t="array" ref="C1810">_xlfn.XLOOKUP(A1810, INSEE_Communes!$A$2:$A$3783, INSEE_Communes!$F$2:$F$3783, "code introuvable")</f>
        <v>non publié</v>
      </c>
    </row>
    <row r="1811">
      <c r="A1811" s="2" t="str">
        <f>Communes_HDF!A1811</f>
        <v>60362</v>
      </c>
      <c r="B1811" s="2" t="str">
        <f>Communes_HDF!B1811</f>
        <v>Libermont</v>
      </c>
      <c r="C1811" s="2" t="str">
        <f t="array" ref="C1811">_xlfn.XLOOKUP(A1811, INSEE_Communes!$A$2:$A$3783, INSEE_Communes!$F$2:$F$3783, "code introuvable")</f>
        <v>non publié</v>
      </c>
    </row>
    <row r="1812">
      <c r="A1812" s="2" t="str">
        <f>Communes_HDF!A1812</f>
        <v>60363</v>
      </c>
      <c r="B1812" s="2" t="str">
        <f>Communes_HDF!B1812</f>
        <v>Lierville</v>
      </c>
      <c r="C1812" s="2" t="str">
        <f t="array" ref="C1812">_xlfn.XLOOKUP(A1812, INSEE_Communes!$A$2:$A$3783, INSEE_Communes!$F$2:$F$3783, "code introuvable")</f>
        <v>non publié</v>
      </c>
    </row>
    <row r="1813">
      <c r="A1813" s="2" t="str">
        <f>Communes_HDF!A1813</f>
        <v>60364</v>
      </c>
      <c r="B1813" s="2" t="str">
        <f>Communes_HDF!B1813</f>
        <v>Lieuvillers</v>
      </c>
      <c r="C1813" s="2" t="str">
        <f t="array" ref="C1813">_xlfn.XLOOKUP(A1813, INSEE_Communes!$A$2:$A$3783, INSEE_Communes!$F$2:$F$3783, "code introuvable")</f>
        <v>non publié</v>
      </c>
    </row>
    <row r="1814">
      <c r="A1814" s="2" t="str">
        <f>Communes_HDF!A1814</f>
        <v>60365</v>
      </c>
      <c r="B1814" s="2" t="str">
        <f>Communes_HDF!B1814</f>
        <v>Lihus</v>
      </c>
      <c r="C1814" s="2" t="str">
        <f t="array" ref="C1814">_xlfn.XLOOKUP(A1814, INSEE_Communes!$A$2:$A$3783, INSEE_Communes!$F$2:$F$3783, "code introuvable")</f>
        <v>non publié</v>
      </c>
    </row>
    <row r="1815">
      <c r="A1815" s="2" t="str">
        <f>Communes_HDF!A1815</f>
        <v>60366</v>
      </c>
      <c r="B1815" s="2" t="str">
        <f>Communes_HDF!B1815</f>
        <v>Litz</v>
      </c>
      <c r="C1815" s="2" t="str">
        <f t="array" ref="C1815">_xlfn.XLOOKUP(A1815, INSEE_Communes!$A$2:$A$3783, INSEE_Communes!$F$2:$F$3783, "code introuvable")</f>
        <v>non publié</v>
      </c>
    </row>
    <row r="1816">
      <c r="A1816" s="2" t="str">
        <f>Communes_HDF!A1816</f>
        <v>60367</v>
      </c>
      <c r="B1816" s="2" t="str">
        <f>Communes_HDF!B1816</f>
        <v>Loconville</v>
      </c>
      <c r="C1816" s="2" t="str">
        <f t="array" ref="C1816">_xlfn.XLOOKUP(A1816, INSEE_Communes!$A$2:$A$3783, INSEE_Communes!$F$2:$F$3783, "code introuvable")</f>
        <v>non publié</v>
      </c>
    </row>
    <row r="1817">
      <c r="A1817" s="2" t="str">
        <f>Communes_HDF!A1817</f>
        <v>60368</v>
      </c>
      <c r="B1817" s="2" t="str">
        <f>Communes_HDF!B1817</f>
        <v>Longueil-Annel</v>
      </c>
      <c r="C1817" s="2">
        <f t="array" ref="C1817">_xlfn.XLOOKUP(A1817, INSEE_Communes!$A$2:$A$3783, INSEE_Communes!$F$2:$F$3783, "code introuvable")</f>
        <v>16</v>
      </c>
    </row>
    <row r="1818">
      <c r="A1818" s="2" t="str">
        <f>Communes_HDF!A1818</f>
        <v>60369</v>
      </c>
      <c r="B1818" s="2" t="str">
        <f>Communes_HDF!B1818</f>
        <v>Longueil-Sainte-Marie</v>
      </c>
      <c r="C1818" s="2" t="str">
        <f t="array" ref="C1818">_xlfn.XLOOKUP(A1818, INSEE_Communes!$A$2:$A$3783, INSEE_Communes!$F$2:$F$3783, "code introuvable")</f>
        <v>non publié</v>
      </c>
    </row>
    <row r="1819">
      <c r="A1819" s="2" t="str">
        <f>Communes_HDF!A1819</f>
        <v>60370</v>
      </c>
      <c r="B1819" s="2" t="str">
        <f>Communes_HDF!B1819</f>
        <v>Lormaison</v>
      </c>
      <c r="C1819" s="2" t="str">
        <f t="array" ref="C1819">_xlfn.XLOOKUP(A1819, INSEE_Communes!$A$2:$A$3783, INSEE_Communes!$F$2:$F$3783, "code introuvable")</f>
        <v>non publié</v>
      </c>
    </row>
    <row r="1820">
      <c r="A1820" s="2" t="str">
        <f>Communes_HDF!A1820</f>
        <v>60371</v>
      </c>
      <c r="B1820" s="2" t="str">
        <f>Communes_HDF!B1820</f>
        <v>Loueuse</v>
      </c>
      <c r="C1820" s="2" t="str">
        <f t="array" ref="C1820">_xlfn.XLOOKUP(A1820, INSEE_Communes!$A$2:$A$3783, INSEE_Communes!$F$2:$F$3783, "code introuvable")</f>
        <v>non publié</v>
      </c>
    </row>
    <row r="1821">
      <c r="A1821" s="2" t="str">
        <f>Communes_HDF!A1821</f>
        <v>60372</v>
      </c>
      <c r="B1821" s="2" t="str">
        <f>Communes_HDF!B1821</f>
        <v>Luchy</v>
      </c>
      <c r="C1821" s="2" t="str">
        <f t="array" ref="C1821">_xlfn.XLOOKUP(A1821, INSEE_Communes!$A$2:$A$3783, INSEE_Communes!$F$2:$F$3783, "code introuvable")</f>
        <v>non publié</v>
      </c>
    </row>
    <row r="1822">
      <c r="A1822" s="2" t="str">
        <f>Communes_HDF!A1822</f>
        <v>60357</v>
      </c>
      <c r="B1822" s="2" t="str">
        <f>Communes_HDF!B1822</f>
        <v>Léglantiers</v>
      </c>
      <c r="C1822" s="2" t="str">
        <f t="array" ref="C1822">_xlfn.XLOOKUP(A1822, INSEE_Communes!$A$2:$A$3783, INSEE_Communes!$F$2:$F$3783, "code introuvable")</f>
        <v>non publié</v>
      </c>
    </row>
    <row r="1823">
      <c r="A1823" s="2" t="str">
        <f>Communes_HDF!A1823</f>
        <v>60358</v>
      </c>
      <c r="B1823" s="2" t="str">
        <f>Communes_HDF!B1823</f>
        <v>Lévignen</v>
      </c>
      <c r="C1823" s="2" t="str">
        <f t="array" ref="C1823">_xlfn.XLOOKUP(A1823, INSEE_Communes!$A$2:$A$3783, INSEE_Communes!$F$2:$F$3783, "code introuvable")</f>
        <v>non publié</v>
      </c>
    </row>
    <row r="1824">
      <c r="A1824" s="2" t="str">
        <f>Communes_HDF!A1824</f>
        <v>60373</v>
      </c>
      <c r="B1824" s="2" t="str">
        <f>Communes_HDF!B1824</f>
        <v>Machemont</v>
      </c>
      <c r="C1824" s="2" t="str">
        <f t="array" ref="C1824">_xlfn.XLOOKUP(A1824, INSEE_Communes!$A$2:$A$3783, INSEE_Communes!$F$2:$F$3783, "code introuvable")</f>
        <v>non publié</v>
      </c>
    </row>
    <row r="1825">
      <c r="A1825" s="2" t="str">
        <f>Communes_HDF!A1825</f>
        <v>60374</v>
      </c>
      <c r="B1825" s="2" t="str">
        <f>Communes_HDF!B1825</f>
        <v>Maignelay-Montigny</v>
      </c>
      <c r="C1825" s="2">
        <f t="array" ref="C1825">_xlfn.XLOOKUP(A1825, INSEE_Communes!$A$2:$A$3783, INSEE_Communes!$F$2:$F$3783, "code introuvable")</f>
        <v>14</v>
      </c>
    </row>
    <row r="1826">
      <c r="A1826" s="2" t="str">
        <f>Communes_HDF!A1826</f>
        <v>60375</v>
      </c>
      <c r="B1826" s="2" t="str">
        <f>Communes_HDF!B1826</f>
        <v>Maimbeville</v>
      </c>
      <c r="C1826" s="2" t="str">
        <f t="array" ref="C1826">_xlfn.XLOOKUP(A1826, INSEE_Communes!$A$2:$A$3783, INSEE_Communes!$F$2:$F$3783, "code introuvable")</f>
        <v>non publié</v>
      </c>
    </row>
    <row r="1827">
      <c r="A1827" s="2" t="str">
        <f>Communes_HDF!A1827</f>
        <v>60376</v>
      </c>
      <c r="B1827" s="2" t="str">
        <f>Communes_HDF!B1827</f>
        <v>Maisoncelle-Saint-Pierre</v>
      </c>
      <c r="C1827" s="2" t="str">
        <f t="array" ref="C1827">_xlfn.XLOOKUP(A1827, INSEE_Communes!$A$2:$A$3783, INSEE_Communes!$F$2:$F$3783, "code introuvable")</f>
        <v>non publié</v>
      </c>
    </row>
    <row r="1828">
      <c r="A1828" s="2" t="str">
        <f>Communes_HDF!A1828</f>
        <v>60377</v>
      </c>
      <c r="B1828" s="2" t="str">
        <f>Communes_HDF!B1828</f>
        <v>Maisoncelle-Tuilerie</v>
      </c>
      <c r="C1828" s="2" t="str">
        <f t="array" ref="C1828">_xlfn.XLOOKUP(A1828, INSEE_Communes!$A$2:$A$3783, INSEE_Communes!$F$2:$F$3783, "code introuvable")</f>
        <v>non publié</v>
      </c>
    </row>
    <row r="1829">
      <c r="A1829" s="2" t="str">
        <f>Communes_HDF!A1829</f>
        <v>60378</v>
      </c>
      <c r="B1829" s="2" t="str">
        <f>Communes_HDF!B1829</f>
        <v>Marest-sur-Matz</v>
      </c>
      <c r="C1829" s="2" t="str">
        <f t="array" ref="C1829">_xlfn.XLOOKUP(A1829, INSEE_Communes!$A$2:$A$3783, INSEE_Communes!$F$2:$F$3783, "code introuvable")</f>
        <v>non publié</v>
      </c>
    </row>
    <row r="1830">
      <c r="A1830" s="2" t="str">
        <f>Communes_HDF!A1830</f>
        <v>60379</v>
      </c>
      <c r="B1830" s="2" t="str">
        <f>Communes_HDF!B1830</f>
        <v>Mareuil-la-Motte</v>
      </c>
      <c r="C1830" s="2" t="str">
        <f t="array" ref="C1830">_xlfn.XLOOKUP(A1830, INSEE_Communes!$A$2:$A$3783, INSEE_Communes!$F$2:$F$3783, "code introuvable")</f>
        <v>non publié</v>
      </c>
    </row>
    <row r="1831">
      <c r="A1831" s="2" t="str">
        <f>Communes_HDF!A1831</f>
        <v>60380</v>
      </c>
      <c r="B1831" s="2" t="str">
        <f>Communes_HDF!B1831</f>
        <v>Mareuil-sur-Ourcq</v>
      </c>
      <c r="C1831" s="2" t="str">
        <f t="array" ref="C1831">_xlfn.XLOOKUP(A1831, INSEE_Communes!$A$2:$A$3783, INSEE_Communes!$F$2:$F$3783, "code introuvable")</f>
        <v>non publié</v>
      </c>
    </row>
    <row r="1832">
      <c r="A1832" s="2" t="str">
        <f>Communes_HDF!A1832</f>
        <v>60381</v>
      </c>
      <c r="B1832" s="2" t="str">
        <f>Communes_HDF!B1832</f>
        <v>Margny-aux-Cerises</v>
      </c>
      <c r="C1832" s="2" t="str">
        <f t="array" ref="C1832">_xlfn.XLOOKUP(A1832, INSEE_Communes!$A$2:$A$3783, INSEE_Communes!$F$2:$F$3783, "code introuvable")</f>
        <v>non publié</v>
      </c>
    </row>
    <row r="1833">
      <c r="A1833" s="2" t="str">
        <f>Communes_HDF!A1833</f>
        <v>60382</v>
      </c>
      <c r="B1833" s="2" t="str">
        <f>Communes_HDF!B1833</f>
        <v>Margny-lès-Compiègne</v>
      </c>
      <c r="C1833" s="2">
        <f t="array" ref="C1833">_xlfn.XLOOKUP(A1833, INSEE_Communes!$A$2:$A$3783, INSEE_Communes!$F$2:$F$3783, "code introuvable")</f>
        <v>13</v>
      </c>
    </row>
    <row r="1834">
      <c r="A1834" s="2" t="str">
        <f>Communes_HDF!A1834</f>
        <v>60383</v>
      </c>
      <c r="B1834" s="2" t="str">
        <f>Communes_HDF!B1834</f>
        <v>Margny-sur-Matz</v>
      </c>
      <c r="C1834" s="2" t="str">
        <f t="array" ref="C1834">_xlfn.XLOOKUP(A1834, INSEE_Communes!$A$2:$A$3783, INSEE_Communes!$F$2:$F$3783, "code introuvable")</f>
        <v>non publié</v>
      </c>
    </row>
    <row r="1835">
      <c r="A1835" s="2" t="str">
        <f>Communes_HDF!A1835</f>
        <v>60385</v>
      </c>
      <c r="B1835" s="2" t="str">
        <f>Communes_HDF!B1835</f>
        <v>Marolles</v>
      </c>
      <c r="C1835" s="2" t="str">
        <f t="array" ref="C1835">_xlfn.XLOOKUP(A1835, INSEE_Communes!$A$2:$A$3783, INSEE_Communes!$F$2:$F$3783, "code introuvable")</f>
        <v>non publié</v>
      </c>
    </row>
    <row r="1836">
      <c r="A1836" s="2" t="str">
        <f>Communes_HDF!A1836</f>
        <v>60386</v>
      </c>
      <c r="B1836" s="2" t="str">
        <f>Communes_HDF!B1836</f>
        <v>Marquéglise</v>
      </c>
      <c r="C1836" s="2" t="str">
        <f t="array" ref="C1836">_xlfn.XLOOKUP(A1836, INSEE_Communes!$A$2:$A$3783, INSEE_Communes!$F$2:$F$3783, "code introuvable")</f>
        <v>non publié</v>
      </c>
    </row>
    <row r="1837">
      <c r="A1837" s="2" t="str">
        <f>Communes_HDF!A1837</f>
        <v>60387</v>
      </c>
      <c r="B1837" s="2" t="str">
        <f>Communes_HDF!B1837</f>
        <v>Marseille-en-Beauvaisis</v>
      </c>
      <c r="C1837" s="2" t="str">
        <f t="array" ref="C1837">_xlfn.XLOOKUP(A1837, INSEE_Communes!$A$2:$A$3783, INSEE_Communes!$F$2:$F$3783, "code introuvable")</f>
        <v>non publié</v>
      </c>
    </row>
    <row r="1838">
      <c r="A1838" s="2" t="str">
        <f>Communes_HDF!A1838</f>
        <v>60388</v>
      </c>
      <c r="B1838" s="2" t="str">
        <f>Communes_HDF!B1838</f>
        <v>Martincourt</v>
      </c>
      <c r="C1838" s="2" t="str">
        <f t="array" ref="C1838">_xlfn.XLOOKUP(A1838, INSEE_Communes!$A$2:$A$3783, INSEE_Communes!$F$2:$F$3783, "code introuvable")</f>
        <v>non publié</v>
      </c>
    </row>
    <row r="1839">
      <c r="A1839" s="2" t="str">
        <f>Communes_HDF!A1839</f>
        <v>60389</v>
      </c>
      <c r="B1839" s="2" t="str">
        <f>Communes_HDF!B1839</f>
        <v>Maucourt</v>
      </c>
      <c r="C1839" s="2" t="str">
        <f t="array" ref="C1839">_xlfn.XLOOKUP(A1839, INSEE_Communes!$A$2:$A$3783, INSEE_Communes!$F$2:$F$3783, "code introuvable")</f>
        <v>non publié</v>
      </c>
    </row>
    <row r="1840">
      <c r="A1840" s="2" t="str">
        <f>Communes_HDF!A1840</f>
        <v>60390</v>
      </c>
      <c r="B1840" s="2" t="str">
        <f>Communes_HDF!B1840</f>
        <v>Maulers</v>
      </c>
      <c r="C1840" s="2" t="str">
        <f t="array" ref="C1840">_xlfn.XLOOKUP(A1840, INSEE_Communes!$A$2:$A$3783, INSEE_Communes!$F$2:$F$3783, "code introuvable")</f>
        <v>non publié</v>
      </c>
    </row>
    <row r="1841">
      <c r="A1841" s="2" t="str">
        <f>Communes_HDF!A1841</f>
        <v>60391</v>
      </c>
      <c r="B1841" s="2" t="str">
        <f>Communes_HDF!B1841</f>
        <v>Maysel</v>
      </c>
      <c r="C1841" s="2" t="str">
        <f t="array" ref="C1841">_xlfn.XLOOKUP(A1841, INSEE_Communes!$A$2:$A$3783, INSEE_Communes!$F$2:$F$3783, "code introuvable")</f>
        <v>non publié</v>
      </c>
    </row>
    <row r="1842">
      <c r="A1842" s="2" t="str">
        <f>Communes_HDF!A1842</f>
        <v>60393</v>
      </c>
      <c r="B1842" s="2" t="str">
        <f>Communes_HDF!B1842</f>
        <v>Mello</v>
      </c>
      <c r="C1842" s="2" t="str">
        <f t="array" ref="C1842">_xlfn.XLOOKUP(A1842, INSEE_Communes!$A$2:$A$3783, INSEE_Communes!$F$2:$F$3783, "code introuvable")</f>
        <v>non publié</v>
      </c>
    </row>
    <row r="1843">
      <c r="A1843" s="2" t="str">
        <f>Communes_HDF!A1843</f>
        <v>60403</v>
      </c>
      <c r="B1843" s="2" t="str">
        <f>Communes_HDF!B1843</f>
        <v>Milly-sur-Thérain</v>
      </c>
      <c r="C1843" s="2" t="str">
        <f t="array" ref="C1843">_xlfn.XLOOKUP(A1843, INSEE_Communes!$A$2:$A$3783, INSEE_Communes!$F$2:$F$3783, "code introuvable")</f>
        <v>non publié</v>
      </c>
    </row>
    <row r="1844">
      <c r="A1844" s="2" t="str">
        <f>Communes_HDF!A1844</f>
        <v>60404</v>
      </c>
      <c r="B1844" s="2" t="str">
        <f>Communes_HDF!B1844</f>
        <v>Mogneville</v>
      </c>
      <c r="C1844" s="2" t="str">
        <f t="array" ref="C1844">_xlfn.XLOOKUP(A1844, INSEE_Communes!$A$2:$A$3783, INSEE_Communes!$F$2:$F$3783, "code introuvable")</f>
        <v>non publié</v>
      </c>
    </row>
    <row r="1845">
      <c r="A1845" s="2" t="str">
        <f>Communes_HDF!A1845</f>
        <v>60405</v>
      </c>
      <c r="B1845" s="2" t="str">
        <f>Communes_HDF!B1845</f>
        <v>Moliens</v>
      </c>
      <c r="C1845" s="2" t="str">
        <f t="array" ref="C1845">_xlfn.XLOOKUP(A1845, INSEE_Communes!$A$2:$A$3783, INSEE_Communes!$F$2:$F$3783, "code introuvable")</f>
        <v>non publié</v>
      </c>
    </row>
    <row r="1846">
      <c r="A1846" s="2" t="str">
        <f>Communes_HDF!A1846</f>
        <v>60406</v>
      </c>
      <c r="B1846" s="2" t="str">
        <f>Communes_HDF!B1846</f>
        <v>Monceaux</v>
      </c>
      <c r="C1846" s="2" t="str">
        <f t="array" ref="C1846">_xlfn.XLOOKUP(A1846, INSEE_Communes!$A$2:$A$3783, INSEE_Communes!$F$2:$F$3783, "code introuvable")</f>
        <v>non publié</v>
      </c>
    </row>
    <row r="1847">
      <c r="A1847" s="2" t="str">
        <f>Communes_HDF!A1847</f>
        <v>60407</v>
      </c>
      <c r="B1847" s="2" t="str">
        <f>Communes_HDF!B1847</f>
        <v>Monceaux-l'Abbaye</v>
      </c>
      <c r="C1847" s="2" t="str">
        <f t="array" ref="C1847">_xlfn.XLOOKUP(A1847, INSEE_Communes!$A$2:$A$3783, INSEE_Communes!$F$2:$F$3783, "code introuvable")</f>
        <v>non publié</v>
      </c>
    </row>
    <row r="1848">
      <c r="A1848" s="2" t="str">
        <f>Communes_HDF!A1848</f>
        <v>60408</v>
      </c>
      <c r="B1848" s="2" t="str">
        <f>Communes_HDF!B1848</f>
        <v>Monchy-Humières</v>
      </c>
      <c r="C1848" s="2" t="str">
        <f t="array" ref="C1848">_xlfn.XLOOKUP(A1848, INSEE_Communes!$A$2:$A$3783, INSEE_Communes!$F$2:$F$3783, "code introuvable")</f>
        <v>non publié</v>
      </c>
    </row>
    <row r="1849">
      <c r="A1849" s="2" t="str">
        <f>Communes_HDF!A1849</f>
        <v>60409</v>
      </c>
      <c r="B1849" s="2" t="str">
        <f>Communes_HDF!B1849</f>
        <v>Monchy-Saint-Éloi</v>
      </c>
      <c r="C1849" s="2" t="str">
        <f t="array" ref="C1849">_xlfn.XLOOKUP(A1849, INSEE_Communes!$A$2:$A$3783, INSEE_Communes!$F$2:$F$3783, "code introuvable")</f>
        <v>non publié</v>
      </c>
    </row>
    <row r="1850">
      <c r="A1850" s="2" t="str">
        <f>Communes_HDF!A1850</f>
        <v>60410</v>
      </c>
      <c r="B1850" s="2" t="str">
        <f>Communes_HDF!B1850</f>
        <v>Mondescourt</v>
      </c>
      <c r="C1850" s="2" t="str">
        <f t="array" ref="C1850">_xlfn.XLOOKUP(A1850, INSEE_Communes!$A$2:$A$3783, INSEE_Communes!$F$2:$F$3783, "code introuvable")</f>
        <v>non publié</v>
      </c>
    </row>
    <row r="1851">
      <c r="A1851" s="2" t="str">
        <f>Communes_HDF!A1851</f>
        <v>60411</v>
      </c>
      <c r="B1851" s="2" t="str">
        <f>Communes_HDF!B1851</f>
        <v>Monneville</v>
      </c>
      <c r="C1851" s="2" t="str">
        <f t="array" ref="C1851">_xlfn.XLOOKUP(A1851, INSEE_Communes!$A$2:$A$3783, INSEE_Communes!$F$2:$F$3783, "code introuvable")</f>
        <v>non publié</v>
      </c>
    </row>
    <row r="1852">
      <c r="A1852" s="2" t="str">
        <f>Communes_HDF!A1852</f>
        <v>60421</v>
      </c>
      <c r="B1852" s="2" t="str">
        <f>Communes_HDF!B1852</f>
        <v>Mont-l'Évêque</v>
      </c>
      <c r="C1852" s="2" t="str">
        <f t="array" ref="C1852">_xlfn.XLOOKUP(A1852, INSEE_Communes!$A$2:$A$3783, INSEE_Communes!$F$2:$F$3783, "code introuvable")</f>
        <v>non publié</v>
      </c>
    </row>
    <row r="1853">
      <c r="A1853" s="2" t="str">
        <f>Communes_HDF!A1853</f>
        <v>60413</v>
      </c>
      <c r="B1853" s="2" t="str">
        <f>Communes_HDF!B1853</f>
        <v>Montagny-Sainte-Félicité</v>
      </c>
      <c r="C1853" s="2" t="str">
        <f t="array" ref="C1853">_xlfn.XLOOKUP(A1853, INSEE_Communes!$A$2:$A$3783, INSEE_Communes!$F$2:$F$3783, "code introuvable")</f>
        <v>non publié</v>
      </c>
    </row>
    <row r="1854">
      <c r="A1854" s="2" t="str">
        <f>Communes_HDF!A1854</f>
        <v>60412</v>
      </c>
      <c r="B1854" s="2" t="str">
        <f>Communes_HDF!B1854</f>
        <v>Montagny-en-Vexin</v>
      </c>
      <c r="C1854" s="2" t="str">
        <f t="array" ref="C1854">_xlfn.XLOOKUP(A1854, INSEE_Communes!$A$2:$A$3783, INSEE_Communes!$F$2:$F$3783, "code introuvable")</f>
        <v>non publié</v>
      </c>
    </row>
    <row r="1855">
      <c r="A1855" s="2" t="str">
        <f>Communes_HDF!A1855</f>
        <v>60414</v>
      </c>
      <c r="B1855" s="2" t="str">
        <f>Communes_HDF!B1855</f>
        <v>Montataire</v>
      </c>
      <c r="C1855" s="2">
        <f t="array" ref="C1855">_xlfn.XLOOKUP(A1855, INSEE_Communes!$A$2:$A$3783, INSEE_Communes!$F$2:$F$3783, "code introuvable")</f>
        <v>32</v>
      </c>
    </row>
    <row r="1856">
      <c r="A1856" s="2" t="str">
        <f>Communes_HDF!A1856</f>
        <v>60256</v>
      </c>
      <c r="B1856" s="2" t="str">
        <f>Communes_HDF!B1856</f>
        <v>Montchevreuil</v>
      </c>
      <c r="C1856" s="2" t="str">
        <f t="array" ref="C1856">_xlfn.XLOOKUP(A1856, INSEE_Communes!$A$2:$A$3783, INSEE_Communes!$F$2:$F$3783, "code introuvable")</f>
        <v>non publié</v>
      </c>
    </row>
    <row r="1857">
      <c r="A1857" s="2" t="str">
        <f>Communes_HDF!A1857</f>
        <v>60416</v>
      </c>
      <c r="B1857" s="2" t="str">
        <f>Communes_HDF!B1857</f>
        <v>Montgérain</v>
      </c>
      <c r="C1857" s="2" t="str">
        <f t="array" ref="C1857">_xlfn.XLOOKUP(A1857, INSEE_Communes!$A$2:$A$3783, INSEE_Communes!$F$2:$F$3783, "code introuvable")</f>
        <v>non publié</v>
      </c>
    </row>
    <row r="1858">
      <c r="A1858" s="2" t="str">
        <f>Communes_HDF!A1858</f>
        <v>60418</v>
      </c>
      <c r="B1858" s="2" t="str">
        <f>Communes_HDF!B1858</f>
        <v>Montiers</v>
      </c>
      <c r="C1858" s="2" t="str">
        <f t="array" ref="C1858">_xlfn.XLOOKUP(A1858, INSEE_Communes!$A$2:$A$3783, INSEE_Communes!$F$2:$F$3783, "code introuvable")</f>
        <v>non publié</v>
      </c>
    </row>
    <row r="1859">
      <c r="A1859" s="2" t="str">
        <f>Communes_HDF!A1859</f>
        <v>60420</v>
      </c>
      <c r="B1859" s="2" t="str">
        <f>Communes_HDF!B1859</f>
        <v>Montjavoult</v>
      </c>
      <c r="C1859" s="2" t="str">
        <f t="array" ref="C1859">_xlfn.XLOOKUP(A1859, INSEE_Communes!$A$2:$A$3783, INSEE_Communes!$F$2:$F$3783, "code introuvable")</f>
        <v>non publié</v>
      </c>
    </row>
    <row r="1860">
      <c r="A1860" s="2" t="str">
        <f>Communes_HDF!A1860</f>
        <v>60422</v>
      </c>
      <c r="B1860" s="2" t="str">
        <f>Communes_HDF!B1860</f>
        <v>Montlognon</v>
      </c>
      <c r="C1860" s="2" t="str">
        <f t="array" ref="C1860">_xlfn.XLOOKUP(A1860, INSEE_Communes!$A$2:$A$3783, INSEE_Communes!$F$2:$F$3783, "code introuvable")</f>
        <v>non publié</v>
      </c>
    </row>
    <row r="1861">
      <c r="A1861" s="2" t="str">
        <f>Communes_HDF!A1861</f>
        <v>60423</v>
      </c>
      <c r="B1861" s="2" t="str">
        <f>Communes_HDF!B1861</f>
        <v>Montmacq</v>
      </c>
      <c r="C1861" s="2" t="str">
        <f t="array" ref="C1861">_xlfn.XLOOKUP(A1861, INSEE_Communes!$A$2:$A$3783, INSEE_Communes!$F$2:$F$3783, "code introuvable")</f>
        <v>non publié</v>
      </c>
    </row>
    <row r="1862">
      <c r="A1862" s="2" t="str">
        <f>Communes_HDF!A1862</f>
        <v>60424</v>
      </c>
      <c r="B1862" s="2" t="str">
        <f>Communes_HDF!B1862</f>
        <v>Montmartin</v>
      </c>
      <c r="C1862" s="2" t="str">
        <f t="array" ref="C1862">_xlfn.XLOOKUP(A1862, INSEE_Communes!$A$2:$A$3783, INSEE_Communes!$F$2:$F$3783, "code introuvable")</f>
        <v>non publié</v>
      </c>
    </row>
    <row r="1863">
      <c r="A1863" s="2" t="str">
        <f>Communes_HDF!A1863</f>
        <v>60425</v>
      </c>
      <c r="B1863" s="2" t="str">
        <f>Communes_HDF!B1863</f>
        <v>Montreuil-sur-Brêche</v>
      </c>
      <c r="C1863" s="2" t="str">
        <f t="array" ref="C1863">_xlfn.XLOOKUP(A1863, INSEE_Communes!$A$2:$A$3783, INSEE_Communes!$F$2:$F$3783, "code introuvable")</f>
        <v>non publié</v>
      </c>
    </row>
    <row r="1864">
      <c r="A1864" s="2" t="str">
        <f>Communes_HDF!A1864</f>
        <v>60426</v>
      </c>
      <c r="B1864" s="2" t="str">
        <f>Communes_HDF!B1864</f>
        <v>Montreuil-sur-Thérain</v>
      </c>
      <c r="C1864" s="2" t="str">
        <f t="array" ref="C1864">_xlfn.XLOOKUP(A1864, INSEE_Communes!$A$2:$A$3783, INSEE_Communes!$F$2:$F$3783, "code introuvable")</f>
        <v>non publié</v>
      </c>
    </row>
    <row r="1865">
      <c r="A1865" s="2" t="str">
        <f>Communes_HDF!A1865</f>
        <v>60427</v>
      </c>
      <c r="B1865" s="2" t="str">
        <f>Communes_HDF!B1865</f>
        <v>Monts</v>
      </c>
      <c r="C1865" s="2" t="str">
        <f t="array" ref="C1865">_xlfn.XLOOKUP(A1865, INSEE_Communes!$A$2:$A$3783, INSEE_Communes!$F$2:$F$3783, "code introuvable")</f>
        <v>non publié</v>
      </c>
    </row>
    <row r="1866">
      <c r="A1866" s="2" t="str">
        <f>Communes_HDF!A1866</f>
        <v>60415</v>
      </c>
      <c r="B1866" s="2" t="str">
        <f>Communes_HDF!B1866</f>
        <v>Montépilloy</v>
      </c>
      <c r="C1866" s="2" t="str">
        <f t="array" ref="C1866">_xlfn.XLOOKUP(A1866, INSEE_Communes!$A$2:$A$3783, INSEE_Communes!$F$2:$F$3783, "code introuvable")</f>
        <v>non publié</v>
      </c>
    </row>
    <row r="1867">
      <c r="A1867" s="2" t="str">
        <f>Communes_HDF!A1867</f>
        <v>60429</v>
      </c>
      <c r="B1867" s="2" t="str">
        <f>Communes_HDF!B1867</f>
        <v>Morangles</v>
      </c>
      <c r="C1867" s="2" t="str">
        <f t="array" ref="C1867">_xlfn.XLOOKUP(A1867, INSEE_Communes!$A$2:$A$3783, INSEE_Communes!$F$2:$F$3783, "code introuvable")</f>
        <v>non publié</v>
      </c>
    </row>
    <row r="1868">
      <c r="A1868" s="2" t="str">
        <f>Communes_HDF!A1868</f>
        <v>60430</v>
      </c>
      <c r="B1868" s="2" t="str">
        <f>Communes_HDF!B1868</f>
        <v>Morienval</v>
      </c>
      <c r="C1868" s="2" t="str">
        <f t="array" ref="C1868">_xlfn.XLOOKUP(A1868, INSEE_Communes!$A$2:$A$3783, INSEE_Communes!$F$2:$F$3783, "code introuvable")</f>
        <v>non publié</v>
      </c>
    </row>
    <row r="1869">
      <c r="A1869" s="2" t="str">
        <f>Communes_HDF!A1869</f>
        <v>60431</v>
      </c>
      <c r="B1869" s="2" t="str">
        <f>Communes_HDF!B1869</f>
        <v>Morlincourt</v>
      </c>
      <c r="C1869" s="2" t="str">
        <f t="array" ref="C1869">_xlfn.XLOOKUP(A1869, INSEE_Communes!$A$2:$A$3783, INSEE_Communes!$F$2:$F$3783, "code introuvable")</f>
        <v>non publié</v>
      </c>
    </row>
    <row r="1870">
      <c r="A1870" s="2" t="str">
        <f>Communes_HDF!A1870</f>
        <v>60432</v>
      </c>
      <c r="B1870" s="2" t="str">
        <f>Communes_HDF!B1870</f>
        <v>Mortefontaine</v>
      </c>
      <c r="C1870" s="2" t="str">
        <f t="array" ref="C1870">_xlfn.XLOOKUP(A1870, INSEE_Communes!$A$2:$A$3783, INSEE_Communes!$F$2:$F$3783, "code introuvable")</f>
        <v>non publié</v>
      </c>
    </row>
    <row r="1871">
      <c r="A1871" s="2" t="str">
        <f>Communes_HDF!A1871</f>
        <v>60433</v>
      </c>
      <c r="B1871" s="2" t="str">
        <f>Communes_HDF!B1871</f>
        <v>Mortefontaine-en-Thelle</v>
      </c>
      <c r="C1871" s="2" t="str">
        <f t="array" ref="C1871">_xlfn.XLOOKUP(A1871, INSEE_Communes!$A$2:$A$3783, INSEE_Communes!$F$2:$F$3783, "code introuvable")</f>
        <v>non publié</v>
      </c>
    </row>
    <row r="1872">
      <c r="A1872" s="2" t="str">
        <f>Communes_HDF!A1872</f>
        <v>60434</v>
      </c>
      <c r="B1872" s="2" t="str">
        <f>Communes_HDF!B1872</f>
        <v>Mortemer</v>
      </c>
      <c r="C1872" s="2" t="str">
        <f t="array" ref="C1872">_xlfn.XLOOKUP(A1872, INSEE_Communes!$A$2:$A$3783, INSEE_Communes!$F$2:$F$3783, "code introuvable")</f>
        <v>non publié</v>
      </c>
    </row>
    <row r="1873">
      <c r="A1873" s="2" t="str">
        <f>Communes_HDF!A1873</f>
        <v>60435</v>
      </c>
      <c r="B1873" s="2" t="str">
        <f>Communes_HDF!B1873</f>
        <v>Morvillers</v>
      </c>
      <c r="C1873" s="2" t="str">
        <f t="array" ref="C1873">_xlfn.XLOOKUP(A1873, INSEE_Communes!$A$2:$A$3783, INSEE_Communes!$F$2:$F$3783, "code introuvable")</f>
        <v>non publié</v>
      </c>
    </row>
    <row r="1874">
      <c r="A1874" s="2" t="str">
        <f>Communes_HDF!A1874</f>
        <v>60436</v>
      </c>
      <c r="B1874" s="2" t="str">
        <f>Communes_HDF!B1874</f>
        <v>Mory-Montcrux</v>
      </c>
      <c r="C1874" s="2" t="str">
        <f t="array" ref="C1874">_xlfn.XLOOKUP(A1874, INSEE_Communes!$A$2:$A$3783, INSEE_Communes!$F$2:$F$3783, "code introuvable")</f>
        <v>non publié</v>
      </c>
    </row>
    <row r="1875">
      <c r="A1875" s="2" t="str">
        <f>Communes_HDF!A1875</f>
        <v>60437</v>
      </c>
      <c r="B1875" s="2" t="str">
        <f>Communes_HDF!B1875</f>
        <v>Mouchy-le-Châtel</v>
      </c>
      <c r="C1875" s="2" t="str">
        <f t="array" ref="C1875">_xlfn.XLOOKUP(A1875, INSEE_Communes!$A$2:$A$3783, INSEE_Communes!$F$2:$F$3783, "code introuvable")</f>
        <v>non publié</v>
      </c>
    </row>
    <row r="1876">
      <c r="A1876" s="2" t="str">
        <f>Communes_HDF!A1876</f>
        <v>60438</v>
      </c>
      <c r="B1876" s="2" t="str">
        <f>Communes_HDF!B1876</f>
        <v>Moulin-sous-Touvent</v>
      </c>
      <c r="C1876" s="2" t="str">
        <f t="array" ref="C1876">_xlfn.XLOOKUP(A1876, INSEE_Communes!$A$2:$A$3783, INSEE_Communes!$F$2:$F$3783, "code introuvable")</f>
        <v>non publié</v>
      </c>
    </row>
    <row r="1877">
      <c r="A1877" s="2" t="str">
        <f>Communes_HDF!A1877</f>
        <v>60439</v>
      </c>
      <c r="B1877" s="2" t="str">
        <f>Communes_HDF!B1877</f>
        <v>Mouy</v>
      </c>
      <c r="C1877" s="2">
        <f t="array" ref="C1877">_xlfn.XLOOKUP(A1877, INSEE_Communes!$A$2:$A$3783, INSEE_Communes!$F$2:$F$3783, "code introuvable")</f>
        <v>17</v>
      </c>
    </row>
    <row r="1878">
      <c r="A1878" s="2" t="str">
        <f>Communes_HDF!A1878</f>
        <v>60440</v>
      </c>
      <c r="B1878" s="2" t="str">
        <f>Communes_HDF!B1878</f>
        <v>Moyenneville</v>
      </c>
      <c r="C1878" s="2" t="str">
        <f t="array" ref="C1878">_xlfn.XLOOKUP(A1878, INSEE_Communes!$A$2:$A$3783, INSEE_Communes!$F$2:$F$3783, "code introuvable")</f>
        <v>non publié</v>
      </c>
    </row>
    <row r="1879">
      <c r="A1879" s="2" t="str">
        <f>Communes_HDF!A1879</f>
        <v>60441</v>
      </c>
      <c r="B1879" s="2" t="str">
        <f>Communes_HDF!B1879</f>
        <v>Moyvillers</v>
      </c>
      <c r="C1879" s="2" t="str">
        <f t="array" ref="C1879">_xlfn.XLOOKUP(A1879, INSEE_Communes!$A$2:$A$3783, INSEE_Communes!$F$2:$F$3783, "code introuvable")</f>
        <v>non publié</v>
      </c>
    </row>
    <row r="1880">
      <c r="A1880" s="2" t="str">
        <f>Communes_HDF!A1880</f>
        <v>60442</v>
      </c>
      <c r="B1880" s="2" t="str">
        <f>Communes_HDF!B1880</f>
        <v>Muidorge</v>
      </c>
      <c r="C1880" s="2" t="str">
        <f t="array" ref="C1880">_xlfn.XLOOKUP(A1880, INSEE_Communes!$A$2:$A$3783, INSEE_Communes!$F$2:$F$3783, "code introuvable")</f>
        <v>non publié</v>
      </c>
    </row>
    <row r="1881">
      <c r="A1881" s="2" t="str">
        <f>Communes_HDF!A1881</f>
        <v>60443</v>
      </c>
      <c r="B1881" s="2" t="str">
        <f>Communes_HDF!B1881</f>
        <v>Muirancourt</v>
      </c>
      <c r="C1881" s="2" t="str">
        <f t="array" ref="C1881">_xlfn.XLOOKUP(A1881, INSEE_Communes!$A$2:$A$3783, INSEE_Communes!$F$2:$F$3783, "code introuvable")</f>
        <v>non publié</v>
      </c>
    </row>
    <row r="1882">
      <c r="A1882" s="2" t="str">
        <f>Communes_HDF!A1882</f>
        <v>60444</v>
      </c>
      <c r="B1882" s="2" t="str">
        <f>Communes_HDF!B1882</f>
        <v>Mureaumont</v>
      </c>
      <c r="C1882" s="2" t="str">
        <f t="array" ref="C1882">_xlfn.XLOOKUP(A1882, INSEE_Communes!$A$2:$A$3783, INSEE_Communes!$F$2:$F$3783, "code introuvable")</f>
        <v>non publié</v>
      </c>
    </row>
    <row r="1883">
      <c r="A1883" s="2" t="str">
        <f>Communes_HDF!A1883</f>
        <v>60392</v>
      </c>
      <c r="B1883" s="2" t="str">
        <f>Communes_HDF!B1883</f>
        <v>Mélicocq</v>
      </c>
      <c r="C1883" s="2" t="str">
        <f t="array" ref="C1883">_xlfn.XLOOKUP(A1883, INSEE_Communes!$A$2:$A$3783, INSEE_Communes!$F$2:$F$3783, "code introuvable")</f>
        <v>non publié</v>
      </c>
    </row>
    <row r="1884">
      <c r="A1884" s="2" t="str">
        <f>Communes_HDF!A1884</f>
        <v>60394</v>
      </c>
      <c r="B1884" s="2" t="str">
        <f>Communes_HDF!B1884</f>
        <v>Ménévillers</v>
      </c>
      <c r="C1884" s="2" t="str">
        <f t="array" ref="C1884">_xlfn.XLOOKUP(A1884, INSEE_Communes!$A$2:$A$3783, INSEE_Communes!$F$2:$F$3783, "code introuvable")</f>
        <v>non publié</v>
      </c>
    </row>
    <row r="1885">
      <c r="A1885" s="2" t="str">
        <f>Communes_HDF!A1885</f>
        <v>60395</v>
      </c>
      <c r="B1885" s="2" t="str">
        <f>Communes_HDF!B1885</f>
        <v>Méru</v>
      </c>
      <c r="C1885" s="2">
        <f t="array" ref="C1885">_xlfn.XLOOKUP(A1885, INSEE_Communes!$A$2:$A$3783, INSEE_Communes!$F$2:$F$3783, "code introuvable")</f>
        <v>24</v>
      </c>
    </row>
    <row r="1886">
      <c r="A1886" s="2" t="str">
        <f>Communes_HDF!A1886</f>
        <v>60396</v>
      </c>
      <c r="B1886" s="2" t="str">
        <f>Communes_HDF!B1886</f>
        <v>Méry-la-Bataille</v>
      </c>
      <c r="C1886" s="2" t="str">
        <f t="array" ref="C1886">_xlfn.XLOOKUP(A1886, INSEE_Communes!$A$2:$A$3783, INSEE_Communes!$F$2:$F$3783, "code introuvable")</f>
        <v>non publié</v>
      </c>
    </row>
    <row r="1887">
      <c r="A1887" s="2" t="str">
        <f>Communes_HDF!A1887</f>
        <v>60445</v>
      </c>
      <c r="B1887" s="2" t="str">
        <f>Communes_HDF!B1887</f>
        <v>Nampcel</v>
      </c>
      <c r="C1887" s="2" t="str">
        <f t="array" ref="C1887">_xlfn.XLOOKUP(A1887, INSEE_Communes!$A$2:$A$3783, INSEE_Communes!$F$2:$F$3783, "code introuvable")</f>
        <v>non publié</v>
      </c>
    </row>
    <row r="1888">
      <c r="A1888" s="2" t="str">
        <f>Communes_HDF!A1888</f>
        <v>60446</v>
      </c>
      <c r="B1888" s="2" t="str">
        <f>Communes_HDF!B1888</f>
        <v>Nanteuil-le-Haudouin</v>
      </c>
      <c r="C1888" s="2">
        <f t="array" ref="C1888">_xlfn.XLOOKUP(A1888, INSEE_Communes!$A$2:$A$3783, INSEE_Communes!$F$2:$F$3783, "code introuvable")</f>
        <v>11</v>
      </c>
    </row>
    <row r="1889">
      <c r="A1889" s="2" t="str">
        <f>Communes_HDF!A1889</f>
        <v>60448</v>
      </c>
      <c r="B1889" s="2" t="str">
        <f>Communes_HDF!B1889</f>
        <v>Neufchelles</v>
      </c>
      <c r="C1889" s="2" t="str">
        <f t="array" ref="C1889">_xlfn.XLOOKUP(A1889, INSEE_Communes!$A$2:$A$3783, INSEE_Communes!$F$2:$F$3783, "code introuvable")</f>
        <v>non publié</v>
      </c>
    </row>
    <row r="1890">
      <c r="A1890" s="2" t="str">
        <f>Communes_HDF!A1890</f>
        <v>60449</v>
      </c>
      <c r="B1890" s="2" t="str">
        <f>Communes_HDF!B1890</f>
        <v>Neufvy-sur-Aronde</v>
      </c>
      <c r="C1890" s="2" t="str">
        <f t="array" ref="C1890">_xlfn.XLOOKUP(A1890, INSEE_Communes!$A$2:$A$3783, INSEE_Communes!$F$2:$F$3783, "code introuvable")</f>
        <v>non publié</v>
      </c>
    </row>
    <row r="1891">
      <c r="A1891" s="2" t="str">
        <f>Communes_HDF!A1891</f>
        <v>60450</v>
      </c>
      <c r="B1891" s="2" t="str">
        <f>Communes_HDF!B1891</f>
        <v>Neuilly-en-Thelle</v>
      </c>
      <c r="C1891" s="2">
        <f t="array" ref="C1891">_xlfn.XLOOKUP(A1891, INSEE_Communes!$A$2:$A$3783, INSEE_Communes!$F$2:$F$3783, "code introuvable")</f>
        <v>7</v>
      </c>
    </row>
    <row r="1892">
      <c r="A1892" s="2" t="str">
        <f>Communes_HDF!A1892</f>
        <v>60451</v>
      </c>
      <c r="B1892" s="2" t="str">
        <f>Communes_HDF!B1892</f>
        <v>Neuilly-sous-Clermont</v>
      </c>
      <c r="C1892" s="2" t="str">
        <f t="array" ref="C1892">_xlfn.XLOOKUP(A1892, INSEE_Communes!$A$2:$A$3783, INSEE_Communes!$F$2:$F$3783, "code introuvable")</f>
        <v>non publié</v>
      </c>
    </row>
    <row r="1893">
      <c r="A1893" s="2" t="str">
        <f>Communes_HDF!A1893</f>
        <v>60452</v>
      </c>
      <c r="B1893" s="2" t="str">
        <f>Communes_HDF!B1893</f>
        <v>Neuville-Bosc</v>
      </c>
      <c r="C1893" s="2" t="str">
        <f t="array" ref="C1893">_xlfn.XLOOKUP(A1893, INSEE_Communes!$A$2:$A$3783, INSEE_Communes!$F$2:$F$3783, "code introuvable")</f>
        <v>non publié</v>
      </c>
    </row>
    <row r="1894">
      <c r="A1894" s="2" t="str">
        <f>Communes_HDF!A1894</f>
        <v>60461</v>
      </c>
      <c r="B1894" s="2" t="str">
        <f>Communes_HDF!B1894</f>
        <v>Nivillers</v>
      </c>
      <c r="C1894" s="2" t="str">
        <f t="array" ref="C1894">_xlfn.XLOOKUP(A1894, INSEE_Communes!$A$2:$A$3783, INSEE_Communes!$F$2:$F$3783, "code introuvable")</f>
        <v>non publié</v>
      </c>
    </row>
    <row r="1895">
      <c r="A1895" s="2" t="str">
        <f>Communes_HDF!A1895</f>
        <v>60462</v>
      </c>
      <c r="B1895" s="2" t="str">
        <f>Communes_HDF!B1895</f>
        <v>Noailles</v>
      </c>
      <c r="C1895" s="2">
        <f t="array" ref="C1895">_xlfn.XLOOKUP(A1895, INSEE_Communes!$A$2:$A$3783, INSEE_Communes!$F$2:$F$3783, "code introuvable")</f>
        <v>13</v>
      </c>
    </row>
    <row r="1896">
      <c r="A1896" s="2" t="str">
        <f>Communes_HDF!A1896</f>
        <v>60463</v>
      </c>
      <c r="B1896" s="2" t="str">
        <f>Communes_HDF!B1896</f>
        <v>Nogent-sur-Oise</v>
      </c>
      <c r="C1896" s="2">
        <f t="array" ref="C1896">_xlfn.XLOOKUP(A1896, INSEE_Communes!$A$2:$A$3783, INSEE_Communes!$F$2:$F$3783, "code introuvable")</f>
        <v>32.6</v>
      </c>
    </row>
    <row r="1897">
      <c r="A1897" s="2" t="str">
        <f>Communes_HDF!A1897</f>
        <v>60464</v>
      </c>
      <c r="B1897" s="2" t="str">
        <f>Communes_HDF!B1897</f>
        <v>Nointel</v>
      </c>
      <c r="C1897" s="2" t="str">
        <f t="array" ref="C1897">_xlfn.XLOOKUP(A1897, INSEE_Communes!$A$2:$A$3783, INSEE_Communes!$F$2:$F$3783, "code introuvable")</f>
        <v>non publié</v>
      </c>
    </row>
    <row r="1898">
      <c r="A1898" s="2" t="str">
        <f>Communes_HDF!A1898</f>
        <v>60465</v>
      </c>
      <c r="B1898" s="2" t="str">
        <f>Communes_HDF!B1898</f>
        <v>Noirémont</v>
      </c>
      <c r="C1898" s="2" t="str">
        <f t="array" ref="C1898">_xlfn.XLOOKUP(A1898, INSEE_Communes!$A$2:$A$3783, INSEE_Communes!$F$2:$F$3783, "code introuvable")</f>
        <v>non publié</v>
      </c>
    </row>
    <row r="1899">
      <c r="A1899" s="2" t="str">
        <f>Communes_HDF!A1899</f>
        <v>60466</v>
      </c>
      <c r="B1899" s="2" t="str">
        <f>Communes_HDF!B1899</f>
        <v>Noroy</v>
      </c>
      <c r="C1899" s="2" t="str">
        <f t="array" ref="C1899">_xlfn.XLOOKUP(A1899, INSEE_Communes!$A$2:$A$3783, INSEE_Communes!$F$2:$F$3783, "code introuvable")</f>
        <v>non publié</v>
      </c>
    </row>
    <row r="1900">
      <c r="A1900" s="2" t="str">
        <f>Communes_HDF!A1900</f>
        <v>60468</v>
      </c>
      <c r="B1900" s="2" t="str">
        <f>Communes_HDF!B1900</f>
        <v>Nourard-le-Franc</v>
      </c>
      <c r="C1900" s="2" t="str">
        <f t="array" ref="C1900">_xlfn.XLOOKUP(A1900, INSEE_Communes!$A$2:$A$3783, INSEE_Communes!$F$2:$F$3783, "code introuvable")</f>
        <v>non publié</v>
      </c>
    </row>
    <row r="1901">
      <c r="A1901" s="2" t="str">
        <f>Communes_HDF!A1901</f>
        <v>60469</v>
      </c>
      <c r="B1901" s="2" t="str">
        <f>Communes_HDF!B1901</f>
        <v>Novillers</v>
      </c>
      <c r="C1901" s="2" t="str">
        <f t="array" ref="C1901">_xlfn.XLOOKUP(A1901, INSEE_Communes!$A$2:$A$3783, INSEE_Communes!$F$2:$F$3783, "code introuvable")</f>
        <v>non publié</v>
      </c>
    </row>
    <row r="1902">
      <c r="A1902" s="2" t="str">
        <f>Communes_HDF!A1902</f>
        <v>60470</v>
      </c>
      <c r="B1902" s="2" t="str">
        <f>Communes_HDF!B1902</f>
        <v>Noyers-Saint-Martin</v>
      </c>
      <c r="C1902" s="2" t="str">
        <f t="array" ref="C1902">_xlfn.XLOOKUP(A1902, INSEE_Communes!$A$2:$A$3783, INSEE_Communes!$F$2:$F$3783, "code introuvable")</f>
        <v>non publié</v>
      </c>
    </row>
    <row r="1903">
      <c r="A1903" s="2" t="str">
        <f>Communes_HDF!A1903</f>
        <v>60471</v>
      </c>
      <c r="B1903" s="2" t="str">
        <f>Communes_HDF!B1903</f>
        <v>Noyon</v>
      </c>
      <c r="C1903" s="2">
        <f t="array" ref="C1903">_xlfn.XLOOKUP(A1903, INSEE_Communes!$A$2:$A$3783, INSEE_Communes!$F$2:$F$3783, "code introuvable")</f>
        <v>34</v>
      </c>
    </row>
    <row r="1904">
      <c r="A1904" s="2" t="str">
        <f>Communes_HDF!A1904</f>
        <v>60447</v>
      </c>
      <c r="B1904" s="2" t="str">
        <f>Communes_HDF!B1904</f>
        <v>Néry</v>
      </c>
      <c r="C1904" s="2" t="str">
        <f t="array" ref="C1904">_xlfn.XLOOKUP(A1904, INSEE_Communes!$A$2:$A$3783, INSEE_Communes!$F$2:$F$3783, "code introuvable")</f>
        <v>non publié</v>
      </c>
    </row>
    <row r="1905">
      <c r="A1905" s="2" t="str">
        <f>Communes_HDF!A1905</f>
        <v>60472</v>
      </c>
      <c r="B1905" s="2" t="str">
        <f>Communes_HDF!B1905</f>
        <v>Offoy</v>
      </c>
      <c r="C1905" s="2" t="str">
        <f t="array" ref="C1905">_xlfn.XLOOKUP(A1905, INSEE_Communes!$A$2:$A$3783, INSEE_Communes!$F$2:$F$3783, "code introuvable")</f>
        <v>non publié</v>
      </c>
    </row>
    <row r="1906">
      <c r="A1906" s="2" t="str">
        <f>Communes_HDF!A1906</f>
        <v>60473</v>
      </c>
      <c r="B1906" s="2" t="str">
        <f>Communes_HDF!B1906</f>
        <v>Ognes</v>
      </c>
      <c r="C1906" s="2" t="str">
        <f t="array" ref="C1906">_xlfn.XLOOKUP(A1906, INSEE_Communes!$A$2:$A$3783, INSEE_Communes!$F$2:$F$3783, "code introuvable")</f>
        <v>non publié</v>
      </c>
    </row>
    <row r="1907">
      <c r="A1907" s="2" t="str">
        <f>Communes_HDF!A1907</f>
        <v>60474</v>
      </c>
      <c r="B1907" s="2" t="str">
        <f>Communes_HDF!B1907</f>
        <v>Ognolles</v>
      </c>
      <c r="C1907" s="2" t="str">
        <f t="array" ref="C1907">_xlfn.XLOOKUP(A1907, INSEE_Communes!$A$2:$A$3783, INSEE_Communes!$F$2:$F$3783, "code introuvable")</f>
        <v>non publié</v>
      </c>
    </row>
    <row r="1908">
      <c r="A1908" s="2" t="str">
        <f>Communes_HDF!A1908</f>
        <v>60476</v>
      </c>
      <c r="B1908" s="2" t="str">
        <f>Communes_HDF!B1908</f>
        <v>Omécourt</v>
      </c>
      <c r="C1908" s="2" t="str">
        <f t="array" ref="C1908">_xlfn.XLOOKUP(A1908, INSEE_Communes!$A$2:$A$3783, INSEE_Communes!$F$2:$F$3783, "code introuvable")</f>
        <v>non publié</v>
      </c>
    </row>
    <row r="1909">
      <c r="A1909" s="2" t="str">
        <f>Communes_HDF!A1909</f>
        <v>60477</v>
      </c>
      <c r="B1909" s="2" t="str">
        <f>Communes_HDF!B1909</f>
        <v>Ons-en-Bray</v>
      </c>
      <c r="C1909" s="2" t="str">
        <f t="array" ref="C1909">_xlfn.XLOOKUP(A1909, INSEE_Communes!$A$2:$A$3783, INSEE_Communes!$F$2:$F$3783, "code introuvable")</f>
        <v>non publié</v>
      </c>
    </row>
    <row r="1910">
      <c r="A1910" s="2" t="str">
        <f>Communes_HDF!A1910</f>
        <v>60479</v>
      </c>
      <c r="B1910" s="2" t="str">
        <f>Communes_HDF!B1910</f>
        <v>Ormoy-Villers</v>
      </c>
      <c r="C1910" s="2" t="str">
        <f t="array" ref="C1910">_xlfn.XLOOKUP(A1910, INSEE_Communes!$A$2:$A$3783, INSEE_Communes!$F$2:$F$3783, "code introuvable")</f>
        <v>non publié</v>
      </c>
    </row>
    <row r="1911">
      <c r="A1911" s="2" t="str">
        <f>Communes_HDF!A1911</f>
        <v>60478</v>
      </c>
      <c r="B1911" s="2" t="str">
        <f>Communes_HDF!B1911</f>
        <v>Ormoy-le-Davien</v>
      </c>
      <c r="C1911" s="2" t="str">
        <f t="array" ref="C1911">_xlfn.XLOOKUP(A1911, INSEE_Communes!$A$2:$A$3783, INSEE_Communes!$F$2:$F$3783, "code introuvable")</f>
        <v>non publié</v>
      </c>
    </row>
    <row r="1912">
      <c r="A1912" s="2" t="str">
        <f>Communes_HDF!A1912</f>
        <v>60480</v>
      </c>
      <c r="B1912" s="2" t="str">
        <f>Communes_HDF!B1912</f>
        <v>Oroër</v>
      </c>
      <c r="C1912" s="2" t="str">
        <f t="array" ref="C1912">_xlfn.XLOOKUP(A1912, INSEE_Communes!$A$2:$A$3783, INSEE_Communes!$F$2:$F$3783, "code introuvable")</f>
        <v>non publié</v>
      </c>
    </row>
    <row r="1913">
      <c r="A1913" s="2" t="str">
        <f>Communes_HDF!A1913</f>
        <v>60481</v>
      </c>
      <c r="B1913" s="2" t="str">
        <f>Communes_HDF!B1913</f>
        <v>Orrouy</v>
      </c>
      <c r="C1913" s="2" t="str">
        <f t="array" ref="C1913">_xlfn.XLOOKUP(A1913, INSEE_Communes!$A$2:$A$3783, INSEE_Communes!$F$2:$F$3783, "code introuvable")</f>
        <v>non publié</v>
      </c>
    </row>
    <row r="1914">
      <c r="A1914" s="2" t="str">
        <f>Communes_HDF!A1914</f>
        <v>60482</v>
      </c>
      <c r="B1914" s="2" t="str">
        <f>Communes_HDF!B1914</f>
        <v>Orry-la-Ville</v>
      </c>
      <c r="C1914" s="2">
        <f t="array" ref="C1914">_xlfn.XLOOKUP(A1914, INSEE_Communes!$A$2:$A$3783, INSEE_Communes!$F$2:$F$3783, "code introuvable")</f>
        <v>4</v>
      </c>
    </row>
    <row r="1915">
      <c r="A1915" s="2" t="str">
        <f>Communes_HDF!A1915</f>
        <v>60483</v>
      </c>
      <c r="B1915" s="2" t="str">
        <f>Communes_HDF!B1915</f>
        <v>Orvillers-Sorel</v>
      </c>
      <c r="C1915" s="2" t="str">
        <f t="array" ref="C1915">_xlfn.XLOOKUP(A1915, INSEE_Communes!$A$2:$A$3783, INSEE_Communes!$F$2:$F$3783, "code introuvable")</f>
        <v>non publié</v>
      </c>
    </row>
    <row r="1916">
      <c r="A1916" s="2" t="str">
        <f>Communes_HDF!A1916</f>
        <v>60484</v>
      </c>
      <c r="B1916" s="2" t="str">
        <f>Communes_HDF!B1916</f>
        <v>Oudeuil</v>
      </c>
      <c r="C1916" s="2" t="str">
        <f t="array" ref="C1916">_xlfn.XLOOKUP(A1916, INSEE_Communes!$A$2:$A$3783, INSEE_Communes!$F$2:$F$3783, "code introuvable")</f>
        <v>non publié</v>
      </c>
    </row>
    <row r="1917">
      <c r="A1917" s="2" t="str">
        <f>Communes_HDF!A1917</f>
        <v>60485</v>
      </c>
      <c r="B1917" s="2" t="str">
        <f>Communes_HDF!B1917</f>
        <v>Oursel-Maison</v>
      </c>
      <c r="C1917" s="2" t="str">
        <f t="array" ref="C1917">_xlfn.XLOOKUP(A1917, INSEE_Communes!$A$2:$A$3783, INSEE_Communes!$F$2:$F$3783, "code introuvable")</f>
        <v>non publié</v>
      </c>
    </row>
    <row r="1918">
      <c r="A1918" s="2" t="str">
        <f>Communes_HDF!A1918</f>
        <v>60486</v>
      </c>
      <c r="B1918" s="2" t="str">
        <f>Communes_HDF!B1918</f>
        <v>Paillart</v>
      </c>
      <c r="C1918" s="2" t="str">
        <f t="array" ref="C1918">_xlfn.XLOOKUP(A1918, INSEE_Communes!$A$2:$A$3783, INSEE_Communes!$F$2:$F$3783, "code introuvable")</f>
        <v>non publié</v>
      </c>
    </row>
    <row r="1919">
      <c r="A1919" s="2" t="str">
        <f>Communes_HDF!A1919</f>
        <v>60487</v>
      </c>
      <c r="B1919" s="2" t="str">
        <f>Communes_HDF!B1919</f>
        <v>Parnes</v>
      </c>
      <c r="C1919" s="2" t="str">
        <f t="array" ref="C1919">_xlfn.XLOOKUP(A1919, INSEE_Communes!$A$2:$A$3783, INSEE_Communes!$F$2:$F$3783, "code introuvable")</f>
        <v>non publié</v>
      </c>
    </row>
    <row r="1920">
      <c r="A1920" s="2" t="str">
        <f>Communes_HDF!A1920</f>
        <v>60488</v>
      </c>
      <c r="B1920" s="2" t="str">
        <f>Communes_HDF!B1920</f>
        <v>Passel</v>
      </c>
      <c r="C1920" s="2" t="str">
        <f t="array" ref="C1920">_xlfn.XLOOKUP(A1920, INSEE_Communes!$A$2:$A$3783, INSEE_Communes!$F$2:$F$3783, "code introuvable")</f>
        <v>non publié</v>
      </c>
    </row>
    <row r="1921">
      <c r="A1921" s="2" t="str">
        <f>Communes_HDF!A1921</f>
        <v>60490</v>
      </c>
      <c r="B1921" s="2" t="str">
        <f>Communes_HDF!B1921</f>
        <v>Pierrefitte-en-Beauvaisis</v>
      </c>
      <c r="C1921" s="2" t="str">
        <f t="array" ref="C1921">_xlfn.XLOOKUP(A1921, INSEE_Communes!$A$2:$A$3783, INSEE_Communes!$F$2:$F$3783, "code introuvable")</f>
        <v>non publié</v>
      </c>
    </row>
    <row r="1922">
      <c r="A1922" s="2" t="str">
        <f>Communes_HDF!A1922</f>
        <v>60491</v>
      </c>
      <c r="B1922" s="2" t="str">
        <f>Communes_HDF!B1922</f>
        <v>Pierrefonds</v>
      </c>
      <c r="C1922" s="2" t="str">
        <f t="array" ref="C1922">_xlfn.XLOOKUP(A1922, INSEE_Communes!$A$2:$A$3783, INSEE_Communes!$F$2:$F$3783, "code introuvable")</f>
        <v>non publié</v>
      </c>
    </row>
    <row r="1923">
      <c r="A1923" s="2" t="str">
        <f>Communes_HDF!A1923</f>
        <v>60492</v>
      </c>
      <c r="B1923" s="2" t="str">
        <f>Communes_HDF!B1923</f>
        <v>Pimprez</v>
      </c>
      <c r="C1923" s="2" t="str">
        <f t="array" ref="C1923">_xlfn.XLOOKUP(A1923, INSEE_Communes!$A$2:$A$3783, INSEE_Communes!$F$2:$F$3783, "code introuvable")</f>
        <v>non publié</v>
      </c>
    </row>
    <row r="1924">
      <c r="A1924" s="2" t="str">
        <f>Communes_HDF!A1924</f>
        <v>60493</v>
      </c>
      <c r="B1924" s="2" t="str">
        <f>Communes_HDF!B1924</f>
        <v>Pisseleu</v>
      </c>
      <c r="C1924" s="2" t="str">
        <f t="array" ref="C1924">_xlfn.XLOOKUP(A1924, INSEE_Communes!$A$2:$A$3783, INSEE_Communes!$F$2:$F$3783, "code introuvable")</f>
        <v>non publié</v>
      </c>
    </row>
    <row r="1925">
      <c r="A1925" s="2" t="str">
        <f>Communes_HDF!A1925</f>
        <v>60494</v>
      </c>
      <c r="B1925" s="2" t="str">
        <f>Communes_HDF!B1925</f>
        <v>Plailly</v>
      </c>
      <c r="C1925" s="2" t="str">
        <f t="array" ref="C1925">_xlfn.XLOOKUP(A1925, INSEE_Communes!$A$2:$A$3783, INSEE_Communes!$F$2:$F$3783, "code introuvable")</f>
        <v>non publié</v>
      </c>
    </row>
    <row r="1926">
      <c r="A1926" s="2" t="str">
        <f>Communes_HDF!A1926</f>
        <v>60495</v>
      </c>
      <c r="B1926" s="2" t="str">
        <f>Communes_HDF!B1926</f>
        <v>Plainval</v>
      </c>
      <c r="C1926" s="2" t="str">
        <f t="array" ref="C1926">_xlfn.XLOOKUP(A1926, INSEE_Communes!$A$2:$A$3783, INSEE_Communes!$F$2:$F$3783, "code introuvable")</f>
        <v>non publié</v>
      </c>
    </row>
    <row r="1927">
      <c r="A1927" s="2" t="str">
        <f>Communes_HDF!A1927</f>
        <v>60496</v>
      </c>
      <c r="B1927" s="2" t="str">
        <f>Communes_HDF!B1927</f>
        <v>Plainville</v>
      </c>
      <c r="C1927" s="2" t="str">
        <f t="array" ref="C1927">_xlfn.XLOOKUP(A1927, INSEE_Communes!$A$2:$A$3783, INSEE_Communes!$F$2:$F$3783, "code introuvable")</f>
        <v>non publié</v>
      </c>
    </row>
    <row r="1928">
      <c r="A1928" s="2" t="str">
        <f>Communes_HDF!A1928</f>
        <v>60499</v>
      </c>
      <c r="B1928" s="2" t="str">
        <f>Communes_HDF!B1928</f>
        <v>Plessis-de-Roye</v>
      </c>
      <c r="C1928" s="2" t="str">
        <f t="array" ref="C1928">_xlfn.XLOOKUP(A1928, INSEE_Communes!$A$2:$A$3783, INSEE_Communes!$F$2:$F$3783, "code introuvable")</f>
        <v>non publié</v>
      </c>
    </row>
    <row r="1929">
      <c r="A1929" s="2" t="str">
        <f>Communes_HDF!A1929</f>
        <v>60504</v>
      </c>
      <c r="B1929" s="2" t="str">
        <f>Communes_HDF!B1929</f>
        <v>Ponchon</v>
      </c>
      <c r="C1929" s="2" t="str">
        <f t="array" ref="C1929">_xlfn.XLOOKUP(A1929, INSEE_Communes!$A$2:$A$3783, INSEE_Communes!$F$2:$F$3783, "code introuvable")</f>
        <v>non publié</v>
      </c>
    </row>
    <row r="1930">
      <c r="A1930" s="2" t="str">
        <f>Communes_HDF!A1930</f>
        <v>60509</v>
      </c>
      <c r="B1930" s="2" t="str">
        <f>Communes_HDF!B1930</f>
        <v>Pont-Sainte-Maxence</v>
      </c>
      <c r="C1930" s="2">
        <f t="array" ref="C1930">_xlfn.XLOOKUP(A1930, INSEE_Communes!$A$2:$A$3783, INSEE_Communes!$F$2:$F$3783, "code introuvable")</f>
        <v>21</v>
      </c>
    </row>
    <row r="1931">
      <c r="A1931" s="2" t="str">
        <f>Communes_HDF!A1931</f>
        <v>60506</v>
      </c>
      <c r="B1931" s="2" t="str">
        <f>Communes_HDF!B1931</f>
        <v>Pont-l'Évêque</v>
      </c>
      <c r="C1931" s="2" t="str">
        <f t="array" ref="C1931">_xlfn.XLOOKUP(A1931, INSEE_Communes!$A$2:$A$3783, INSEE_Communes!$F$2:$F$3783, "code introuvable")</f>
        <v>non publié</v>
      </c>
    </row>
    <row r="1932">
      <c r="A1932" s="2" t="str">
        <f>Communes_HDF!A1932</f>
        <v>60505</v>
      </c>
      <c r="B1932" s="2" t="str">
        <f>Communes_HDF!B1932</f>
        <v>Pontarmé</v>
      </c>
      <c r="C1932" s="2" t="str">
        <f t="array" ref="C1932">_xlfn.XLOOKUP(A1932, INSEE_Communes!$A$2:$A$3783, INSEE_Communes!$F$2:$F$3783, "code introuvable")</f>
        <v>non publié</v>
      </c>
    </row>
    <row r="1933">
      <c r="A1933" s="2" t="str">
        <f>Communes_HDF!A1933</f>
        <v>60507</v>
      </c>
      <c r="B1933" s="2" t="str">
        <f>Communes_HDF!B1933</f>
        <v>Pontoise-lès-Noyon</v>
      </c>
      <c r="C1933" s="2" t="str">
        <f t="array" ref="C1933">_xlfn.XLOOKUP(A1933, INSEE_Communes!$A$2:$A$3783, INSEE_Communes!$F$2:$F$3783, "code introuvable")</f>
        <v>non publié</v>
      </c>
    </row>
    <row r="1934">
      <c r="A1934" s="2" t="str">
        <f>Communes_HDF!A1934</f>
        <v>60508</v>
      </c>
      <c r="B1934" s="2" t="str">
        <f>Communes_HDF!B1934</f>
        <v>Pontpoint</v>
      </c>
      <c r="C1934" s="2">
        <f t="array" ref="C1934">_xlfn.XLOOKUP(A1934, INSEE_Communes!$A$2:$A$3783, INSEE_Communes!$F$2:$F$3783, "code introuvable")</f>
        <v>7</v>
      </c>
    </row>
    <row r="1935">
      <c r="A1935" s="2" t="str">
        <f>Communes_HDF!A1935</f>
        <v>60510</v>
      </c>
      <c r="B1935" s="2" t="str">
        <f>Communes_HDF!B1935</f>
        <v>Porcheux</v>
      </c>
      <c r="C1935" s="2" t="str">
        <f t="array" ref="C1935">_xlfn.XLOOKUP(A1935, INSEE_Communes!$A$2:$A$3783, INSEE_Communes!$F$2:$F$3783, "code introuvable")</f>
        <v>non publié</v>
      </c>
    </row>
    <row r="1936">
      <c r="A1936" s="2" t="str">
        <f>Communes_HDF!A1936</f>
        <v>60511</v>
      </c>
      <c r="B1936" s="2" t="str">
        <f>Communes_HDF!B1936</f>
        <v>Porquéricourt</v>
      </c>
      <c r="C1936" s="2" t="str">
        <f t="array" ref="C1936">_xlfn.XLOOKUP(A1936, INSEE_Communes!$A$2:$A$3783, INSEE_Communes!$F$2:$F$3783, "code introuvable")</f>
        <v>non publié</v>
      </c>
    </row>
    <row r="1937">
      <c r="A1937" s="2" t="str">
        <f>Communes_HDF!A1937</f>
        <v>60512</v>
      </c>
      <c r="B1937" s="2" t="str">
        <f>Communes_HDF!B1937</f>
        <v>Pouilly</v>
      </c>
      <c r="C1937" s="2" t="str">
        <f t="array" ref="C1937">_xlfn.XLOOKUP(A1937, INSEE_Communes!$A$2:$A$3783, INSEE_Communes!$F$2:$F$3783, "code introuvable")</f>
        <v>non publié</v>
      </c>
    </row>
    <row r="1938">
      <c r="A1938" s="2" t="str">
        <f>Communes_HDF!A1938</f>
        <v>60515</v>
      </c>
      <c r="B1938" s="2" t="str">
        <f>Communes_HDF!B1938</f>
        <v>Pronleroy</v>
      </c>
      <c r="C1938" s="2" t="str">
        <f t="array" ref="C1938">_xlfn.XLOOKUP(A1938, INSEE_Communes!$A$2:$A$3783, INSEE_Communes!$F$2:$F$3783, "code introuvable")</f>
        <v>non publié</v>
      </c>
    </row>
    <row r="1939">
      <c r="A1939" s="2" t="str">
        <f>Communes_HDF!A1939</f>
        <v>60513</v>
      </c>
      <c r="B1939" s="2" t="str">
        <f>Communes_HDF!B1939</f>
        <v>Précy-sur-Oise</v>
      </c>
      <c r="C1939" s="2">
        <f t="array" ref="C1939">_xlfn.XLOOKUP(A1939, INSEE_Communes!$A$2:$A$3783, INSEE_Communes!$F$2:$F$3783, "code introuvable")</f>
        <v>7</v>
      </c>
    </row>
    <row r="1940">
      <c r="A1940" s="2" t="str">
        <f>Communes_HDF!A1940</f>
        <v>60514</v>
      </c>
      <c r="B1940" s="2" t="str">
        <f>Communes_HDF!B1940</f>
        <v>Prévillers</v>
      </c>
      <c r="C1940" s="2" t="str">
        <f t="array" ref="C1940">_xlfn.XLOOKUP(A1940, INSEE_Communes!$A$2:$A$3783, INSEE_Communes!$F$2:$F$3783, "code introuvable")</f>
        <v>non publié</v>
      </c>
    </row>
    <row r="1941">
      <c r="A1941" s="2" t="str">
        <f>Communes_HDF!A1941</f>
        <v>60516</v>
      </c>
      <c r="B1941" s="2" t="str">
        <f>Communes_HDF!B1941</f>
        <v>Puiseux-en-Bray</v>
      </c>
      <c r="C1941" s="2" t="str">
        <f t="array" ref="C1941">_xlfn.XLOOKUP(A1941, INSEE_Communes!$A$2:$A$3783, INSEE_Communes!$F$2:$F$3783, "code introuvable")</f>
        <v>non publié</v>
      </c>
    </row>
    <row r="1942">
      <c r="A1942" s="2" t="str">
        <f>Communes_HDF!A1942</f>
        <v>60517</v>
      </c>
      <c r="B1942" s="2" t="str">
        <f>Communes_HDF!B1942</f>
        <v>Puiseux-le-Hauberger</v>
      </c>
      <c r="C1942" s="2" t="str">
        <f t="array" ref="C1942">_xlfn.XLOOKUP(A1942, INSEE_Communes!$A$2:$A$3783, INSEE_Communes!$F$2:$F$3783, "code introuvable")</f>
        <v>non publié</v>
      </c>
    </row>
    <row r="1943">
      <c r="A1943" s="2" t="str">
        <f>Communes_HDF!A1943</f>
        <v>60518</v>
      </c>
      <c r="B1943" s="2" t="str">
        <f>Communes_HDF!B1943</f>
        <v>Puits-la-Vallée</v>
      </c>
      <c r="C1943" s="2" t="str">
        <f t="array" ref="C1943">_xlfn.XLOOKUP(A1943, INSEE_Communes!$A$2:$A$3783, INSEE_Communes!$F$2:$F$3783, "code introuvable")</f>
        <v>non publié</v>
      </c>
    </row>
    <row r="1944">
      <c r="A1944" s="2" t="str">
        <f>Communes_HDF!A1944</f>
        <v>60489</v>
      </c>
      <c r="B1944" s="2" t="str">
        <f>Communes_HDF!B1944</f>
        <v>Péroy-les-Gombries</v>
      </c>
      <c r="C1944" s="2" t="str">
        <f t="array" ref="C1944">_xlfn.XLOOKUP(A1944, INSEE_Communes!$A$2:$A$3783, INSEE_Communes!$F$2:$F$3783, "code introuvable")</f>
        <v>non publié</v>
      </c>
    </row>
    <row r="1945">
      <c r="A1945" s="2" t="str">
        <f>Communes_HDF!A1945</f>
        <v>60519</v>
      </c>
      <c r="B1945" s="2" t="str">
        <f>Communes_HDF!B1945</f>
        <v>Quesmy</v>
      </c>
      <c r="C1945" s="2" t="str">
        <f t="array" ref="C1945">_xlfn.XLOOKUP(A1945, INSEE_Communes!$A$2:$A$3783, INSEE_Communes!$F$2:$F$3783, "code introuvable")</f>
        <v>non publié</v>
      </c>
    </row>
    <row r="1946">
      <c r="A1946" s="2" t="str">
        <f>Communes_HDF!A1946</f>
        <v>60521</v>
      </c>
      <c r="B1946" s="2" t="str">
        <f>Communes_HDF!B1946</f>
        <v>Quincampoix-Fleuzy</v>
      </c>
      <c r="C1946" s="2" t="str">
        <f t="array" ref="C1946">_xlfn.XLOOKUP(A1946, INSEE_Communes!$A$2:$A$3783, INSEE_Communes!$F$2:$F$3783, "code introuvable")</f>
        <v>non publié</v>
      </c>
    </row>
    <row r="1947">
      <c r="A1947" s="2" t="str">
        <f>Communes_HDF!A1947</f>
        <v>60522</v>
      </c>
      <c r="B1947" s="2" t="str">
        <f>Communes_HDF!B1947</f>
        <v>Quinquempoix</v>
      </c>
      <c r="C1947" s="2" t="str">
        <f t="array" ref="C1947">_xlfn.XLOOKUP(A1947, INSEE_Communes!$A$2:$A$3783, INSEE_Communes!$F$2:$F$3783, "code introuvable")</f>
        <v>non publié</v>
      </c>
    </row>
    <row r="1948">
      <c r="A1948" s="2" t="str">
        <f>Communes_HDF!A1948</f>
        <v>60523</v>
      </c>
      <c r="B1948" s="2" t="str">
        <f>Communes_HDF!B1948</f>
        <v>Rainvillers</v>
      </c>
      <c r="C1948" s="2" t="str">
        <f t="array" ref="C1948">_xlfn.XLOOKUP(A1948, INSEE_Communes!$A$2:$A$3783, INSEE_Communes!$F$2:$F$3783, "code introuvable")</f>
        <v>non publié</v>
      </c>
    </row>
    <row r="1949">
      <c r="A1949" s="2" t="str">
        <f>Communes_HDF!A1949</f>
        <v>60524</v>
      </c>
      <c r="B1949" s="2" t="str">
        <f>Communes_HDF!B1949</f>
        <v>Rantigny</v>
      </c>
      <c r="C1949" s="2">
        <f t="array" ref="C1949">_xlfn.XLOOKUP(A1949, INSEE_Communes!$A$2:$A$3783, INSEE_Communes!$F$2:$F$3783, "code introuvable")</f>
        <v>15</v>
      </c>
    </row>
    <row r="1950">
      <c r="A1950" s="2" t="str">
        <f>Communes_HDF!A1950</f>
        <v>60525</v>
      </c>
      <c r="B1950" s="2" t="str">
        <f>Communes_HDF!B1950</f>
        <v>Raray</v>
      </c>
      <c r="C1950" s="2" t="str">
        <f t="array" ref="C1950">_xlfn.XLOOKUP(A1950, INSEE_Communes!$A$2:$A$3783, INSEE_Communes!$F$2:$F$3783, "code introuvable")</f>
        <v>non publié</v>
      </c>
    </row>
    <row r="1951">
      <c r="A1951" s="2" t="str">
        <f>Communes_HDF!A1951</f>
        <v>60526</v>
      </c>
      <c r="B1951" s="2" t="str">
        <f>Communes_HDF!B1951</f>
        <v>Ravenel</v>
      </c>
      <c r="C1951" s="2" t="str">
        <f t="array" ref="C1951">_xlfn.XLOOKUP(A1951, INSEE_Communes!$A$2:$A$3783, INSEE_Communes!$F$2:$F$3783, "code introuvable")</f>
        <v>non publié</v>
      </c>
    </row>
    <row r="1952">
      <c r="A1952" s="2" t="str">
        <f>Communes_HDF!A1952</f>
        <v>60528</v>
      </c>
      <c r="B1952" s="2" t="str">
        <f>Communes_HDF!B1952</f>
        <v>Reilly</v>
      </c>
      <c r="C1952" s="2" t="str">
        <f t="array" ref="C1952">_xlfn.XLOOKUP(A1952, INSEE_Communes!$A$2:$A$3783, INSEE_Communes!$F$2:$F$3783, "code introuvable")</f>
        <v>non publié</v>
      </c>
    </row>
    <row r="1953">
      <c r="A1953" s="2" t="str">
        <f>Communes_HDF!A1953</f>
        <v>60531</v>
      </c>
      <c r="B1953" s="2" t="str">
        <f>Communes_HDF!B1953</f>
        <v>Remy</v>
      </c>
      <c r="C1953" s="2" t="str">
        <f t="array" ref="C1953">_xlfn.XLOOKUP(A1953, INSEE_Communes!$A$2:$A$3783, INSEE_Communes!$F$2:$F$3783, "code introuvable")</f>
        <v>non publié</v>
      </c>
    </row>
    <row r="1954">
      <c r="A1954" s="2" t="str">
        <f>Communes_HDF!A1954</f>
        <v>60533</v>
      </c>
      <c r="B1954" s="2" t="str">
        <f>Communes_HDF!B1954</f>
        <v>Ressons-sur-Matz</v>
      </c>
      <c r="C1954" s="2" t="str">
        <f t="array" ref="C1954">_xlfn.XLOOKUP(A1954, INSEE_Communes!$A$2:$A$3783, INSEE_Communes!$F$2:$F$3783, "code introuvable")</f>
        <v>non publié</v>
      </c>
    </row>
    <row r="1955">
      <c r="A1955" s="2" t="str">
        <f>Communes_HDF!A1955</f>
        <v>60534</v>
      </c>
      <c r="B1955" s="2" t="str">
        <f>Communes_HDF!B1955</f>
        <v>Rethondes</v>
      </c>
      <c r="C1955" s="2" t="str">
        <f t="array" ref="C1955">_xlfn.XLOOKUP(A1955, INSEE_Communes!$A$2:$A$3783, INSEE_Communes!$F$2:$F$3783, "code introuvable")</f>
        <v>non publié</v>
      </c>
    </row>
    <row r="1956">
      <c r="A1956" s="2" t="str">
        <f>Communes_HDF!A1956</f>
        <v>60535</v>
      </c>
      <c r="B1956" s="2" t="str">
        <f>Communes_HDF!B1956</f>
        <v>Reuil-sur-Brêche</v>
      </c>
      <c r="C1956" s="2" t="str">
        <f t="array" ref="C1956">_xlfn.XLOOKUP(A1956, INSEE_Communes!$A$2:$A$3783, INSEE_Communes!$F$2:$F$3783, "code introuvable")</f>
        <v>non publié</v>
      </c>
    </row>
    <row r="1957">
      <c r="A1957" s="2" t="str">
        <f>Communes_HDF!A1957</f>
        <v>60536</v>
      </c>
      <c r="B1957" s="2" t="str">
        <f>Communes_HDF!B1957</f>
        <v>Rhuis</v>
      </c>
      <c r="C1957" s="2" t="str">
        <f t="array" ref="C1957">_xlfn.XLOOKUP(A1957, INSEE_Communes!$A$2:$A$3783, INSEE_Communes!$F$2:$F$3783, "code introuvable")</f>
        <v>non publié</v>
      </c>
    </row>
    <row r="1958">
      <c r="A1958" s="2" t="str">
        <f>Communes_HDF!A1958</f>
        <v>60537</v>
      </c>
      <c r="B1958" s="2" t="str">
        <f>Communes_HDF!B1958</f>
        <v>Ribécourt-Dreslincourt</v>
      </c>
      <c r="C1958" s="2">
        <f t="array" ref="C1958">_xlfn.XLOOKUP(A1958, INSEE_Communes!$A$2:$A$3783, INSEE_Communes!$F$2:$F$3783, "code introuvable")</f>
        <v>17</v>
      </c>
    </row>
    <row r="1959">
      <c r="A1959" s="2" t="str">
        <f>Communes_HDF!A1959</f>
        <v>60538</v>
      </c>
      <c r="B1959" s="2" t="str">
        <f>Communes_HDF!B1959</f>
        <v>Ricquebourg</v>
      </c>
      <c r="C1959" s="2" t="str">
        <f t="array" ref="C1959">_xlfn.XLOOKUP(A1959, INSEE_Communes!$A$2:$A$3783, INSEE_Communes!$F$2:$F$3783, "code introuvable")</f>
        <v>non publié</v>
      </c>
    </row>
    <row r="1960">
      <c r="A1960" s="2" t="str">
        <f>Communes_HDF!A1960</f>
        <v>60539</v>
      </c>
      <c r="B1960" s="2" t="str">
        <f>Communes_HDF!B1960</f>
        <v>Rieux</v>
      </c>
      <c r="C1960" s="2" t="str">
        <f t="array" ref="C1960">_xlfn.XLOOKUP(A1960, INSEE_Communes!$A$2:$A$3783, INSEE_Communes!$F$2:$F$3783, "code introuvable")</f>
        <v>non publié</v>
      </c>
    </row>
    <row r="1961">
      <c r="A1961" s="2" t="str">
        <f>Communes_HDF!A1961</f>
        <v>60540</v>
      </c>
      <c r="B1961" s="2" t="str">
        <f>Communes_HDF!B1961</f>
        <v>Rivecourt</v>
      </c>
      <c r="C1961" s="2" t="str">
        <f t="array" ref="C1961">_xlfn.XLOOKUP(A1961, INSEE_Communes!$A$2:$A$3783, INSEE_Communes!$F$2:$F$3783, "code introuvable")</f>
        <v>non publié</v>
      </c>
    </row>
    <row r="1962">
      <c r="A1962" s="2" t="str">
        <f>Communes_HDF!A1962</f>
        <v>60541</v>
      </c>
      <c r="B1962" s="2" t="str">
        <f>Communes_HDF!B1962</f>
        <v>Roberval</v>
      </c>
      <c r="C1962" s="2" t="str">
        <f t="array" ref="C1962">_xlfn.XLOOKUP(A1962, INSEE_Communes!$A$2:$A$3783, INSEE_Communes!$F$2:$F$3783, "code introuvable")</f>
        <v>non publié</v>
      </c>
    </row>
    <row r="1963">
      <c r="A1963" s="2" t="str">
        <f>Communes_HDF!A1963</f>
        <v>60542</v>
      </c>
      <c r="B1963" s="2" t="str">
        <f>Communes_HDF!B1963</f>
        <v>Rochy-Condé</v>
      </c>
      <c r="C1963" s="2" t="str">
        <f t="array" ref="C1963">_xlfn.XLOOKUP(A1963, INSEE_Communes!$A$2:$A$3783, INSEE_Communes!$F$2:$F$3783, "code introuvable")</f>
        <v>non publié</v>
      </c>
    </row>
    <row r="1964">
      <c r="A1964" s="2" t="str">
        <f>Communes_HDF!A1964</f>
        <v>60543</v>
      </c>
      <c r="B1964" s="2" t="str">
        <f>Communes_HDF!B1964</f>
        <v>Rocquemont</v>
      </c>
      <c r="C1964" s="2" t="str">
        <f t="array" ref="C1964">_xlfn.XLOOKUP(A1964, INSEE_Communes!$A$2:$A$3783, INSEE_Communes!$F$2:$F$3783, "code introuvable")</f>
        <v>non publié</v>
      </c>
    </row>
    <row r="1965">
      <c r="A1965" s="2" t="str">
        <f>Communes_HDF!A1965</f>
        <v>60544</v>
      </c>
      <c r="B1965" s="2" t="str">
        <f>Communes_HDF!B1965</f>
        <v>Rocquencourt</v>
      </c>
      <c r="C1965" s="2" t="str">
        <f t="array" ref="C1965">_xlfn.XLOOKUP(A1965, INSEE_Communes!$A$2:$A$3783, INSEE_Communes!$F$2:$F$3783, "code introuvable")</f>
        <v>non publié</v>
      </c>
    </row>
    <row r="1966">
      <c r="A1966" s="2" t="str">
        <f>Communes_HDF!A1966</f>
        <v>60545</v>
      </c>
      <c r="B1966" s="2" t="str">
        <f>Communes_HDF!B1966</f>
        <v>Romescamps</v>
      </c>
      <c r="C1966" s="2" t="str">
        <f t="array" ref="C1966">_xlfn.XLOOKUP(A1966, INSEE_Communes!$A$2:$A$3783, INSEE_Communes!$F$2:$F$3783, "code introuvable")</f>
        <v>non publié</v>
      </c>
    </row>
    <row r="1967">
      <c r="A1967" s="2" t="str">
        <f>Communes_HDF!A1967</f>
        <v>60546</v>
      </c>
      <c r="B1967" s="2" t="str">
        <f>Communes_HDF!B1967</f>
        <v>Rosières</v>
      </c>
      <c r="C1967" s="2" t="str">
        <f t="array" ref="C1967">_xlfn.XLOOKUP(A1967, INSEE_Communes!$A$2:$A$3783, INSEE_Communes!$F$2:$F$3783, "code introuvable")</f>
        <v>non publié</v>
      </c>
    </row>
    <row r="1968">
      <c r="A1968" s="2" t="str">
        <f>Communes_HDF!A1968</f>
        <v>60547</v>
      </c>
      <c r="B1968" s="2" t="str">
        <f>Communes_HDF!B1968</f>
        <v>Rosoy</v>
      </c>
      <c r="C1968" s="2" t="str">
        <f t="array" ref="C1968">_xlfn.XLOOKUP(A1968, INSEE_Communes!$A$2:$A$3783, INSEE_Communes!$F$2:$F$3783, "code introuvable")</f>
        <v>non publié</v>
      </c>
    </row>
    <row r="1969">
      <c r="A1969" s="2" t="str">
        <f>Communes_HDF!A1969</f>
        <v>60548</v>
      </c>
      <c r="B1969" s="2" t="str">
        <f>Communes_HDF!B1969</f>
        <v>Rosoy-en-Multien</v>
      </c>
      <c r="C1969" s="2" t="str">
        <f t="array" ref="C1969">_xlfn.XLOOKUP(A1969, INSEE_Communes!$A$2:$A$3783, INSEE_Communes!$F$2:$F$3783, "code introuvable")</f>
        <v>non publié</v>
      </c>
    </row>
    <row r="1970">
      <c r="A1970" s="2" t="str">
        <f>Communes_HDF!A1970</f>
        <v>60549</v>
      </c>
      <c r="B1970" s="2" t="str">
        <f>Communes_HDF!B1970</f>
        <v>Rotangy</v>
      </c>
      <c r="C1970" s="2" t="str">
        <f t="array" ref="C1970">_xlfn.XLOOKUP(A1970, INSEE_Communes!$A$2:$A$3783, INSEE_Communes!$F$2:$F$3783, "code introuvable")</f>
        <v>non publié</v>
      </c>
    </row>
    <row r="1971">
      <c r="A1971" s="2" t="str">
        <f>Communes_HDF!A1971</f>
        <v>60550</v>
      </c>
      <c r="B1971" s="2" t="str">
        <f>Communes_HDF!B1971</f>
        <v>Rothois</v>
      </c>
      <c r="C1971" s="2" t="str">
        <f t="array" ref="C1971">_xlfn.XLOOKUP(A1971, INSEE_Communes!$A$2:$A$3783, INSEE_Communes!$F$2:$F$3783, "code introuvable")</f>
        <v>non publié</v>
      </c>
    </row>
    <row r="1972">
      <c r="A1972" s="2" t="str">
        <f>Communes_HDF!A1972</f>
        <v>60551</v>
      </c>
      <c r="B1972" s="2" t="str">
        <f>Communes_HDF!B1972</f>
        <v>Rousseloy</v>
      </c>
      <c r="C1972" s="2" t="str">
        <f t="array" ref="C1972">_xlfn.XLOOKUP(A1972, INSEE_Communes!$A$2:$A$3783, INSEE_Communes!$F$2:$F$3783, "code introuvable")</f>
        <v>non publié</v>
      </c>
    </row>
    <row r="1973">
      <c r="A1973" s="2" t="str">
        <f>Communes_HDF!A1973</f>
        <v>60552</v>
      </c>
      <c r="B1973" s="2" t="str">
        <f>Communes_HDF!B1973</f>
        <v>Rouville</v>
      </c>
      <c r="C1973" s="2" t="str">
        <f t="array" ref="C1973">_xlfn.XLOOKUP(A1973, INSEE_Communes!$A$2:$A$3783, INSEE_Communes!$F$2:$F$3783, "code introuvable")</f>
        <v>non publié</v>
      </c>
    </row>
    <row r="1974">
      <c r="A1974" s="2" t="str">
        <f>Communes_HDF!A1974</f>
        <v>60553</v>
      </c>
      <c r="B1974" s="2" t="str">
        <f>Communes_HDF!B1974</f>
        <v>Rouvillers</v>
      </c>
      <c r="C1974" s="2" t="str">
        <f t="array" ref="C1974">_xlfn.XLOOKUP(A1974, INSEE_Communes!$A$2:$A$3783, INSEE_Communes!$F$2:$F$3783, "code introuvable")</f>
        <v>non publié</v>
      </c>
    </row>
    <row r="1975">
      <c r="A1975" s="2" t="str">
        <f>Communes_HDF!A1975</f>
        <v>60554</v>
      </c>
      <c r="B1975" s="2" t="str">
        <f>Communes_HDF!B1975</f>
        <v>Rouvres-en-Multien</v>
      </c>
      <c r="C1975" s="2" t="str">
        <f t="array" ref="C1975">_xlfn.XLOOKUP(A1975, INSEE_Communes!$A$2:$A$3783, INSEE_Communes!$F$2:$F$3783, "code introuvable")</f>
        <v>non publié</v>
      </c>
    </row>
    <row r="1976">
      <c r="A1976" s="2" t="str">
        <f>Communes_HDF!A1976</f>
        <v>60555</v>
      </c>
      <c r="B1976" s="2" t="str">
        <f>Communes_HDF!B1976</f>
        <v>Rouvroy-les-Merles</v>
      </c>
      <c r="C1976" s="2" t="str">
        <f t="array" ref="C1976">_xlfn.XLOOKUP(A1976, INSEE_Communes!$A$2:$A$3783, INSEE_Communes!$F$2:$F$3783, "code introuvable")</f>
        <v>non publié</v>
      </c>
    </row>
    <row r="1977">
      <c r="A1977" s="2" t="str">
        <f>Communes_HDF!A1977</f>
        <v>60557</v>
      </c>
      <c r="B1977" s="2" t="str">
        <f>Communes_HDF!B1977</f>
        <v>Roy-Boissy</v>
      </c>
      <c r="C1977" s="2" t="str">
        <f t="array" ref="C1977">_xlfn.XLOOKUP(A1977, INSEE_Communes!$A$2:$A$3783, INSEE_Communes!$F$2:$F$3783, "code introuvable")</f>
        <v>non publié</v>
      </c>
    </row>
    <row r="1978">
      <c r="A1978" s="2" t="str">
        <f>Communes_HDF!A1978</f>
        <v>60556</v>
      </c>
      <c r="B1978" s="2" t="str">
        <f>Communes_HDF!B1978</f>
        <v>Royaucourt</v>
      </c>
      <c r="C1978" s="2" t="str">
        <f t="array" ref="C1978">_xlfn.XLOOKUP(A1978, INSEE_Communes!$A$2:$A$3783, INSEE_Communes!$F$2:$F$3783, "code introuvable")</f>
        <v>non publié</v>
      </c>
    </row>
    <row r="1979">
      <c r="A1979" s="2" t="str">
        <f>Communes_HDF!A1979</f>
        <v>60558</v>
      </c>
      <c r="B1979" s="2" t="str">
        <f>Communes_HDF!B1979</f>
        <v>Roye-sur-Matz</v>
      </c>
      <c r="C1979" s="2" t="str">
        <f t="array" ref="C1979">_xlfn.XLOOKUP(A1979, INSEE_Communes!$A$2:$A$3783, INSEE_Communes!$F$2:$F$3783, "code introuvable")</f>
        <v>non publié</v>
      </c>
    </row>
    <row r="1980">
      <c r="A1980" s="2" t="str">
        <f>Communes_HDF!A1980</f>
        <v>60560</v>
      </c>
      <c r="B1980" s="2" t="str">
        <f>Communes_HDF!B1980</f>
        <v>Rully</v>
      </c>
      <c r="C1980" s="2" t="str">
        <f t="array" ref="C1980">_xlfn.XLOOKUP(A1980, INSEE_Communes!$A$2:$A$3783, INSEE_Communes!$F$2:$F$3783, "code introuvable")</f>
        <v>non publié</v>
      </c>
    </row>
    <row r="1981">
      <c r="A1981" s="2" t="str">
        <f>Communes_HDF!A1981</f>
        <v>60561</v>
      </c>
      <c r="B1981" s="2" t="str">
        <f>Communes_HDF!B1981</f>
        <v>Russy-Bémont</v>
      </c>
      <c r="C1981" s="2" t="str">
        <f t="array" ref="C1981">_xlfn.XLOOKUP(A1981, INSEE_Communes!$A$2:$A$3783, INSEE_Communes!$F$2:$F$3783, "code introuvable")</f>
        <v>non publié</v>
      </c>
    </row>
    <row r="1982">
      <c r="A1982" s="2" t="str">
        <f>Communes_HDF!A1982</f>
        <v>60527</v>
      </c>
      <c r="B1982" s="2" t="str">
        <f>Communes_HDF!B1982</f>
        <v>Réez-Fosse-Martin</v>
      </c>
      <c r="C1982" s="2" t="str">
        <f t="array" ref="C1982">_xlfn.XLOOKUP(A1982, INSEE_Communes!$A$2:$A$3783, INSEE_Communes!$F$2:$F$3783, "code introuvable")</f>
        <v>non publié</v>
      </c>
    </row>
    <row r="1983">
      <c r="A1983" s="2" t="str">
        <f>Communes_HDF!A1983</f>
        <v>60529</v>
      </c>
      <c r="B1983" s="2" t="str">
        <f>Communes_HDF!B1983</f>
        <v>Rémécourt</v>
      </c>
      <c r="C1983" s="2" t="str">
        <f t="array" ref="C1983">_xlfn.XLOOKUP(A1983, INSEE_Communes!$A$2:$A$3783, INSEE_Communes!$F$2:$F$3783, "code introuvable")</f>
        <v>non publié</v>
      </c>
    </row>
    <row r="1984">
      <c r="A1984" s="2" t="str">
        <f>Communes_HDF!A1984</f>
        <v>60530</v>
      </c>
      <c r="B1984" s="2" t="str">
        <f>Communes_HDF!B1984</f>
        <v>Rémérangles</v>
      </c>
      <c r="C1984" s="2" t="str">
        <f t="array" ref="C1984">_xlfn.XLOOKUP(A1984, INSEE_Communes!$A$2:$A$3783, INSEE_Communes!$F$2:$F$3783, "code introuvable")</f>
        <v>non publié</v>
      </c>
    </row>
    <row r="1985">
      <c r="A1985" s="2" t="str">
        <f>Communes_HDF!A1985</f>
        <v>60562</v>
      </c>
      <c r="B1985" s="2" t="str">
        <f>Communes_HDF!B1985</f>
        <v>Sacy-le-Grand</v>
      </c>
      <c r="C1985" s="2" t="str">
        <f t="array" ref="C1985">_xlfn.XLOOKUP(A1985, INSEE_Communes!$A$2:$A$3783, INSEE_Communes!$F$2:$F$3783, "code introuvable")</f>
        <v>non publié</v>
      </c>
    </row>
    <row r="1986">
      <c r="A1986" s="2" t="str">
        <f>Communes_HDF!A1986</f>
        <v>60563</v>
      </c>
      <c r="B1986" s="2" t="str">
        <f>Communes_HDF!B1986</f>
        <v>Sacy-le-Petit</v>
      </c>
      <c r="C1986" s="2" t="str">
        <f t="array" ref="C1986">_xlfn.XLOOKUP(A1986, INSEE_Communes!$A$2:$A$3783, INSEE_Communes!$F$2:$F$3783, "code introuvable")</f>
        <v>non publié</v>
      </c>
    </row>
    <row r="1987">
      <c r="A1987" s="2" t="str">
        <f>Communes_HDF!A1987</f>
        <v>60564</v>
      </c>
      <c r="B1987" s="2" t="str">
        <f>Communes_HDF!B1987</f>
        <v>Sains-Morainvillers</v>
      </c>
      <c r="C1987" s="2" t="str">
        <f t="array" ref="C1987">_xlfn.XLOOKUP(A1987, INSEE_Communes!$A$2:$A$3783, INSEE_Communes!$F$2:$F$3783, "code introuvable")</f>
        <v>non publié</v>
      </c>
    </row>
    <row r="1988">
      <c r="A1988" s="2" t="str">
        <f>Communes_HDF!A1988</f>
        <v>60565</v>
      </c>
      <c r="B1988" s="2" t="str">
        <f>Communes_HDF!B1988</f>
        <v>Saint-André-Farivillers</v>
      </c>
      <c r="C1988" s="2" t="str">
        <f t="array" ref="C1988">_xlfn.XLOOKUP(A1988, INSEE_Communes!$A$2:$A$3783, INSEE_Communes!$F$2:$F$3783, "code introuvable")</f>
        <v>non publié</v>
      </c>
    </row>
    <row r="1989">
      <c r="A1989" s="2" t="str">
        <f>Communes_HDF!A1989</f>
        <v>60566</v>
      </c>
      <c r="B1989" s="2" t="str">
        <f>Communes_HDF!B1989</f>
        <v>Saint-Arnoult</v>
      </c>
      <c r="C1989" s="2" t="str">
        <f t="array" ref="C1989">_xlfn.XLOOKUP(A1989, INSEE_Communes!$A$2:$A$3783, INSEE_Communes!$F$2:$F$3783, "code introuvable")</f>
        <v>non publié</v>
      </c>
    </row>
    <row r="1990">
      <c r="A1990" s="2" t="str">
        <f>Communes_HDF!A1990</f>
        <v>60567</v>
      </c>
      <c r="B1990" s="2" t="str">
        <f>Communes_HDF!B1990</f>
        <v>Saint-Aubin-en-Bray</v>
      </c>
      <c r="C1990" s="2" t="str">
        <f t="array" ref="C1990">_xlfn.XLOOKUP(A1990, INSEE_Communes!$A$2:$A$3783, INSEE_Communes!$F$2:$F$3783, "code introuvable")</f>
        <v>non publié</v>
      </c>
    </row>
    <row r="1991">
      <c r="A1991" s="2" t="str">
        <f>Communes_HDF!A1991</f>
        <v>60568</v>
      </c>
      <c r="B1991" s="2" t="str">
        <f>Communes_HDF!B1991</f>
        <v>Saint-Aubin-sous-Erquery</v>
      </c>
      <c r="C1991" s="2" t="str">
        <f t="array" ref="C1991">_xlfn.XLOOKUP(A1991, INSEE_Communes!$A$2:$A$3783, INSEE_Communes!$F$2:$F$3783, "code introuvable")</f>
        <v>non publié</v>
      </c>
    </row>
    <row r="1992">
      <c r="A1992" s="2" t="str">
        <f>Communes_HDF!A1992</f>
        <v>60570</v>
      </c>
      <c r="B1992" s="2" t="str">
        <f>Communes_HDF!B1992</f>
        <v>Saint-Crépin-Ibouvillers</v>
      </c>
      <c r="C1992" s="2" t="str">
        <f t="array" ref="C1992">_xlfn.XLOOKUP(A1992, INSEE_Communes!$A$2:$A$3783, INSEE_Communes!$F$2:$F$3783, "code introuvable")</f>
        <v>non publié</v>
      </c>
    </row>
    <row r="1993">
      <c r="A1993" s="2" t="str">
        <f>Communes_HDF!A1993</f>
        <v>60569</v>
      </c>
      <c r="B1993" s="2" t="str">
        <f>Communes_HDF!B1993</f>
        <v>Saint-Crépin-aux-Bois</v>
      </c>
      <c r="C1993" s="2" t="str">
        <f t="array" ref="C1993">_xlfn.XLOOKUP(A1993, INSEE_Communes!$A$2:$A$3783, INSEE_Communes!$F$2:$F$3783, "code introuvable")</f>
        <v>non publié</v>
      </c>
    </row>
    <row r="1994">
      <c r="A1994" s="2" t="str">
        <f>Communes_HDF!A1994</f>
        <v>60571</v>
      </c>
      <c r="B1994" s="2" t="str">
        <f>Communes_HDF!B1994</f>
        <v>Saint-Deniscourt</v>
      </c>
      <c r="C1994" s="2" t="str">
        <f t="array" ref="C1994">_xlfn.XLOOKUP(A1994, INSEE_Communes!$A$2:$A$3783, INSEE_Communes!$F$2:$F$3783, "code introuvable")</f>
        <v>non publié</v>
      </c>
    </row>
    <row r="1995">
      <c r="A1995" s="2" t="str">
        <f>Communes_HDF!A1995</f>
        <v>60574</v>
      </c>
      <c r="B1995" s="2" t="str">
        <f>Communes_HDF!B1995</f>
        <v>Saint-Félix</v>
      </c>
      <c r="C1995" s="2" t="str">
        <f t="array" ref="C1995">_xlfn.XLOOKUP(A1995, INSEE_Communes!$A$2:$A$3783, INSEE_Communes!$F$2:$F$3783, "code introuvable")</f>
        <v>non publié</v>
      </c>
    </row>
    <row r="1996">
      <c r="A1996" s="2" t="str">
        <f>Communes_HDF!A1996</f>
        <v>60576</v>
      </c>
      <c r="B1996" s="2" t="str">
        <f>Communes_HDF!B1996</f>
        <v>Saint-Germain-la-Poterie</v>
      </c>
      <c r="C1996" s="2" t="str">
        <f t="array" ref="C1996">_xlfn.XLOOKUP(A1996, INSEE_Communes!$A$2:$A$3783, INSEE_Communes!$F$2:$F$3783, "code introuvable")</f>
        <v>non publié</v>
      </c>
    </row>
    <row r="1997">
      <c r="A1997" s="2" t="str">
        <f>Communes_HDF!A1997</f>
        <v>60577</v>
      </c>
      <c r="B1997" s="2" t="str">
        <f>Communes_HDF!B1997</f>
        <v>Saint-Germer-de-Fly</v>
      </c>
      <c r="C1997" s="2" t="str">
        <f t="array" ref="C1997">_xlfn.XLOOKUP(A1997, INSEE_Communes!$A$2:$A$3783, INSEE_Communes!$F$2:$F$3783, "code introuvable")</f>
        <v>non publié</v>
      </c>
    </row>
    <row r="1998">
      <c r="A1998" s="2" t="str">
        <f>Communes_HDF!A1998</f>
        <v>60579</v>
      </c>
      <c r="B1998" s="2" t="str">
        <f>Communes_HDF!B1998</f>
        <v>Saint-Jean-aux-Bois</v>
      </c>
      <c r="C1998" s="2" t="str">
        <f t="array" ref="C1998">_xlfn.XLOOKUP(A1998, INSEE_Communes!$A$2:$A$3783, INSEE_Communes!$F$2:$F$3783, "code introuvable")</f>
        <v>non publié</v>
      </c>
    </row>
    <row r="1999">
      <c r="A1999" s="2" t="str">
        <f>Communes_HDF!A1999</f>
        <v>60581</v>
      </c>
      <c r="B1999" s="2" t="str">
        <f>Communes_HDF!B1999</f>
        <v>Saint-Just-en-Chaussée</v>
      </c>
      <c r="C1999" s="2">
        <f t="array" ref="C1999">_xlfn.XLOOKUP(A1999, INSEE_Communes!$A$2:$A$3783, INSEE_Communes!$F$2:$F$3783, "code introuvable")</f>
        <v>22</v>
      </c>
    </row>
    <row r="2000">
      <c r="A2000" s="2" t="str">
        <f>Communes_HDF!A2000</f>
        <v>60584</v>
      </c>
      <c r="B2000" s="2" t="str">
        <f>Communes_HDF!B2000</f>
        <v>Saint-Leu-d'Esserent</v>
      </c>
      <c r="C2000" s="2">
        <f t="array" ref="C2000">_xlfn.XLOOKUP(A2000, INSEE_Communes!$A$2:$A$3783, INSEE_Communes!$F$2:$F$3783, "code introuvable")</f>
        <v>11</v>
      </c>
    </row>
    <row r="2001">
      <c r="A2001" s="2" t="str">
        <f>Communes_HDF!A2001</f>
        <v>60582</v>
      </c>
      <c r="B2001" s="2" t="str">
        <f>Communes_HDF!B2001</f>
        <v>Saint-Léger-aux-Bois</v>
      </c>
      <c r="C2001" s="2" t="str">
        <f t="array" ref="C2001">_xlfn.XLOOKUP(A2001, INSEE_Communes!$A$2:$A$3783, INSEE_Communes!$F$2:$F$3783, "code introuvable")</f>
        <v>non publié</v>
      </c>
    </row>
    <row r="2002">
      <c r="A2002" s="2" t="str">
        <f>Communes_HDF!A2002</f>
        <v>60583</v>
      </c>
      <c r="B2002" s="2" t="str">
        <f>Communes_HDF!B2002</f>
        <v>Saint-Léger-en-Bray</v>
      </c>
      <c r="C2002" s="2" t="str">
        <f t="array" ref="C2002">_xlfn.XLOOKUP(A2002, INSEE_Communes!$A$2:$A$3783, INSEE_Communes!$F$2:$F$3783, "code introuvable")</f>
        <v>non publié</v>
      </c>
    </row>
    <row r="2003">
      <c r="A2003" s="2" t="str">
        <f>Communes_HDF!A2003</f>
        <v>60587</v>
      </c>
      <c r="B2003" s="2" t="str">
        <f>Communes_HDF!B2003</f>
        <v>Saint-Martin-Longueau</v>
      </c>
      <c r="C2003" s="2" t="str">
        <f t="array" ref="C2003">_xlfn.XLOOKUP(A2003, INSEE_Communes!$A$2:$A$3783, INSEE_Communes!$F$2:$F$3783, "code introuvable")</f>
        <v>non publié</v>
      </c>
    </row>
    <row r="2004">
      <c r="A2004" s="2" t="str">
        <f>Communes_HDF!A2004</f>
        <v>60585</v>
      </c>
      <c r="B2004" s="2" t="str">
        <f>Communes_HDF!B2004</f>
        <v>Saint-Martin-aux-Bois</v>
      </c>
      <c r="C2004" s="2" t="str">
        <f t="array" ref="C2004">_xlfn.XLOOKUP(A2004, INSEE_Communes!$A$2:$A$3783, INSEE_Communes!$F$2:$F$3783, "code introuvable")</f>
        <v>non publié</v>
      </c>
    </row>
    <row r="2005">
      <c r="A2005" s="2" t="str">
        <f>Communes_HDF!A2005</f>
        <v>60586</v>
      </c>
      <c r="B2005" s="2" t="str">
        <f>Communes_HDF!B2005</f>
        <v>Saint-Martin-le-Nœud</v>
      </c>
      <c r="C2005" s="2" t="str">
        <f t="array" ref="C2005">_xlfn.XLOOKUP(A2005, INSEE_Communes!$A$2:$A$3783, INSEE_Communes!$F$2:$F$3783, "code introuvable")</f>
        <v>non publié</v>
      </c>
    </row>
    <row r="2006">
      <c r="A2006" s="2" t="str">
        <f>Communes_HDF!A2006</f>
        <v>60588</v>
      </c>
      <c r="B2006" s="2" t="str">
        <f>Communes_HDF!B2006</f>
        <v>Saint-Maur</v>
      </c>
      <c r="C2006" s="2" t="str">
        <f t="array" ref="C2006">_xlfn.XLOOKUP(A2006, INSEE_Communes!$A$2:$A$3783, INSEE_Communes!$F$2:$F$3783, "code introuvable")</f>
        <v>non publié</v>
      </c>
    </row>
    <row r="2007">
      <c r="A2007" s="2" t="str">
        <f>Communes_HDF!A2007</f>
        <v>60589</v>
      </c>
      <c r="B2007" s="2" t="str">
        <f>Communes_HDF!B2007</f>
        <v>Saint-Maximin</v>
      </c>
      <c r="C2007" s="2">
        <f t="array" ref="C2007">_xlfn.XLOOKUP(A2007, INSEE_Communes!$A$2:$A$3783, INSEE_Communes!$F$2:$F$3783, "code introuvable")</f>
        <v>18</v>
      </c>
    </row>
    <row r="2008">
      <c r="A2008" s="2" t="str">
        <f>Communes_HDF!A2008</f>
        <v>60590</v>
      </c>
      <c r="B2008" s="2" t="str">
        <f>Communes_HDF!B2008</f>
        <v>Saint-Omer-en-Chaussée</v>
      </c>
      <c r="C2008" s="2" t="str">
        <f t="array" ref="C2008">_xlfn.XLOOKUP(A2008, INSEE_Communes!$A$2:$A$3783, INSEE_Communes!$F$2:$F$3783, "code introuvable")</f>
        <v>non publié</v>
      </c>
    </row>
    <row r="2009">
      <c r="A2009" s="2" t="str">
        <f>Communes_HDF!A2009</f>
        <v>60591</v>
      </c>
      <c r="B2009" s="2" t="str">
        <f>Communes_HDF!B2009</f>
        <v>Saint-Paul</v>
      </c>
      <c r="C2009" s="2" t="str">
        <f t="array" ref="C2009">_xlfn.XLOOKUP(A2009, INSEE_Communes!$A$2:$A$3783, INSEE_Communes!$F$2:$F$3783, "code introuvable")</f>
        <v>non publié</v>
      </c>
    </row>
    <row r="2010">
      <c r="A2010" s="2" t="str">
        <f>Communes_HDF!A2010</f>
        <v>60592</v>
      </c>
      <c r="B2010" s="2" t="str">
        <f>Communes_HDF!B2010</f>
        <v>Saint-Pierre-es-Champs</v>
      </c>
      <c r="C2010" s="2" t="str">
        <f t="array" ref="C2010">_xlfn.XLOOKUP(A2010, INSEE_Communes!$A$2:$A$3783, INSEE_Communes!$F$2:$F$3783, "code introuvable")</f>
        <v>non publié</v>
      </c>
    </row>
    <row r="2011">
      <c r="A2011" s="2" t="str">
        <f>Communes_HDF!A2011</f>
        <v>60593</v>
      </c>
      <c r="B2011" s="2" t="str">
        <f>Communes_HDF!B2011</f>
        <v>Saint-Pierre-lès-Bitry</v>
      </c>
      <c r="C2011" s="2" t="str">
        <f t="array" ref="C2011">_xlfn.XLOOKUP(A2011, INSEE_Communes!$A$2:$A$3783, INSEE_Communes!$F$2:$F$3783, "code introuvable")</f>
        <v>non publié</v>
      </c>
    </row>
    <row r="2012">
      <c r="A2012" s="2" t="str">
        <f>Communes_HDF!A2012</f>
        <v>60594</v>
      </c>
      <c r="B2012" s="2" t="str">
        <f>Communes_HDF!B2012</f>
        <v>Saint-Quentin-des-Prés</v>
      </c>
      <c r="C2012" s="2" t="str">
        <f t="array" ref="C2012">_xlfn.XLOOKUP(A2012, INSEE_Communes!$A$2:$A$3783, INSEE_Communes!$F$2:$F$3783, "code introuvable")</f>
        <v>non publié</v>
      </c>
    </row>
    <row r="2013">
      <c r="A2013" s="2" t="str">
        <f>Communes_HDF!A2013</f>
        <v>60595</v>
      </c>
      <c r="B2013" s="2" t="str">
        <f>Communes_HDF!B2013</f>
        <v>Saint-Remy-en-l'Eau</v>
      </c>
      <c r="C2013" s="2" t="str">
        <f t="array" ref="C2013">_xlfn.XLOOKUP(A2013, INSEE_Communes!$A$2:$A$3783, INSEE_Communes!$F$2:$F$3783, "code introuvable")</f>
        <v>non publié</v>
      </c>
    </row>
    <row r="2014">
      <c r="A2014" s="2" t="str">
        <f>Communes_HDF!A2014</f>
        <v>60596</v>
      </c>
      <c r="B2014" s="2" t="str">
        <f>Communes_HDF!B2014</f>
        <v>Saint-Samson-la-Poterie</v>
      </c>
      <c r="C2014" s="2" t="str">
        <f t="array" ref="C2014">_xlfn.XLOOKUP(A2014, INSEE_Communes!$A$2:$A$3783, INSEE_Communes!$F$2:$F$3783, "code introuvable")</f>
        <v>non publié</v>
      </c>
    </row>
    <row r="2015">
      <c r="A2015" s="2" t="str">
        <f>Communes_HDF!A2015</f>
        <v>60597</v>
      </c>
      <c r="B2015" s="2" t="str">
        <f>Communes_HDF!B2015</f>
        <v>Saint-Sauveur</v>
      </c>
      <c r="C2015" s="2" t="str">
        <f t="array" ref="C2015">_xlfn.XLOOKUP(A2015, INSEE_Communes!$A$2:$A$3783, INSEE_Communes!$F$2:$F$3783, "code introuvable")</f>
        <v>non publié</v>
      </c>
    </row>
    <row r="2016">
      <c r="A2016" s="2" t="str">
        <f>Communes_HDF!A2016</f>
        <v>60598</v>
      </c>
      <c r="B2016" s="2" t="str">
        <f>Communes_HDF!B2016</f>
        <v>Saint-Sulpice</v>
      </c>
      <c r="C2016" s="2" t="str">
        <f t="array" ref="C2016">_xlfn.XLOOKUP(A2016, INSEE_Communes!$A$2:$A$3783, INSEE_Communes!$F$2:$F$3783, "code introuvable")</f>
        <v>non publié</v>
      </c>
    </row>
    <row r="2017">
      <c r="A2017" s="2" t="str">
        <f>Communes_HDF!A2017</f>
        <v>60599</v>
      </c>
      <c r="B2017" s="2" t="str">
        <f>Communes_HDF!B2017</f>
        <v>Saint-Thibault</v>
      </c>
      <c r="C2017" s="2" t="str">
        <f t="array" ref="C2017">_xlfn.XLOOKUP(A2017, INSEE_Communes!$A$2:$A$3783, INSEE_Communes!$F$2:$F$3783, "code introuvable")</f>
        <v>non publié</v>
      </c>
    </row>
    <row r="2018">
      <c r="A2018" s="2" t="str">
        <f>Communes_HDF!A2018</f>
        <v>60600</v>
      </c>
      <c r="B2018" s="2" t="str">
        <f>Communes_HDF!B2018</f>
        <v>Saint-Vaast-de-Longmont</v>
      </c>
      <c r="C2018" s="2" t="str">
        <f t="array" ref="C2018">_xlfn.XLOOKUP(A2018, INSEE_Communes!$A$2:$A$3783, INSEE_Communes!$F$2:$F$3783, "code introuvable")</f>
        <v>non publié</v>
      </c>
    </row>
    <row r="2019">
      <c r="A2019" s="2" t="str">
        <f>Communes_HDF!A2019</f>
        <v>60601</v>
      </c>
      <c r="B2019" s="2" t="str">
        <f>Communes_HDF!B2019</f>
        <v>Saint-Vaast-lès-Mello</v>
      </c>
      <c r="C2019" s="2" t="str">
        <f t="array" ref="C2019">_xlfn.XLOOKUP(A2019, INSEE_Communes!$A$2:$A$3783, INSEE_Communes!$F$2:$F$3783, "code introuvable")</f>
        <v>non publié</v>
      </c>
    </row>
    <row r="2020">
      <c r="A2020" s="2" t="str">
        <f>Communes_HDF!A2020</f>
        <v>60602</v>
      </c>
      <c r="B2020" s="2" t="str">
        <f>Communes_HDF!B2020</f>
        <v>Saint-Valery</v>
      </c>
      <c r="C2020" s="2" t="str">
        <f t="array" ref="C2020">_xlfn.XLOOKUP(A2020, INSEE_Communes!$A$2:$A$3783, INSEE_Communes!$F$2:$F$3783, "code introuvable")</f>
        <v>non publié</v>
      </c>
    </row>
    <row r="2021">
      <c r="A2021" s="2" t="str">
        <f>Communes_HDF!A2021</f>
        <v>60572</v>
      </c>
      <c r="B2021" s="2" t="str">
        <f>Communes_HDF!B2021</f>
        <v>Saint-Étienne-Roilaye</v>
      </c>
      <c r="C2021" s="2" t="str">
        <f t="array" ref="C2021">_xlfn.XLOOKUP(A2021, INSEE_Communes!$A$2:$A$3783, INSEE_Communes!$F$2:$F$3783, "code introuvable")</f>
        <v>non publié</v>
      </c>
    </row>
    <row r="2022">
      <c r="A2022" s="2" t="str">
        <f>Communes_HDF!A2022</f>
        <v>60573</v>
      </c>
      <c r="B2022" s="2" t="str">
        <f>Communes_HDF!B2022</f>
        <v>Sainte-Eusoye</v>
      </c>
      <c r="C2022" s="2" t="str">
        <f t="array" ref="C2022">_xlfn.XLOOKUP(A2022, INSEE_Communes!$A$2:$A$3783, INSEE_Communes!$F$2:$F$3783, "code introuvable")</f>
        <v>non publié</v>
      </c>
    </row>
    <row r="2023">
      <c r="A2023" s="2" t="str">
        <f>Communes_HDF!A2023</f>
        <v>60575</v>
      </c>
      <c r="B2023" s="2" t="str">
        <f>Communes_HDF!B2023</f>
        <v>Sainte-Geneviève</v>
      </c>
      <c r="C2023" s="2">
        <f t="array" ref="C2023">_xlfn.XLOOKUP(A2023, INSEE_Communes!$A$2:$A$3783, INSEE_Communes!$F$2:$F$3783, "code introuvable")</f>
        <v>12</v>
      </c>
    </row>
    <row r="2024">
      <c r="A2024" s="2" t="str">
        <f>Communes_HDF!A2024</f>
        <v>60578</v>
      </c>
      <c r="B2024" s="2" t="str">
        <f>Communes_HDF!B2024</f>
        <v>Saintines</v>
      </c>
      <c r="C2024" s="2" t="str">
        <f t="array" ref="C2024">_xlfn.XLOOKUP(A2024, INSEE_Communes!$A$2:$A$3783, INSEE_Communes!$F$2:$F$3783, "code introuvable")</f>
        <v>non publié</v>
      </c>
    </row>
    <row r="2025">
      <c r="A2025" s="2" t="str">
        <f>Communes_HDF!A2025</f>
        <v>60603</v>
      </c>
      <c r="B2025" s="2" t="str">
        <f>Communes_HDF!B2025</f>
        <v>Salency</v>
      </c>
      <c r="C2025" s="2" t="str">
        <f t="array" ref="C2025">_xlfn.XLOOKUP(A2025, INSEE_Communes!$A$2:$A$3783, INSEE_Communes!$F$2:$F$3783, "code introuvable")</f>
        <v>non publié</v>
      </c>
    </row>
    <row r="2026">
      <c r="A2026" s="2" t="str">
        <f>Communes_HDF!A2026</f>
        <v>60604</v>
      </c>
      <c r="B2026" s="2" t="str">
        <f>Communes_HDF!B2026</f>
        <v>Sarcus</v>
      </c>
      <c r="C2026" s="2" t="str">
        <f t="array" ref="C2026">_xlfn.XLOOKUP(A2026, INSEE_Communes!$A$2:$A$3783, INSEE_Communes!$F$2:$F$3783, "code introuvable")</f>
        <v>non publié</v>
      </c>
    </row>
    <row r="2027">
      <c r="A2027" s="2" t="str">
        <f>Communes_HDF!A2027</f>
        <v>60605</v>
      </c>
      <c r="B2027" s="2" t="str">
        <f>Communes_HDF!B2027</f>
        <v>Sarnois</v>
      </c>
      <c r="C2027" s="2" t="str">
        <f t="array" ref="C2027">_xlfn.XLOOKUP(A2027, INSEE_Communes!$A$2:$A$3783, INSEE_Communes!$F$2:$F$3783, "code introuvable")</f>
        <v>non publié</v>
      </c>
    </row>
    <row r="2028">
      <c r="A2028" s="2" t="str">
        <f>Communes_HDF!A2028</f>
        <v>60609</v>
      </c>
      <c r="B2028" s="2" t="str">
        <f>Communes_HDF!B2028</f>
        <v>Savignies</v>
      </c>
      <c r="C2028" s="2" t="str">
        <f t="array" ref="C2028">_xlfn.XLOOKUP(A2028, INSEE_Communes!$A$2:$A$3783, INSEE_Communes!$F$2:$F$3783, "code introuvable")</f>
        <v>non publié</v>
      </c>
    </row>
    <row r="2029">
      <c r="A2029" s="2" t="str">
        <f>Communes_HDF!A2029</f>
        <v>60610</v>
      </c>
      <c r="B2029" s="2" t="str">
        <f>Communes_HDF!B2029</f>
        <v>Sempigny</v>
      </c>
      <c r="C2029" s="2" t="str">
        <f t="array" ref="C2029">_xlfn.XLOOKUP(A2029, INSEE_Communes!$A$2:$A$3783, INSEE_Communes!$F$2:$F$3783, "code introuvable")</f>
        <v>non publié</v>
      </c>
    </row>
    <row r="2030">
      <c r="A2030" s="2" t="str">
        <f>Communes_HDF!A2030</f>
        <v>60611</v>
      </c>
      <c r="B2030" s="2" t="str">
        <f>Communes_HDF!B2030</f>
        <v>Senantes</v>
      </c>
      <c r="C2030" s="2" t="str">
        <f t="array" ref="C2030">_xlfn.XLOOKUP(A2030, INSEE_Communes!$A$2:$A$3783, INSEE_Communes!$F$2:$F$3783, "code introuvable")</f>
        <v>non publié</v>
      </c>
    </row>
    <row r="2031">
      <c r="A2031" s="2" t="str">
        <f>Communes_HDF!A2031</f>
        <v>60612</v>
      </c>
      <c r="B2031" s="2" t="str">
        <f>Communes_HDF!B2031</f>
        <v>Senlis</v>
      </c>
      <c r="C2031" s="2">
        <f t="array" ref="C2031">_xlfn.XLOOKUP(A2031, INSEE_Communes!$A$2:$A$3783, INSEE_Communes!$F$2:$F$3783, "code introuvable")</f>
        <v>12</v>
      </c>
    </row>
    <row r="2032">
      <c r="A2032" s="2" t="str">
        <f>Communes_HDF!A2032</f>
        <v>60613</v>
      </c>
      <c r="B2032" s="2" t="str">
        <f>Communes_HDF!B2032</f>
        <v>Senots</v>
      </c>
      <c r="C2032" s="2" t="str">
        <f t="array" ref="C2032">_xlfn.XLOOKUP(A2032, INSEE_Communes!$A$2:$A$3783, INSEE_Communes!$F$2:$F$3783, "code introuvable")</f>
        <v>non publié</v>
      </c>
    </row>
    <row r="2033">
      <c r="A2033" s="2" t="str">
        <f>Communes_HDF!A2033</f>
        <v>60614</v>
      </c>
      <c r="B2033" s="2" t="str">
        <f>Communes_HDF!B2033</f>
        <v>Serans</v>
      </c>
      <c r="C2033" s="2" t="str">
        <f t="array" ref="C2033">_xlfn.XLOOKUP(A2033, INSEE_Communes!$A$2:$A$3783, INSEE_Communes!$F$2:$F$3783, "code introuvable")</f>
        <v>non publié</v>
      </c>
    </row>
    <row r="2034">
      <c r="A2034" s="2" t="str">
        <f>Communes_HDF!A2034</f>
        <v>60617</v>
      </c>
      <c r="B2034" s="2" t="str">
        <f>Communes_HDF!B2034</f>
        <v>Sermaize</v>
      </c>
      <c r="C2034" s="2" t="str">
        <f t="array" ref="C2034">_xlfn.XLOOKUP(A2034, INSEE_Communes!$A$2:$A$3783, INSEE_Communes!$F$2:$F$3783, "code introuvable")</f>
        <v>non publié</v>
      </c>
    </row>
    <row r="2035">
      <c r="A2035" s="2" t="str">
        <f>Communes_HDF!A2035</f>
        <v>60620</v>
      </c>
      <c r="B2035" s="2" t="str">
        <f>Communes_HDF!B2035</f>
        <v>Silly-Tillard</v>
      </c>
      <c r="C2035" s="2" t="str">
        <f t="array" ref="C2035">_xlfn.XLOOKUP(A2035, INSEE_Communes!$A$2:$A$3783, INSEE_Communes!$F$2:$F$3783, "code introuvable")</f>
        <v>non publié</v>
      </c>
    </row>
    <row r="2036">
      <c r="A2036" s="2" t="str">
        <f>Communes_HDF!A2036</f>
        <v>60619</v>
      </c>
      <c r="B2036" s="2" t="str">
        <f>Communes_HDF!B2036</f>
        <v>Silly-le-Long</v>
      </c>
      <c r="C2036" s="2" t="str">
        <f t="array" ref="C2036">_xlfn.XLOOKUP(A2036, INSEE_Communes!$A$2:$A$3783, INSEE_Communes!$F$2:$F$3783, "code introuvable")</f>
        <v>non publié</v>
      </c>
    </row>
    <row r="2037">
      <c r="A2037" s="2" t="str">
        <f>Communes_HDF!A2037</f>
        <v>60621</v>
      </c>
      <c r="B2037" s="2" t="str">
        <f>Communes_HDF!B2037</f>
        <v>Solente</v>
      </c>
      <c r="C2037" s="2" t="str">
        <f t="array" ref="C2037">_xlfn.XLOOKUP(A2037, INSEE_Communes!$A$2:$A$3783, INSEE_Communes!$F$2:$F$3783, "code introuvable")</f>
        <v>non publié</v>
      </c>
    </row>
    <row r="2038">
      <c r="A2038" s="2" t="str">
        <f>Communes_HDF!A2038</f>
        <v>60622</v>
      </c>
      <c r="B2038" s="2" t="str">
        <f>Communes_HDF!B2038</f>
        <v>Sommereux</v>
      </c>
      <c r="C2038" s="2" t="str">
        <f t="array" ref="C2038">_xlfn.XLOOKUP(A2038, INSEE_Communes!$A$2:$A$3783, INSEE_Communes!$F$2:$F$3783, "code introuvable")</f>
        <v>non publié</v>
      </c>
    </row>
    <row r="2039">
      <c r="A2039" s="2" t="str">
        <f>Communes_HDF!A2039</f>
        <v>60623</v>
      </c>
      <c r="B2039" s="2" t="str">
        <f>Communes_HDF!B2039</f>
        <v>Songeons</v>
      </c>
      <c r="C2039" s="2" t="str">
        <f t="array" ref="C2039">_xlfn.XLOOKUP(A2039, INSEE_Communes!$A$2:$A$3783, INSEE_Communes!$F$2:$F$3783, "code introuvable")</f>
        <v>non publié</v>
      </c>
    </row>
    <row r="2040">
      <c r="A2040" s="2" t="str">
        <f>Communes_HDF!A2040</f>
        <v>60624</v>
      </c>
      <c r="B2040" s="2" t="str">
        <f>Communes_HDF!B2040</f>
        <v>Sully</v>
      </c>
      <c r="C2040" s="2" t="str">
        <f t="array" ref="C2040">_xlfn.XLOOKUP(A2040, INSEE_Communes!$A$2:$A$3783, INSEE_Communes!$F$2:$F$3783, "code introuvable")</f>
        <v>non publié</v>
      </c>
    </row>
    <row r="2041">
      <c r="A2041" s="2" t="str">
        <f>Communes_HDF!A2041</f>
        <v>60625</v>
      </c>
      <c r="B2041" s="2" t="str">
        <f>Communes_HDF!B2041</f>
        <v>Suzoy</v>
      </c>
      <c r="C2041" s="2" t="str">
        <f t="array" ref="C2041">_xlfn.XLOOKUP(A2041, INSEE_Communes!$A$2:$A$3783, INSEE_Communes!$F$2:$F$3783, "code introuvable")</f>
        <v>non publié</v>
      </c>
    </row>
    <row r="2042">
      <c r="A2042" s="2" t="str">
        <f>Communes_HDF!A2042</f>
        <v>60616</v>
      </c>
      <c r="B2042" s="2" t="str">
        <f>Communes_HDF!B2042</f>
        <v>Sérifontaine</v>
      </c>
      <c r="C2042" s="2">
        <f t="array" ref="C2042">_xlfn.XLOOKUP(A2042, INSEE_Communes!$A$2:$A$3783, INSEE_Communes!$F$2:$F$3783, "code introuvable")</f>
        <v>18</v>
      </c>
    </row>
    <row r="2043">
      <c r="A2043" s="2" t="str">
        <f>Communes_HDF!A2043</f>
        <v>60618</v>
      </c>
      <c r="B2043" s="2" t="str">
        <f>Communes_HDF!B2043</f>
        <v>Séry-Magneval</v>
      </c>
      <c r="C2043" s="2" t="str">
        <f t="array" ref="C2043">_xlfn.XLOOKUP(A2043, INSEE_Communes!$A$2:$A$3783, INSEE_Communes!$F$2:$F$3783, "code introuvable")</f>
        <v>non publié</v>
      </c>
    </row>
    <row r="2044">
      <c r="A2044" s="2" t="str">
        <f>Communes_HDF!A2044</f>
        <v>60615</v>
      </c>
      <c r="B2044" s="2" t="str">
        <f>Communes_HDF!B2044</f>
        <v>Sérévillers</v>
      </c>
      <c r="C2044" s="2" t="str">
        <f t="array" ref="C2044">_xlfn.XLOOKUP(A2044, INSEE_Communes!$A$2:$A$3783, INSEE_Communes!$F$2:$F$3783, "code introuvable")</f>
        <v>non publié</v>
      </c>
    </row>
    <row r="2045">
      <c r="A2045" s="2" t="str">
        <f>Communes_HDF!A2045</f>
        <v>60626</v>
      </c>
      <c r="B2045" s="2" t="str">
        <f>Communes_HDF!B2045</f>
        <v>Talmontiers</v>
      </c>
      <c r="C2045" s="2" t="str">
        <f t="array" ref="C2045">_xlfn.XLOOKUP(A2045, INSEE_Communes!$A$2:$A$3783, INSEE_Communes!$F$2:$F$3783, "code introuvable")</f>
        <v>non publié</v>
      </c>
    </row>
    <row r="2046">
      <c r="A2046" s="2" t="str">
        <f>Communes_HDF!A2046</f>
        <v>60627</v>
      </c>
      <c r="B2046" s="2" t="str">
        <f>Communes_HDF!B2046</f>
        <v>Tartigny</v>
      </c>
      <c r="C2046" s="2" t="str">
        <f t="array" ref="C2046">_xlfn.XLOOKUP(A2046, INSEE_Communes!$A$2:$A$3783, INSEE_Communes!$F$2:$F$3783, "code introuvable")</f>
        <v>non publié</v>
      </c>
    </row>
    <row r="2047">
      <c r="A2047" s="2" t="str">
        <f>Communes_HDF!A2047</f>
        <v>60628</v>
      </c>
      <c r="B2047" s="2" t="str">
        <f>Communes_HDF!B2047</f>
        <v>Therdonne</v>
      </c>
      <c r="C2047" s="2" t="str">
        <f t="array" ref="C2047">_xlfn.XLOOKUP(A2047, INSEE_Communes!$A$2:$A$3783, INSEE_Communes!$F$2:$F$3783, "code introuvable")</f>
        <v>non publié</v>
      </c>
    </row>
    <row r="2048">
      <c r="A2048" s="2" t="str">
        <f>Communes_HDF!A2048</f>
        <v>60630</v>
      </c>
      <c r="B2048" s="2" t="str">
        <f>Communes_HDF!B2048</f>
        <v>Thibivillers</v>
      </c>
      <c r="C2048" s="2" t="str">
        <f t="array" ref="C2048">_xlfn.XLOOKUP(A2048, INSEE_Communes!$A$2:$A$3783, INSEE_Communes!$F$2:$F$3783, "code introuvable")</f>
        <v>non publié</v>
      </c>
    </row>
    <row r="2049">
      <c r="A2049" s="2" t="str">
        <f>Communes_HDF!A2049</f>
        <v>60631</v>
      </c>
      <c r="B2049" s="2" t="str">
        <f>Communes_HDF!B2049</f>
        <v>Thiers-sur-Thève</v>
      </c>
      <c r="C2049" s="2" t="str">
        <f t="array" ref="C2049">_xlfn.XLOOKUP(A2049, INSEE_Communes!$A$2:$A$3783, INSEE_Communes!$F$2:$F$3783, "code introuvable")</f>
        <v>non publié</v>
      </c>
    </row>
    <row r="2050">
      <c r="A2050" s="2" t="str">
        <f>Communes_HDF!A2050</f>
        <v>60632</v>
      </c>
      <c r="B2050" s="2" t="str">
        <f>Communes_HDF!B2050</f>
        <v>Thiescourt</v>
      </c>
      <c r="C2050" s="2" t="str">
        <f t="array" ref="C2050">_xlfn.XLOOKUP(A2050, INSEE_Communes!$A$2:$A$3783, INSEE_Communes!$F$2:$F$3783, "code introuvable")</f>
        <v>non publié</v>
      </c>
    </row>
    <row r="2051">
      <c r="A2051" s="2" t="str">
        <f>Communes_HDF!A2051</f>
        <v>60633</v>
      </c>
      <c r="B2051" s="2" t="str">
        <f>Communes_HDF!B2051</f>
        <v>Thieuloy-Saint-Antoine</v>
      </c>
      <c r="C2051" s="2" t="str">
        <f t="array" ref="C2051">_xlfn.XLOOKUP(A2051, INSEE_Communes!$A$2:$A$3783, INSEE_Communes!$F$2:$F$3783, "code introuvable")</f>
        <v>non publié</v>
      </c>
    </row>
    <row r="2052">
      <c r="A2052" s="2" t="str">
        <f>Communes_HDF!A2052</f>
        <v>60634</v>
      </c>
      <c r="B2052" s="2" t="str">
        <f>Communes_HDF!B2052</f>
        <v>Thieux</v>
      </c>
      <c r="C2052" s="2" t="str">
        <f t="array" ref="C2052">_xlfn.XLOOKUP(A2052, INSEE_Communes!$A$2:$A$3783, INSEE_Communes!$F$2:$F$3783, "code introuvable")</f>
        <v>non publié</v>
      </c>
    </row>
    <row r="2053">
      <c r="A2053" s="2" t="str">
        <f>Communes_HDF!A2053</f>
        <v>60635</v>
      </c>
      <c r="B2053" s="2" t="str">
        <f>Communes_HDF!B2053</f>
        <v>Thiverny</v>
      </c>
      <c r="C2053" s="2" t="str">
        <f t="array" ref="C2053">_xlfn.XLOOKUP(A2053, INSEE_Communes!$A$2:$A$3783, INSEE_Communes!$F$2:$F$3783, "code introuvable")</f>
        <v>non publié</v>
      </c>
    </row>
    <row r="2054">
      <c r="A2054" s="2" t="str">
        <f>Communes_HDF!A2054</f>
        <v>60636</v>
      </c>
      <c r="B2054" s="2" t="str">
        <f>Communes_HDF!B2054</f>
        <v>Thourotte</v>
      </c>
      <c r="C2054" s="2">
        <f t="array" ref="C2054">_xlfn.XLOOKUP(A2054, INSEE_Communes!$A$2:$A$3783, INSEE_Communes!$F$2:$F$3783, "code introuvable")</f>
        <v>18</v>
      </c>
    </row>
    <row r="2055">
      <c r="A2055" s="2" t="str">
        <f>Communes_HDF!A2055</f>
        <v>60637</v>
      </c>
      <c r="B2055" s="2" t="str">
        <f>Communes_HDF!B2055</f>
        <v>Thury-en-Valois</v>
      </c>
      <c r="C2055" s="2" t="str">
        <f t="array" ref="C2055">_xlfn.XLOOKUP(A2055, INSEE_Communes!$A$2:$A$3783, INSEE_Communes!$F$2:$F$3783, "code introuvable")</f>
        <v>non publié</v>
      </c>
    </row>
    <row r="2056">
      <c r="A2056" s="2" t="str">
        <f>Communes_HDF!A2056</f>
        <v>60638</v>
      </c>
      <c r="B2056" s="2" t="str">
        <f>Communes_HDF!B2056</f>
        <v>Thury-sous-Clermont</v>
      </c>
      <c r="C2056" s="2" t="str">
        <f t="array" ref="C2056">_xlfn.XLOOKUP(A2056, INSEE_Communes!$A$2:$A$3783, INSEE_Communes!$F$2:$F$3783, "code introuvable")</f>
        <v>non publié</v>
      </c>
    </row>
    <row r="2057">
      <c r="A2057" s="2" t="str">
        <f>Communes_HDF!A2057</f>
        <v>60629</v>
      </c>
      <c r="B2057" s="2" t="str">
        <f>Communes_HDF!B2057</f>
        <v>Thérines</v>
      </c>
      <c r="C2057" s="2" t="str">
        <f t="array" ref="C2057">_xlfn.XLOOKUP(A2057, INSEE_Communes!$A$2:$A$3783, INSEE_Communes!$F$2:$F$3783, "code introuvable")</f>
        <v>non publié</v>
      </c>
    </row>
    <row r="2058">
      <c r="A2058" s="2" t="str">
        <f>Communes_HDF!A2058</f>
        <v>60639</v>
      </c>
      <c r="B2058" s="2" t="str">
        <f>Communes_HDF!B2058</f>
        <v>Tillé</v>
      </c>
      <c r="C2058" s="2" t="str">
        <f t="array" ref="C2058">_xlfn.XLOOKUP(A2058, INSEE_Communes!$A$2:$A$3783, INSEE_Communes!$F$2:$F$3783, "code introuvable")</f>
        <v>non publié</v>
      </c>
    </row>
    <row r="2059">
      <c r="A2059" s="2" t="str">
        <f>Communes_HDF!A2059</f>
        <v>60640</v>
      </c>
      <c r="B2059" s="2" t="str">
        <f>Communes_HDF!B2059</f>
        <v>Tourly</v>
      </c>
      <c r="C2059" s="2" t="str">
        <f t="array" ref="C2059">_xlfn.XLOOKUP(A2059, INSEE_Communes!$A$2:$A$3783, INSEE_Communes!$F$2:$F$3783, "code introuvable")</f>
        <v>non publié</v>
      </c>
    </row>
    <row r="2060">
      <c r="A2060" s="2" t="str">
        <f>Communes_HDF!A2060</f>
        <v>60641</v>
      </c>
      <c r="B2060" s="2" t="str">
        <f>Communes_HDF!B2060</f>
        <v>Tracy-le-Mont</v>
      </c>
      <c r="C2060" s="2" t="str">
        <f t="array" ref="C2060">_xlfn.XLOOKUP(A2060, INSEE_Communes!$A$2:$A$3783, INSEE_Communes!$F$2:$F$3783, "code introuvable")</f>
        <v>non publié</v>
      </c>
    </row>
    <row r="2061">
      <c r="A2061" s="2" t="str">
        <f>Communes_HDF!A2061</f>
        <v>60642</v>
      </c>
      <c r="B2061" s="2" t="str">
        <f>Communes_HDF!B2061</f>
        <v>Tracy-le-Val</v>
      </c>
      <c r="C2061" s="2" t="str">
        <f t="array" ref="C2061">_xlfn.XLOOKUP(A2061, INSEE_Communes!$A$2:$A$3783, INSEE_Communes!$F$2:$F$3783, "code introuvable")</f>
        <v>non publié</v>
      </c>
    </row>
    <row r="2062">
      <c r="A2062" s="2" t="str">
        <f>Communes_HDF!A2062</f>
        <v>60643</v>
      </c>
      <c r="B2062" s="2" t="str">
        <f>Communes_HDF!B2062</f>
        <v>Tricot</v>
      </c>
      <c r="C2062" s="2" t="str">
        <f t="array" ref="C2062">_xlfn.XLOOKUP(A2062, INSEE_Communes!$A$2:$A$3783, INSEE_Communes!$F$2:$F$3783, "code introuvable")</f>
        <v>non publié</v>
      </c>
    </row>
    <row r="2063">
      <c r="A2063" s="2" t="str">
        <f>Communes_HDF!A2063</f>
        <v>60644</v>
      </c>
      <c r="B2063" s="2" t="str">
        <f>Communes_HDF!B2063</f>
        <v>Trie-Château</v>
      </c>
      <c r="C2063" s="2" t="str">
        <f t="array" ref="C2063">_xlfn.XLOOKUP(A2063, INSEE_Communes!$A$2:$A$3783, INSEE_Communes!$F$2:$F$3783, "code introuvable")</f>
        <v>non publié</v>
      </c>
    </row>
    <row r="2064">
      <c r="A2064" s="2" t="str">
        <f>Communes_HDF!A2064</f>
        <v>60645</v>
      </c>
      <c r="B2064" s="2" t="str">
        <f>Communes_HDF!B2064</f>
        <v>Trie-la-Ville</v>
      </c>
      <c r="C2064" s="2" t="str">
        <f t="array" ref="C2064">_xlfn.XLOOKUP(A2064, INSEE_Communes!$A$2:$A$3783, INSEE_Communes!$F$2:$F$3783, "code introuvable")</f>
        <v>non publié</v>
      </c>
    </row>
    <row r="2065">
      <c r="A2065" s="2" t="str">
        <f>Communes_HDF!A2065</f>
        <v>60646</v>
      </c>
      <c r="B2065" s="2" t="str">
        <f>Communes_HDF!B2065</f>
        <v>Troissereux</v>
      </c>
      <c r="C2065" s="2" t="str">
        <f t="array" ref="C2065">_xlfn.XLOOKUP(A2065, INSEE_Communes!$A$2:$A$3783, INSEE_Communes!$F$2:$F$3783, "code introuvable")</f>
        <v>non publié</v>
      </c>
    </row>
    <row r="2066">
      <c r="A2066" s="2" t="str">
        <f>Communes_HDF!A2066</f>
        <v>60647</v>
      </c>
      <c r="B2066" s="2" t="str">
        <f>Communes_HDF!B2066</f>
        <v>Trosly-Breuil</v>
      </c>
      <c r="C2066" s="2">
        <f t="array" ref="C2066">_xlfn.XLOOKUP(A2066, INSEE_Communes!$A$2:$A$3783, INSEE_Communes!$F$2:$F$3783, "code introuvable")</f>
        <v>11</v>
      </c>
    </row>
    <row r="2067">
      <c r="A2067" s="2" t="str">
        <f>Communes_HDF!A2067</f>
        <v>60648</v>
      </c>
      <c r="B2067" s="2" t="str">
        <f>Communes_HDF!B2067</f>
        <v>Troussencourt</v>
      </c>
      <c r="C2067" s="2" t="str">
        <f t="array" ref="C2067">_xlfn.XLOOKUP(A2067, INSEE_Communes!$A$2:$A$3783, INSEE_Communes!$F$2:$F$3783, "code introuvable")</f>
        <v>non publié</v>
      </c>
    </row>
    <row r="2068">
      <c r="A2068" s="2" t="str">
        <f>Communes_HDF!A2068</f>
        <v>60650</v>
      </c>
      <c r="B2068" s="2" t="str">
        <f>Communes_HDF!B2068</f>
        <v>Trumilly</v>
      </c>
      <c r="C2068" s="2" t="str">
        <f t="array" ref="C2068">_xlfn.XLOOKUP(A2068, INSEE_Communes!$A$2:$A$3783, INSEE_Communes!$F$2:$F$3783, "code introuvable")</f>
        <v>non publié</v>
      </c>
    </row>
    <row r="2069">
      <c r="A2069" s="2" t="str">
        <f>Communes_HDF!A2069</f>
        <v>60651</v>
      </c>
      <c r="B2069" s="2" t="str">
        <f>Communes_HDF!B2069</f>
        <v>Ully-Saint-Georges</v>
      </c>
      <c r="C2069" s="2" t="str">
        <f t="array" ref="C2069">_xlfn.XLOOKUP(A2069, INSEE_Communes!$A$2:$A$3783, INSEE_Communes!$F$2:$F$3783, "code introuvable")</f>
        <v>non publié</v>
      </c>
    </row>
    <row r="2070">
      <c r="A2070" s="2" t="str">
        <f>Communes_HDF!A2070</f>
        <v>60652</v>
      </c>
      <c r="B2070" s="2" t="str">
        <f>Communes_HDF!B2070</f>
        <v>Valdampierre</v>
      </c>
      <c r="C2070" s="2" t="str">
        <f t="array" ref="C2070">_xlfn.XLOOKUP(A2070, INSEE_Communes!$A$2:$A$3783, INSEE_Communes!$F$2:$F$3783, "code introuvable")</f>
        <v>non publié</v>
      </c>
    </row>
    <row r="2071">
      <c r="A2071" s="2" t="str">
        <f>Communes_HDF!A2071</f>
        <v>60653</v>
      </c>
      <c r="B2071" s="2" t="str">
        <f>Communes_HDF!B2071</f>
        <v>Valescourt</v>
      </c>
      <c r="C2071" s="2" t="str">
        <f t="array" ref="C2071">_xlfn.XLOOKUP(A2071, INSEE_Communes!$A$2:$A$3783, INSEE_Communes!$F$2:$F$3783, "code introuvable")</f>
        <v>non publié</v>
      </c>
    </row>
    <row r="2072">
      <c r="A2072" s="2" t="str">
        <f>Communes_HDF!A2072</f>
        <v>60654</v>
      </c>
      <c r="B2072" s="2" t="str">
        <f>Communes_HDF!B2072</f>
        <v>Vandélicourt</v>
      </c>
      <c r="C2072" s="2" t="str">
        <f t="array" ref="C2072">_xlfn.XLOOKUP(A2072, INSEE_Communes!$A$2:$A$3783, INSEE_Communes!$F$2:$F$3783, "code introuvable")</f>
        <v>non publié</v>
      </c>
    </row>
    <row r="2073">
      <c r="A2073" s="2" t="str">
        <f>Communes_HDF!A2073</f>
        <v>60655</v>
      </c>
      <c r="B2073" s="2" t="str">
        <f>Communes_HDF!B2073</f>
        <v>Varesnes</v>
      </c>
      <c r="C2073" s="2" t="str">
        <f t="array" ref="C2073">_xlfn.XLOOKUP(A2073, INSEE_Communes!$A$2:$A$3783, INSEE_Communes!$F$2:$F$3783, "code introuvable")</f>
        <v>non publié</v>
      </c>
    </row>
    <row r="2074">
      <c r="A2074" s="2" t="str">
        <f>Communes_HDF!A2074</f>
        <v>60656</v>
      </c>
      <c r="B2074" s="2" t="str">
        <f>Communes_HDF!B2074</f>
        <v>Varinfroy</v>
      </c>
      <c r="C2074" s="2" t="str">
        <f t="array" ref="C2074">_xlfn.XLOOKUP(A2074, INSEE_Communes!$A$2:$A$3783, INSEE_Communes!$F$2:$F$3783, "code introuvable")</f>
        <v>non publié</v>
      </c>
    </row>
    <row r="2075">
      <c r="A2075" s="2" t="str">
        <f>Communes_HDF!A2075</f>
        <v>60657</v>
      </c>
      <c r="B2075" s="2" t="str">
        <f>Communes_HDF!B2075</f>
        <v>Vauchelles</v>
      </c>
      <c r="C2075" s="2" t="str">
        <f t="array" ref="C2075">_xlfn.XLOOKUP(A2075, INSEE_Communes!$A$2:$A$3783, INSEE_Communes!$F$2:$F$3783, "code introuvable")</f>
        <v>non publié</v>
      </c>
    </row>
    <row r="2076">
      <c r="A2076" s="2" t="str">
        <f>Communes_HDF!A2076</f>
        <v>60658</v>
      </c>
      <c r="B2076" s="2" t="str">
        <f>Communes_HDF!B2076</f>
        <v>Vauciennes</v>
      </c>
      <c r="C2076" s="2" t="str">
        <f t="array" ref="C2076">_xlfn.XLOOKUP(A2076, INSEE_Communes!$A$2:$A$3783, INSEE_Communes!$F$2:$F$3783, "code introuvable")</f>
        <v>non publié</v>
      </c>
    </row>
    <row r="2077">
      <c r="A2077" s="2" t="str">
        <f>Communes_HDF!A2077</f>
        <v>60659</v>
      </c>
      <c r="B2077" s="2" t="str">
        <f>Communes_HDF!B2077</f>
        <v>Vaudancourt</v>
      </c>
      <c r="C2077" s="2" t="str">
        <f t="array" ref="C2077">_xlfn.XLOOKUP(A2077, INSEE_Communes!$A$2:$A$3783, INSEE_Communes!$F$2:$F$3783, "code introuvable")</f>
        <v>non publié</v>
      </c>
    </row>
    <row r="2078">
      <c r="A2078" s="2" t="str">
        <f>Communes_HDF!A2078</f>
        <v>60661</v>
      </c>
      <c r="B2078" s="2" t="str">
        <f>Communes_HDF!B2078</f>
        <v>Vaumoise</v>
      </c>
      <c r="C2078" s="2" t="str">
        <f t="array" ref="C2078">_xlfn.XLOOKUP(A2078, INSEE_Communes!$A$2:$A$3783, INSEE_Communes!$F$2:$F$3783, "code introuvable")</f>
        <v>non publié</v>
      </c>
    </row>
    <row r="2079">
      <c r="A2079" s="2" t="str">
        <f>Communes_HDF!A2079</f>
        <v>60663</v>
      </c>
      <c r="B2079" s="2" t="str">
        <f>Communes_HDF!B2079</f>
        <v>Velennes</v>
      </c>
      <c r="C2079" s="2" t="str">
        <f t="array" ref="C2079">_xlfn.XLOOKUP(A2079, INSEE_Communes!$A$2:$A$3783, INSEE_Communes!$F$2:$F$3783, "code introuvable")</f>
        <v>non publié</v>
      </c>
    </row>
    <row r="2080">
      <c r="A2080" s="2" t="str">
        <f>Communes_HDF!A2080</f>
        <v>60664</v>
      </c>
      <c r="B2080" s="2" t="str">
        <f>Communes_HDF!B2080</f>
        <v>Vendeuil-Caply</v>
      </c>
      <c r="C2080" s="2" t="str">
        <f t="array" ref="C2080">_xlfn.XLOOKUP(A2080, INSEE_Communes!$A$2:$A$3783, INSEE_Communes!$F$2:$F$3783, "code introuvable")</f>
        <v>non publié</v>
      </c>
    </row>
    <row r="2081">
      <c r="A2081" s="2" t="str">
        <f>Communes_HDF!A2081</f>
        <v>60665</v>
      </c>
      <c r="B2081" s="2" t="str">
        <f>Communes_HDF!B2081</f>
        <v>Venette</v>
      </c>
      <c r="C2081" s="2">
        <f t="array" ref="C2081">_xlfn.XLOOKUP(A2081, INSEE_Communes!$A$2:$A$3783, INSEE_Communes!$F$2:$F$3783, "code introuvable")</f>
        <v>13</v>
      </c>
    </row>
    <row r="2082">
      <c r="A2082" s="2" t="str">
        <f>Communes_HDF!A2082</f>
        <v>60666</v>
      </c>
      <c r="B2082" s="2" t="str">
        <f>Communes_HDF!B2082</f>
        <v>Ver-sur-Launette</v>
      </c>
      <c r="C2082" s="2" t="str">
        <f t="array" ref="C2082">_xlfn.XLOOKUP(A2082, INSEE_Communes!$A$2:$A$3783, INSEE_Communes!$F$2:$F$3783, "code introuvable")</f>
        <v>non publié</v>
      </c>
    </row>
    <row r="2083">
      <c r="A2083" s="2" t="str">
        <f>Communes_HDF!A2083</f>
        <v>60667</v>
      </c>
      <c r="B2083" s="2" t="str">
        <f>Communes_HDF!B2083</f>
        <v>Verberie</v>
      </c>
      <c r="C2083" s="2">
        <f t="array" ref="C2083">_xlfn.XLOOKUP(A2083, INSEE_Communes!$A$2:$A$3783, INSEE_Communes!$F$2:$F$3783, "code introuvable")</f>
        <v>11</v>
      </c>
    </row>
    <row r="2084">
      <c r="A2084" s="2" t="str">
        <f>Communes_HDF!A2084</f>
        <v>60668</v>
      </c>
      <c r="B2084" s="2" t="str">
        <f>Communes_HDF!B2084</f>
        <v>Verderel-lès-Sauqueuse</v>
      </c>
      <c r="C2084" s="2" t="str">
        <f t="array" ref="C2084">_xlfn.XLOOKUP(A2084, INSEE_Communes!$A$2:$A$3783, INSEE_Communes!$F$2:$F$3783, "code introuvable")</f>
        <v>non publié</v>
      </c>
    </row>
    <row r="2085">
      <c r="A2085" s="2" t="str">
        <f>Communes_HDF!A2085</f>
        <v>60669</v>
      </c>
      <c r="B2085" s="2" t="str">
        <f>Communes_HDF!B2085</f>
        <v>Verderonne</v>
      </c>
      <c r="C2085" s="2" t="str">
        <f t="array" ref="C2085">_xlfn.XLOOKUP(A2085, INSEE_Communes!$A$2:$A$3783, INSEE_Communes!$F$2:$F$3783, "code introuvable")</f>
        <v>non publié</v>
      </c>
    </row>
    <row r="2086">
      <c r="A2086" s="2" t="str">
        <f>Communes_HDF!A2086</f>
        <v>60670</v>
      </c>
      <c r="B2086" s="2" t="str">
        <f>Communes_HDF!B2086</f>
        <v>Verneuil-en-Halatte</v>
      </c>
      <c r="C2086" s="2">
        <f t="array" ref="C2086">_xlfn.XLOOKUP(A2086, INSEE_Communes!$A$2:$A$3783, INSEE_Communes!$F$2:$F$3783, "code introuvable")</f>
        <v>6</v>
      </c>
    </row>
    <row r="2087">
      <c r="A2087" s="2" t="str">
        <f>Communes_HDF!A2087</f>
        <v>60671</v>
      </c>
      <c r="B2087" s="2" t="str">
        <f>Communes_HDF!B2087</f>
        <v>Versigny</v>
      </c>
      <c r="C2087" s="2" t="str">
        <f t="array" ref="C2087">_xlfn.XLOOKUP(A2087, INSEE_Communes!$A$2:$A$3783, INSEE_Communes!$F$2:$F$3783, "code introuvable")</f>
        <v>non publié</v>
      </c>
    </row>
    <row r="2088">
      <c r="A2088" s="2" t="str">
        <f>Communes_HDF!A2088</f>
        <v>60672</v>
      </c>
      <c r="B2088" s="2" t="str">
        <f>Communes_HDF!B2088</f>
        <v>Vez</v>
      </c>
      <c r="C2088" s="2" t="str">
        <f t="array" ref="C2088">_xlfn.XLOOKUP(A2088, INSEE_Communes!$A$2:$A$3783, INSEE_Communes!$F$2:$F$3783, "code introuvable")</f>
        <v>non publié</v>
      </c>
    </row>
    <row r="2089">
      <c r="A2089" s="2" t="str">
        <f>Communes_HDF!A2089</f>
        <v>60673</v>
      </c>
      <c r="B2089" s="2" t="str">
        <f>Communes_HDF!B2089</f>
        <v>Viefvillers</v>
      </c>
      <c r="C2089" s="2" t="str">
        <f t="array" ref="C2089">_xlfn.XLOOKUP(A2089, INSEE_Communes!$A$2:$A$3783, INSEE_Communes!$F$2:$F$3783, "code introuvable")</f>
        <v>non publié</v>
      </c>
    </row>
    <row r="2090">
      <c r="A2090" s="2" t="str">
        <f>Communes_HDF!A2090</f>
        <v>60674</v>
      </c>
      <c r="B2090" s="2" t="str">
        <f>Communes_HDF!B2090</f>
        <v>Vieux-Moulin</v>
      </c>
      <c r="C2090" s="2" t="str">
        <f t="array" ref="C2090">_xlfn.XLOOKUP(A2090, INSEE_Communes!$A$2:$A$3783, INSEE_Communes!$F$2:$F$3783, "code introuvable")</f>
        <v>non publié</v>
      </c>
    </row>
    <row r="2091">
      <c r="A2091" s="2" t="str">
        <f>Communes_HDF!A2091</f>
        <v>60675</v>
      </c>
      <c r="B2091" s="2" t="str">
        <f>Communes_HDF!B2091</f>
        <v>Vignemont</v>
      </c>
      <c r="C2091" s="2" t="str">
        <f t="array" ref="C2091">_xlfn.XLOOKUP(A2091, INSEE_Communes!$A$2:$A$3783, INSEE_Communes!$F$2:$F$3783, "code introuvable")</f>
        <v>non publié</v>
      </c>
    </row>
    <row r="2092">
      <c r="A2092" s="2" t="str">
        <f>Communes_HDF!A2092</f>
        <v>60676</v>
      </c>
      <c r="B2092" s="2" t="str">
        <f>Communes_HDF!B2092</f>
        <v>Ville</v>
      </c>
      <c r="C2092" s="2" t="str">
        <f t="array" ref="C2092">_xlfn.XLOOKUP(A2092, INSEE_Communes!$A$2:$A$3783, INSEE_Communes!$F$2:$F$3783, "code introuvable")</f>
        <v>non publié</v>
      </c>
    </row>
    <row r="2093">
      <c r="A2093" s="2" t="str">
        <f>Communes_HDF!A2093</f>
        <v>60677</v>
      </c>
      <c r="B2093" s="2" t="str">
        <f>Communes_HDF!B2093</f>
        <v>Villembray</v>
      </c>
      <c r="C2093" s="2" t="str">
        <f t="array" ref="C2093">_xlfn.XLOOKUP(A2093, INSEE_Communes!$A$2:$A$3783, INSEE_Communes!$F$2:$F$3783, "code introuvable")</f>
        <v>non publié</v>
      </c>
    </row>
    <row r="2094">
      <c r="A2094" s="2" t="str">
        <f>Communes_HDF!A2094</f>
        <v>60678</v>
      </c>
      <c r="B2094" s="2" t="str">
        <f>Communes_HDF!B2094</f>
        <v>Villeneuve-les-Sablons</v>
      </c>
      <c r="C2094" s="2" t="str">
        <f t="array" ref="C2094">_xlfn.XLOOKUP(A2094, INSEE_Communes!$A$2:$A$3783, INSEE_Communes!$F$2:$F$3783, "code introuvable")</f>
        <v>non publié</v>
      </c>
    </row>
    <row r="2095">
      <c r="A2095" s="2" t="str">
        <f>Communes_HDF!A2095</f>
        <v>60680</v>
      </c>
      <c r="B2095" s="2" t="str">
        <f>Communes_HDF!B2095</f>
        <v>Villeneuve-sur-Verberie</v>
      </c>
      <c r="C2095" s="2" t="str">
        <f t="array" ref="C2095">_xlfn.XLOOKUP(A2095, INSEE_Communes!$A$2:$A$3783, INSEE_Communes!$F$2:$F$3783, "code introuvable")</f>
        <v>non publié</v>
      </c>
    </row>
    <row r="2096">
      <c r="A2096" s="2" t="str">
        <f>Communes_HDF!A2096</f>
        <v>60681</v>
      </c>
      <c r="B2096" s="2" t="str">
        <f>Communes_HDF!B2096</f>
        <v>Villers-Saint-Barthélemy</v>
      </c>
      <c r="C2096" s="2" t="str">
        <f t="array" ref="C2096">_xlfn.XLOOKUP(A2096, INSEE_Communes!$A$2:$A$3783, INSEE_Communes!$F$2:$F$3783, "code introuvable")</f>
        <v>non publié</v>
      </c>
    </row>
    <row r="2097">
      <c r="A2097" s="2" t="str">
        <f>Communes_HDF!A2097</f>
        <v>60682</v>
      </c>
      <c r="B2097" s="2" t="str">
        <f>Communes_HDF!B2097</f>
        <v>Villers-Saint-Frambourg-Ognon</v>
      </c>
      <c r="C2097" s="2" t="str">
        <f t="array" ref="C2097">_xlfn.XLOOKUP(A2097, INSEE_Communes!$A$2:$A$3783, INSEE_Communes!$F$2:$F$3783, "code introuvable")</f>
        <v>non publié</v>
      </c>
    </row>
    <row r="2098">
      <c r="A2098" s="2" t="str">
        <f>Communes_HDF!A2098</f>
        <v>60683</v>
      </c>
      <c r="B2098" s="2" t="str">
        <f>Communes_HDF!B2098</f>
        <v>Villers-Saint-Genest</v>
      </c>
      <c r="C2098" s="2" t="str">
        <f t="array" ref="C2098">_xlfn.XLOOKUP(A2098, INSEE_Communes!$A$2:$A$3783, INSEE_Communes!$F$2:$F$3783, "code introuvable")</f>
        <v>non publié</v>
      </c>
    </row>
    <row r="2099">
      <c r="A2099" s="2" t="str">
        <f>Communes_HDF!A2099</f>
        <v>60684</v>
      </c>
      <c r="B2099" s="2" t="str">
        <f>Communes_HDF!B2099</f>
        <v>Villers-Saint-Paul</v>
      </c>
      <c r="C2099" s="2">
        <f t="array" ref="C2099">_xlfn.XLOOKUP(A2099, INSEE_Communes!$A$2:$A$3783, INSEE_Communes!$F$2:$F$3783, "code introuvable")</f>
        <v>25</v>
      </c>
    </row>
    <row r="2100">
      <c r="A2100" s="2" t="str">
        <f>Communes_HDF!A2100</f>
        <v>60685</v>
      </c>
      <c r="B2100" s="2" t="str">
        <f>Communes_HDF!B2100</f>
        <v>Villers-Saint-Sépulcre</v>
      </c>
      <c r="C2100" s="2" t="str">
        <f t="array" ref="C2100">_xlfn.XLOOKUP(A2100, INSEE_Communes!$A$2:$A$3783, INSEE_Communes!$F$2:$F$3783, "code introuvable")</f>
        <v>non publié</v>
      </c>
    </row>
    <row r="2101">
      <c r="A2101" s="2" t="str">
        <f>Communes_HDF!A2101</f>
        <v>60691</v>
      </c>
      <c r="B2101" s="2" t="str">
        <f>Communes_HDF!B2101</f>
        <v>Villers-Vermont</v>
      </c>
      <c r="C2101" s="2" t="str">
        <f t="array" ref="C2101">_xlfn.XLOOKUP(A2101, INSEE_Communes!$A$2:$A$3783, INSEE_Communes!$F$2:$F$3783, "code introuvable")</f>
        <v>non publié</v>
      </c>
    </row>
    <row r="2102">
      <c r="A2102" s="2" t="str">
        <f>Communes_HDF!A2102</f>
        <v>60692</v>
      </c>
      <c r="B2102" s="2" t="str">
        <f>Communes_HDF!B2102</f>
        <v>Villers-Vicomte</v>
      </c>
      <c r="C2102" s="2" t="str">
        <f t="array" ref="C2102">_xlfn.XLOOKUP(A2102, INSEE_Communes!$A$2:$A$3783, INSEE_Communes!$F$2:$F$3783, "code introuvable")</f>
        <v>non publié</v>
      </c>
    </row>
    <row r="2103">
      <c r="A2103" s="2" t="str">
        <f>Communes_HDF!A2103</f>
        <v>60686</v>
      </c>
      <c r="B2103" s="2" t="str">
        <f>Communes_HDF!B2103</f>
        <v>Villers-sous-Saint-Leu</v>
      </c>
      <c r="C2103" s="2">
        <f t="array" ref="C2103">_xlfn.XLOOKUP(A2103, INSEE_Communes!$A$2:$A$3783, INSEE_Communes!$F$2:$F$3783, "code introuvable")</f>
        <v>3</v>
      </c>
    </row>
    <row r="2104">
      <c r="A2104" s="2" t="str">
        <f>Communes_HDF!A2104</f>
        <v>60687</v>
      </c>
      <c r="B2104" s="2" t="str">
        <f>Communes_HDF!B2104</f>
        <v>Villers-sur-Auchy</v>
      </c>
      <c r="C2104" s="2" t="str">
        <f t="array" ref="C2104">_xlfn.XLOOKUP(A2104, INSEE_Communes!$A$2:$A$3783, INSEE_Communes!$F$2:$F$3783, "code introuvable")</f>
        <v>non publié</v>
      </c>
    </row>
    <row r="2105">
      <c r="A2105" s="2" t="str">
        <f>Communes_HDF!A2105</f>
        <v>60688</v>
      </c>
      <c r="B2105" s="2" t="str">
        <f>Communes_HDF!B2105</f>
        <v>Villers-sur-Bonnières</v>
      </c>
      <c r="C2105" s="2" t="str">
        <f t="array" ref="C2105">_xlfn.XLOOKUP(A2105, INSEE_Communes!$A$2:$A$3783, INSEE_Communes!$F$2:$F$3783, "code introuvable")</f>
        <v>non publié</v>
      </c>
    </row>
    <row r="2106">
      <c r="A2106" s="2" t="str">
        <f>Communes_HDF!A2106</f>
        <v>60689</v>
      </c>
      <c r="B2106" s="2" t="str">
        <f>Communes_HDF!B2106</f>
        <v>Villers-sur-Coudun</v>
      </c>
      <c r="C2106" s="2" t="str">
        <f t="array" ref="C2106">_xlfn.XLOOKUP(A2106, INSEE_Communes!$A$2:$A$3783, INSEE_Communes!$F$2:$F$3783, "code introuvable")</f>
        <v>non publié</v>
      </c>
    </row>
    <row r="2107">
      <c r="A2107" s="2" t="str">
        <f>Communes_HDF!A2107</f>
        <v>60693</v>
      </c>
      <c r="B2107" s="2" t="str">
        <f>Communes_HDF!B2107</f>
        <v>Villeselve</v>
      </c>
      <c r="C2107" s="2" t="str">
        <f t="array" ref="C2107">_xlfn.XLOOKUP(A2107, INSEE_Communes!$A$2:$A$3783, INSEE_Communes!$F$2:$F$3783, "code introuvable")</f>
        <v>non publié</v>
      </c>
    </row>
    <row r="2108">
      <c r="A2108" s="2" t="str">
        <f>Communes_HDF!A2108</f>
        <v>60695</v>
      </c>
      <c r="B2108" s="2" t="str">
        <f>Communes_HDF!B2108</f>
        <v>Vineuil-Saint-Firmin</v>
      </c>
      <c r="C2108" s="2" t="str">
        <f t="array" ref="C2108">_xlfn.XLOOKUP(A2108, INSEE_Communes!$A$2:$A$3783, INSEE_Communes!$F$2:$F$3783, "code introuvable")</f>
        <v>non publié</v>
      </c>
    </row>
    <row r="2109">
      <c r="A2109" s="2" t="str">
        <f>Communes_HDF!A2109</f>
        <v>60697</v>
      </c>
      <c r="B2109" s="2" t="str">
        <f>Communes_HDF!B2109</f>
        <v>Vrocourt</v>
      </c>
      <c r="C2109" s="2" t="str">
        <f t="array" ref="C2109">_xlfn.XLOOKUP(A2109, INSEE_Communes!$A$2:$A$3783, INSEE_Communes!$F$2:$F$3783, "code introuvable")</f>
        <v>non publié</v>
      </c>
    </row>
    <row r="2110">
      <c r="A2110" s="2" t="str">
        <f>Communes_HDF!A2110</f>
        <v>60698</v>
      </c>
      <c r="B2110" s="2" t="str">
        <f>Communes_HDF!B2110</f>
        <v>Wacquemoulin</v>
      </c>
      <c r="C2110" s="2" t="str">
        <f t="array" ref="C2110">_xlfn.XLOOKUP(A2110, INSEE_Communes!$A$2:$A$3783, INSEE_Communes!$F$2:$F$3783, "code introuvable")</f>
        <v>non publié</v>
      </c>
    </row>
    <row r="2111">
      <c r="A2111" s="2" t="str">
        <f>Communes_HDF!A2111</f>
        <v>60699</v>
      </c>
      <c r="B2111" s="2" t="str">
        <f>Communes_HDF!B2111</f>
        <v>Wambez</v>
      </c>
      <c r="C2111" s="2" t="str">
        <f t="array" ref="C2111">_xlfn.XLOOKUP(A2111, INSEE_Communes!$A$2:$A$3783, INSEE_Communes!$F$2:$F$3783, "code introuvable")</f>
        <v>non publié</v>
      </c>
    </row>
    <row r="2112">
      <c r="A2112" s="2" t="str">
        <f>Communes_HDF!A2112</f>
        <v>60700</v>
      </c>
      <c r="B2112" s="2" t="str">
        <f>Communes_HDF!B2112</f>
        <v>Warluis</v>
      </c>
      <c r="C2112" s="2" t="str">
        <f t="array" ref="C2112">_xlfn.XLOOKUP(A2112, INSEE_Communes!$A$2:$A$3783, INSEE_Communes!$F$2:$F$3783, "code introuvable")</f>
        <v>non publié</v>
      </c>
    </row>
    <row r="2113">
      <c r="A2113" s="2" t="str">
        <f>Communes_HDF!A2113</f>
        <v>60701</v>
      </c>
      <c r="B2113" s="2" t="str">
        <f>Communes_HDF!B2113</f>
        <v>Wavignies</v>
      </c>
      <c r="C2113" s="2" t="str">
        <f t="array" ref="C2113">_xlfn.XLOOKUP(A2113, INSEE_Communes!$A$2:$A$3783, INSEE_Communes!$F$2:$F$3783, "code introuvable")</f>
        <v>non publié</v>
      </c>
    </row>
    <row r="2114">
      <c r="A2114" s="2" t="str">
        <f>Communes_HDF!A2114</f>
        <v>60702</v>
      </c>
      <c r="B2114" s="2" t="str">
        <f>Communes_HDF!B2114</f>
        <v>Welles-Pérennes</v>
      </c>
      <c r="C2114" s="2" t="str">
        <f t="array" ref="C2114">_xlfn.XLOOKUP(A2114, INSEE_Communes!$A$2:$A$3783, INSEE_Communes!$F$2:$F$3783, "code introuvable")</f>
        <v>non publié</v>
      </c>
    </row>
    <row r="2115">
      <c r="A2115" s="2" t="str">
        <f>Communes_HDF!A2115</f>
        <v>60226</v>
      </c>
      <c r="B2115" s="2" t="str">
        <f>Communes_HDF!B2115</f>
        <v>Ève</v>
      </c>
      <c r="C2115" s="2" t="str">
        <f t="array" ref="C2115">_xlfn.XLOOKUP(A2115, INSEE_Communes!$A$2:$A$3783, INSEE_Communes!$F$2:$F$3783, "code introuvable")</f>
        <v>non publié</v>
      </c>
    </row>
    <row r="2116">
      <c r="A2116" s="2" t="str">
        <f>Communes_HDF!A2116</f>
        <v>60204</v>
      </c>
      <c r="B2116" s="2" t="str">
        <f>Communes_HDF!B2116</f>
        <v>Écuvilly</v>
      </c>
      <c r="C2116" s="2" t="str">
        <f t="array" ref="C2116">_xlfn.XLOOKUP(A2116, INSEE_Communes!$A$2:$A$3783, INSEE_Communes!$F$2:$F$3783, "code introuvable")</f>
        <v>non publié</v>
      </c>
    </row>
    <row r="2117">
      <c r="A2117" s="2" t="str">
        <f>Communes_HDF!A2117</f>
        <v>60205</v>
      </c>
      <c r="B2117" s="2" t="str">
        <f>Communes_HDF!B2117</f>
        <v>Élencourt</v>
      </c>
      <c r="C2117" s="2" t="str">
        <f t="array" ref="C2117">_xlfn.XLOOKUP(A2117, INSEE_Communes!$A$2:$A$3783, INSEE_Communes!$F$2:$F$3783, "code introuvable")</f>
        <v>non publié</v>
      </c>
    </row>
    <row r="2118">
      <c r="A2118" s="2" t="str">
        <f>Communes_HDF!A2118</f>
        <v>60206</v>
      </c>
      <c r="B2118" s="2" t="str">
        <f>Communes_HDF!B2118</f>
        <v>Élincourt-Sainte-Marguerite</v>
      </c>
      <c r="C2118" s="2" t="str">
        <f t="array" ref="C2118">_xlfn.XLOOKUP(A2118, INSEE_Communes!$A$2:$A$3783, INSEE_Communes!$F$2:$F$3783, "code introuvable")</f>
        <v>non publié</v>
      </c>
    </row>
    <row r="2119">
      <c r="A2119" s="2" t="str">
        <f>Communes_HDF!A2119</f>
        <v>60207</v>
      </c>
      <c r="B2119" s="2" t="str">
        <f>Communes_HDF!B2119</f>
        <v>Éméville</v>
      </c>
      <c r="C2119" s="2" t="str">
        <f t="array" ref="C2119">_xlfn.XLOOKUP(A2119, INSEE_Communes!$A$2:$A$3783, INSEE_Communes!$F$2:$F$3783, "code introuvable")</f>
        <v>non publié</v>
      </c>
    </row>
    <row r="2120">
      <c r="A2120" s="2" t="str">
        <f>Communes_HDF!A2120</f>
        <v>60208</v>
      </c>
      <c r="B2120" s="2" t="str">
        <f>Communes_HDF!B2120</f>
        <v>Énencourt-Léage</v>
      </c>
      <c r="C2120" s="2" t="str">
        <f t="array" ref="C2120">_xlfn.XLOOKUP(A2120, INSEE_Communes!$A$2:$A$3783, INSEE_Communes!$F$2:$F$3783, "code introuvable")</f>
        <v>non publié</v>
      </c>
    </row>
    <row r="2121">
      <c r="A2121" s="2" t="str">
        <f>Communes_HDF!A2121</f>
        <v>60210</v>
      </c>
      <c r="B2121" s="2" t="str">
        <f>Communes_HDF!B2121</f>
        <v>Épineuse</v>
      </c>
      <c r="C2121" s="2" t="str">
        <f t="array" ref="C2121">_xlfn.XLOOKUP(A2121, INSEE_Communes!$A$2:$A$3783, INSEE_Communes!$F$2:$F$3783, "code introuvable")</f>
        <v>non publié</v>
      </c>
    </row>
    <row r="2122">
      <c r="A2122" s="2" t="str">
        <f>Communes_HDF!A2122</f>
        <v>60211</v>
      </c>
      <c r="B2122" s="2" t="str">
        <f>Communes_HDF!B2122</f>
        <v>Éragny-sur-Epte</v>
      </c>
      <c r="C2122" s="2" t="str">
        <f t="array" ref="C2122">_xlfn.XLOOKUP(A2122, INSEE_Communes!$A$2:$A$3783, INSEE_Communes!$F$2:$F$3783, "code introuvable")</f>
        <v>non publié</v>
      </c>
    </row>
    <row r="2123">
      <c r="A2123" s="2" t="str">
        <f>Communes_HDF!A2123</f>
        <v>60224</v>
      </c>
      <c r="B2123" s="2" t="str">
        <f>Communes_HDF!B2123</f>
        <v>Étavigny</v>
      </c>
      <c r="C2123" s="2" t="str">
        <f t="array" ref="C2123">_xlfn.XLOOKUP(A2123, INSEE_Communes!$A$2:$A$3783, INSEE_Communes!$F$2:$F$3783, "code introuvable")</f>
        <v>non publié</v>
      </c>
    </row>
    <row r="2124">
      <c r="A2124" s="2" t="str">
        <f>Communes_HDF!A2124</f>
        <v>60225</v>
      </c>
      <c r="B2124" s="2" t="str">
        <f>Communes_HDF!B2124</f>
        <v>Étouy</v>
      </c>
      <c r="C2124" s="2" t="str">
        <f t="array" ref="C2124">_xlfn.XLOOKUP(A2124, INSEE_Communes!$A$2:$A$3783, INSEE_Communes!$F$2:$F$3783, "code introuvable")</f>
        <v>non publié</v>
      </c>
    </row>
    <row r="2125">
      <c r="A2125" s="2" t="str">
        <f>Communes_HDF!A2125</f>
        <v>60227</v>
      </c>
      <c r="B2125" s="2" t="str">
        <f>Communes_HDF!B2125</f>
        <v>Évricourt</v>
      </c>
      <c r="C2125" s="2" t="str">
        <f t="array" ref="C2125">_xlfn.XLOOKUP(A2125, INSEE_Communes!$A$2:$A$3783, INSEE_Communes!$F$2:$F$3783, "code introuvable")</f>
        <v>non publié</v>
      </c>
    </row>
    <row r="2126">
      <c r="A2126" s="2" t="str">
        <f>Communes_HDF!A2126</f>
        <v>62001</v>
      </c>
      <c r="B2126" s="2" t="str">
        <f>Communes_HDF!B2126</f>
        <v>Ablain-Saint-Nazaire</v>
      </c>
      <c r="C2126" s="2" t="str">
        <f t="array" ref="C2126">_xlfn.XLOOKUP(A2126, INSEE_Communes!$A$2:$A$3783, INSEE_Communes!$F$2:$F$3783, "code introuvable")</f>
        <v>non publié</v>
      </c>
    </row>
    <row r="2127">
      <c r="A2127" s="2" t="str">
        <f>Communes_HDF!A2127</f>
        <v>62002</v>
      </c>
      <c r="B2127" s="2" t="str">
        <f>Communes_HDF!B2127</f>
        <v>Ablainzevelle</v>
      </c>
      <c r="C2127" s="2" t="str">
        <f t="array" ref="C2127">_xlfn.XLOOKUP(A2127, INSEE_Communes!$A$2:$A$3783, INSEE_Communes!$F$2:$F$3783, "code introuvable")</f>
        <v>non publié</v>
      </c>
    </row>
    <row r="2128">
      <c r="A2128" s="2" t="str">
        <f>Communes_HDF!A2128</f>
        <v>62003</v>
      </c>
      <c r="B2128" s="2" t="str">
        <f>Communes_HDF!B2128</f>
        <v>Acheville</v>
      </c>
      <c r="C2128" s="2" t="str">
        <f t="array" ref="C2128">_xlfn.XLOOKUP(A2128, INSEE_Communes!$A$2:$A$3783, INSEE_Communes!$F$2:$F$3783, "code introuvable")</f>
        <v>non publié</v>
      </c>
    </row>
    <row r="2129">
      <c r="A2129" s="2" t="str">
        <f>Communes_HDF!A2129</f>
        <v>62004</v>
      </c>
      <c r="B2129" s="2" t="str">
        <f>Communes_HDF!B2129</f>
        <v>Achicourt</v>
      </c>
      <c r="C2129" s="2">
        <f t="array" ref="C2129">_xlfn.XLOOKUP(A2129, INSEE_Communes!$A$2:$A$3783, INSEE_Communes!$F$2:$F$3783, "code introuvable")</f>
        <v>17</v>
      </c>
    </row>
    <row r="2130">
      <c r="A2130" s="2" t="str">
        <f>Communes_HDF!A2130</f>
        <v>62005</v>
      </c>
      <c r="B2130" s="2" t="str">
        <f>Communes_HDF!B2130</f>
        <v>Achiet-le-Grand</v>
      </c>
      <c r="C2130" s="2" t="str">
        <f t="array" ref="C2130">_xlfn.XLOOKUP(A2130, INSEE_Communes!$A$2:$A$3783, INSEE_Communes!$F$2:$F$3783, "code introuvable")</f>
        <v>non publié</v>
      </c>
    </row>
    <row r="2131">
      <c r="A2131" s="2" t="str">
        <f>Communes_HDF!A2131</f>
        <v>62006</v>
      </c>
      <c r="B2131" s="2" t="str">
        <f>Communes_HDF!B2131</f>
        <v>Achiet-le-Petit</v>
      </c>
      <c r="C2131" s="2" t="str">
        <f t="array" ref="C2131">_xlfn.XLOOKUP(A2131, INSEE_Communes!$A$2:$A$3783, INSEE_Communes!$F$2:$F$3783, "code introuvable")</f>
        <v>non publié</v>
      </c>
    </row>
    <row r="2132">
      <c r="A2132" s="2" t="str">
        <f>Communes_HDF!A2132</f>
        <v>62007</v>
      </c>
      <c r="B2132" s="2" t="str">
        <f>Communes_HDF!B2132</f>
        <v>Acq</v>
      </c>
      <c r="C2132" s="2" t="str">
        <f t="array" ref="C2132">_xlfn.XLOOKUP(A2132, INSEE_Communes!$A$2:$A$3783, INSEE_Communes!$F$2:$F$3783, "code introuvable")</f>
        <v>non publié</v>
      </c>
    </row>
    <row r="2133">
      <c r="A2133" s="2" t="str">
        <f>Communes_HDF!A2133</f>
        <v>62008</v>
      </c>
      <c r="B2133" s="2" t="str">
        <f>Communes_HDF!B2133</f>
        <v>Acquin-Westbécourt</v>
      </c>
      <c r="C2133" s="2" t="str">
        <f t="array" ref="C2133">_xlfn.XLOOKUP(A2133, INSEE_Communes!$A$2:$A$3783, INSEE_Communes!$F$2:$F$3783, "code introuvable")</f>
        <v>non publié</v>
      </c>
    </row>
    <row r="2134">
      <c r="A2134" s="2" t="str">
        <f>Communes_HDF!A2134</f>
        <v>62009</v>
      </c>
      <c r="B2134" s="2" t="str">
        <f>Communes_HDF!B2134</f>
        <v>Adinfer</v>
      </c>
      <c r="C2134" s="2" t="str">
        <f t="array" ref="C2134">_xlfn.XLOOKUP(A2134, INSEE_Communes!$A$2:$A$3783, INSEE_Communes!$F$2:$F$3783, "code introuvable")</f>
        <v>non publié</v>
      </c>
    </row>
    <row r="2135">
      <c r="A2135" s="2" t="str">
        <f>Communes_HDF!A2135</f>
        <v>62010</v>
      </c>
      <c r="B2135" s="2" t="str">
        <f>Communes_HDF!B2135</f>
        <v>Affringues</v>
      </c>
      <c r="C2135" s="2" t="str">
        <f t="array" ref="C2135">_xlfn.XLOOKUP(A2135, INSEE_Communes!$A$2:$A$3783, INSEE_Communes!$F$2:$F$3783, "code introuvable")</f>
        <v>non publié</v>
      </c>
    </row>
    <row r="2136">
      <c r="A2136" s="2" t="str">
        <f>Communes_HDF!A2136</f>
        <v>62011</v>
      </c>
      <c r="B2136" s="2" t="str">
        <f>Communes_HDF!B2136</f>
        <v>Agnez-lès-Duisans</v>
      </c>
      <c r="C2136" s="2" t="str">
        <f t="array" ref="C2136">_xlfn.XLOOKUP(A2136, INSEE_Communes!$A$2:$A$3783, INSEE_Communes!$F$2:$F$3783, "code introuvable")</f>
        <v>non publié</v>
      </c>
    </row>
    <row r="2137">
      <c r="A2137" s="2" t="str">
        <f>Communes_HDF!A2137</f>
        <v>62012</v>
      </c>
      <c r="B2137" s="2" t="str">
        <f>Communes_HDF!B2137</f>
        <v>Agnières</v>
      </c>
      <c r="C2137" s="2" t="str">
        <f t="array" ref="C2137">_xlfn.XLOOKUP(A2137, INSEE_Communes!$A$2:$A$3783, INSEE_Communes!$F$2:$F$3783, "code introuvable")</f>
        <v>non publié</v>
      </c>
    </row>
    <row r="2138">
      <c r="A2138" s="2" t="str">
        <f>Communes_HDF!A2138</f>
        <v>62013</v>
      </c>
      <c r="B2138" s="2" t="str">
        <f>Communes_HDF!B2138</f>
        <v>Agny</v>
      </c>
      <c r="C2138" s="2" t="str">
        <f t="array" ref="C2138">_xlfn.XLOOKUP(A2138, INSEE_Communes!$A$2:$A$3783, INSEE_Communes!$F$2:$F$3783, "code introuvable")</f>
        <v>non publié</v>
      </c>
    </row>
    <row r="2139">
      <c r="A2139" s="2" t="str">
        <f>Communes_HDF!A2139</f>
        <v>62014</v>
      </c>
      <c r="B2139" s="2" t="str">
        <f>Communes_HDF!B2139</f>
        <v>Aire-sur-la-Lys</v>
      </c>
      <c r="C2139" s="2">
        <f t="array" ref="C2139">_xlfn.XLOOKUP(A2139, INSEE_Communes!$A$2:$A$3783, INSEE_Communes!$F$2:$F$3783, "code introuvable")</f>
        <v>20</v>
      </c>
    </row>
    <row r="2140">
      <c r="A2140" s="2" t="str">
        <f>Communes_HDF!A2140</f>
        <v>62015</v>
      </c>
      <c r="B2140" s="2" t="str">
        <f>Communes_HDF!B2140</f>
        <v>Airon-Notre-Dame</v>
      </c>
      <c r="C2140" s="2" t="str">
        <f t="array" ref="C2140">_xlfn.XLOOKUP(A2140, INSEE_Communes!$A$2:$A$3783, INSEE_Communes!$F$2:$F$3783, "code introuvable")</f>
        <v>non publié</v>
      </c>
    </row>
    <row r="2141">
      <c r="A2141" s="2" t="str">
        <f>Communes_HDF!A2141</f>
        <v>62016</v>
      </c>
      <c r="B2141" s="2" t="str">
        <f>Communes_HDF!B2141</f>
        <v>Airon-Saint-Vaast</v>
      </c>
      <c r="C2141" s="2" t="str">
        <f t="array" ref="C2141">_xlfn.XLOOKUP(A2141, INSEE_Communes!$A$2:$A$3783, INSEE_Communes!$F$2:$F$3783, "code introuvable")</f>
        <v>non publié</v>
      </c>
    </row>
    <row r="2142">
      <c r="A2142" s="2" t="str">
        <f>Communes_HDF!A2142</f>
        <v>62019</v>
      </c>
      <c r="B2142" s="2" t="str">
        <f>Communes_HDF!B2142</f>
        <v>Aix-Noulette</v>
      </c>
      <c r="C2142" s="2">
        <f t="array" ref="C2142">_xlfn.XLOOKUP(A2142, INSEE_Communes!$A$2:$A$3783, INSEE_Communes!$F$2:$F$3783, "code introuvable")</f>
        <v>12</v>
      </c>
    </row>
    <row r="2143">
      <c r="A2143" s="2" t="str">
        <f>Communes_HDF!A2143</f>
        <v>62017</v>
      </c>
      <c r="B2143" s="2" t="str">
        <f>Communes_HDF!B2143</f>
        <v>Aix-en-Ergny</v>
      </c>
      <c r="C2143" s="2" t="str">
        <f t="array" ref="C2143">_xlfn.XLOOKUP(A2143, INSEE_Communes!$A$2:$A$3783, INSEE_Communes!$F$2:$F$3783, "code introuvable")</f>
        <v>non publié</v>
      </c>
    </row>
    <row r="2144">
      <c r="A2144" s="2" t="str">
        <f>Communes_HDF!A2144</f>
        <v>62018</v>
      </c>
      <c r="B2144" s="2" t="str">
        <f>Communes_HDF!B2144</f>
        <v>Aix-en-Issart</v>
      </c>
      <c r="C2144" s="2" t="str">
        <f t="array" ref="C2144">_xlfn.XLOOKUP(A2144, INSEE_Communes!$A$2:$A$3783, INSEE_Communes!$F$2:$F$3783, "code introuvable")</f>
        <v>non publié</v>
      </c>
    </row>
    <row r="2145">
      <c r="A2145" s="2" t="str">
        <f>Communes_HDF!A2145</f>
        <v>62020</v>
      </c>
      <c r="B2145" s="2" t="str">
        <f>Communes_HDF!B2145</f>
        <v>Alembon</v>
      </c>
      <c r="C2145" s="2" t="str">
        <f t="array" ref="C2145">_xlfn.XLOOKUP(A2145, INSEE_Communes!$A$2:$A$3783, INSEE_Communes!$F$2:$F$3783, "code introuvable")</f>
        <v>non publié</v>
      </c>
    </row>
    <row r="2146">
      <c r="A2146" s="2" t="str">
        <f>Communes_HDF!A2146</f>
        <v>62021</v>
      </c>
      <c r="B2146" s="2" t="str">
        <f>Communes_HDF!B2146</f>
        <v>Alette</v>
      </c>
      <c r="C2146" s="2" t="str">
        <f t="array" ref="C2146">_xlfn.XLOOKUP(A2146, INSEE_Communes!$A$2:$A$3783, INSEE_Communes!$F$2:$F$3783, "code introuvable")</f>
        <v>non publié</v>
      </c>
    </row>
    <row r="2147">
      <c r="A2147" s="2" t="str">
        <f>Communes_HDF!A2147</f>
        <v>62022</v>
      </c>
      <c r="B2147" s="2" t="str">
        <f>Communes_HDF!B2147</f>
        <v>Alincthun</v>
      </c>
      <c r="C2147" s="2" t="str">
        <f t="array" ref="C2147">_xlfn.XLOOKUP(A2147, INSEE_Communes!$A$2:$A$3783, INSEE_Communes!$F$2:$F$3783, "code introuvable")</f>
        <v>non publié</v>
      </c>
    </row>
    <row r="2148">
      <c r="A2148" s="2" t="str">
        <f>Communes_HDF!A2148</f>
        <v>62023</v>
      </c>
      <c r="B2148" s="2" t="str">
        <f>Communes_HDF!B2148</f>
        <v>Allouagne</v>
      </c>
      <c r="C2148" s="2">
        <f t="array" ref="C2148">_xlfn.XLOOKUP(A2148, INSEE_Communes!$A$2:$A$3783, INSEE_Communes!$F$2:$F$3783, "code introuvable")</f>
        <v>12</v>
      </c>
    </row>
    <row r="2149">
      <c r="A2149" s="2" t="str">
        <f>Communes_HDF!A2149</f>
        <v>62024</v>
      </c>
      <c r="B2149" s="2" t="str">
        <f>Communes_HDF!B2149</f>
        <v>Alquines</v>
      </c>
      <c r="C2149" s="2" t="str">
        <f t="array" ref="C2149">_xlfn.XLOOKUP(A2149, INSEE_Communes!$A$2:$A$3783, INSEE_Communes!$F$2:$F$3783, "code introuvable")</f>
        <v>non publié</v>
      </c>
    </row>
    <row r="2150">
      <c r="A2150" s="2" t="str">
        <f>Communes_HDF!A2150</f>
        <v>62025</v>
      </c>
      <c r="B2150" s="2" t="str">
        <f>Communes_HDF!B2150</f>
        <v>Ambleteuse</v>
      </c>
      <c r="C2150" s="2" t="str">
        <f t="array" ref="C2150">_xlfn.XLOOKUP(A2150, INSEE_Communes!$A$2:$A$3783, INSEE_Communes!$F$2:$F$3783, "code introuvable")</f>
        <v>non publié</v>
      </c>
    </row>
    <row r="2151">
      <c r="A2151" s="2" t="str">
        <f>Communes_HDF!A2151</f>
        <v>62026</v>
      </c>
      <c r="B2151" s="2" t="str">
        <f>Communes_HDF!B2151</f>
        <v>Ambricourt</v>
      </c>
      <c r="C2151" s="2" t="str">
        <f t="array" ref="C2151">_xlfn.XLOOKUP(A2151, INSEE_Communes!$A$2:$A$3783, INSEE_Communes!$F$2:$F$3783, "code introuvable")</f>
        <v>non publié</v>
      </c>
    </row>
    <row r="2152">
      <c r="A2152" s="2" t="str">
        <f>Communes_HDF!A2152</f>
        <v>62027</v>
      </c>
      <c r="B2152" s="2" t="str">
        <f>Communes_HDF!B2152</f>
        <v>Ambrines</v>
      </c>
      <c r="C2152" s="2" t="str">
        <f t="array" ref="C2152">_xlfn.XLOOKUP(A2152, INSEE_Communes!$A$2:$A$3783, INSEE_Communes!$F$2:$F$3783, "code introuvable")</f>
        <v>non publié</v>
      </c>
    </row>
    <row r="2153">
      <c r="A2153" s="2" t="str">
        <f>Communes_HDF!A2153</f>
        <v>62028</v>
      </c>
      <c r="B2153" s="2" t="str">
        <f>Communes_HDF!B2153</f>
        <v>Ames</v>
      </c>
      <c r="C2153" s="2" t="str">
        <f t="array" ref="C2153">_xlfn.XLOOKUP(A2153, INSEE_Communes!$A$2:$A$3783, INSEE_Communes!$F$2:$F$3783, "code introuvable")</f>
        <v>non publié</v>
      </c>
    </row>
    <row r="2154">
      <c r="A2154" s="2" t="str">
        <f>Communes_HDF!A2154</f>
        <v>62029</v>
      </c>
      <c r="B2154" s="2" t="str">
        <f>Communes_HDF!B2154</f>
        <v>Amettes</v>
      </c>
      <c r="C2154" s="2" t="str">
        <f t="array" ref="C2154">_xlfn.XLOOKUP(A2154, INSEE_Communes!$A$2:$A$3783, INSEE_Communes!$F$2:$F$3783, "code introuvable")</f>
        <v>non publié</v>
      </c>
    </row>
    <row r="2155">
      <c r="A2155" s="2" t="str">
        <f>Communes_HDF!A2155</f>
        <v>62030</v>
      </c>
      <c r="B2155" s="2" t="str">
        <f>Communes_HDF!B2155</f>
        <v>Amplier</v>
      </c>
      <c r="C2155" s="2" t="str">
        <f t="array" ref="C2155">_xlfn.XLOOKUP(A2155, INSEE_Communes!$A$2:$A$3783, INSEE_Communes!$F$2:$F$3783, "code introuvable")</f>
        <v>non publié</v>
      </c>
    </row>
    <row r="2156">
      <c r="A2156" s="2" t="str">
        <f>Communes_HDF!A2156</f>
        <v>62031</v>
      </c>
      <c r="B2156" s="2" t="str">
        <f>Communes_HDF!B2156</f>
        <v>Andres</v>
      </c>
      <c r="C2156" s="2" t="str">
        <f t="array" ref="C2156">_xlfn.XLOOKUP(A2156, INSEE_Communes!$A$2:$A$3783, INSEE_Communes!$F$2:$F$3783, "code introuvable")</f>
        <v>non publié</v>
      </c>
    </row>
    <row r="2157">
      <c r="A2157" s="2" t="str">
        <f>Communes_HDF!A2157</f>
        <v>62032</v>
      </c>
      <c r="B2157" s="2" t="str">
        <f>Communes_HDF!B2157</f>
        <v>Angres</v>
      </c>
      <c r="C2157" s="2">
        <f t="array" ref="C2157">_xlfn.XLOOKUP(A2157, INSEE_Communes!$A$2:$A$3783, INSEE_Communes!$F$2:$F$3783, "code introuvable")</f>
        <v>18</v>
      </c>
    </row>
    <row r="2158">
      <c r="A2158" s="2" t="str">
        <f>Communes_HDF!A2158</f>
        <v>62033</v>
      </c>
      <c r="B2158" s="2" t="str">
        <f>Communes_HDF!B2158</f>
        <v>Annay</v>
      </c>
      <c r="C2158" s="2">
        <f t="array" ref="C2158">_xlfn.XLOOKUP(A2158, INSEE_Communes!$A$2:$A$3783, INSEE_Communes!$F$2:$F$3783, "code introuvable")</f>
        <v>16</v>
      </c>
    </row>
    <row r="2159">
      <c r="A2159" s="2" t="str">
        <f>Communes_HDF!A2159</f>
        <v>62034</v>
      </c>
      <c r="B2159" s="2" t="str">
        <f>Communes_HDF!B2159</f>
        <v>Annequin</v>
      </c>
      <c r="C2159" s="2">
        <f t="array" ref="C2159">_xlfn.XLOOKUP(A2159, INSEE_Communes!$A$2:$A$3783, INSEE_Communes!$F$2:$F$3783, "code introuvable")</f>
        <v>18</v>
      </c>
    </row>
    <row r="2160">
      <c r="A2160" s="2" t="str">
        <f>Communes_HDF!A2160</f>
        <v>62035</v>
      </c>
      <c r="B2160" s="2" t="str">
        <f>Communes_HDF!B2160</f>
        <v>Annezin</v>
      </c>
      <c r="C2160" s="2">
        <f t="array" ref="C2160">_xlfn.XLOOKUP(A2160, INSEE_Communes!$A$2:$A$3783, INSEE_Communes!$F$2:$F$3783, "code introuvable")</f>
        <v>16</v>
      </c>
    </row>
    <row r="2161">
      <c r="A2161" s="2" t="str">
        <f>Communes_HDF!A2161</f>
        <v>62036</v>
      </c>
      <c r="B2161" s="2" t="str">
        <f>Communes_HDF!B2161</f>
        <v>Anvin</v>
      </c>
      <c r="C2161" s="2" t="str">
        <f t="array" ref="C2161">_xlfn.XLOOKUP(A2161, INSEE_Communes!$A$2:$A$3783, INSEE_Communes!$F$2:$F$3783, "code introuvable")</f>
        <v>non publié</v>
      </c>
    </row>
    <row r="2162">
      <c r="A2162" s="2" t="str">
        <f>Communes_HDF!A2162</f>
        <v>62037</v>
      </c>
      <c r="B2162" s="2" t="str">
        <f>Communes_HDF!B2162</f>
        <v>Anzin-Saint-Aubin</v>
      </c>
      <c r="C2162" s="2">
        <f t="array" ref="C2162">_xlfn.XLOOKUP(A2162, INSEE_Communes!$A$2:$A$3783, INSEE_Communes!$F$2:$F$3783, "code introuvable")</f>
        <v>5</v>
      </c>
    </row>
    <row r="2163">
      <c r="A2163" s="2" t="str">
        <f>Communes_HDF!A2163</f>
        <v>62038</v>
      </c>
      <c r="B2163" s="2" t="str">
        <f>Communes_HDF!B2163</f>
        <v>Ardres</v>
      </c>
      <c r="C2163" s="2">
        <f t="array" ref="C2163">_xlfn.XLOOKUP(A2163, INSEE_Communes!$A$2:$A$3783, INSEE_Communes!$F$2:$F$3783, "code introuvable")</f>
        <v>15</v>
      </c>
    </row>
    <row r="2164">
      <c r="A2164" s="2" t="str">
        <f>Communes_HDF!A2164</f>
        <v>62039</v>
      </c>
      <c r="B2164" s="2" t="str">
        <f>Communes_HDF!B2164</f>
        <v>Arleux-en-Gohelle</v>
      </c>
      <c r="C2164" s="2" t="str">
        <f t="array" ref="C2164">_xlfn.XLOOKUP(A2164, INSEE_Communes!$A$2:$A$3783, INSEE_Communes!$F$2:$F$3783, "code introuvable")</f>
        <v>non publié</v>
      </c>
    </row>
    <row r="2165">
      <c r="A2165" s="2" t="str">
        <f>Communes_HDF!A2165</f>
        <v>62040</v>
      </c>
      <c r="B2165" s="2" t="str">
        <f>Communes_HDF!B2165</f>
        <v>Arques</v>
      </c>
      <c r="C2165" s="2">
        <f t="array" ref="C2165">_xlfn.XLOOKUP(A2165, INSEE_Communes!$A$2:$A$3783, INSEE_Communes!$F$2:$F$3783, "code introuvable")</f>
        <v>22</v>
      </c>
    </row>
    <row r="2166">
      <c r="A2166" s="2" t="str">
        <f>Communes_HDF!A2166</f>
        <v>62041</v>
      </c>
      <c r="B2166" s="2" t="str">
        <f>Communes_HDF!B2166</f>
        <v>Arras</v>
      </c>
      <c r="C2166" s="2">
        <f t="array" ref="C2166">_xlfn.XLOOKUP(A2166, INSEE_Communes!$A$2:$A$3783, INSEE_Communes!$F$2:$F$3783, "code introuvable")</f>
        <v>26.1</v>
      </c>
    </row>
    <row r="2167">
      <c r="A2167" s="2" t="str">
        <f>Communes_HDF!A2167</f>
        <v>62042</v>
      </c>
      <c r="B2167" s="2" t="str">
        <f>Communes_HDF!B2167</f>
        <v>Athies</v>
      </c>
      <c r="C2167" s="2" t="str">
        <f t="array" ref="C2167">_xlfn.XLOOKUP(A2167, INSEE_Communes!$A$2:$A$3783, INSEE_Communes!$F$2:$F$3783, "code introuvable")</f>
        <v>non publié</v>
      </c>
    </row>
    <row r="2168">
      <c r="A2168" s="2" t="str">
        <f>Communes_HDF!A2168</f>
        <v>62044</v>
      </c>
      <c r="B2168" s="2" t="str">
        <f>Communes_HDF!B2168</f>
        <v>Attin</v>
      </c>
      <c r="C2168" s="2" t="str">
        <f t="array" ref="C2168">_xlfn.XLOOKUP(A2168, INSEE_Communes!$A$2:$A$3783, INSEE_Communes!$F$2:$F$3783, "code introuvable")</f>
        <v>non publié</v>
      </c>
    </row>
    <row r="2169">
      <c r="A2169" s="2" t="str">
        <f>Communes_HDF!A2169</f>
        <v>62045</v>
      </c>
      <c r="B2169" s="2" t="str">
        <f>Communes_HDF!B2169</f>
        <v>Aubigny-en-Artois</v>
      </c>
      <c r="C2169" s="2" t="str">
        <f t="array" ref="C2169">_xlfn.XLOOKUP(A2169, INSEE_Communes!$A$2:$A$3783, INSEE_Communes!$F$2:$F$3783, "code introuvable")</f>
        <v>non publié</v>
      </c>
    </row>
    <row r="2170">
      <c r="A2170" s="2" t="str">
        <f>Communes_HDF!A2170</f>
        <v>62046</v>
      </c>
      <c r="B2170" s="2" t="str">
        <f>Communes_HDF!B2170</f>
        <v>Aubin-Saint-Vaast</v>
      </c>
      <c r="C2170" s="2" t="str">
        <f t="array" ref="C2170">_xlfn.XLOOKUP(A2170, INSEE_Communes!$A$2:$A$3783, INSEE_Communes!$F$2:$F$3783, "code introuvable")</f>
        <v>non publié</v>
      </c>
    </row>
    <row r="2171">
      <c r="A2171" s="2" t="str">
        <f>Communes_HDF!A2171</f>
        <v>62047</v>
      </c>
      <c r="B2171" s="2" t="str">
        <f>Communes_HDF!B2171</f>
        <v>Aubrometz</v>
      </c>
      <c r="C2171" s="2" t="str">
        <f t="array" ref="C2171">_xlfn.XLOOKUP(A2171, INSEE_Communes!$A$2:$A$3783, INSEE_Communes!$F$2:$F$3783, "code introuvable")</f>
        <v>non publié</v>
      </c>
    </row>
    <row r="2172">
      <c r="A2172" s="2" t="str">
        <f>Communes_HDF!A2172</f>
        <v>62048</v>
      </c>
      <c r="B2172" s="2" t="str">
        <f>Communes_HDF!B2172</f>
        <v>Auchel</v>
      </c>
      <c r="C2172" s="2">
        <f t="array" ref="C2172">_xlfn.XLOOKUP(A2172, INSEE_Communes!$A$2:$A$3783, INSEE_Communes!$F$2:$F$3783, "code introuvable")</f>
        <v>32</v>
      </c>
    </row>
    <row r="2173">
      <c r="A2173" s="2" t="str">
        <f>Communes_HDF!A2173</f>
        <v>62049</v>
      </c>
      <c r="B2173" s="2" t="str">
        <f>Communes_HDF!B2173</f>
        <v>Auchy-au-Bois</v>
      </c>
      <c r="C2173" s="2" t="str">
        <f t="array" ref="C2173">_xlfn.XLOOKUP(A2173, INSEE_Communes!$A$2:$A$3783, INSEE_Communes!$F$2:$F$3783, "code introuvable")</f>
        <v>non publié</v>
      </c>
    </row>
    <row r="2174">
      <c r="A2174" s="2" t="str">
        <f>Communes_HDF!A2174</f>
        <v>62051</v>
      </c>
      <c r="B2174" s="2" t="str">
        <f>Communes_HDF!B2174</f>
        <v>Auchy-les-Mines</v>
      </c>
      <c r="C2174" s="2">
        <f t="array" ref="C2174">_xlfn.XLOOKUP(A2174, INSEE_Communes!$A$2:$A$3783, INSEE_Communes!$F$2:$F$3783, "code introuvable")</f>
        <v>18</v>
      </c>
    </row>
    <row r="2175">
      <c r="A2175" s="2" t="str">
        <f>Communes_HDF!A2175</f>
        <v>62050</v>
      </c>
      <c r="B2175" s="2" t="str">
        <f>Communes_HDF!B2175</f>
        <v>Auchy-lès-Hesdin</v>
      </c>
      <c r="C2175" s="2" t="str">
        <f t="array" ref="C2175">_xlfn.XLOOKUP(A2175, INSEE_Communes!$A$2:$A$3783, INSEE_Communes!$F$2:$F$3783, "code introuvable")</f>
        <v>non publié</v>
      </c>
    </row>
    <row r="2176">
      <c r="A2176" s="2" t="str">
        <f>Communes_HDF!A2176</f>
        <v>62052</v>
      </c>
      <c r="B2176" s="2" t="str">
        <f>Communes_HDF!B2176</f>
        <v>Audembert</v>
      </c>
      <c r="C2176" s="2" t="str">
        <f t="array" ref="C2176">_xlfn.XLOOKUP(A2176, INSEE_Communes!$A$2:$A$3783, INSEE_Communes!$F$2:$F$3783, "code introuvable")</f>
        <v>non publié</v>
      </c>
    </row>
    <row r="2177">
      <c r="A2177" s="2" t="str">
        <f>Communes_HDF!A2177</f>
        <v>62053</v>
      </c>
      <c r="B2177" s="2" t="str">
        <f>Communes_HDF!B2177</f>
        <v>Audincthun</v>
      </c>
      <c r="C2177" s="2" t="str">
        <f t="array" ref="C2177">_xlfn.XLOOKUP(A2177, INSEE_Communes!$A$2:$A$3783, INSEE_Communes!$F$2:$F$3783, "code introuvable")</f>
        <v>non publié</v>
      </c>
    </row>
    <row r="2178">
      <c r="A2178" s="2" t="str">
        <f>Communes_HDF!A2178</f>
        <v>62054</v>
      </c>
      <c r="B2178" s="2" t="str">
        <f>Communes_HDF!B2178</f>
        <v>Audinghen</v>
      </c>
      <c r="C2178" s="2" t="str">
        <f t="array" ref="C2178">_xlfn.XLOOKUP(A2178, INSEE_Communes!$A$2:$A$3783, INSEE_Communes!$F$2:$F$3783, "code introuvable")</f>
        <v>non publié</v>
      </c>
    </row>
    <row r="2179">
      <c r="A2179" s="2" t="str">
        <f>Communes_HDF!A2179</f>
        <v>62055</v>
      </c>
      <c r="B2179" s="2" t="str">
        <f>Communes_HDF!B2179</f>
        <v>Audrehem</v>
      </c>
      <c r="C2179" s="2" t="str">
        <f t="array" ref="C2179">_xlfn.XLOOKUP(A2179, INSEE_Communes!$A$2:$A$3783, INSEE_Communes!$F$2:$F$3783, "code introuvable")</f>
        <v>non publié</v>
      </c>
    </row>
    <row r="2180">
      <c r="A2180" s="2" t="str">
        <f>Communes_HDF!A2180</f>
        <v>62056</v>
      </c>
      <c r="B2180" s="2" t="str">
        <f>Communes_HDF!B2180</f>
        <v>Audresselles</v>
      </c>
      <c r="C2180" s="2" t="str">
        <f t="array" ref="C2180">_xlfn.XLOOKUP(A2180, INSEE_Communes!$A$2:$A$3783, INSEE_Communes!$F$2:$F$3783, "code introuvable")</f>
        <v>non publié</v>
      </c>
    </row>
    <row r="2181">
      <c r="A2181" s="2" t="str">
        <f>Communes_HDF!A2181</f>
        <v>62057</v>
      </c>
      <c r="B2181" s="2" t="str">
        <f>Communes_HDF!B2181</f>
        <v>Audruicq</v>
      </c>
      <c r="C2181" s="2">
        <f t="array" ref="C2181">_xlfn.XLOOKUP(A2181, INSEE_Communes!$A$2:$A$3783, INSEE_Communes!$F$2:$F$3783, "code introuvable")</f>
        <v>15</v>
      </c>
    </row>
    <row r="2182">
      <c r="A2182" s="2" t="str">
        <f>Communes_HDF!A2182</f>
        <v>62058</v>
      </c>
      <c r="B2182" s="2" t="str">
        <f>Communes_HDF!B2182</f>
        <v>Aumerval</v>
      </c>
      <c r="C2182" s="2" t="str">
        <f t="array" ref="C2182">_xlfn.XLOOKUP(A2182, INSEE_Communes!$A$2:$A$3783, INSEE_Communes!$F$2:$F$3783, "code introuvable")</f>
        <v>non publié</v>
      </c>
    </row>
    <row r="2183">
      <c r="A2183" s="2" t="str">
        <f>Communes_HDF!A2183</f>
        <v>62059</v>
      </c>
      <c r="B2183" s="2" t="str">
        <f>Communes_HDF!B2183</f>
        <v>Autingues</v>
      </c>
      <c r="C2183" s="2" t="str">
        <f t="array" ref="C2183">_xlfn.XLOOKUP(A2183, INSEE_Communes!$A$2:$A$3783, INSEE_Communes!$F$2:$F$3783, "code introuvable")</f>
        <v>non publié</v>
      </c>
    </row>
    <row r="2184">
      <c r="A2184" s="2" t="str">
        <f>Communes_HDF!A2184</f>
        <v>62060</v>
      </c>
      <c r="B2184" s="2" t="str">
        <f>Communes_HDF!B2184</f>
        <v>Auxi-le-Château</v>
      </c>
      <c r="C2184" s="2">
        <f t="array" ref="C2184">_xlfn.XLOOKUP(A2184, INSEE_Communes!$A$2:$A$3783, INSEE_Communes!$F$2:$F$3783, "code introuvable")</f>
        <v>29</v>
      </c>
    </row>
    <row r="2185">
      <c r="A2185" s="2" t="str">
        <f>Communes_HDF!A2185</f>
        <v>62061</v>
      </c>
      <c r="B2185" s="2" t="str">
        <f>Communes_HDF!B2185</f>
        <v>Averdoingt</v>
      </c>
      <c r="C2185" s="2" t="str">
        <f t="array" ref="C2185">_xlfn.XLOOKUP(A2185, INSEE_Communes!$A$2:$A$3783, INSEE_Communes!$F$2:$F$3783, "code introuvable")</f>
        <v>non publié</v>
      </c>
    </row>
    <row r="2186">
      <c r="A2186" s="2" t="str">
        <f>Communes_HDF!A2186</f>
        <v>62062</v>
      </c>
      <c r="B2186" s="2" t="str">
        <f>Communes_HDF!B2186</f>
        <v>Avesnes</v>
      </c>
      <c r="C2186" s="2" t="str">
        <f t="array" ref="C2186">_xlfn.XLOOKUP(A2186, INSEE_Communes!$A$2:$A$3783, INSEE_Communes!$F$2:$F$3783, "code introuvable")</f>
        <v>non publié</v>
      </c>
    </row>
    <row r="2187">
      <c r="A2187" s="2" t="str">
        <f>Communes_HDF!A2187</f>
        <v>62063</v>
      </c>
      <c r="B2187" s="2" t="str">
        <f>Communes_HDF!B2187</f>
        <v>Avesnes-le-Comte</v>
      </c>
      <c r="C2187" s="2" t="str">
        <f t="array" ref="C2187">_xlfn.XLOOKUP(A2187, INSEE_Communes!$A$2:$A$3783, INSEE_Communes!$F$2:$F$3783, "code introuvable")</f>
        <v>non publié</v>
      </c>
    </row>
    <row r="2188">
      <c r="A2188" s="2" t="str">
        <f>Communes_HDF!A2188</f>
        <v>62064</v>
      </c>
      <c r="B2188" s="2" t="str">
        <f>Communes_HDF!B2188</f>
        <v>Avesnes-lès-Bapaume</v>
      </c>
      <c r="C2188" s="2" t="str">
        <f t="array" ref="C2188">_xlfn.XLOOKUP(A2188, INSEE_Communes!$A$2:$A$3783, INSEE_Communes!$F$2:$F$3783, "code introuvable")</f>
        <v>non publié</v>
      </c>
    </row>
    <row r="2189">
      <c r="A2189" s="2" t="str">
        <f>Communes_HDF!A2189</f>
        <v>62065</v>
      </c>
      <c r="B2189" s="2" t="str">
        <f>Communes_HDF!B2189</f>
        <v>Avion</v>
      </c>
      <c r="C2189" s="2">
        <f t="array" ref="C2189">_xlfn.XLOOKUP(A2189, INSEE_Communes!$A$2:$A$3783, INSEE_Communes!$F$2:$F$3783, "code introuvable")</f>
        <v>29</v>
      </c>
    </row>
    <row r="2190">
      <c r="A2190" s="2" t="str">
        <f>Communes_HDF!A2190</f>
        <v>62066</v>
      </c>
      <c r="B2190" s="2" t="str">
        <f>Communes_HDF!B2190</f>
        <v>Avondance</v>
      </c>
      <c r="C2190" s="2" t="str">
        <f t="array" ref="C2190">_xlfn.XLOOKUP(A2190, INSEE_Communes!$A$2:$A$3783, INSEE_Communes!$F$2:$F$3783, "code introuvable")</f>
        <v>non publié</v>
      </c>
    </row>
    <row r="2191">
      <c r="A2191" s="2" t="str">
        <f>Communes_HDF!A2191</f>
        <v>62067</v>
      </c>
      <c r="B2191" s="2" t="str">
        <f>Communes_HDF!B2191</f>
        <v>Avroult</v>
      </c>
      <c r="C2191" s="2" t="str">
        <f t="array" ref="C2191">_xlfn.XLOOKUP(A2191, INSEE_Communes!$A$2:$A$3783, INSEE_Communes!$F$2:$F$3783, "code introuvable")</f>
        <v>non publié</v>
      </c>
    </row>
    <row r="2192">
      <c r="A2192" s="2" t="str">
        <f>Communes_HDF!A2192</f>
        <v>62068</v>
      </c>
      <c r="B2192" s="2" t="str">
        <f>Communes_HDF!B2192</f>
        <v>Ayette</v>
      </c>
      <c r="C2192" s="2" t="str">
        <f t="array" ref="C2192">_xlfn.XLOOKUP(A2192, INSEE_Communes!$A$2:$A$3783, INSEE_Communes!$F$2:$F$3783, "code introuvable")</f>
        <v>non publié</v>
      </c>
    </row>
    <row r="2193">
      <c r="A2193" s="2" t="str">
        <f>Communes_HDF!A2193</f>
        <v>62069</v>
      </c>
      <c r="B2193" s="2" t="str">
        <f>Communes_HDF!B2193</f>
        <v>Azincourt</v>
      </c>
      <c r="C2193" s="2" t="str">
        <f t="array" ref="C2193">_xlfn.XLOOKUP(A2193, INSEE_Communes!$A$2:$A$3783, INSEE_Communes!$F$2:$F$3783, "code introuvable")</f>
        <v>non publié</v>
      </c>
    </row>
    <row r="2194">
      <c r="A2194" s="2" t="str">
        <f>Communes_HDF!A2194</f>
        <v>62073</v>
      </c>
      <c r="B2194" s="2" t="str">
        <f>Communes_HDF!B2194</f>
        <v>Bailleul-Sir-Berthoult</v>
      </c>
      <c r="C2194" s="2" t="str">
        <f t="array" ref="C2194">_xlfn.XLOOKUP(A2194, INSEE_Communes!$A$2:$A$3783, INSEE_Communes!$F$2:$F$3783, "code introuvable")</f>
        <v>non publié</v>
      </c>
    </row>
    <row r="2195">
      <c r="A2195" s="2" t="str">
        <f>Communes_HDF!A2195</f>
        <v>62070</v>
      </c>
      <c r="B2195" s="2" t="str">
        <f>Communes_HDF!B2195</f>
        <v>Bailleul-aux-Cornailles</v>
      </c>
      <c r="C2195" s="2" t="str">
        <f t="array" ref="C2195">_xlfn.XLOOKUP(A2195, INSEE_Communes!$A$2:$A$3783, INSEE_Communes!$F$2:$F$3783, "code introuvable")</f>
        <v>non publié</v>
      </c>
    </row>
    <row r="2196">
      <c r="A2196" s="2" t="str">
        <f>Communes_HDF!A2196</f>
        <v>62071</v>
      </c>
      <c r="B2196" s="2" t="str">
        <f>Communes_HDF!B2196</f>
        <v>Bailleul-lès-Pernes</v>
      </c>
      <c r="C2196" s="2" t="str">
        <f t="array" ref="C2196">_xlfn.XLOOKUP(A2196, INSEE_Communes!$A$2:$A$3783, INSEE_Communes!$F$2:$F$3783, "code introuvable")</f>
        <v>non publié</v>
      </c>
    </row>
    <row r="2197">
      <c r="A2197" s="2" t="str">
        <f>Communes_HDF!A2197</f>
        <v>62072</v>
      </c>
      <c r="B2197" s="2" t="str">
        <f>Communes_HDF!B2197</f>
        <v>Bailleulmont</v>
      </c>
      <c r="C2197" s="2" t="str">
        <f t="array" ref="C2197">_xlfn.XLOOKUP(A2197, INSEE_Communes!$A$2:$A$3783, INSEE_Communes!$F$2:$F$3783, "code introuvable")</f>
        <v>non publié</v>
      </c>
    </row>
    <row r="2198">
      <c r="A2198" s="2" t="str">
        <f>Communes_HDF!A2198</f>
        <v>62074</v>
      </c>
      <c r="B2198" s="2" t="str">
        <f>Communes_HDF!B2198</f>
        <v>Bailleulval</v>
      </c>
      <c r="C2198" s="2" t="str">
        <f t="array" ref="C2198">_xlfn.XLOOKUP(A2198, INSEE_Communes!$A$2:$A$3783, INSEE_Communes!$F$2:$F$3783, "code introuvable")</f>
        <v>non publié</v>
      </c>
    </row>
    <row r="2199">
      <c r="A2199" s="2" t="str">
        <f>Communes_HDF!A2199</f>
        <v>62075</v>
      </c>
      <c r="B2199" s="2" t="str">
        <f>Communes_HDF!B2199</f>
        <v>Baincthun</v>
      </c>
      <c r="C2199" s="2" t="str">
        <f t="array" ref="C2199">_xlfn.XLOOKUP(A2199, INSEE_Communes!$A$2:$A$3783, INSEE_Communes!$F$2:$F$3783, "code introuvable")</f>
        <v>non publié</v>
      </c>
    </row>
    <row r="2200">
      <c r="A2200" s="2" t="str">
        <f>Communes_HDF!A2200</f>
        <v>62076</v>
      </c>
      <c r="B2200" s="2" t="str">
        <f>Communes_HDF!B2200</f>
        <v>Bainghen</v>
      </c>
      <c r="C2200" s="2" t="str">
        <f t="array" ref="C2200">_xlfn.XLOOKUP(A2200, INSEE_Communes!$A$2:$A$3783, INSEE_Communes!$F$2:$F$3783, "code introuvable")</f>
        <v>non publié</v>
      </c>
    </row>
    <row r="2201">
      <c r="A2201" s="2" t="str">
        <f>Communes_HDF!A2201</f>
        <v>62077</v>
      </c>
      <c r="B2201" s="2" t="str">
        <f>Communes_HDF!B2201</f>
        <v>Bajus</v>
      </c>
      <c r="C2201" s="2" t="str">
        <f t="array" ref="C2201">_xlfn.XLOOKUP(A2201, INSEE_Communes!$A$2:$A$3783, INSEE_Communes!$F$2:$F$3783, "code introuvable")</f>
        <v>non publié</v>
      </c>
    </row>
    <row r="2202">
      <c r="A2202" s="2" t="str">
        <f>Communes_HDF!A2202</f>
        <v>62078</v>
      </c>
      <c r="B2202" s="2" t="str">
        <f>Communes_HDF!B2202</f>
        <v>Balinghem</v>
      </c>
      <c r="C2202" s="2" t="str">
        <f t="array" ref="C2202">_xlfn.XLOOKUP(A2202, INSEE_Communes!$A$2:$A$3783, INSEE_Communes!$F$2:$F$3783, "code introuvable")</f>
        <v>non publié</v>
      </c>
    </row>
    <row r="2203">
      <c r="A2203" s="2" t="str">
        <f>Communes_HDF!A2203</f>
        <v>62079</v>
      </c>
      <c r="B2203" s="2" t="str">
        <f>Communes_HDF!B2203</f>
        <v>Bancourt</v>
      </c>
      <c r="C2203" s="2" t="str">
        <f t="array" ref="C2203">_xlfn.XLOOKUP(A2203, INSEE_Communes!$A$2:$A$3783, INSEE_Communes!$F$2:$F$3783, "code introuvable")</f>
        <v>non publié</v>
      </c>
    </row>
    <row r="2204">
      <c r="A2204" s="2" t="str">
        <f>Communes_HDF!A2204</f>
        <v>62080</v>
      </c>
      <c r="B2204" s="2" t="str">
        <f>Communes_HDF!B2204</f>
        <v>Bapaume</v>
      </c>
      <c r="C2204" s="2">
        <f t="array" ref="C2204">_xlfn.XLOOKUP(A2204, INSEE_Communes!$A$2:$A$3783, INSEE_Communes!$F$2:$F$3783, "code introuvable")</f>
        <v>25</v>
      </c>
    </row>
    <row r="2205">
      <c r="A2205" s="2" t="str">
        <f>Communes_HDF!A2205</f>
        <v>62081</v>
      </c>
      <c r="B2205" s="2" t="str">
        <f>Communes_HDF!B2205</f>
        <v>Baralle</v>
      </c>
      <c r="C2205" s="2" t="str">
        <f t="array" ref="C2205">_xlfn.XLOOKUP(A2205, INSEE_Communes!$A$2:$A$3783, INSEE_Communes!$F$2:$F$3783, "code introuvable")</f>
        <v>non publié</v>
      </c>
    </row>
    <row r="2206">
      <c r="A2206" s="2" t="str">
        <f>Communes_HDF!A2206</f>
        <v>62082</v>
      </c>
      <c r="B2206" s="2" t="str">
        <f>Communes_HDF!B2206</f>
        <v>Barastre</v>
      </c>
      <c r="C2206" s="2" t="str">
        <f t="array" ref="C2206">_xlfn.XLOOKUP(A2206, INSEE_Communes!$A$2:$A$3783, INSEE_Communes!$F$2:$F$3783, "code introuvable")</f>
        <v>non publié</v>
      </c>
    </row>
    <row r="2207">
      <c r="A2207" s="2" t="str">
        <f>Communes_HDF!A2207</f>
        <v>62083</v>
      </c>
      <c r="B2207" s="2" t="str">
        <f>Communes_HDF!B2207</f>
        <v>Barlin</v>
      </c>
      <c r="C2207" s="2">
        <f t="array" ref="C2207">_xlfn.XLOOKUP(A2207, INSEE_Communes!$A$2:$A$3783, INSEE_Communes!$F$2:$F$3783, "code introuvable")</f>
        <v>25</v>
      </c>
    </row>
    <row r="2208">
      <c r="A2208" s="2" t="str">
        <f>Communes_HDF!A2208</f>
        <v>62084</v>
      </c>
      <c r="B2208" s="2" t="str">
        <f>Communes_HDF!B2208</f>
        <v>Barly</v>
      </c>
      <c r="C2208" s="2" t="str">
        <f t="array" ref="C2208">_xlfn.XLOOKUP(A2208, INSEE_Communes!$A$2:$A$3783, INSEE_Communes!$F$2:$F$3783, "code introuvable")</f>
        <v>non publié</v>
      </c>
    </row>
    <row r="2209">
      <c r="A2209" s="2" t="str">
        <f>Communes_HDF!A2209</f>
        <v>62085</v>
      </c>
      <c r="B2209" s="2" t="str">
        <f>Communes_HDF!B2209</f>
        <v>Basseux</v>
      </c>
      <c r="C2209" s="2" t="str">
        <f t="array" ref="C2209">_xlfn.XLOOKUP(A2209, INSEE_Communes!$A$2:$A$3783, INSEE_Communes!$F$2:$F$3783, "code introuvable")</f>
        <v>non publié</v>
      </c>
    </row>
    <row r="2210">
      <c r="A2210" s="2" t="str">
        <f>Communes_HDF!A2210</f>
        <v>62086</v>
      </c>
      <c r="B2210" s="2" t="str">
        <f>Communes_HDF!B2210</f>
        <v>Bavincourt</v>
      </c>
      <c r="C2210" s="2" t="str">
        <f t="array" ref="C2210">_xlfn.XLOOKUP(A2210, INSEE_Communes!$A$2:$A$3783, INSEE_Communes!$F$2:$F$3783, "code introuvable")</f>
        <v>non publié</v>
      </c>
    </row>
    <row r="2211">
      <c r="A2211" s="2" t="str">
        <f>Communes_HDF!A2211</f>
        <v>62088</v>
      </c>
      <c r="B2211" s="2" t="str">
        <f>Communes_HDF!B2211</f>
        <v>Bayenghem-lès-Seninghem</v>
      </c>
      <c r="C2211" s="2" t="str">
        <f t="array" ref="C2211">_xlfn.XLOOKUP(A2211, INSEE_Communes!$A$2:$A$3783, INSEE_Communes!$F$2:$F$3783, "code introuvable")</f>
        <v>non publié</v>
      </c>
    </row>
    <row r="2212">
      <c r="A2212" s="2" t="str">
        <f>Communes_HDF!A2212</f>
        <v>62087</v>
      </c>
      <c r="B2212" s="2" t="str">
        <f>Communes_HDF!B2212</f>
        <v>Bayenghem-lès-Éperlecques</v>
      </c>
      <c r="C2212" s="2" t="str">
        <f t="array" ref="C2212">_xlfn.XLOOKUP(A2212, INSEE_Communes!$A$2:$A$3783, INSEE_Communes!$F$2:$F$3783, "code introuvable")</f>
        <v>non publié</v>
      </c>
    </row>
    <row r="2213">
      <c r="A2213" s="2" t="str">
        <f>Communes_HDF!A2213</f>
        <v>62089</v>
      </c>
      <c r="B2213" s="2" t="str">
        <f>Communes_HDF!B2213</f>
        <v>Bazinghen</v>
      </c>
      <c r="C2213" s="2" t="str">
        <f t="array" ref="C2213">_xlfn.XLOOKUP(A2213, INSEE_Communes!$A$2:$A$3783, INSEE_Communes!$F$2:$F$3783, "code introuvable")</f>
        <v>non publié</v>
      </c>
    </row>
    <row r="2214">
      <c r="A2214" s="2" t="str">
        <f>Communes_HDF!A2214</f>
        <v>62091</v>
      </c>
      <c r="B2214" s="2" t="str">
        <f>Communes_HDF!B2214</f>
        <v>Beaudricourt</v>
      </c>
      <c r="C2214" s="2" t="str">
        <f t="array" ref="C2214">_xlfn.XLOOKUP(A2214, INSEE_Communes!$A$2:$A$3783, INSEE_Communes!$F$2:$F$3783, "code introuvable")</f>
        <v>non publié</v>
      </c>
    </row>
    <row r="2215">
      <c r="A2215" s="2" t="str">
        <f>Communes_HDF!A2215</f>
        <v>62092</v>
      </c>
      <c r="B2215" s="2" t="str">
        <f>Communes_HDF!B2215</f>
        <v>Beaufort-Blavincourt</v>
      </c>
      <c r="C2215" s="2" t="str">
        <f t="array" ref="C2215">_xlfn.XLOOKUP(A2215, INSEE_Communes!$A$2:$A$3783, INSEE_Communes!$F$2:$F$3783, "code introuvable")</f>
        <v>non publié</v>
      </c>
    </row>
    <row r="2216">
      <c r="A2216" s="2" t="str">
        <f>Communes_HDF!A2216</f>
        <v>62093</v>
      </c>
      <c r="B2216" s="2" t="str">
        <f>Communes_HDF!B2216</f>
        <v>Beaulencourt</v>
      </c>
      <c r="C2216" s="2" t="str">
        <f t="array" ref="C2216">_xlfn.XLOOKUP(A2216, INSEE_Communes!$A$2:$A$3783, INSEE_Communes!$F$2:$F$3783, "code introuvable")</f>
        <v>non publié</v>
      </c>
    </row>
    <row r="2217">
      <c r="A2217" s="2" t="str">
        <f>Communes_HDF!A2217</f>
        <v>62094</v>
      </c>
      <c r="B2217" s="2" t="str">
        <f>Communes_HDF!B2217</f>
        <v>Beaumerie-Saint-Martin</v>
      </c>
      <c r="C2217" s="2" t="str">
        <f t="array" ref="C2217">_xlfn.XLOOKUP(A2217, INSEE_Communes!$A$2:$A$3783, INSEE_Communes!$F$2:$F$3783, "code introuvable")</f>
        <v>non publié</v>
      </c>
    </row>
    <row r="2218">
      <c r="A2218" s="2" t="str">
        <f>Communes_HDF!A2218</f>
        <v>62095</v>
      </c>
      <c r="B2218" s="2" t="str">
        <f>Communes_HDF!B2218</f>
        <v>Beaumetz-lès-Aire</v>
      </c>
      <c r="C2218" s="2" t="str">
        <f t="array" ref="C2218">_xlfn.XLOOKUP(A2218, INSEE_Communes!$A$2:$A$3783, INSEE_Communes!$F$2:$F$3783, "code introuvable")</f>
        <v>non publié</v>
      </c>
    </row>
    <row r="2219">
      <c r="A2219" s="2" t="str">
        <f>Communes_HDF!A2219</f>
        <v>62096</v>
      </c>
      <c r="B2219" s="2" t="str">
        <f>Communes_HDF!B2219</f>
        <v>Beaumetz-lès-Cambrai</v>
      </c>
      <c r="C2219" s="2" t="str">
        <f t="array" ref="C2219">_xlfn.XLOOKUP(A2219, INSEE_Communes!$A$2:$A$3783, INSEE_Communes!$F$2:$F$3783, "code introuvable")</f>
        <v>non publié</v>
      </c>
    </row>
    <row r="2220">
      <c r="A2220" s="2" t="str">
        <f>Communes_HDF!A2220</f>
        <v>62097</v>
      </c>
      <c r="B2220" s="2" t="str">
        <f>Communes_HDF!B2220</f>
        <v>Beaumetz-lès-Loges</v>
      </c>
      <c r="C2220" s="2" t="str">
        <f t="array" ref="C2220">_xlfn.XLOOKUP(A2220, INSEE_Communes!$A$2:$A$3783, INSEE_Communes!$F$2:$F$3783, "code introuvable")</f>
        <v>non publié</v>
      </c>
    </row>
    <row r="2221">
      <c r="A2221" s="2" t="str">
        <f>Communes_HDF!A2221</f>
        <v>62099</v>
      </c>
      <c r="B2221" s="2" t="str">
        <f>Communes_HDF!B2221</f>
        <v>Beaurains</v>
      </c>
      <c r="C2221" s="2">
        <f t="array" ref="C2221">_xlfn.XLOOKUP(A2221, INSEE_Communes!$A$2:$A$3783, INSEE_Communes!$F$2:$F$3783, "code introuvable")</f>
        <v>16</v>
      </c>
    </row>
    <row r="2222">
      <c r="A2222" s="2" t="str">
        <f>Communes_HDF!A2222</f>
        <v>62100</v>
      </c>
      <c r="B2222" s="2" t="str">
        <f>Communes_HDF!B2222</f>
        <v>Beaurainville</v>
      </c>
      <c r="C2222" s="2" t="str">
        <f t="array" ref="C2222">_xlfn.XLOOKUP(A2222, INSEE_Communes!$A$2:$A$3783, INSEE_Communes!$F$2:$F$3783, "code introuvable")</f>
        <v>non publié</v>
      </c>
    </row>
    <row r="2223">
      <c r="A2223" s="2" t="str">
        <f>Communes_HDF!A2223</f>
        <v>62881</v>
      </c>
      <c r="B2223" s="2" t="str">
        <f>Communes_HDF!B2223</f>
        <v>Beauvoir-Wavans</v>
      </c>
      <c r="C2223" s="2" t="str">
        <f t="array" ref="C2223">_xlfn.XLOOKUP(A2223, INSEE_Communes!$A$2:$A$3783, INSEE_Communes!$F$2:$F$3783, "code introuvable")</f>
        <v>non publié</v>
      </c>
    </row>
    <row r="2224">
      <c r="A2224" s="2" t="str">
        <f>Communes_HDF!A2224</f>
        <v>62101</v>
      </c>
      <c r="B2224" s="2" t="str">
        <f>Communes_HDF!B2224</f>
        <v>Beauvois</v>
      </c>
      <c r="C2224" s="2" t="str">
        <f t="array" ref="C2224">_xlfn.XLOOKUP(A2224, INSEE_Communes!$A$2:$A$3783, INSEE_Communes!$F$2:$F$3783, "code introuvable")</f>
        <v>non publié</v>
      </c>
    </row>
    <row r="2225">
      <c r="A2225" s="2" t="str">
        <f>Communes_HDF!A2225</f>
        <v>62105</v>
      </c>
      <c r="B2225" s="2" t="str">
        <f>Communes_HDF!B2225</f>
        <v>Belle-et-Houllefort</v>
      </c>
      <c r="C2225" s="2" t="str">
        <f t="array" ref="C2225">_xlfn.XLOOKUP(A2225, INSEE_Communes!$A$2:$A$3783, INSEE_Communes!$F$2:$F$3783, "code introuvable")</f>
        <v>non publié</v>
      </c>
    </row>
    <row r="2226">
      <c r="A2226" s="2" t="str">
        <f>Communes_HDF!A2226</f>
        <v>62104</v>
      </c>
      <c r="B2226" s="2" t="str">
        <f>Communes_HDF!B2226</f>
        <v>Bellebrune</v>
      </c>
      <c r="C2226" s="2" t="str">
        <f t="array" ref="C2226">_xlfn.XLOOKUP(A2226, INSEE_Communes!$A$2:$A$3783, INSEE_Communes!$F$2:$F$3783, "code introuvable")</f>
        <v>non publié</v>
      </c>
    </row>
    <row r="2227">
      <c r="A2227" s="2" t="str">
        <f>Communes_HDF!A2227</f>
        <v>62471</v>
      </c>
      <c r="B2227" s="2" t="str">
        <f>Communes_HDF!B2227</f>
        <v>Bellinghem</v>
      </c>
      <c r="C2227" s="2" t="str">
        <f t="array" ref="C2227">_xlfn.XLOOKUP(A2227, INSEE_Communes!$A$2:$A$3783, INSEE_Communes!$F$2:$F$3783, "code introuvable")</f>
        <v>non publié</v>
      </c>
    </row>
    <row r="2228">
      <c r="A2228" s="2" t="str">
        <f>Communes_HDF!A2228</f>
        <v>62106</v>
      </c>
      <c r="B2228" s="2" t="str">
        <f>Communes_HDF!B2228</f>
        <v>Bellonne</v>
      </c>
      <c r="C2228" s="2" t="str">
        <f t="array" ref="C2228">_xlfn.XLOOKUP(A2228, INSEE_Communes!$A$2:$A$3783, INSEE_Communes!$F$2:$F$3783, "code introuvable")</f>
        <v>non publié</v>
      </c>
    </row>
    <row r="2229">
      <c r="A2229" s="2" t="str">
        <f>Communes_HDF!A2229</f>
        <v>62108</v>
      </c>
      <c r="B2229" s="2" t="str">
        <f>Communes_HDF!B2229</f>
        <v>Berck</v>
      </c>
      <c r="C2229" s="2">
        <f t="array" ref="C2229">_xlfn.XLOOKUP(A2229, INSEE_Communes!$A$2:$A$3783, INSEE_Communes!$F$2:$F$3783, "code introuvable")</f>
        <v>21</v>
      </c>
    </row>
    <row r="2230">
      <c r="A2230" s="2" t="str">
        <f>Communes_HDF!A2230</f>
        <v>62109</v>
      </c>
      <c r="B2230" s="2" t="str">
        <f>Communes_HDF!B2230</f>
        <v>Bergueneuse</v>
      </c>
      <c r="C2230" s="2" t="str">
        <f t="array" ref="C2230">_xlfn.XLOOKUP(A2230, INSEE_Communes!$A$2:$A$3783, INSEE_Communes!$F$2:$F$3783, "code introuvable")</f>
        <v>non publié</v>
      </c>
    </row>
    <row r="2231">
      <c r="A2231" s="2" t="str">
        <f>Communes_HDF!A2231</f>
        <v>62111</v>
      </c>
      <c r="B2231" s="2" t="str">
        <f>Communes_HDF!B2231</f>
        <v>Berlencourt-le-Cauroy</v>
      </c>
      <c r="C2231" s="2" t="str">
        <f t="array" ref="C2231">_xlfn.XLOOKUP(A2231, INSEE_Communes!$A$2:$A$3783, INSEE_Communes!$F$2:$F$3783, "code introuvable")</f>
        <v>non publié</v>
      </c>
    </row>
    <row r="2232">
      <c r="A2232" s="2" t="str">
        <f>Communes_HDF!A2232</f>
        <v>62113</v>
      </c>
      <c r="B2232" s="2" t="str">
        <f>Communes_HDF!B2232</f>
        <v>Berles-Monchel</v>
      </c>
      <c r="C2232" s="2" t="str">
        <f t="array" ref="C2232">_xlfn.XLOOKUP(A2232, INSEE_Communes!$A$2:$A$3783, INSEE_Communes!$F$2:$F$3783, "code introuvable")</f>
        <v>non publié</v>
      </c>
    </row>
    <row r="2233">
      <c r="A2233" s="2" t="str">
        <f>Communes_HDF!A2233</f>
        <v>62112</v>
      </c>
      <c r="B2233" s="2" t="str">
        <f>Communes_HDF!B2233</f>
        <v>Berles-au-Bois</v>
      </c>
      <c r="C2233" s="2" t="str">
        <f t="array" ref="C2233">_xlfn.XLOOKUP(A2233, INSEE_Communes!$A$2:$A$3783, INSEE_Communes!$F$2:$F$3783, "code introuvable")</f>
        <v>non publié</v>
      </c>
    </row>
    <row r="2234">
      <c r="A2234" s="2" t="str">
        <f>Communes_HDF!A2234</f>
        <v>62114</v>
      </c>
      <c r="B2234" s="2" t="str">
        <f>Communes_HDF!B2234</f>
        <v>Bermicourt</v>
      </c>
      <c r="C2234" s="2" t="str">
        <f t="array" ref="C2234">_xlfn.XLOOKUP(A2234, INSEE_Communes!$A$2:$A$3783, INSEE_Communes!$F$2:$F$3783, "code introuvable")</f>
        <v>non publié</v>
      </c>
    </row>
    <row r="2235">
      <c r="A2235" s="2" t="str">
        <f>Communes_HDF!A2235</f>
        <v>62115</v>
      </c>
      <c r="B2235" s="2" t="str">
        <f>Communes_HDF!B2235</f>
        <v>Berneville</v>
      </c>
      <c r="C2235" s="2" t="str">
        <f t="array" ref="C2235">_xlfn.XLOOKUP(A2235, INSEE_Communes!$A$2:$A$3783, INSEE_Communes!$F$2:$F$3783, "code introuvable")</f>
        <v>non publié</v>
      </c>
    </row>
    <row r="2236">
      <c r="A2236" s="2" t="str">
        <f>Communes_HDF!A2236</f>
        <v>62116</v>
      </c>
      <c r="B2236" s="2" t="str">
        <f>Communes_HDF!B2236</f>
        <v>Bernieulles</v>
      </c>
      <c r="C2236" s="2" t="str">
        <f t="array" ref="C2236">_xlfn.XLOOKUP(A2236, INSEE_Communes!$A$2:$A$3783, INSEE_Communes!$F$2:$F$3783, "code introuvable")</f>
        <v>non publié</v>
      </c>
    </row>
    <row r="2237">
      <c r="A2237" s="2" t="str">
        <f>Communes_HDF!A2237</f>
        <v>62117</v>
      </c>
      <c r="B2237" s="2" t="str">
        <f>Communes_HDF!B2237</f>
        <v>Bertincourt</v>
      </c>
      <c r="C2237" s="2" t="str">
        <f t="array" ref="C2237">_xlfn.XLOOKUP(A2237, INSEE_Communes!$A$2:$A$3783, INSEE_Communes!$F$2:$F$3783, "code introuvable")</f>
        <v>non publié</v>
      </c>
    </row>
    <row r="2238">
      <c r="A2238" s="2" t="str">
        <f>Communes_HDF!A2238</f>
        <v>62120</v>
      </c>
      <c r="B2238" s="2" t="str">
        <f>Communes_HDF!B2238</f>
        <v>Beugin</v>
      </c>
      <c r="C2238" s="2" t="str">
        <f t="array" ref="C2238">_xlfn.XLOOKUP(A2238, INSEE_Communes!$A$2:$A$3783, INSEE_Communes!$F$2:$F$3783, "code introuvable")</f>
        <v>non publié</v>
      </c>
    </row>
    <row r="2239">
      <c r="A2239" s="2" t="str">
        <f>Communes_HDF!A2239</f>
        <v>62122</v>
      </c>
      <c r="B2239" s="2" t="str">
        <f>Communes_HDF!B2239</f>
        <v>Beugny</v>
      </c>
      <c r="C2239" s="2" t="str">
        <f t="array" ref="C2239">_xlfn.XLOOKUP(A2239, INSEE_Communes!$A$2:$A$3783, INSEE_Communes!$F$2:$F$3783, "code introuvable")</f>
        <v>non publié</v>
      </c>
    </row>
    <row r="2240">
      <c r="A2240" s="2" t="str">
        <f>Communes_HDF!A2240</f>
        <v>62121</v>
      </c>
      <c r="B2240" s="2" t="str">
        <f>Communes_HDF!B2240</f>
        <v>Beugnâtre</v>
      </c>
      <c r="C2240" s="2" t="str">
        <f t="array" ref="C2240">_xlfn.XLOOKUP(A2240, INSEE_Communes!$A$2:$A$3783, INSEE_Communes!$F$2:$F$3783, "code introuvable")</f>
        <v>non publié</v>
      </c>
    </row>
    <row r="2241">
      <c r="A2241" s="2" t="str">
        <f>Communes_HDF!A2241</f>
        <v>62123</v>
      </c>
      <c r="B2241" s="2" t="str">
        <f>Communes_HDF!B2241</f>
        <v>Beussent</v>
      </c>
      <c r="C2241" s="2" t="str">
        <f t="array" ref="C2241">_xlfn.XLOOKUP(A2241, INSEE_Communes!$A$2:$A$3783, INSEE_Communes!$F$2:$F$3783, "code introuvable")</f>
        <v>non publié</v>
      </c>
    </row>
    <row r="2242">
      <c r="A2242" s="2" t="str">
        <f>Communes_HDF!A2242</f>
        <v>62124</v>
      </c>
      <c r="B2242" s="2" t="str">
        <f>Communes_HDF!B2242</f>
        <v>Beutin</v>
      </c>
      <c r="C2242" s="2" t="str">
        <f t="array" ref="C2242">_xlfn.XLOOKUP(A2242, INSEE_Communes!$A$2:$A$3783, INSEE_Communes!$F$2:$F$3783, "code introuvable")</f>
        <v>non publié</v>
      </c>
    </row>
    <row r="2243">
      <c r="A2243" s="2" t="str">
        <f>Communes_HDF!A2243</f>
        <v>62125</v>
      </c>
      <c r="B2243" s="2" t="str">
        <f>Communes_HDF!B2243</f>
        <v>Beuvrequen</v>
      </c>
      <c r="C2243" s="2" t="str">
        <f t="array" ref="C2243">_xlfn.XLOOKUP(A2243, INSEE_Communes!$A$2:$A$3783, INSEE_Communes!$F$2:$F$3783, "code introuvable")</f>
        <v>non publié</v>
      </c>
    </row>
    <row r="2244">
      <c r="A2244" s="2" t="str">
        <f>Communes_HDF!A2244</f>
        <v>62126</v>
      </c>
      <c r="B2244" s="2" t="str">
        <f>Communes_HDF!B2244</f>
        <v>Beuvry</v>
      </c>
      <c r="C2244" s="2">
        <f t="array" ref="C2244">_xlfn.XLOOKUP(A2244, INSEE_Communes!$A$2:$A$3783, INSEE_Communes!$F$2:$F$3783, "code introuvable")</f>
        <v>20</v>
      </c>
    </row>
    <row r="2245">
      <c r="A2245" s="2" t="str">
        <f>Communes_HDF!A2245</f>
        <v>62127</v>
      </c>
      <c r="B2245" s="2" t="str">
        <f>Communes_HDF!B2245</f>
        <v>Bezinghem</v>
      </c>
      <c r="C2245" s="2" t="str">
        <f t="array" ref="C2245">_xlfn.XLOOKUP(A2245, INSEE_Communes!$A$2:$A$3783, INSEE_Communes!$F$2:$F$3783, "code introuvable")</f>
        <v>non publié</v>
      </c>
    </row>
    <row r="2246">
      <c r="A2246" s="2" t="str">
        <f>Communes_HDF!A2246</f>
        <v>62128</v>
      </c>
      <c r="B2246" s="2" t="str">
        <f>Communes_HDF!B2246</f>
        <v>Biache-Saint-Vaast</v>
      </c>
      <c r="C2246" s="2">
        <f t="array" ref="C2246">_xlfn.XLOOKUP(A2246, INSEE_Communes!$A$2:$A$3783, INSEE_Communes!$F$2:$F$3783, "code introuvable")</f>
        <v>11</v>
      </c>
    </row>
    <row r="2247">
      <c r="A2247" s="2" t="str">
        <f>Communes_HDF!A2247</f>
        <v>62129</v>
      </c>
      <c r="B2247" s="2" t="str">
        <f>Communes_HDF!B2247</f>
        <v>Biefvillers-lès-Bapaume</v>
      </c>
      <c r="C2247" s="2" t="str">
        <f t="array" ref="C2247">_xlfn.XLOOKUP(A2247, INSEE_Communes!$A$2:$A$3783, INSEE_Communes!$F$2:$F$3783, "code introuvable")</f>
        <v>non publié</v>
      </c>
    </row>
    <row r="2248">
      <c r="A2248" s="2" t="str">
        <f>Communes_HDF!A2248</f>
        <v>62130</v>
      </c>
      <c r="B2248" s="2" t="str">
        <f>Communes_HDF!B2248</f>
        <v>Bienvillers-au-Bois</v>
      </c>
      <c r="C2248" s="2" t="str">
        <f t="array" ref="C2248">_xlfn.XLOOKUP(A2248, INSEE_Communes!$A$2:$A$3783, INSEE_Communes!$F$2:$F$3783, "code introuvable")</f>
        <v>non publié</v>
      </c>
    </row>
    <row r="2249">
      <c r="A2249" s="2" t="str">
        <f>Communes_HDF!A2249</f>
        <v>62131</v>
      </c>
      <c r="B2249" s="2" t="str">
        <f>Communes_HDF!B2249</f>
        <v>Bihucourt</v>
      </c>
      <c r="C2249" s="2" t="str">
        <f t="array" ref="C2249">_xlfn.XLOOKUP(A2249, INSEE_Communes!$A$2:$A$3783, INSEE_Communes!$F$2:$F$3783, "code introuvable")</f>
        <v>non publié</v>
      </c>
    </row>
    <row r="2250">
      <c r="A2250" s="2" t="str">
        <f>Communes_HDF!A2250</f>
        <v>62132</v>
      </c>
      <c r="B2250" s="2" t="str">
        <f>Communes_HDF!B2250</f>
        <v>Billy-Berclau</v>
      </c>
      <c r="C2250" s="2">
        <f t="array" ref="C2250">_xlfn.XLOOKUP(A2250, INSEE_Communes!$A$2:$A$3783, INSEE_Communes!$F$2:$F$3783, "code introuvable")</f>
        <v>10</v>
      </c>
    </row>
    <row r="2251">
      <c r="A2251" s="2" t="str">
        <f>Communes_HDF!A2251</f>
        <v>62133</v>
      </c>
      <c r="B2251" s="2" t="str">
        <f>Communes_HDF!B2251</f>
        <v>Billy-Montigny</v>
      </c>
      <c r="C2251" s="2">
        <f t="array" ref="C2251">_xlfn.XLOOKUP(A2251, INSEE_Communes!$A$2:$A$3783, INSEE_Communes!$F$2:$F$3783, "code introuvable")</f>
        <v>31</v>
      </c>
    </row>
    <row r="2252">
      <c r="A2252" s="2" t="str">
        <f>Communes_HDF!A2252</f>
        <v>62134</v>
      </c>
      <c r="B2252" s="2" t="str">
        <f>Communes_HDF!B2252</f>
        <v>Bimont</v>
      </c>
      <c r="C2252" s="2" t="str">
        <f t="array" ref="C2252">_xlfn.XLOOKUP(A2252, INSEE_Communes!$A$2:$A$3783, INSEE_Communes!$F$2:$F$3783, "code introuvable")</f>
        <v>non publié</v>
      </c>
    </row>
    <row r="2253">
      <c r="A2253" s="2" t="str">
        <f>Communes_HDF!A2253</f>
        <v>62135</v>
      </c>
      <c r="B2253" s="2" t="str">
        <f>Communes_HDF!B2253</f>
        <v>Blairville</v>
      </c>
      <c r="C2253" s="2" t="str">
        <f t="array" ref="C2253">_xlfn.XLOOKUP(A2253, INSEE_Communes!$A$2:$A$3783, INSEE_Communes!$F$2:$F$3783, "code introuvable")</f>
        <v>non publié</v>
      </c>
    </row>
    <row r="2254">
      <c r="A2254" s="2" t="str">
        <f>Communes_HDF!A2254</f>
        <v>62137</v>
      </c>
      <c r="B2254" s="2" t="str">
        <f>Communes_HDF!B2254</f>
        <v>Blangerval-Blangermont</v>
      </c>
      <c r="C2254" s="2" t="str">
        <f t="array" ref="C2254">_xlfn.XLOOKUP(A2254, INSEE_Communes!$A$2:$A$3783, INSEE_Communes!$F$2:$F$3783, "code introuvable")</f>
        <v>non publié</v>
      </c>
    </row>
    <row r="2255">
      <c r="A2255" s="2" t="str">
        <f>Communes_HDF!A2255</f>
        <v>62138</v>
      </c>
      <c r="B2255" s="2" t="str">
        <f>Communes_HDF!B2255</f>
        <v>Blangy-sur-Ternoise</v>
      </c>
      <c r="C2255" s="2" t="str">
        <f t="array" ref="C2255">_xlfn.XLOOKUP(A2255, INSEE_Communes!$A$2:$A$3783, INSEE_Communes!$F$2:$F$3783, "code introuvable")</f>
        <v>non publié</v>
      </c>
    </row>
    <row r="2256">
      <c r="A2256" s="2" t="str">
        <f>Communes_HDF!A2256</f>
        <v>62139</v>
      </c>
      <c r="B2256" s="2" t="str">
        <f>Communes_HDF!B2256</f>
        <v>Blendecques</v>
      </c>
      <c r="C2256" s="2">
        <f t="array" ref="C2256">_xlfn.XLOOKUP(A2256, INSEE_Communes!$A$2:$A$3783, INSEE_Communes!$F$2:$F$3783, "code introuvable")</f>
        <v>19</v>
      </c>
    </row>
    <row r="2257">
      <c r="A2257" s="2" t="str">
        <f>Communes_HDF!A2257</f>
        <v>62141</v>
      </c>
      <c r="B2257" s="2" t="str">
        <f>Communes_HDF!B2257</f>
        <v>Blessy</v>
      </c>
      <c r="C2257" s="2" t="str">
        <f t="array" ref="C2257">_xlfn.XLOOKUP(A2257, INSEE_Communes!$A$2:$A$3783, INSEE_Communes!$F$2:$F$3783, "code introuvable")</f>
        <v>non publié</v>
      </c>
    </row>
    <row r="2258">
      <c r="A2258" s="2" t="str">
        <f>Communes_HDF!A2258</f>
        <v>62142</v>
      </c>
      <c r="B2258" s="2" t="str">
        <f>Communes_HDF!B2258</f>
        <v>Blingel</v>
      </c>
      <c r="C2258" s="2" t="str">
        <f t="array" ref="C2258">_xlfn.XLOOKUP(A2258, INSEE_Communes!$A$2:$A$3783, INSEE_Communes!$F$2:$F$3783, "code introuvable")</f>
        <v>non publié</v>
      </c>
    </row>
    <row r="2259">
      <c r="A2259" s="2" t="str">
        <f>Communes_HDF!A2259</f>
        <v>62140</v>
      </c>
      <c r="B2259" s="2" t="str">
        <f>Communes_HDF!B2259</f>
        <v>Bléquin</v>
      </c>
      <c r="C2259" s="2" t="str">
        <f t="array" ref="C2259">_xlfn.XLOOKUP(A2259, INSEE_Communes!$A$2:$A$3783, INSEE_Communes!$F$2:$F$3783, "code introuvable")</f>
        <v>non publié</v>
      </c>
    </row>
    <row r="2260">
      <c r="A2260" s="2" t="str">
        <f>Communes_HDF!A2260</f>
        <v>62143</v>
      </c>
      <c r="B2260" s="2" t="str">
        <f>Communes_HDF!B2260</f>
        <v>Boffles</v>
      </c>
      <c r="C2260" s="2" t="str">
        <f t="array" ref="C2260">_xlfn.XLOOKUP(A2260, INSEE_Communes!$A$2:$A$3783, INSEE_Communes!$F$2:$F$3783, "code introuvable")</f>
        <v>non publié</v>
      </c>
    </row>
    <row r="2261">
      <c r="A2261" s="2" t="str">
        <f>Communes_HDF!A2261</f>
        <v>62144</v>
      </c>
      <c r="B2261" s="2" t="str">
        <f>Communes_HDF!B2261</f>
        <v>Boiry-Becquerelle</v>
      </c>
      <c r="C2261" s="2" t="str">
        <f t="array" ref="C2261">_xlfn.XLOOKUP(A2261, INSEE_Communes!$A$2:$A$3783, INSEE_Communes!$F$2:$F$3783, "code introuvable")</f>
        <v>non publié</v>
      </c>
    </row>
    <row r="2262">
      <c r="A2262" s="2" t="str">
        <f>Communes_HDF!A2262</f>
        <v>62145</v>
      </c>
      <c r="B2262" s="2" t="str">
        <f>Communes_HDF!B2262</f>
        <v>Boiry-Notre-Dame</v>
      </c>
      <c r="C2262" s="2" t="str">
        <f t="array" ref="C2262">_xlfn.XLOOKUP(A2262, INSEE_Communes!$A$2:$A$3783, INSEE_Communes!$F$2:$F$3783, "code introuvable")</f>
        <v>non publié</v>
      </c>
    </row>
    <row r="2263">
      <c r="A2263" s="2" t="str">
        <f>Communes_HDF!A2263</f>
        <v>62146</v>
      </c>
      <c r="B2263" s="2" t="str">
        <f>Communes_HDF!B2263</f>
        <v>Boiry-Saint-Martin</v>
      </c>
      <c r="C2263" s="2" t="str">
        <f t="array" ref="C2263">_xlfn.XLOOKUP(A2263, INSEE_Communes!$A$2:$A$3783, INSEE_Communes!$F$2:$F$3783, "code introuvable")</f>
        <v>non publié</v>
      </c>
    </row>
    <row r="2264">
      <c r="A2264" s="2" t="str">
        <f>Communes_HDF!A2264</f>
        <v>62147</v>
      </c>
      <c r="B2264" s="2" t="str">
        <f>Communes_HDF!B2264</f>
        <v>Boiry-Sainte-Rictrude</v>
      </c>
      <c r="C2264" s="2" t="str">
        <f t="array" ref="C2264">_xlfn.XLOOKUP(A2264, INSEE_Communes!$A$2:$A$3783, INSEE_Communes!$F$2:$F$3783, "code introuvable")</f>
        <v>non publié</v>
      </c>
    </row>
    <row r="2265">
      <c r="A2265" s="2" t="str">
        <f>Communes_HDF!A2265</f>
        <v>62148</v>
      </c>
      <c r="B2265" s="2" t="str">
        <f>Communes_HDF!B2265</f>
        <v>Bois-Bernard</v>
      </c>
      <c r="C2265" s="2" t="str">
        <f t="array" ref="C2265">_xlfn.XLOOKUP(A2265, INSEE_Communes!$A$2:$A$3783, INSEE_Communes!$F$2:$F$3783, "code introuvable")</f>
        <v>non publié</v>
      </c>
    </row>
    <row r="2266">
      <c r="A2266" s="2" t="str">
        <f>Communes_HDF!A2266</f>
        <v>62149</v>
      </c>
      <c r="B2266" s="2" t="str">
        <f>Communes_HDF!B2266</f>
        <v>Boisdinghem</v>
      </c>
      <c r="C2266" s="2" t="str">
        <f t="array" ref="C2266">_xlfn.XLOOKUP(A2266, INSEE_Communes!$A$2:$A$3783, INSEE_Communes!$F$2:$F$3783, "code introuvable")</f>
        <v>non publié</v>
      </c>
    </row>
    <row r="2267">
      <c r="A2267" s="2" t="str">
        <f>Communes_HDF!A2267</f>
        <v>62150</v>
      </c>
      <c r="B2267" s="2" t="str">
        <f>Communes_HDF!B2267</f>
        <v>Boisjean</v>
      </c>
      <c r="C2267" s="2" t="str">
        <f t="array" ref="C2267">_xlfn.XLOOKUP(A2267, INSEE_Communes!$A$2:$A$3783, INSEE_Communes!$F$2:$F$3783, "code introuvable")</f>
        <v>non publié</v>
      </c>
    </row>
    <row r="2268">
      <c r="A2268" s="2" t="str">
        <f>Communes_HDF!A2268</f>
        <v>62152</v>
      </c>
      <c r="B2268" s="2" t="str">
        <f>Communes_HDF!B2268</f>
        <v>Boisleux-Saint-Marc</v>
      </c>
      <c r="C2268" s="2" t="str">
        <f t="array" ref="C2268">_xlfn.XLOOKUP(A2268, INSEE_Communes!$A$2:$A$3783, INSEE_Communes!$F$2:$F$3783, "code introuvable")</f>
        <v>non publié</v>
      </c>
    </row>
    <row r="2269">
      <c r="A2269" s="2" t="str">
        <f>Communes_HDF!A2269</f>
        <v>62151</v>
      </c>
      <c r="B2269" s="2" t="str">
        <f>Communes_HDF!B2269</f>
        <v>Boisleux-au-Mont</v>
      </c>
      <c r="C2269" s="2" t="str">
        <f t="array" ref="C2269">_xlfn.XLOOKUP(A2269, INSEE_Communes!$A$2:$A$3783, INSEE_Communes!$F$2:$F$3783, "code introuvable")</f>
        <v>non publié</v>
      </c>
    </row>
    <row r="2270">
      <c r="A2270" s="2" t="str">
        <f>Communes_HDF!A2270</f>
        <v>62153</v>
      </c>
      <c r="B2270" s="2" t="str">
        <f>Communes_HDF!B2270</f>
        <v>Bomy</v>
      </c>
      <c r="C2270" s="2" t="str">
        <f t="array" ref="C2270">_xlfn.XLOOKUP(A2270, INSEE_Communes!$A$2:$A$3783, INSEE_Communes!$F$2:$F$3783, "code introuvable")</f>
        <v>non publié</v>
      </c>
    </row>
    <row r="2271">
      <c r="A2271" s="2" t="str">
        <f>Communes_HDF!A2271</f>
        <v>62155</v>
      </c>
      <c r="B2271" s="2" t="str">
        <f>Communes_HDF!B2271</f>
        <v>Bonningues-lès-Ardres</v>
      </c>
      <c r="C2271" s="2" t="str">
        <f t="array" ref="C2271">_xlfn.XLOOKUP(A2271, INSEE_Communes!$A$2:$A$3783, INSEE_Communes!$F$2:$F$3783, "code introuvable")</f>
        <v>non publié</v>
      </c>
    </row>
    <row r="2272">
      <c r="A2272" s="2" t="str">
        <f>Communes_HDF!A2272</f>
        <v>62156</v>
      </c>
      <c r="B2272" s="2" t="str">
        <f>Communes_HDF!B2272</f>
        <v>Bonningues-lès-Calais</v>
      </c>
      <c r="C2272" s="2" t="str">
        <f t="array" ref="C2272">_xlfn.XLOOKUP(A2272, INSEE_Communes!$A$2:$A$3783, INSEE_Communes!$F$2:$F$3783, "code introuvable")</f>
        <v>non publié</v>
      </c>
    </row>
    <row r="2273">
      <c r="A2273" s="2" t="str">
        <f>Communes_HDF!A2273</f>
        <v>62154</v>
      </c>
      <c r="B2273" s="2" t="str">
        <f>Communes_HDF!B2273</f>
        <v>Bonnières</v>
      </c>
      <c r="C2273" s="2" t="str">
        <f t="array" ref="C2273">_xlfn.XLOOKUP(A2273, INSEE_Communes!$A$2:$A$3783, INSEE_Communes!$F$2:$F$3783, "code introuvable")</f>
        <v>non publié</v>
      </c>
    </row>
    <row r="2274">
      <c r="A2274" s="2" t="str">
        <f>Communes_HDF!A2274</f>
        <v>62157</v>
      </c>
      <c r="B2274" s="2" t="str">
        <f>Communes_HDF!B2274</f>
        <v>Boubers-lès-Hesmond</v>
      </c>
      <c r="C2274" s="2" t="str">
        <f t="array" ref="C2274">_xlfn.XLOOKUP(A2274, INSEE_Communes!$A$2:$A$3783, INSEE_Communes!$F$2:$F$3783, "code introuvable")</f>
        <v>non publié</v>
      </c>
    </row>
    <row r="2275">
      <c r="A2275" s="2" t="str">
        <f>Communes_HDF!A2275</f>
        <v>62158</v>
      </c>
      <c r="B2275" s="2" t="str">
        <f>Communes_HDF!B2275</f>
        <v>Boubers-sur-Canche</v>
      </c>
      <c r="C2275" s="2" t="str">
        <f t="array" ref="C2275">_xlfn.XLOOKUP(A2275, INSEE_Communes!$A$2:$A$3783, INSEE_Communes!$F$2:$F$3783, "code introuvable")</f>
        <v>non publié</v>
      </c>
    </row>
    <row r="2276">
      <c r="A2276" s="2" t="str">
        <f>Communes_HDF!A2276</f>
        <v>62661</v>
      </c>
      <c r="B2276" s="2" t="str">
        <f>Communes_HDF!B2276</f>
        <v>Bouin-Plumoison</v>
      </c>
      <c r="C2276" s="2" t="str">
        <f t="array" ref="C2276">_xlfn.XLOOKUP(A2276, INSEE_Communes!$A$2:$A$3783, INSEE_Communes!$F$2:$F$3783, "code introuvable")</f>
        <v>non publié</v>
      </c>
    </row>
    <row r="2277">
      <c r="A2277" s="2" t="str">
        <f>Communes_HDF!A2277</f>
        <v>62160</v>
      </c>
      <c r="B2277" s="2" t="str">
        <f>Communes_HDF!B2277</f>
        <v>Boulogne-sur-Mer</v>
      </c>
      <c r="C2277" s="2">
        <f t="array" ref="C2277">_xlfn.XLOOKUP(A2277, INSEE_Communes!$A$2:$A$3783, INSEE_Communes!$F$2:$F$3783, "code introuvable")</f>
        <v>30.5</v>
      </c>
    </row>
    <row r="2278">
      <c r="A2278" s="2" t="str">
        <f>Communes_HDF!A2278</f>
        <v>62161</v>
      </c>
      <c r="B2278" s="2" t="str">
        <f>Communes_HDF!B2278</f>
        <v>Bouquehault</v>
      </c>
      <c r="C2278" s="2" t="str">
        <f t="array" ref="C2278">_xlfn.XLOOKUP(A2278, INSEE_Communes!$A$2:$A$3783, INSEE_Communes!$F$2:$F$3783, "code introuvable")</f>
        <v>non publié</v>
      </c>
    </row>
    <row r="2279">
      <c r="A2279" s="2" t="str">
        <f>Communes_HDF!A2279</f>
        <v>62162</v>
      </c>
      <c r="B2279" s="2" t="str">
        <f>Communes_HDF!B2279</f>
        <v>Bourecq</v>
      </c>
      <c r="C2279" s="2" t="str">
        <f t="array" ref="C2279">_xlfn.XLOOKUP(A2279, INSEE_Communes!$A$2:$A$3783, INSEE_Communes!$F$2:$F$3783, "code introuvable")</f>
        <v>non publié</v>
      </c>
    </row>
    <row r="2280">
      <c r="A2280" s="2" t="str">
        <f>Communes_HDF!A2280</f>
        <v>62163</v>
      </c>
      <c r="B2280" s="2" t="str">
        <f>Communes_HDF!B2280</f>
        <v>Bouret-sur-Canche</v>
      </c>
      <c r="C2280" s="2" t="str">
        <f t="array" ref="C2280">_xlfn.XLOOKUP(A2280, INSEE_Communes!$A$2:$A$3783, INSEE_Communes!$F$2:$F$3783, "code introuvable")</f>
        <v>non publié</v>
      </c>
    </row>
    <row r="2281">
      <c r="A2281" s="2" t="str">
        <f>Communes_HDF!A2281</f>
        <v>62164</v>
      </c>
      <c r="B2281" s="2" t="str">
        <f>Communes_HDF!B2281</f>
        <v>Bourlon</v>
      </c>
      <c r="C2281" s="2" t="str">
        <f t="array" ref="C2281">_xlfn.XLOOKUP(A2281, INSEE_Communes!$A$2:$A$3783, INSEE_Communes!$F$2:$F$3783, "code introuvable")</f>
        <v>non publié</v>
      </c>
    </row>
    <row r="2282">
      <c r="A2282" s="2" t="str">
        <f>Communes_HDF!A2282</f>
        <v>62165</v>
      </c>
      <c r="B2282" s="2" t="str">
        <f>Communes_HDF!B2282</f>
        <v>Bournonville</v>
      </c>
      <c r="C2282" s="2" t="str">
        <f t="array" ref="C2282">_xlfn.XLOOKUP(A2282, INSEE_Communes!$A$2:$A$3783, INSEE_Communes!$F$2:$F$3783, "code introuvable")</f>
        <v>non publié</v>
      </c>
    </row>
    <row r="2283">
      <c r="A2283" s="2" t="str">
        <f>Communes_HDF!A2283</f>
        <v>62166</v>
      </c>
      <c r="B2283" s="2" t="str">
        <f>Communes_HDF!B2283</f>
        <v>Bours</v>
      </c>
      <c r="C2283" s="2" t="str">
        <f t="array" ref="C2283">_xlfn.XLOOKUP(A2283, INSEE_Communes!$A$2:$A$3783, INSEE_Communes!$F$2:$F$3783, "code introuvable")</f>
        <v>non publié</v>
      </c>
    </row>
    <row r="2284">
      <c r="A2284" s="2" t="str">
        <f>Communes_HDF!A2284</f>
        <v>62167</v>
      </c>
      <c r="B2284" s="2" t="str">
        <f>Communes_HDF!B2284</f>
        <v>Boursin</v>
      </c>
      <c r="C2284" s="2" t="str">
        <f t="array" ref="C2284">_xlfn.XLOOKUP(A2284, INSEE_Communes!$A$2:$A$3783, INSEE_Communes!$F$2:$F$3783, "code introuvable")</f>
        <v>non publié</v>
      </c>
    </row>
    <row r="2285">
      <c r="A2285" s="2" t="str">
        <f>Communes_HDF!A2285</f>
        <v>62168</v>
      </c>
      <c r="B2285" s="2" t="str">
        <f>Communes_HDF!B2285</f>
        <v>Bourthes</v>
      </c>
      <c r="C2285" s="2" t="str">
        <f t="array" ref="C2285">_xlfn.XLOOKUP(A2285, INSEE_Communes!$A$2:$A$3783, INSEE_Communes!$F$2:$F$3783, "code introuvable")</f>
        <v>non publié</v>
      </c>
    </row>
    <row r="2286">
      <c r="A2286" s="2" t="str">
        <f>Communes_HDF!A2286</f>
        <v>62169</v>
      </c>
      <c r="B2286" s="2" t="str">
        <f>Communes_HDF!B2286</f>
        <v>Bouvelinghem</v>
      </c>
      <c r="C2286" s="2" t="str">
        <f t="array" ref="C2286">_xlfn.XLOOKUP(A2286, INSEE_Communes!$A$2:$A$3783, INSEE_Communes!$F$2:$F$3783, "code introuvable")</f>
        <v>non publié</v>
      </c>
    </row>
    <row r="2287">
      <c r="A2287" s="2" t="str">
        <f>Communes_HDF!A2287</f>
        <v>62170</v>
      </c>
      <c r="B2287" s="2" t="str">
        <f>Communes_HDF!B2287</f>
        <v>Bouvigny-Boyeffles</v>
      </c>
      <c r="C2287" s="2">
        <f t="array" ref="C2287">_xlfn.XLOOKUP(A2287, INSEE_Communes!$A$2:$A$3783, INSEE_Communes!$F$2:$F$3783, "code introuvable")</f>
        <v>8</v>
      </c>
    </row>
    <row r="2288">
      <c r="A2288" s="2" t="str">
        <f>Communes_HDF!A2288</f>
        <v>62171</v>
      </c>
      <c r="B2288" s="2" t="str">
        <f>Communes_HDF!B2288</f>
        <v>Boyaval</v>
      </c>
      <c r="C2288" s="2" t="str">
        <f t="array" ref="C2288">_xlfn.XLOOKUP(A2288, INSEE_Communes!$A$2:$A$3783, INSEE_Communes!$F$2:$F$3783, "code introuvable")</f>
        <v>non publié</v>
      </c>
    </row>
    <row r="2289">
      <c r="A2289" s="2" t="str">
        <f>Communes_HDF!A2289</f>
        <v>62172</v>
      </c>
      <c r="B2289" s="2" t="str">
        <f>Communes_HDF!B2289</f>
        <v>Boyelles</v>
      </c>
      <c r="C2289" s="2" t="str">
        <f t="array" ref="C2289">_xlfn.XLOOKUP(A2289, INSEE_Communes!$A$2:$A$3783, INSEE_Communes!$F$2:$F$3783, "code introuvable")</f>
        <v>non publié</v>
      </c>
    </row>
    <row r="2290">
      <c r="A2290" s="2" t="str">
        <f>Communes_HDF!A2290</f>
        <v>62173</v>
      </c>
      <c r="B2290" s="2" t="str">
        <f>Communes_HDF!B2290</f>
        <v>Brebières</v>
      </c>
      <c r="C2290" s="2">
        <f t="array" ref="C2290">_xlfn.XLOOKUP(A2290, INSEE_Communes!$A$2:$A$3783, INSEE_Communes!$F$2:$F$3783, "code introuvable")</f>
        <v>12</v>
      </c>
    </row>
    <row r="2291">
      <c r="A2291" s="2" t="str">
        <f>Communes_HDF!A2291</f>
        <v>62180</v>
      </c>
      <c r="B2291" s="2" t="str">
        <f>Communes_HDF!B2291</f>
        <v>Brias</v>
      </c>
      <c r="C2291" s="2" t="str">
        <f t="array" ref="C2291">_xlfn.XLOOKUP(A2291, INSEE_Communes!$A$2:$A$3783, INSEE_Communes!$F$2:$F$3783, "code introuvable")</f>
        <v>non publié</v>
      </c>
    </row>
    <row r="2292">
      <c r="A2292" s="2" t="str">
        <f>Communes_HDF!A2292</f>
        <v>62177</v>
      </c>
      <c r="B2292" s="2" t="str">
        <f>Communes_HDF!B2292</f>
        <v>Brimeux</v>
      </c>
      <c r="C2292" s="2" t="str">
        <f t="array" ref="C2292">_xlfn.XLOOKUP(A2292, INSEE_Communes!$A$2:$A$3783, INSEE_Communes!$F$2:$F$3783, "code introuvable")</f>
        <v>non publié</v>
      </c>
    </row>
    <row r="2293">
      <c r="A2293" s="2" t="str">
        <f>Communes_HDF!A2293</f>
        <v>62178</v>
      </c>
      <c r="B2293" s="2" t="str">
        <f>Communes_HDF!B2293</f>
        <v>Bruay-la-Buissière</v>
      </c>
      <c r="C2293" s="2">
        <f t="array" ref="C2293">_xlfn.XLOOKUP(A2293, INSEE_Communes!$A$2:$A$3783, INSEE_Communes!$F$2:$F$3783, "code introuvable")</f>
        <v>31.2</v>
      </c>
    </row>
    <row r="2294">
      <c r="A2294" s="2" t="str">
        <f>Communes_HDF!A2294</f>
        <v>62179</v>
      </c>
      <c r="B2294" s="2" t="str">
        <f>Communes_HDF!B2294</f>
        <v>Brunembert</v>
      </c>
      <c r="C2294" s="2" t="str">
        <f t="array" ref="C2294">_xlfn.XLOOKUP(A2294, INSEE_Communes!$A$2:$A$3783, INSEE_Communes!$F$2:$F$3783, "code introuvable")</f>
        <v>non publié</v>
      </c>
    </row>
    <row r="2295">
      <c r="A2295" s="2" t="str">
        <f>Communes_HDF!A2295</f>
        <v>62175</v>
      </c>
      <c r="B2295" s="2" t="str">
        <f>Communes_HDF!B2295</f>
        <v>Brévillers</v>
      </c>
      <c r="C2295" s="2" t="str">
        <f t="array" ref="C2295">_xlfn.XLOOKUP(A2295, INSEE_Communes!$A$2:$A$3783, INSEE_Communes!$F$2:$F$3783, "code introuvable")</f>
        <v>non publié</v>
      </c>
    </row>
    <row r="2296">
      <c r="A2296" s="2" t="str">
        <f>Communes_HDF!A2296</f>
        <v>62176</v>
      </c>
      <c r="B2296" s="2" t="str">
        <f>Communes_HDF!B2296</f>
        <v>Bréxent-Énocq</v>
      </c>
      <c r="C2296" s="2" t="str">
        <f t="array" ref="C2296">_xlfn.XLOOKUP(A2296, INSEE_Communes!$A$2:$A$3783, INSEE_Communes!$F$2:$F$3783, "code introuvable")</f>
        <v>non publié</v>
      </c>
    </row>
    <row r="2297">
      <c r="A2297" s="2" t="str">
        <f>Communes_HDF!A2297</f>
        <v>62174</v>
      </c>
      <c r="B2297" s="2" t="str">
        <f>Communes_HDF!B2297</f>
        <v>Brêmes</v>
      </c>
      <c r="C2297" s="2" t="str">
        <f t="array" ref="C2297">_xlfn.XLOOKUP(A2297, INSEE_Communes!$A$2:$A$3783, INSEE_Communes!$F$2:$F$3783, "code introuvable")</f>
        <v>non publié</v>
      </c>
    </row>
    <row r="2298">
      <c r="A2298" s="2" t="str">
        <f>Communes_HDF!A2298</f>
        <v>62181</v>
      </c>
      <c r="B2298" s="2" t="str">
        <f>Communes_HDF!B2298</f>
        <v>Bucquoy</v>
      </c>
      <c r="C2298" s="2" t="str">
        <f t="array" ref="C2298">_xlfn.XLOOKUP(A2298, INSEE_Communes!$A$2:$A$3783, INSEE_Communes!$F$2:$F$3783, "code introuvable")</f>
        <v>non publié</v>
      </c>
    </row>
    <row r="2299">
      <c r="A2299" s="2" t="str">
        <f>Communes_HDF!A2299</f>
        <v>62182</v>
      </c>
      <c r="B2299" s="2" t="str">
        <f>Communes_HDF!B2299</f>
        <v>Buire-au-Bois</v>
      </c>
      <c r="C2299" s="2" t="str">
        <f t="array" ref="C2299">_xlfn.XLOOKUP(A2299, INSEE_Communes!$A$2:$A$3783, INSEE_Communes!$F$2:$F$3783, "code introuvable")</f>
        <v>non publié</v>
      </c>
    </row>
    <row r="2300">
      <c r="A2300" s="2" t="str">
        <f>Communes_HDF!A2300</f>
        <v>62183</v>
      </c>
      <c r="B2300" s="2" t="str">
        <f>Communes_HDF!B2300</f>
        <v>Buire-le-Sec</v>
      </c>
      <c r="C2300" s="2" t="str">
        <f t="array" ref="C2300">_xlfn.XLOOKUP(A2300, INSEE_Communes!$A$2:$A$3783, INSEE_Communes!$F$2:$F$3783, "code introuvable")</f>
        <v>non publié</v>
      </c>
    </row>
    <row r="2301">
      <c r="A2301" s="2" t="str">
        <f>Communes_HDF!A2301</f>
        <v>62184</v>
      </c>
      <c r="B2301" s="2" t="str">
        <f>Communes_HDF!B2301</f>
        <v>Buissy</v>
      </c>
      <c r="C2301" s="2" t="str">
        <f t="array" ref="C2301">_xlfn.XLOOKUP(A2301, INSEE_Communes!$A$2:$A$3783, INSEE_Communes!$F$2:$F$3783, "code introuvable")</f>
        <v>non publié</v>
      </c>
    </row>
    <row r="2302">
      <c r="A2302" s="2" t="str">
        <f>Communes_HDF!A2302</f>
        <v>62185</v>
      </c>
      <c r="B2302" s="2" t="str">
        <f>Communes_HDF!B2302</f>
        <v>Bullecourt</v>
      </c>
      <c r="C2302" s="2" t="str">
        <f t="array" ref="C2302">_xlfn.XLOOKUP(A2302, INSEE_Communes!$A$2:$A$3783, INSEE_Communes!$F$2:$F$3783, "code introuvable")</f>
        <v>non publié</v>
      </c>
    </row>
    <row r="2303">
      <c r="A2303" s="2" t="str">
        <f>Communes_HDF!A2303</f>
        <v>62186</v>
      </c>
      <c r="B2303" s="2" t="str">
        <f>Communes_HDF!B2303</f>
        <v>Bully-les-Mines</v>
      </c>
      <c r="C2303" s="2">
        <f t="array" ref="C2303">_xlfn.XLOOKUP(A2303, INSEE_Communes!$A$2:$A$3783, INSEE_Communes!$F$2:$F$3783, "code introuvable")</f>
        <v>23</v>
      </c>
    </row>
    <row r="2304">
      <c r="A2304" s="2" t="str">
        <f>Communes_HDF!A2304</f>
        <v>62187</v>
      </c>
      <c r="B2304" s="2" t="str">
        <f>Communes_HDF!B2304</f>
        <v>Buneville</v>
      </c>
      <c r="C2304" s="2" t="str">
        <f t="array" ref="C2304">_xlfn.XLOOKUP(A2304, INSEE_Communes!$A$2:$A$3783, INSEE_Communes!$F$2:$F$3783, "code introuvable")</f>
        <v>non publié</v>
      </c>
    </row>
    <row r="2305">
      <c r="A2305" s="2" t="str">
        <f>Communes_HDF!A2305</f>
        <v>62188</v>
      </c>
      <c r="B2305" s="2" t="str">
        <f>Communes_HDF!B2305</f>
        <v>Burbure</v>
      </c>
      <c r="C2305" s="2">
        <f t="array" ref="C2305">_xlfn.XLOOKUP(A2305, INSEE_Communes!$A$2:$A$3783, INSEE_Communes!$F$2:$F$3783, "code introuvable")</f>
        <v>14</v>
      </c>
    </row>
    <row r="2306">
      <c r="A2306" s="2" t="str">
        <f>Communes_HDF!A2306</f>
        <v>62189</v>
      </c>
      <c r="B2306" s="2" t="str">
        <f>Communes_HDF!B2306</f>
        <v>Bus</v>
      </c>
      <c r="C2306" s="2" t="str">
        <f t="array" ref="C2306">_xlfn.XLOOKUP(A2306, INSEE_Communes!$A$2:$A$3783, INSEE_Communes!$F$2:$F$3783, "code introuvable")</f>
        <v>non publié</v>
      </c>
    </row>
    <row r="2307">
      <c r="A2307" s="2" t="str">
        <f>Communes_HDF!A2307</f>
        <v>62190</v>
      </c>
      <c r="B2307" s="2" t="str">
        <f>Communes_HDF!B2307</f>
        <v>Busnes</v>
      </c>
      <c r="C2307" s="2" t="str">
        <f t="array" ref="C2307">_xlfn.XLOOKUP(A2307, INSEE_Communes!$A$2:$A$3783, INSEE_Communes!$F$2:$F$3783, "code introuvable")</f>
        <v>non publié</v>
      </c>
    </row>
    <row r="2308">
      <c r="A2308" s="2" t="str">
        <f>Communes_HDF!A2308</f>
        <v>62090</v>
      </c>
      <c r="B2308" s="2" t="str">
        <f>Communes_HDF!B2308</f>
        <v>Béalencourt</v>
      </c>
      <c r="C2308" s="2" t="str">
        <f t="array" ref="C2308">_xlfn.XLOOKUP(A2308, INSEE_Communes!$A$2:$A$3783, INSEE_Communes!$F$2:$F$3783, "code introuvable")</f>
        <v>non publié</v>
      </c>
    </row>
    <row r="2309">
      <c r="A2309" s="2" t="str">
        <f>Communes_HDF!A2309</f>
        <v>62102</v>
      </c>
      <c r="B2309" s="2" t="str">
        <f>Communes_HDF!B2309</f>
        <v>Bécourt</v>
      </c>
      <c r="C2309" s="2" t="str">
        <f t="array" ref="C2309">_xlfn.XLOOKUP(A2309, INSEE_Communes!$A$2:$A$3783, INSEE_Communes!$F$2:$F$3783, "code introuvable")</f>
        <v>non publié</v>
      </c>
    </row>
    <row r="2310">
      <c r="A2310" s="2" t="str">
        <f>Communes_HDF!A2310</f>
        <v>62103</v>
      </c>
      <c r="B2310" s="2" t="str">
        <f>Communes_HDF!B2310</f>
        <v>Béhagnies</v>
      </c>
      <c r="C2310" s="2" t="str">
        <f t="array" ref="C2310">_xlfn.XLOOKUP(A2310, INSEE_Communes!$A$2:$A$3783, INSEE_Communes!$F$2:$F$3783, "code introuvable")</f>
        <v>non publié</v>
      </c>
    </row>
    <row r="2311">
      <c r="A2311" s="2" t="str">
        <f>Communes_HDF!A2311</f>
        <v>62107</v>
      </c>
      <c r="B2311" s="2" t="str">
        <f>Communes_HDF!B2311</f>
        <v>Bénifontaine</v>
      </c>
      <c r="C2311" s="2" t="str">
        <f t="array" ref="C2311">_xlfn.XLOOKUP(A2311, INSEE_Communes!$A$2:$A$3783, INSEE_Communes!$F$2:$F$3783, "code introuvable")</f>
        <v>non publié</v>
      </c>
    </row>
    <row r="2312">
      <c r="A2312" s="2" t="str">
        <f>Communes_HDF!A2312</f>
        <v>62118</v>
      </c>
      <c r="B2312" s="2" t="str">
        <f>Communes_HDF!B2312</f>
        <v>Béthonsart</v>
      </c>
      <c r="C2312" s="2" t="str">
        <f t="array" ref="C2312">_xlfn.XLOOKUP(A2312, INSEE_Communes!$A$2:$A$3783, INSEE_Communes!$F$2:$F$3783, "code introuvable")</f>
        <v>non publié</v>
      </c>
    </row>
    <row r="2313">
      <c r="A2313" s="2" t="str">
        <f>Communes_HDF!A2313</f>
        <v>62119</v>
      </c>
      <c r="B2313" s="2" t="str">
        <f>Communes_HDF!B2313</f>
        <v>Béthune</v>
      </c>
      <c r="C2313" s="2">
        <f t="array" ref="C2313">_xlfn.XLOOKUP(A2313, INSEE_Communes!$A$2:$A$3783, INSEE_Communes!$F$2:$F$3783, "code introuvable")</f>
        <v>28</v>
      </c>
    </row>
    <row r="2314">
      <c r="A2314" s="2" t="str">
        <f>Communes_HDF!A2314</f>
        <v>62191</v>
      </c>
      <c r="B2314" s="2" t="str">
        <f>Communes_HDF!B2314</f>
        <v>Caffiers</v>
      </c>
      <c r="C2314" s="2" t="str">
        <f t="array" ref="C2314">_xlfn.XLOOKUP(A2314, INSEE_Communes!$A$2:$A$3783, INSEE_Communes!$F$2:$F$3783, "code introuvable")</f>
        <v>non publié</v>
      </c>
    </row>
    <row r="2315">
      <c r="A2315" s="2" t="str">
        <f>Communes_HDF!A2315</f>
        <v>62192</v>
      </c>
      <c r="B2315" s="2" t="str">
        <f>Communes_HDF!B2315</f>
        <v>Cagnicourt</v>
      </c>
      <c r="C2315" s="2" t="str">
        <f t="array" ref="C2315">_xlfn.XLOOKUP(A2315, INSEE_Communes!$A$2:$A$3783, INSEE_Communes!$F$2:$F$3783, "code introuvable")</f>
        <v>non publié</v>
      </c>
    </row>
    <row r="2316">
      <c r="A2316" s="2" t="str">
        <f>Communes_HDF!A2316</f>
        <v>62193</v>
      </c>
      <c r="B2316" s="2" t="str">
        <f>Communes_HDF!B2316</f>
        <v>Calais</v>
      </c>
      <c r="C2316" s="2">
        <f t="array" ref="C2316">_xlfn.XLOOKUP(A2316, INSEE_Communes!$A$2:$A$3783, INSEE_Communes!$F$2:$F$3783, "code introuvable")</f>
        <v>28.5</v>
      </c>
    </row>
    <row r="2317">
      <c r="A2317" s="2" t="str">
        <f>Communes_HDF!A2317</f>
        <v>62194</v>
      </c>
      <c r="B2317" s="2" t="str">
        <f>Communes_HDF!B2317</f>
        <v>Calonne-Ricouart</v>
      </c>
      <c r="C2317" s="2">
        <f t="array" ref="C2317">_xlfn.XLOOKUP(A2317, INSEE_Communes!$A$2:$A$3783, INSEE_Communes!$F$2:$F$3783, "code introuvable")</f>
        <v>29</v>
      </c>
    </row>
    <row r="2318">
      <c r="A2318" s="2" t="str">
        <f>Communes_HDF!A2318</f>
        <v>62195</v>
      </c>
      <c r="B2318" s="2" t="str">
        <f>Communes_HDF!B2318</f>
        <v>Calonne-sur-la-Lys</v>
      </c>
      <c r="C2318" s="2" t="str">
        <f t="array" ref="C2318">_xlfn.XLOOKUP(A2318, INSEE_Communes!$A$2:$A$3783, INSEE_Communes!$F$2:$F$3783, "code introuvable")</f>
        <v>non publié</v>
      </c>
    </row>
    <row r="2319">
      <c r="A2319" s="2" t="str">
        <f>Communes_HDF!A2319</f>
        <v>62197</v>
      </c>
      <c r="B2319" s="2" t="str">
        <f>Communes_HDF!B2319</f>
        <v>Camblain-Châtelain</v>
      </c>
      <c r="C2319" s="2" t="str">
        <f t="array" ref="C2319">_xlfn.XLOOKUP(A2319, INSEE_Communes!$A$2:$A$3783, INSEE_Communes!$F$2:$F$3783, "code introuvable")</f>
        <v>non publié</v>
      </c>
    </row>
    <row r="2320">
      <c r="A2320" s="2" t="str">
        <f>Communes_HDF!A2320</f>
        <v>62199</v>
      </c>
      <c r="B2320" s="2" t="str">
        <f>Communes_HDF!B2320</f>
        <v>Camblain-l'Abbé</v>
      </c>
      <c r="C2320" s="2" t="str">
        <f t="array" ref="C2320">_xlfn.XLOOKUP(A2320, INSEE_Communes!$A$2:$A$3783, INSEE_Communes!$F$2:$F$3783, "code introuvable")</f>
        <v>non publié</v>
      </c>
    </row>
    <row r="2321">
      <c r="A2321" s="2" t="str">
        <f>Communes_HDF!A2321</f>
        <v>62198</v>
      </c>
      <c r="B2321" s="2" t="str">
        <f>Communes_HDF!B2321</f>
        <v>Cambligneul</v>
      </c>
      <c r="C2321" s="2" t="str">
        <f t="array" ref="C2321">_xlfn.XLOOKUP(A2321, INSEE_Communes!$A$2:$A$3783, INSEE_Communes!$F$2:$F$3783, "code introuvable")</f>
        <v>non publié</v>
      </c>
    </row>
    <row r="2322">
      <c r="A2322" s="2" t="str">
        <f>Communes_HDF!A2322</f>
        <v>62200</v>
      </c>
      <c r="B2322" s="2" t="str">
        <f>Communes_HDF!B2322</f>
        <v>Cambrin</v>
      </c>
      <c r="C2322" s="2" t="str">
        <f t="array" ref="C2322">_xlfn.XLOOKUP(A2322, INSEE_Communes!$A$2:$A$3783, INSEE_Communes!$F$2:$F$3783, "code introuvable")</f>
        <v>non publié</v>
      </c>
    </row>
    <row r="2323">
      <c r="A2323" s="2" t="str">
        <f>Communes_HDF!A2323</f>
        <v>62201</v>
      </c>
      <c r="B2323" s="2" t="str">
        <f>Communes_HDF!B2323</f>
        <v>Camiers</v>
      </c>
      <c r="C2323" s="2">
        <f t="array" ref="C2323">_xlfn.XLOOKUP(A2323, INSEE_Communes!$A$2:$A$3783, INSEE_Communes!$F$2:$F$3783, "code introuvable")</f>
        <v>13</v>
      </c>
    </row>
    <row r="2324">
      <c r="A2324" s="2" t="str">
        <f>Communes_HDF!A2324</f>
        <v>62202</v>
      </c>
      <c r="B2324" s="2" t="str">
        <f>Communes_HDF!B2324</f>
        <v>Campagne-lès-Boulonnais</v>
      </c>
      <c r="C2324" s="2" t="str">
        <f t="array" ref="C2324">_xlfn.XLOOKUP(A2324, INSEE_Communes!$A$2:$A$3783, INSEE_Communes!$F$2:$F$3783, "code introuvable")</f>
        <v>non publié</v>
      </c>
    </row>
    <row r="2325">
      <c r="A2325" s="2" t="str">
        <f>Communes_HDF!A2325</f>
        <v>62203</v>
      </c>
      <c r="B2325" s="2" t="str">
        <f>Communes_HDF!B2325</f>
        <v>Campagne-lès-Guines</v>
      </c>
      <c r="C2325" s="2" t="str">
        <f t="array" ref="C2325">_xlfn.XLOOKUP(A2325, INSEE_Communes!$A$2:$A$3783, INSEE_Communes!$F$2:$F$3783, "code introuvable")</f>
        <v>non publié</v>
      </c>
    </row>
    <row r="2326">
      <c r="A2326" s="2" t="str">
        <f>Communes_HDF!A2326</f>
        <v>62204</v>
      </c>
      <c r="B2326" s="2" t="str">
        <f>Communes_HDF!B2326</f>
        <v>Campagne-lès-Hesdin</v>
      </c>
      <c r="C2326" s="2" t="str">
        <f t="array" ref="C2326">_xlfn.XLOOKUP(A2326, INSEE_Communes!$A$2:$A$3783, INSEE_Communes!$F$2:$F$3783, "code introuvable")</f>
        <v>non publié</v>
      </c>
    </row>
    <row r="2327">
      <c r="A2327" s="2" t="str">
        <f>Communes_HDF!A2327</f>
        <v>62205</v>
      </c>
      <c r="B2327" s="2" t="str">
        <f>Communes_HDF!B2327</f>
        <v>Campagne-lès-Wardrecques</v>
      </c>
      <c r="C2327" s="2" t="str">
        <f t="array" ref="C2327">_xlfn.XLOOKUP(A2327, INSEE_Communes!$A$2:$A$3783, INSEE_Communes!$F$2:$F$3783, "code introuvable")</f>
        <v>non publié</v>
      </c>
    </row>
    <row r="2328">
      <c r="A2328" s="2" t="str">
        <f>Communes_HDF!A2328</f>
        <v>62206</v>
      </c>
      <c r="B2328" s="2" t="str">
        <f>Communes_HDF!B2328</f>
        <v>Campigneulles-les-Grandes</v>
      </c>
      <c r="C2328" s="2" t="str">
        <f t="array" ref="C2328">_xlfn.XLOOKUP(A2328, INSEE_Communes!$A$2:$A$3783, INSEE_Communes!$F$2:$F$3783, "code introuvable")</f>
        <v>non publié</v>
      </c>
    </row>
    <row r="2329">
      <c r="A2329" s="2" t="str">
        <f>Communes_HDF!A2329</f>
        <v>62207</v>
      </c>
      <c r="B2329" s="2" t="str">
        <f>Communes_HDF!B2329</f>
        <v>Campigneulles-les-Petites</v>
      </c>
      <c r="C2329" s="2" t="str">
        <f t="array" ref="C2329">_xlfn.XLOOKUP(A2329, INSEE_Communes!$A$2:$A$3783, INSEE_Communes!$F$2:$F$3783, "code introuvable")</f>
        <v>non publié</v>
      </c>
    </row>
    <row r="2330">
      <c r="A2330" s="2" t="str">
        <f>Communes_HDF!A2330</f>
        <v>62208</v>
      </c>
      <c r="B2330" s="2" t="str">
        <f>Communes_HDF!B2330</f>
        <v>Canettemont</v>
      </c>
      <c r="C2330" s="2" t="str">
        <f t="array" ref="C2330">_xlfn.XLOOKUP(A2330, INSEE_Communes!$A$2:$A$3783, INSEE_Communes!$F$2:$F$3783, "code introuvable")</f>
        <v>non publié</v>
      </c>
    </row>
    <row r="2331">
      <c r="A2331" s="2" t="str">
        <f>Communes_HDF!A2331</f>
        <v>62209</v>
      </c>
      <c r="B2331" s="2" t="str">
        <f>Communes_HDF!B2331</f>
        <v>Canlers</v>
      </c>
      <c r="C2331" s="2" t="str">
        <f t="array" ref="C2331">_xlfn.XLOOKUP(A2331, INSEE_Communes!$A$2:$A$3783, INSEE_Communes!$F$2:$F$3783, "code introuvable")</f>
        <v>non publié</v>
      </c>
    </row>
    <row r="2332">
      <c r="A2332" s="2" t="str">
        <f>Communes_HDF!A2332</f>
        <v>62211</v>
      </c>
      <c r="B2332" s="2" t="str">
        <f>Communes_HDF!B2332</f>
        <v>Capelle-Fermont</v>
      </c>
      <c r="C2332" s="2" t="str">
        <f t="array" ref="C2332">_xlfn.XLOOKUP(A2332, INSEE_Communes!$A$2:$A$3783, INSEE_Communes!$F$2:$F$3783, "code introuvable")</f>
        <v>non publié</v>
      </c>
    </row>
    <row r="2333">
      <c r="A2333" s="2" t="str">
        <f>Communes_HDF!A2333</f>
        <v>62212</v>
      </c>
      <c r="B2333" s="2" t="str">
        <f>Communes_HDF!B2333</f>
        <v>Capelle-lès-Hesdin</v>
      </c>
      <c r="C2333" s="2" t="str">
        <f t="array" ref="C2333">_xlfn.XLOOKUP(A2333, INSEE_Communes!$A$2:$A$3783, INSEE_Communes!$F$2:$F$3783, "code introuvable")</f>
        <v>non publié</v>
      </c>
    </row>
    <row r="2334">
      <c r="A2334" s="2" t="str">
        <f>Communes_HDF!A2334</f>
        <v>62213</v>
      </c>
      <c r="B2334" s="2" t="str">
        <f>Communes_HDF!B2334</f>
        <v>Carency</v>
      </c>
      <c r="C2334" s="2" t="str">
        <f t="array" ref="C2334">_xlfn.XLOOKUP(A2334, INSEE_Communes!$A$2:$A$3783, INSEE_Communes!$F$2:$F$3783, "code introuvable")</f>
        <v>non publié</v>
      </c>
    </row>
    <row r="2335">
      <c r="A2335" s="2" t="str">
        <f>Communes_HDF!A2335</f>
        <v>62214</v>
      </c>
      <c r="B2335" s="2" t="str">
        <f>Communes_HDF!B2335</f>
        <v>Carly</v>
      </c>
      <c r="C2335" s="2" t="str">
        <f t="array" ref="C2335">_xlfn.XLOOKUP(A2335, INSEE_Communes!$A$2:$A$3783, INSEE_Communes!$F$2:$F$3783, "code introuvable")</f>
        <v>non publié</v>
      </c>
    </row>
    <row r="2336">
      <c r="A2336" s="2" t="str">
        <f>Communes_HDF!A2336</f>
        <v>62215</v>
      </c>
      <c r="B2336" s="2" t="str">
        <f>Communes_HDF!B2336</f>
        <v>Carvin</v>
      </c>
      <c r="C2336" s="2">
        <f t="array" ref="C2336">_xlfn.XLOOKUP(A2336, INSEE_Communes!$A$2:$A$3783, INSEE_Communes!$F$2:$F$3783, "code introuvable")</f>
        <v>21</v>
      </c>
    </row>
    <row r="2337">
      <c r="A2337" s="2" t="str">
        <f>Communes_HDF!A2337</f>
        <v>62217</v>
      </c>
      <c r="B2337" s="2" t="str">
        <f>Communes_HDF!B2337</f>
        <v>Cauchy-à-la-Tour</v>
      </c>
      <c r="C2337" s="2">
        <f t="array" ref="C2337">_xlfn.XLOOKUP(A2337, INSEE_Communes!$A$2:$A$3783, INSEE_Communes!$F$2:$F$3783, "code introuvable")</f>
        <v>20</v>
      </c>
    </row>
    <row r="2338">
      <c r="A2338" s="2" t="str">
        <f>Communes_HDF!A2338</f>
        <v>62218</v>
      </c>
      <c r="B2338" s="2" t="str">
        <f>Communes_HDF!B2338</f>
        <v>Caucourt</v>
      </c>
      <c r="C2338" s="2" t="str">
        <f t="array" ref="C2338">_xlfn.XLOOKUP(A2338, INSEE_Communes!$A$2:$A$3783, INSEE_Communes!$F$2:$F$3783, "code introuvable")</f>
        <v>non publié</v>
      </c>
    </row>
    <row r="2339">
      <c r="A2339" s="2" t="str">
        <f>Communes_HDF!A2339</f>
        <v>62219</v>
      </c>
      <c r="B2339" s="2" t="str">
        <f>Communes_HDF!B2339</f>
        <v>Caumont</v>
      </c>
      <c r="C2339" s="2" t="str">
        <f t="array" ref="C2339">_xlfn.XLOOKUP(A2339, INSEE_Communes!$A$2:$A$3783, INSEE_Communes!$F$2:$F$3783, "code introuvable")</f>
        <v>non publié</v>
      </c>
    </row>
    <row r="2340">
      <c r="A2340" s="2" t="str">
        <f>Communes_HDF!A2340</f>
        <v>62220</v>
      </c>
      <c r="B2340" s="2" t="str">
        <f>Communes_HDF!B2340</f>
        <v>Cavron-Saint-Martin</v>
      </c>
      <c r="C2340" s="2" t="str">
        <f t="array" ref="C2340">_xlfn.XLOOKUP(A2340, INSEE_Communes!$A$2:$A$3783, INSEE_Communes!$F$2:$F$3783, "code introuvable")</f>
        <v>non publié</v>
      </c>
    </row>
    <row r="2341">
      <c r="A2341" s="2" t="str">
        <f>Communes_HDF!A2341</f>
        <v>62221</v>
      </c>
      <c r="B2341" s="2" t="str">
        <f>Communes_HDF!B2341</f>
        <v>Chelers</v>
      </c>
      <c r="C2341" s="2" t="str">
        <f t="array" ref="C2341">_xlfn.XLOOKUP(A2341, INSEE_Communes!$A$2:$A$3783, INSEE_Communes!$F$2:$F$3783, "code introuvable")</f>
        <v>non publié</v>
      </c>
    </row>
    <row r="2342">
      <c r="A2342" s="2" t="str">
        <f>Communes_HDF!A2342</f>
        <v>62224</v>
      </c>
      <c r="B2342" s="2" t="str">
        <f>Communes_HDF!B2342</f>
        <v>Chocques</v>
      </c>
      <c r="C2342" s="2">
        <f t="array" ref="C2342">_xlfn.XLOOKUP(A2342, INSEE_Communes!$A$2:$A$3783, INSEE_Communes!$F$2:$F$3783, "code introuvable")</f>
        <v>16</v>
      </c>
    </row>
    <row r="2343">
      <c r="A2343" s="2" t="str">
        <f>Communes_HDF!A2343</f>
        <v>62222</v>
      </c>
      <c r="B2343" s="2" t="str">
        <f>Communes_HDF!B2343</f>
        <v>Chériennes</v>
      </c>
      <c r="C2343" s="2" t="str">
        <f t="array" ref="C2343">_xlfn.XLOOKUP(A2343, INSEE_Communes!$A$2:$A$3783, INSEE_Communes!$F$2:$F$3783, "code introuvable")</f>
        <v>non publié</v>
      </c>
    </row>
    <row r="2344">
      <c r="A2344" s="2" t="str">
        <f>Communes_HDF!A2344</f>
        <v>62223</v>
      </c>
      <c r="B2344" s="2" t="str">
        <f>Communes_HDF!B2344</f>
        <v>Chérisy</v>
      </c>
      <c r="C2344" s="2" t="str">
        <f t="array" ref="C2344">_xlfn.XLOOKUP(A2344, INSEE_Communes!$A$2:$A$3783, INSEE_Communes!$F$2:$F$3783, "code introuvable")</f>
        <v>non publié</v>
      </c>
    </row>
    <row r="2345">
      <c r="A2345" s="2" t="str">
        <f>Communes_HDF!A2345</f>
        <v>62225</v>
      </c>
      <c r="B2345" s="2" t="str">
        <f>Communes_HDF!B2345</f>
        <v>Clairmarais</v>
      </c>
      <c r="C2345" s="2" t="str">
        <f t="array" ref="C2345">_xlfn.XLOOKUP(A2345, INSEE_Communes!$A$2:$A$3783, INSEE_Communes!$F$2:$F$3783, "code introuvable")</f>
        <v>non publié</v>
      </c>
    </row>
    <row r="2346">
      <c r="A2346" s="2" t="str">
        <f>Communes_HDF!A2346</f>
        <v>62227</v>
      </c>
      <c r="B2346" s="2" t="str">
        <f>Communes_HDF!B2346</f>
        <v>Clenleu</v>
      </c>
      <c r="C2346" s="2" t="str">
        <f t="array" ref="C2346">_xlfn.XLOOKUP(A2346, INSEE_Communes!$A$2:$A$3783, INSEE_Communes!$F$2:$F$3783, "code introuvable")</f>
        <v>non publié</v>
      </c>
    </row>
    <row r="2347">
      <c r="A2347" s="2" t="str">
        <f>Communes_HDF!A2347</f>
        <v>62228</v>
      </c>
      <c r="B2347" s="2" t="str">
        <f>Communes_HDF!B2347</f>
        <v>Clerques</v>
      </c>
      <c r="C2347" s="2" t="str">
        <f t="array" ref="C2347">_xlfn.XLOOKUP(A2347, INSEE_Communes!$A$2:$A$3783, INSEE_Communes!$F$2:$F$3783, "code introuvable")</f>
        <v>non publié</v>
      </c>
    </row>
    <row r="2348">
      <c r="A2348" s="2" t="str">
        <f>Communes_HDF!A2348</f>
        <v>62229</v>
      </c>
      <c r="B2348" s="2" t="str">
        <f>Communes_HDF!B2348</f>
        <v>Cléty</v>
      </c>
      <c r="C2348" s="2" t="str">
        <f t="array" ref="C2348">_xlfn.XLOOKUP(A2348, INSEE_Communes!$A$2:$A$3783, INSEE_Communes!$F$2:$F$3783, "code introuvable")</f>
        <v>non publié</v>
      </c>
    </row>
    <row r="2349">
      <c r="A2349" s="2" t="str">
        <f>Communes_HDF!A2349</f>
        <v>62230</v>
      </c>
      <c r="B2349" s="2" t="str">
        <f>Communes_HDF!B2349</f>
        <v>Colembert</v>
      </c>
      <c r="C2349" s="2" t="str">
        <f t="array" ref="C2349">_xlfn.XLOOKUP(A2349, INSEE_Communes!$A$2:$A$3783, INSEE_Communes!$F$2:$F$3783, "code introuvable")</f>
        <v>non publié</v>
      </c>
    </row>
    <row r="2350">
      <c r="A2350" s="2" t="str">
        <f>Communes_HDF!A2350</f>
        <v>62231</v>
      </c>
      <c r="B2350" s="2" t="str">
        <f>Communes_HDF!B2350</f>
        <v>Colline-Beaumont</v>
      </c>
      <c r="C2350" s="2" t="str">
        <f t="array" ref="C2350">_xlfn.XLOOKUP(A2350, INSEE_Communes!$A$2:$A$3783, INSEE_Communes!$F$2:$F$3783, "code introuvable")</f>
        <v>non publié</v>
      </c>
    </row>
    <row r="2351">
      <c r="A2351" s="2" t="str">
        <f>Communes_HDF!A2351</f>
        <v>62233</v>
      </c>
      <c r="B2351" s="2" t="str">
        <f>Communes_HDF!B2351</f>
        <v>Conchil-le-Temple</v>
      </c>
      <c r="C2351" s="2" t="str">
        <f t="array" ref="C2351">_xlfn.XLOOKUP(A2351, INSEE_Communes!$A$2:$A$3783, INSEE_Communes!$F$2:$F$3783, "code introuvable")</f>
        <v>non publié</v>
      </c>
    </row>
    <row r="2352">
      <c r="A2352" s="2" t="str">
        <f>Communes_HDF!A2352</f>
        <v>62234</v>
      </c>
      <c r="B2352" s="2" t="str">
        <f>Communes_HDF!B2352</f>
        <v>Conchy-sur-Canche</v>
      </c>
      <c r="C2352" s="2" t="str">
        <f t="array" ref="C2352">_xlfn.XLOOKUP(A2352, INSEE_Communes!$A$2:$A$3783, INSEE_Communes!$F$2:$F$3783, "code introuvable")</f>
        <v>non publié</v>
      </c>
    </row>
    <row r="2353">
      <c r="A2353" s="2" t="str">
        <f>Communes_HDF!A2353</f>
        <v>62235</v>
      </c>
      <c r="B2353" s="2" t="str">
        <f>Communes_HDF!B2353</f>
        <v>Condette</v>
      </c>
      <c r="C2353" s="2">
        <f t="array" ref="C2353">_xlfn.XLOOKUP(A2353, INSEE_Communes!$A$2:$A$3783, INSEE_Communes!$F$2:$F$3783, "code introuvable")</f>
        <v>8</v>
      </c>
    </row>
    <row r="2354">
      <c r="A2354" s="2" t="str">
        <f>Communes_HDF!A2354</f>
        <v>62236</v>
      </c>
      <c r="B2354" s="2" t="str">
        <f>Communes_HDF!B2354</f>
        <v>Contes</v>
      </c>
      <c r="C2354" s="2" t="str">
        <f t="array" ref="C2354">_xlfn.XLOOKUP(A2354, INSEE_Communes!$A$2:$A$3783, INSEE_Communes!$F$2:$F$3783, "code introuvable")</f>
        <v>non publié</v>
      </c>
    </row>
    <row r="2355">
      <c r="A2355" s="2" t="str">
        <f>Communes_HDF!A2355</f>
        <v>62238</v>
      </c>
      <c r="B2355" s="2" t="str">
        <f>Communes_HDF!B2355</f>
        <v>Conteville-en-Ternois</v>
      </c>
      <c r="C2355" s="2" t="str">
        <f t="array" ref="C2355">_xlfn.XLOOKUP(A2355, INSEE_Communes!$A$2:$A$3783, INSEE_Communes!$F$2:$F$3783, "code introuvable")</f>
        <v>non publié</v>
      </c>
    </row>
    <row r="2356">
      <c r="A2356" s="2" t="str">
        <f>Communes_HDF!A2356</f>
        <v>62237</v>
      </c>
      <c r="B2356" s="2" t="str">
        <f>Communes_HDF!B2356</f>
        <v>Conteville-lès-Boulogne</v>
      </c>
      <c r="C2356" s="2" t="str">
        <f t="array" ref="C2356">_xlfn.XLOOKUP(A2356, INSEE_Communes!$A$2:$A$3783, INSEE_Communes!$F$2:$F$3783, "code introuvable")</f>
        <v>non publié</v>
      </c>
    </row>
    <row r="2357">
      <c r="A2357" s="2" t="str">
        <f>Communes_HDF!A2357</f>
        <v>62239</v>
      </c>
      <c r="B2357" s="2" t="str">
        <f>Communes_HDF!B2357</f>
        <v>Coquelles</v>
      </c>
      <c r="C2357" s="2">
        <f t="array" ref="C2357">_xlfn.XLOOKUP(A2357, INSEE_Communes!$A$2:$A$3783, INSEE_Communes!$F$2:$F$3783, "code introuvable")</f>
        <v>11</v>
      </c>
    </row>
    <row r="2358">
      <c r="A2358" s="2" t="str">
        <f>Communes_HDF!A2358</f>
        <v>62240</v>
      </c>
      <c r="B2358" s="2" t="str">
        <f>Communes_HDF!B2358</f>
        <v>Corbehem</v>
      </c>
      <c r="C2358" s="2">
        <f t="array" ref="C2358">_xlfn.XLOOKUP(A2358, INSEE_Communes!$A$2:$A$3783, INSEE_Communes!$F$2:$F$3783, "code introuvable")</f>
        <v>11</v>
      </c>
    </row>
    <row r="2359">
      <c r="A2359" s="2" t="str">
        <f>Communes_HDF!A2359</f>
        <v>62241</v>
      </c>
      <c r="B2359" s="2" t="str">
        <f>Communes_HDF!B2359</f>
        <v>Cormont</v>
      </c>
      <c r="C2359" s="2" t="str">
        <f t="array" ref="C2359">_xlfn.XLOOKUP(A2359, INSEE_Communes!$A$2:$A$3783, INSEE_Communes!$F$2:$F$3783, "code introuvable")</f>
        <v>non publié</v>
      </c>
    </row>
    <row r="2360">
      <c r="A2360" s="2" t="str">
        <f>Communes_HDF!A2360</f>
        <v>62242</v>
      </c>
      <c r="B2360" s="2" t="str">
        <f>Communes_HDF!B2360</f>
        <v>Couin</v>
      </c>
      <c r="C2360" s="2" t="str">
        <f t="array" ref="C2360">_xlfn.XLOOKUP(A2360, INSEE_Communes!$A$2:$A$3783, INSEE_Communes!$F$2:$F$3783, "code introuvable")</f>
        <v>non publié</v>
      </c>
    </row>
    <row r="2361">
      <c r="A2361" s="2" t="str">
        <f>Communes_HDF!A2361</f>
        <v>62243</v>
      </c>
      <c r="B2361" s="2" t="str">
        <f>Communes_HDF!B2361</f>
        <v>Coullemont</v>
      </c>
      <c r="C2361" s="2" t="str">
        <f t="array" ref="C2361">_xlfn.XLOOKUP(A2361, INSEE_Communes!$A$2:$A$3783, INSEE_Communes!$F$2:$F$3783, "code introuvable")</f>
        <v>non publié</v>
      </c>
    </row>
    <row r="2362">
      <c r="A2362" s="2" t="str">
        <f>Communes_HDF!A2362</f>
        <v>62244</v>
      </c>
      <c r="B2362" s="2" t="str">
        <f>Communes_HDF!B2362</f>
        <v>Coulogne</v>
      </c>
      <c r="C2362" s="2">
        <f t="array" ref="C2362">_xlfn.XLOOKUP(A2362, INSEE_Communes!$A$2:$A$3783, INSEE_Communes!$F$2:$F$3783, "code introuvable")</f>
        <v>11</v>
      </c>
    </row>
    <row r="2363">
      <c r="A2363" s="2" t="str">
        <f>Communes_HDF!A2363</f>
        <v>62245</v>
      </c>
      <c r="B2363" s="2" t="str">
        <f>Communes_HDF!B2363</f>
        <v>Coulomby</v>
      </c>
      <c r="C2363" s="2" t="str">
        <f t="array" ref="C2363">_xlfn.XLOOKUP(A2363, INSEE_Communes!$A$2:$A$3783, INSEE_Communes!$F$2:$F$3783, "code introuvable")</f>
        <v>non publié</v>
      </c>
    </row>
    <row r="2364">
      <c r="A2364" s="2" t="str">
        <f>Communes_HDF!A2364</f>
        <v>62246</v>
      </c>
      <c r="B2364" s="2" t="str">
        <f>Communes_HDF!B2364</f>
        <v>Coupelle-Neuve</v>
      </c>
      <c r="C2364" s="2" t="str">
        <f t="array" ref="C2364">_xlfn.XLOOKUP(A2364, INSEE_Communes!$A$2:$A$3783, INSEE_Communes!$F$2:$F$3783, "code introuvable")</f>
        <v>non publié</v>
      </c>
    </row>
    <row r="2365">
      <c r="A2365" s="2" t="str">
        <f>Communes_HDF!A2365</f>
        <v>62247</v>
      </c>
      <c r="B2365" s="2" t="str">
        <f>Communes_HDF!B2365</f>
        <v>Coupelle-Vieille</v>
      </c>
      <c r="C2365" s="2" t="str">
        <f t="array" ref="C2365">_xlfn.XLOOKUP(A2365, INSEE_Communes!$A$2:$A$3783, INSEE_Communes!$F$2:$F$3783, "code introuvable")</f>
        <v>non publié</v>
      </c>
    </row>
    <row r="2366">
      <c r="A2366" s="2" t="str">
        <f>Communes_HDF!A2366</f>
        <v>62248</v>
      </c>
      <c r="B2366" s="2" t="str">
        <f>Communes_HDF!B2366</f>
        <v>Courcelles-le-Comte</v>
      </c>
      <c r="C2366" s="2" t="str">
        <f t="array" ref="C2366">_xlfn.XLOOKUP(A2366, INSEE_Communes!$A$2:$A$3783, INSEE_Communes!$F$2:$F$3783, "code introuvable")</f>
        <v>non publié</v>
      </c>
    </row>
    <row r="2367">
      <c r="A2367" s="2" t="str">
        <f>Communes_HDF!A2367</f>
        <v>62249</v>
      </c>
      <c r="B2367" s="2" t="str">
        <f>Communes_HDF!B2367</f>
        <v>Courcelles-lès-Lens</v>
      </c>
      <c r="C2367" s="2">
        <f t="array" ref="C2367">_xlfn.XLOOKUP(A2367, INSEE_Communes!$A$2:$A$3783, INSEE_Communes!$F$2:$F$3783, "code introuvable")</f>
        <v>23</v>
      </c>
    </row>
    <row r="2368">
      <c r="A2368" s="2" t="str">
        <f>Communes_HDF!A2368</f>
        <v>62250</v>
      </c>
      <c r="B2368" s="2" t="str">
        <f>Communes_HDF!B2368</f>
        <v>Courrières</v>
      </c>
      <c r="C2368" s="2">
        <f t="array" ref="C2368">_xlfn.XLOOKUP(A2368, INSEE_Communes!$A$2:$A$3783, INSEE_Communes!$F$2:$F$3783, "code introuvable")</f>
        <v>19</v>
      </c>
    </row>
    <row r="2369">
      <c r="A2369" s="2" t="str">
        <f>Communes_HDF!A2369</f>
        <v>62251</v>
      </c>
      <c r="B2369" s="2" t="str">
        <f>Communes_HDF!B2369</f>
        <v>Courset</v>
      </c>
      <c r="C2369" s="2" t="str">
        <f t="array" ref="C2369">_xlfn.XLOOKUP(A2369, INSEE_Communes!$A$2:$A$3783, INSEE_Communes!$F$2:$F$3783, "code introuvable")</f>
        <v>non publié</v>
      </c>
    </row>
    <row r="2370">
      <c r="A2370" s="2" t="str">
        <f>Communes_HDF!A2370</f>
        <v>62253</v>
      </c>
      <c r="B2370" s="2" t="str">
        <f>Communes_HDF!B2370</f>
        <v>Couturelle</v>
      </c>
      <c r="C2370" s="2" t="str">
        <f t="array" ref="C2370">_xlfn.XLOOKUP(A2370, INSEE_Communes!$A$2:$A$3783, INSEE_Communes!$F$2:$F$3783, "code introuvable")</f>
        <v>non publié</v>
      </c>
    </row>
    <row r="2371">
      <c r="A2371" s="2" t="str">
        <f>Communes_HDF!A2371</f>
        <v>62254</v>
      </c>
      <c r="B2371" s="2" t="str">
        <f>Communes_HDF!B2371</f>
        <v>Coyecques</v>
      </c>
      <c r="C2371" s="2" t="str">
        <f t="array" ref="C2371">_xlfn.XLOOKUP(A2371, INSEE_Communes!$A$2:$A$3783, INSEE_Communes!$F$2:$F$3783, "code introuvable")</f>
        <v>non publié</v>
      </c>
    </row>
    <row r="2372">
      <c r="A2372" s="2" t="str">
        <f>Communes_HDF!A2372</f>
        <v>62258</v>
      </c>
      <c r="B2372" s="2" t="str">
        <f>Communes_HDF!B2372</f>
        <v>Croisette</v>
      </c>
      <c r="C2372" s="2" t="str">
        <f t="array" ref="C2372">_xlfn.XLOOKUP(A2372, INSEE_Communes!$A$2:$A$3783, INSEE_Communes!$F$2:$F$3783, "code introuvable")</f>
        <v>non publié</v>
      </c>
    </row>
    <row r="2373">
      <c r="A2373" s="2" t="str">
        <f>Communes_HDF!A2373</f>
        <v>62259</v>
      </c>
      <c r="B2373" s="2" t="str">
        <f>Communes_HDF!B2373</f>
        <v>Croisilles</v>
      </c>
      <c r="C2373" s="2" t="str">
        <f t="array" ref="C2373">_xlfn.XLOOKUP(A2373, INSEE_Communes!$A$2:$A$3783, INSEE_Communes!$F$2:$F$3783, "code introuvable")</f>
        <v>non publié</v>
      </c>
    </row>
    <row r="2374">
      <c r="A2374" s="2" t="str">
        <f>Communes_HDF!A2374</f>
        <v>62260</v>
      </c>
      <c r="B2374" s="2" t="str">
        <f>Communes_HDF!B2374</f>
        <v>Croix-en-Ternois</v>
      </c>
      <c r="C2374" s="2" t="str">
        <f t="array" ref="C2374">_xlfn.XLOOKUP(A2374, INSEE_Communes!$A$2:$A$3783, INSEE_Communes!$F$2:$F$3783, "code introuvable")</f>
        <v>non publié</v>
      </c>
    </row>
    <row r="2375">
      <c r="A2375" s="2" t="str">
        <f>Communes_HDF!A2375</f>
        <v>62255</v>
      </c>
      <c r="B2375" s="2" t="str">
        <f>Communes_HDF!B2375</f>
        <v>Crémarest</v>
      </c>
      <c r="C2375" s="2" t="str">
        <f t="array" ref="C2375">_xlfn.XLOOKUP(A2375, INSEE_Communes!$A$2:$A$3783, INSEE_Communes!$F$2:$F$3783, "code introuvable")</f>
        <v>non publié</v>
      </c>
    </row>
    <row r="2376">
      <c r="A2376" s="2" t="str">
        <f>Communes_HDF!A2376</f>
        <v>62256</v>
      </c>
      <c r="B2376" s="2" t="str">
        <f>Communes_HDF!B2376</f>
        <v>Crépy</v>
      </c>
      <c r="C2376" s="2" t="str">
        <f t="array" ref="C2376">_xlfn.XLOOKUP(A2376, INSEE_Communes!$A$2:$A$3783, INSEE_Communes!$F$2:$F$3783, "code introuvable")</f>
        <v>non publié</v>
      </c>
    </row>
    <row r="2377">
      <c r="A2377" s="2" t="str">
        <f>Communes_HDF!A2377</f>
        <v>62257</v>
      </c>
      <c r="B2377" s="2" t="str">
        <f>Communes_HDF!B2377</f>
        <v>Créquy</v>
      </c>
      <c r="C2377" s="2" t="str">
        <f t="array" ref="C2377">_xlfn.XLOOKUP(A2377, INSEE_Communes!$A$2:$A$3783, INSEE_Communes!$F$2:$F$3783, "code introuvable")</f>
        <v>non publié</v>
      </c>
    </row>
    <row r="2378">
      <c r="A2378" s="2" t="str">
        <f>Communes_HDF!A2378</f>
        <v>62261</v>
      </c>
      <c r="B2378" s="2" t="str">
        <f>Communes_HDF!B2378</f>
        <v>Cucq</v>
      </c>
      <c r="C2378" s="2">
        <f t="array" ref="C2378">_xlfn.XLOOKUP(A2378, INSEE_Communes!$A$2:$A$3783, INSEE_Communes!$F$2:$F$3783, "code introuvable")</f>
        <v>12</v>
      </c>
    </row>
    <row r="2379">
      <c r="A2379" s="2" t="str">
        <f>Communes_HDF!A2379</f>
        <v>62262</v>
      </c>
      <c r="B2379" s="2" t="str">
        <f>Communes_HDF!B2379</f>
        <v>Cuinchy</v>
      </c>
      <c r="C2379" s="2" t="str">
        <f t="array" ref="C2379">_xlfn.XLOOKUP(A2379, INSEE_Communes!$A$2:$A$3783, INSEE_Communes!$F$2:$F$3783, "code introuvable")</f>
        <v>non publié</v>
      </c>
    </row>
    <row r="2380">
      <c r="A2380" s="2" t="str">
        <f>Communes_HDF!A2380</f>
        <v>62263</v>
      </c>
      <c r="B2380" s="2" t="str">
        <f>Communes_HDF!B2380</f>
        <v>Dainville</v>
      </c>
      <c r="C2380" s="2">
        <f t="array" ref="C2380">_xlfn.XLOOKUP(A2380, INSEE_Communes!$A$2:$A$3783, INSEE_Communes!$F$2:$F$3783, "code introuvable")</f>
        <v>9</v>
      </c>
    </row>
    <row r="2381">
      <c r="A2381" s="2" t="str">
        <f>Communes_HDF!A2381</f>
        <v>62264</v>
      </c>
      <c r="B2381" s="2" t="str">
        <f>Communes_HDF!B2381</f>
        <v>Dannes</v>
      </c>
      <c r="C2381" s="2" t="str">
        <f t="array" ref="C2381">_xlfn.XLOOKUP(A2381, INSEE_Communes!$A$2:$A$3783, INSEE_Communes!$F$2:$F$3783, "code introuvable")</f>
        <v>non publié</v>
      </c>
    </row>
    <row r="2382">
      <c r="A2382" s="2" t="str">
        <f>Communes_HDF!A2382</f>
        <v>62265</v>
      </c>
      <c r="B2382" s="2" t="str">
        <f>Communes_HDF!B2382</f>
        <v>Delettes</v>
      </c>
      <c r="C2382" s="2" t="str">
        <f t="array" ref="C2382">_xlfn.XLOOKUP(A2382, INSEE_Communes!$A$2:$A$3783, INSEE_Communes!$F$2:$F$3783, "code introuvable")</f>
        <v>non publié</v>
      </c>
    </row>
    <row r="2383">
      <c r="A2383" s="2" t="str">
        <f>Communes_HDF!A2383</f>
        <v>62266</v>
      </c>
      <c r="B2383" s="2" t="str">
        <f>Communes_HDF!B2383</f>
        <v>Denier</v>
      </c>
      <c r="C2383" s="2" t="str">
        <f t="array" ref="C2383">_xlfn.XLOOKUP(A2383, INSEE_Communes!$A$2:$A$3783, INSEE_Communes!$F$2:$F$3783, "code introuvable")</f>
        <v>non publié</v>
      </c>
    </row>
    <row r="2384">
      <c r="A2384" s="2" t="str">
        <f>Communes_HDF!A2384</f>
        <v>62267</v>
      </c>
      <c r="B2384" s="2" t="str">
        <f>Communes_HDF!B2384</f>
        <v>Dennebrœucq</v>
      </c>
      <c r="C2384" s="2" t="str">
        <f t="array" ref="C2384">_xlfn.XLOOKUP(A2384, INSEE_Communes!$A$2:$A$3783, INSEE_Communes!$F$2:$F$3783, "code introuvable")</f>
        <v>non publié</v>
      </c>
    </row>
    <row r="2385">
      <c r="A2385" s="2" t="str">
        <f>Communes_HDF!A2385</f>
        <v>62268</v>
      </c>
      <c r="B2385" s="2" t="str">
        <f>Communes_HDF!B2385</f>
        <v>Desvres</v>
      </c>
      <c r="C2385" s="2">
        <f t="array" ref="C2385">_xlfn.XLOOKUP(A2385, INSEE_Communes!$A$2:$A$3783, INSEE_Communes!$F$2:$F$3783, "code introuvable")</f>
        <v>25</v>
      </c>
    </row>
    <row r="2386">
      <c r="A2386" s="2" t="str">
        <f>Communes_HDF!A2386</f>
        <v>62270</v>
      </c>
      <c r="B2386" s="2" t="str">
        <f>Communes_HDF!B2386</f>
        <v>Divion</v>
      </c>
      <c r="C2386" s="2">
        <f t="array" ref="C2386">_xlfn.XLOOKUP(A2386, INSEE_Communes!$A$2:$A$3783, INSEE_Communes!$F$2:$F$3783, "code introuvable")</f>
        <v>30</v>
      </c>
    </row>
    <row r="2387">
      <c r="A2387" s="2" t="str">
        <f>Communes_HDF!A2387</f>
        <v>62269</v>
      </c>
      <c r="B2387" s="2" t="str">
        <f>Communes_HDF!B2387</f>
        <v>Diéval</v>
      </c>
      <c r="C2387" s="2" t="str">
        <f t="array" ref="C2387">_xlfn.XLOOKUP(A2387, INSEE_Communes!$A$2:$A$3783, INSEE_Communes!$F$2:$F$3783, "code introuvable")</f>
        <v>non publié</v>
      </c>
    </row>
    <row r="2388">
      <c r="A2388" s="2" t="str">
        <f>Communes_HDF!A2388</f>
        <v>62271</v>
      </c>
      <c r="B2388" s="2" t="str">
        <f>Communes_HDF!B2388</f>
        <v>Dohem</v>
      </c>
      <c r="C2388" s="2" t="str">
        <f t="array" ref="C2388">_xlfn.XLOOKUP(A2388, INSEE_Communes!$A$2:$A$3783, INSEE_Communes!$F$2:$F$3783, "code introuvable")</f>
        <v>non publié</v>
      </c>
    </row>
    <row r="2389">
      <c r="A2389" s="2" t="str">
        <f>Communes_HDF!A2389</f>
        <v>62272</v>
      </c>
      <c r="B2389" s="2" t="str">
        <f>Communes_HDF!B2389</f>
        <v>Douchy-lès-Ayette</v>
      </c>
      <c r="C2389" s="2" t="str">
        <f t="array" ref="C2389">_xlfn.XLOOKUP(A2389, INSEE_Communes!$A$2:$A$3783, INSEE_Communes!$F$2:$F$3783, "code introuvable")</f>
        <v>non publié</v>
      </c>
    </row>
    <row r="2390">
      <c r="A2390" s="2" t="str">
        <f>Communes_HDF!A2390</f>
        <v>62273</v>
      </c>
      <c r="B2390" s="2" t="str">
        <f>Communes_HDF!B2390</f>
        <v>Doudeauville</v>
      </c>
      <c r="C2390" s="2" t="str">
        <f t="array" ref="C2390">_xlfn.XLOOKUP(A2390, INSEE_Communes!$A$2:$A$3783, INSEE_Communes!$F$2:$F$3783, "code introuvable")</f>
        <v>non publié</v>
      </c>
    </row>
    <row r="2391">
      <c r="A2391" s="2" t="str">
        <f>Communes_HDF!A2391</f>
        <v>62274</v>
      </c>
      <c r="B2391" s="2" t="str">
        <f>Communes_HDF!B2391</f>
        <v>Dourges</v>
      </c>
      <c r="C2391" s="2">
        <f t="array" ref="C2391">_xlfn.XLOOKUP(A2391, INSEE_Communes!$A$2:$A$3783, INSEE_Communes!$F$2:$F$3783, "code introuvable")</f>
        <v>17</v>
      </c>
    </row>
    <row r="2392">
      <c r="A2392" s="2" t="str">
        <f>Communes_HDF!A2392</f>
        <v>62275</v>
      </c>
      <c r="B2392" s="2" t="str">
        <f>Communes_HDF!B2392</f>
        <v>Douriez</v>
      </c>
      <c r="C2392" s="2" t="str">
        <f t="array" ref="C2392">_xlfn.XLOOKUP(A2392, INSEE_Communes!$A$2:$A$3783, INSEE_Communes!$F$2:$F$3783, "code introuvable")</f>
        <v>non publié</v>
      </c>
    </row>
    <row r="2393">
      <c r="A2393" s="2" t="str">
        <f>Communes_HDF!A2393</f>
        <v>62276</v>
      </c>
      <c r="B2393" s="2" t="str">
        <f>Communes_HDF!B2393</f>
        <v>Douvrin</v>
      </c>
      <c r="C2393" s="2">
        <f t="array" ref="C2393">_xlfn.XLOOKUP(A2393, INSEE_Communes!$A$2:$A$3783, INSEE_Communes!$F$2:$F$3783, "code introuvable")</f>
        <v>14</v>
      </c>
    </row>
    <row r="2394">
      <c r="A2394" s="2" t="str">
        <f>Communes_HDF!A2394</f>
        <v>62277</v>
      </c>
      <c r="B2394" s="2" t="str">
        <f>Communes_HDF!B2394</f>
        <v>Drocourt</v>
      </c>
      <c r="C2394" s="2">
        <f t="array" ref="C2394">_xlfn.XLOOKUP(A2394, INSEE_Communes!$A$2:$A$3783, INSEE_Communes!$F$2:$F$3783, "code introuvable")</f>
        <v>17</v>
      </c>
    </row>
    <row r="2395">
      <c r="A2395" s="2" t="str">
        <f>Communes_HDF!A2395</f>
        <v>62278</v>
      </c>
      <c r="B2395" s="2" t="str">
        <f>Communes_HDF!B2395</f>
        <v>Drouvin-le-Marais</v>
      </c>
      <c r="C2395" s="2" t="str">
        <f t="array" ref="C2395">_xlfn.XLOOKUP(A2395, INSEE_Communes!$A$2:$A$3783, INSEE_Communes!$F$2:$F$3783, "code introuvable")</f>
        <v>non publié</v>
      </c>
    </row>
    <row r="2396">
      <c r="A2396" s="2" t="str">
        <f>Communes_HDF!A2396</f>
        <v>62279</v>
      </c>
      <c r="B2396" s="2" t="str">
        <f>Communes_HDF!B2396</f>
        <v>Duisans</v>
      </c>
      <c r="C2396" s="2" t="str">
        <f t="array" ref="C2396">_xlfn.XLOOKUP(A2396, INSEE_Communes!$A$2:$A$3783, INSEE_Communes!$F$2:$F$3783, "code introuvable")</f>
        <v>non publié</v>
      </c>
    </row>
    <row r="2397">
      <c r="A2397" s="2" t="str">
        <f>Communes_HDF!A2397</f>
        <v>62280</v>
      </c>
      <c r="B2397" s="2" t="str">
        <f>Communes_HDF!B2397</f>
        <v>Dury</v>
      </c>
      <c r="C2397" s="2" t="str">
        <f t="array" ref="C2397">_xlfn.XLOOKUP(A2397, INSEE_Communes!$A$2:$A$3783, INSEE_Communes!$F$2:$F$3783, "code introuvable")</f>
        <v>non publié</v>
      </c>
    </row>
    <row r="2398">
      <c r="A2398" s="2" t="str">
        <f>Communes_HDF!A2398</f>
        <v>62281</v>
      </c>
      <c r="B2398" s="2" t="str">
        <f>Communes_HDF!B2398</f>
        <v>Echinghen</v>
      </c>
      <c r="C2398" s="2" t="str">
        <f t="array" ref="C2398">_xlfn.XLOOKUP(A2398, INSEE_Communes!$A$2:$A$3783, INSEE_Communes!$F$2:$F$3783, "code introuvable")</f>
        <v>non publié</v>
      </c>
    </row>
    <row r="2399">
      <c r="A2399" s="2" t="str">
        <f>Communes_HDF!A2399</f>
        <v>62286</v>
      </c>
      <c r="B2399" s="2" t="str">
        <f>Communes_HDF!B2399</f>
        <v>Ecquedecques</v>
      </c>
      <c r="C2399" s="2" t="str">
        <f t="array" ref="C2399">_xlfn.XLOOKUP(A2399, INSEE_Communes!$A$2:$A$3783, INSEE_Communes!$F$2:$F$3783, "code introuvable")</f>
        <v>non publié</v>
      </c>
    </row>
    <row r="2400">
      <c r="A2400" s="2" t="str">
        <f>Communes_HDF!A2400</f>
        <v>62288</v>
      </c>
      <c r="B2400" s="2" t="str">
        <f>Communes_HDF!B2400</f>
        <v>Ecques</v>
      </c>
      <c r="C2400" s="2">
        <f t="array" ref="C2400">_xlfn.XLOOKUP(A2400, INSEE_Communes!$A$2:$A$3783, INSEE_Communes!$F$2:$F$3783, "code introuvable")</f>
        <v>7</v>
      </c>
    </row>
    <row r="2401">
      <c r="A2401" s="2" t="str">
        <f>Communes_HDF!A2401</f>
        <v>62292</v>
      </c>
      <c r="B2401" s="2" t="str">
        <f>Communes_HDF!B2401</f>
        <v>Elnes</v>
      </c>
      <c r="C2401" s="2" t="str">
        <f t="array" ref="C2401">_xlfn.XLOOKUP(A2401, INSEE_Communes!$A$2:$A$3783, INSEE_Communes!$F$2:$F$3783, "code introuvable")</f>
        <v>non publié</v>
      </c>
    </row>
    <row r="2402">
      <c r="A2402" s="2" t="str">
        <f>Communes_HDF!A2402</f>
        <v>62293</v>
      </c>
      <c r="B2402" s="2" t="str">
        <f>Communes_HDF!B2402</f>
        <v>Embry</v>
      </c>
      <c r="C2402" s="2" t="str">
        <f t="array" ref="C2402">_xlfn.XLOOKUP(A2402, INSEE_Communes!$A$2:$A$3783, INSEE_Communes!$F$2:$F$3783, "code introuvable")</f>
        <v>non publié</v>
      </c>
    </row>
    <row r="2403">
      <c r="A2403" s="2" t="str">
        <f>Communes_HDF!A2403</f>
        <v>62295</v>
      </c>
      <c r="B2403" s="2" t="str">
        <f>Communes_HDF!B2403</f>
        <v>Enquin-lez-Guinegatte</v>
      </c>
      <c r="C2403" s="2" t="str">
        <f t="array" ref="C2403">_xlfn.XLOOKUP(A2403, INSEE_Communes!$A$2:$A$3783, INSEE_Communes!$F$2:$F$3783, "code introuvable")</f>
        <v>non publié</v>
      </c>
    </row>
    <row r="2404">
      <c r="A2404" s="2" t="str">
        <f>Communes_HDF!A2404</f>
        <v>62296</v>
      </c>
      <c r="B2404" s="2" t="str">
        <f>Communes_HDF!B2404</f>
        <v>Enquin-sur-Baillons</v>
      </c>
      <c r="C2404" s="2" t="str">
        <f t="array" ref="C2404">_xlfn.XLOOKUP(A2404, INSEE_Communes!$A$2:$A$3783, INSEE_Communes!$F$2:$F$3783, "code introuvable")</f>
        <v>non publié</v>
      </c>
    </row>
    <row r="2405">
      <c r="A2405" s="2" t="str">
        <f>Communes_HDF!A2405</f>
        <v>62299</v>
      </c>
      <c r="B2405" s="2" t="str">
        <f>Communes_HDF!B2405</f>
        <v>Eps</v>
      </c>
      <c r="C2405" s="2" t="str">
        <f t="array" ref="C2405">_xlfn.XLOOKUP(A2405, INSEE_Communes!$A$2:$A$3783, INSEE_Communes!$F$2:$F$3783, "code introuvable")</f>
        <v>non publié</v>
      </c>
    </row>
    <row r="2406">
      <c r="A2406" s="2" t="str">
        <f>Communes_HDF!A2406</f>
        <v>62302</v>
      </c>
      <c r="B2406" s="2" t="str">
        <f>Communes_HDF!B2406</f>
        <v>Ergny</v>
      </c>
      <c r="C2406" s="2" t="str">
        <f t="array" ref="C2406">_xlfn.XLOOKUP(A2406, INSEE_Communes!$A$2:$A$3783, INSEE_Communes!$F$2:$F$3783, "code introuvable")</f>
        <v>non publié</v>
      </c>
    </row>
    <row r="2407">
      <c r="A2407" s="2" t="str">
        <f>Communes_HDF!A2407</f>
        <v>62304</v>
      </c>
      <c r="B2407" s="2" t="str">
        <f>Communes_HDF!B2407</f>
        <v>Erny-Saint-Julien</v>
      </c>
      <c r="C2407" s="2" t="str">
        <f t="array" ref="C2407">_xlfn.XLOOKUP(A2407, INSEE_Communes!$A$2:$A$3783, INSEE_Communes!$F$2:$F$3783, "code introuvable")</f>
        <v>non publié</v>
      </c>
    </row>
    <row r="2408">
      <c r="A2408" s="2" t="str">
        <f>Communes_HDF!A2408</f>
        <v>62306</v>
      </c>
      <c r="B2408" s="2" t="str">
        <f>Communes_HDF!B2408</f>
        <v>Ervillers</v>
      </c>
      <c r="C2408" s="2" t="str">
        <f t="array" ref="C2408">_xlfn.XLOOKUP(A2408, INSEE_Communes!$A$2:$A$3783, INSEE_Communes!$F$2:$F$3783, "code introuvable")</f>
        <v>non publié</v>
      </c>
    </row>
    <row r="2409">
      <c r="A2409" s="2" t="str">
        <f>Communes_HDF!A2409</f>
        <v>62307</v>
      </c>
      <c r="B2409" s="2" t="str">
        <f>Communes_HDF!B2409</f>
        <v>Escalles</v>
      </c>
      <c r="C2409" s="2" t="str">
        <f t="array" ref="C2409">_xlfn.XLOOKUP(A2409, INSEE_Communes!$A$2:$A$3783, INSEE_Communes!$F$2:$F$3783, "code introuvable")</f>
        <v>non publié</v>
      </c>
    </row>
    <row r="2410">
      <c r="A2410" s="2" t="str">
        <f>Communes_HDF!A2410</f>
        <v>62308</v>
      </c>
      <c r="B2410" s="2" t="str">
        <f>Communes_HDF!B2410</f>
        <v>Escœuilles</v>
      </c>
      <c r="C2410" s="2" t="str">
        <f t="array" ref="C2410">_xlfn.XLOOKUP(A2410, INSEE_Communes!$A$2:$A$3783, INSEE_Communes!$F$2:$F$3783, "code introuvable")</f>
        <v>non publié</v>
      </c>
    </row>
    <row r="2411">
      <c r="A2411" s="2" t="str">
        <f>Communes_HDF!A2411</f>
        <v>62309</v>
      </c>
      <c r="B2411" s="2" t="str">
        <f>Communes_HDF!B2411</f>
        <v>Esquerdes</v>
      </c>
      <c r="C2411" s="2" t="str">
        <f t="array" ref="C2411">_xlfn.XLOOKUP(A2411, INSEE_Communes!$A$2:$A$3783, INSEE_Communes!$F$2:$F$3783, "code introuvable")</f>
        <v>non publié</v>
      </c>
    </row>
    <row r="2412">
      <c r="A2412" s="2" t="str">
        <f>Communes_HDF!A2412</f>
        <v>62310</v>
      </c>
      <c r="B2412" s="2" t="str">
        <f>Communes_HDF!B2412</f>
        <v>Essars</v>
      </c>
      <c r="C2412" s="2" t="str">
        <f t="array" ref="C2412">_xlfn.XLOOKUP(A2412, INSEE_Communes!$A$2:$A$3783, INSEE_Communes!$F$2:$F$3783, "code introuvable")</f>
        <v>non publié</v>
      </c>
    </row>
    <row r="2413">
      <c r="A2413" s="2" t="str">
        <f>Communes_HDF!A2413</f>
        <v>62311</v>
      </c>
      <c r="B2413" s="2" t="str">
        <f>Communes_HDF!B2413</f>
        <v>Estevelles</v>
      </c>
      <c r="C2413" s="2" t="str">
        <f t="array" ref="C2413">_xlfn.XLOOKUP(A2413, INSEE_Communes!$A$2:$A$3783, INSEE_Communes!$F$2:$F$3783, "code introuvable")</f>
        <v>non publié</v>
      </c>
    </row>
    <row r="2414">
      <c r="A2414" s="2" t="str">
        <f>Communes_HDF!A2414</f>
        <v>62312</v>
      </c>
      <c r="B2414" s="2" t="str">
        <f>Communes_HDF!B2414</f>
        <v>Estrée</v>
      </c>
      <c r="C2414" s="2" t="str">
        <f t="array" ref="C2414">_xlfn.XLOOKUP(A2414, INSEE_Communes!$A$2:$A$3783, INSEE_Communes!$F$2:$F$3783, "code introuvable")</f>
        <v>non publié</v>
      </c>
    </row>
    <row r="2415">
      <c r="A2415" s="2" t="str">
        <f>Communes_HDF!A2415</f>
        <v>62313</v>
      </c>
      <c r="B2415" s="2" t="str">
        <f>Communes_HDF!B2415</f>
        <v>Estrée-Blanche</v>
      </c>
      <c r="C2415" s="2" t="str">
        <f t="array" ref="C2415">_xlfn.XLOOKUP(A2415, INSEE_Communes!$A$2:$A$3783, INSEE_Communes!$F$2:$F$3783, "code introuvable")</f>
        <v>non publié</v>
      </c>
    </row>
    <row r="2416">
      <c r="A2416" s="2" t="str">
        <f>Communes_HDF!A2416</f>
        <v>62314</v>
      </c>
      <c r="B2416" s="2" t="str">
        <f>Communes_HDF!B2416</f>
        <v>Estrée-Cauchy</v>
      </c>
      <c r="C2416" s="2" t="str">
        <f t="array" ref="C2416">_xlfn.XLOOKUP(A2416, INSEE_Communes!$A$2:$A$3783, INSEE_Communes!$F$2:$F$3783, "code introuvable")</f>
        <v>non publié</v>
      </c>
    </row>
    <row r="2417">
      <c r="A2417" s="2" t="str">
        <f>Communes_HDF!A2417</f>
        <v>62316</v>
      </c>
      <c r="B2417" s="2" t="str">
        <f>Communes_HDF!B2417</f>
        <v>Estrée-Wamin</v>
      </c>
      <c r="C2417" s="2" t="str">
        <f t="array" ref="C2417">_xlfn.XLOOKUP(A2417, INSEE_Communes!$A$2:$A$3783, INSEE_Communes!$F$2:$F$3783, "code introuvable")</f>
        <v>non publié</v>
      </c>
    </row>
    <row r="2418">
      <c r="A2418" s="2" t="str">
        <f>Communes_HDF!A2418</f>
        <v>62315</v>
      </c>
      <c r="B2418" s="2" t="str">
        <f>Communes_HDF!B2418</f>
        <v>Estréelles</v>
      </c>
      <c r="C2418" s="2" t="str">
        <f t="array" ref="C2418">_xlfn.XLOOKUP(A2418, INSEE_Communes!$A$2:$A$3783, INSEE_Communes!$F$2:$F$3783, "code introuvable")</f>
        <v>non publié</v>
      </c>
    </row>
    <row r="2419">
      <c r="A2419" s="2" t="str">
        <f>Communes_HDF!A2419</f>
        <v>62322</v>
      </c>
      <c r="B2419" s="2" t="str">
        <f>Communes_HDF!B2419</f>
        <v>Famechon</v>
      </c>
      <c r="C2419" s="2" t="str">
        <f t="array" ref="C2419">_xlfn.XLOOKUP(A2419, INSEE_Communes!$A$2:$A$3783, INSEE_Communes!$F$2:$F$3783, "code introuvable")</f>
        <v>non publié</v>
      </c>
    </row>
    <row r="2420">
      <c r="A2420" s="2" t="str">
        <f>Communes_HDF!A2420</f>
        <v>62323</v>
      </c>
      <c r="B2420" s="2" t="str">
        <f>Communes_HDF!B2420</f>
        <v>Fampoux</v>
      </c>
      <c r="C2420" s="2" t="str">
        <f t="array" ref="C2420">_xlfn.XLOOKUP(A2420, INSEE_Communes!$A$2:$A$3783, INSEE_Communes!$F$2:$F$3783, "code introuvable")</f>
        <v>non publié</v>
      </c>
    </row>
    <row r="2421">
      <c r="A2421" s="2" t="str">
        <f>Communes_HDF!A2421</f>
        <v>62324</v>
      </c>
      <c r="B2421" s="2" t="str">
        <f>Communes_HDF!B2421</f>
        <v>Farbus</v>
      </c>
      <c r="C2421" s="2" t="str">
        <f t="array" ref="C2421">_xlfn.XLOOKUP(A2421, INSEE_Communes!$A$2:$A$3783, INSEE_Communes!$F$2:$F$3783, "code introuvable")</f>
        <v>non publié</v>
      </c>
    </row>
    <row r="2422">
      <c r="A2422" s="2" t="str">
        <f>Communes_HDF!A2422</f>
        <v>62325</v>
      </c>
      <c r="B2422" s="2" t="str">
        <f>Communes_HDF!B2422</f>
        <v>Fauquembergues</v>
      </c>
      <c r="C2422" s="2" t="str">
        <f t="array" ref="C2422">_xlfn.XLOOKUP(A2422, INSEE_Communes!$A$2:$A$3783, INSEE_Communes!$F$2:$F$3783, "code introuvable")</f>
        <v>non publié</v>
      </c>
    </row>
    <row r="2423">
      <c r="A2423" s="2" t="str">
        <f>Communes_HDF!A2423</f>
        <v>62326</v>
      </c>
      <c r="B2423" s="2" t="str">
        <f>Communes_HDF!B2423</f>
        <v>Favreuil</v>
      </c>
      <c r="C2423" s="2" t="str">
        <f t="array" ref="C2423">_xlfn.XLOOKUP(A2423, INSEE_Communes!$A$2:$A$3783, INSEE_Communes!$F$2:$F$3783, "code introuvable")</f>
        <v>non publié</v>
      </c>
    </row>
    <row r="2424">
      <c r="A2424" s="2" t="str">
        <f>Communes_HDF!A2424</f>
        <v>62327</v>
      </c>
      <c r="B2424" s="2" t="str">
        <f>Communes_HDF!B2424</f>
        <v>Febvin-Palfart</v>
      </c>
      <c r="C2424" s="2" t="str">
        <f t="array" ref="C2424">_xlfn.XLOOKUP(A2424, INSEE_Communes!$A$2:$A$3783, INSEE_Communes!$F$2:$F$3783, "code introuvable")</f>
        <v>non publié</v>
      </c>
    </row>
    <row r="2425">
      <c r="A2425" s="2" t="str">
        <f>Communes_HDF!A2425</f>
        <v>62328</v>
      </c>
      <c r="B2425" s="2" t="str">
        <f>Communes_HDF!B2425</f>
        <v>Ferfay</v>
      </c>
      <c r="C2425" s="2" t="str">
        <f t="array" ref="C2425">_xlfn.XLOOKUP(A2425, INSEE_Communes!$A$2:$A$3783, INSEE_Communes!$F$2:$F$3783, "code introuvable")</f>
        <v>non publié</v>
      </c>
    </row>
    <row r="2426">
      <c r="A2426" s="2" t="str">
        <f>Communes_HDF!A2426</f>
        <v>62329</v>
      </c>
      <c r="B2426" s="2" t="str">
        <f>Communes_HDF!B2426</f>
        <v>Ferques</v>
      </c>
      <c r="C2426" s="2" t="str">
        <f t="array" ref="C2426">_xlfn.XLOOKUP(A2426, INSEE_Communes!$A$2:$A$3783, INSEE_Communes!$F$2:$F$3783, "code introuvable")</f>
        <v>non publié</v>
      </c>
    </row>
    <row r="2427">
      <c r="A2427" s="2" t="str">
        <f>Communes_HDF!A2427</f>
        <v>62330</v>
      </c>
      <c r="B2427" s="2" t="str">
        <f>Communes_HDF!B2427</f>
        <v>Festubert</v>
      </c>
      <c r="C2427" s="2" t="str">
        <f t="array" ref="C2427">_xlfn.XLOOKUP(A2427, INSEE_Communes!$A$2:$A$3783, INSEE_Communes!$F$2:$F$3783, "code introuvable")</f>
        <v>non publié</v>
      </c>
    </row>
    <row r="2428">
      <c r="A2428" s="2" t="str">
        <f>Communes_HDF!A2428</f>
        <v>62331</v>
      </c>
      <c r="B2428" s="2" t="str">
        <f>Communes_HDF!B2428</f>
        <v>Feuchy</v>
      </c>
      <c r="C2428" s="2" t="str">
        <f t="array" ref="C2428">_xlfn.XLOOKUP(A2428, INSEE_Communes!$A$2:$A$3783, INSEE_Communes!$F$2:$F$3783, "code introuvable")</f>
        <v>non publié</v>
      </c>
    </row>
    <row r="2429">
      <c r="A2429" s="2" t="str">
        <f>Communes_HDF!A2429</f>
        <v>62332</v>
      </c>
      <c r="B2429" s="2" t="str">
        <f>Communes_HDF!B2429</f>
        <v>Ficheux</v>
      </c>
      <c r="C2429" s="2" t="str">
        <f t="array" ref="C2429">_xlfn.XLOOKUP(A2429, INSEE_Communes!$A$2:$A$3783, INSEE_Communes!$F$2:$F$3783, "code introuvable")</f>
        <v>non publié</v>
      </c>
    </row>
    <row r="2430">
      <c r="A2430" s="2" t="str">
        <f>Communes_HDF!A2430</f>
        <v>62333</v>
      </c>
      <c r="B2430" s="2" t="str">
        <f>Communes_HDF!B2430</f>
        <v>Fiefs</v>
      </c>
      <c r="C2430" s="2" t="str">
        <f t="array" ref="C2430">_xlfn.XLOOKUP(A2430, INSEE_Communes!$A$2:$A$3783, INSEE_Communes!$F$2:$F$3783, "code introuvable")</f>
        <v>non publié</v>
      </c>
    </row>
    <row r="2431">
      <c r="A2431" s="2" t="str">
        <f>Communes_HDF!A2431</f>
        <v>62334</v>
      </c>
      <c r="B2431" s="2" t="str">
        <f>Communes_HDF!B2431</f>
        <v>Fiennes</v>
      </c>
      <c r="C2431" s="2" t="str">
        <f t="array" ref="C2431">_xlfn.XLOOKUP(A2431, INSEE_Communes!$A$2:$A$3783, INSEE_Communes!$F$2:$F$3783, "code introuvable")</f>
        <v>non publié</v>
      </c>
    </row>
    <row r="2432">
      <c r="A2432" s="2" t="str">
        <f>Communes_HDF!A2432</f>
        <v>62335</v>
      </c>
      <c r="B2432" s="2" t="str">
        <f>Communes_HDF!B2432</f>
        <v>Fillièvres</v>
      </c>
      <c r="C2432" s="2" t="str">
        <f t="array" ref="C2432">_xlfn.XLOOKUP(A2432, INSEE_Communes!$A$2:$A$3783, INSEE_Communes!$F$2:$F$3783, "code introuvable")</f>
        <v>non publié</v>
      </c>
    </row>
    <row r="2433">
      <c r="A2433" s="2" t="str">
        <f>Communes_HDF!A2433</f>
        <v>62337</v>
      </c>
      <c r="B2433" s="2" t="str">
        <f>Communes_HDF!B2433</f>
        <v>Flers</v>
      </c>
      <c r="C2433" s="2" t="str">
        <f t="array" ref="C2433">_xlfn.XLOOKUP(A2433, INSEE_Communes!$A$2:$A$3783, INSEE_Communes!$F$2:$F$3783, "code introuvable")</f>
        <v>non publié</v>
      </c>
    </row>
    <row r="2434">
      <c r="A2434" s="2" t="str">
        <f>Communes_HDF!A2434</f>
        <v>62338</v>
      </c>
      <c r="B2434" s="2" t="str">
        <f>Communes_HDF!B2434</f>
        <v>Fleurbaix</v>
      </c>
      <c r="C2434" s="2">
        <f t="array" ref="C2434">_xlfn.XLOOKUP(A2434, INSEE_Communes!$A$2:$A$3783, INSEE_Communes!$F$2:$F$3783, "code introuvable")</f>
        <v>5</v>
      </c>
    </row>
    <row r="2435">
      <c r="A2435" s="2" t="str">
        <f>Communes_HDF!A2435</f>
        <v>62339</v>
      </c>
      <c r="B2435" s="2" t="str">
        <f>Communes_HDF!B2435</f>
        <v>Fleury</v>
      </c>
      <c r="C2435" s="2" t="str">
        <f t="array" ref="C2435">_xlfn.XLOOKUP(A2435, INSEE_Communes!$A$2:$A$3783, INSEE_Communes!$F$2:$F$3783, "code introuvable")</f>
        <v>non publié</v>
      </c>
    </row>
    <row r="2436">
      <c r="A2436" s="2" t="str">
        <f>Communes_HDF!A2436</f>
        <v>62340</v>
      </c>
      <c r="B2436" s="2" t="str">
        <f>Communes_HDF!B2436</f>
        <v>Floringhem</v>
      </c>
      <c r="C2436" s="2" t="str">
        <f t="array" ref="C2436">_xlfn.XLOOKUP(A2436, INSEE_Communes!$A$2:$A$3783, INSEE_Communes!$F$2:$F$3783, "code introuvable")</f>
        <v>non publié</v>
      </c>
    </row>
    <row r="2437">
      <c r="A2437" s="2" t="str">
        <f>Communes_HDF!A2437</f>
        <v>62336</v>
      </c>
      <c r="B2437" s="2" t="str">
        <f>Communes_HDF!B2437</f>
        <v>Fléchin</v>
      </c>
      <c r="C2437" s="2" t="str">
        <f t="array" ref="C2437">_xlfn.XLOOKUP(A2437, INSEE_Communes!$A$2:$A$3783, INSEE_Communes!$F$2:$F$3783, "code introuvable")</f>
        <v>non publié</v>
      </c>
    </row>
    <row r="2438">
      <c r="A2438" s="2" t="str">
        <f>Communes_HDF!A2438</f>
        <v>62341</v>
      </c>
      <c r="B2438" s="2" t="str">
        <f>Communes_HDF!B2438</f>
        <v>Foncquevillers</v>
      </c>
      <c r="C2438" s="2" t="str">
        <f t="array" ref="C2438">_xlfn.XLOOKUP(A2438, INSEE_Communes!$A$2:$A$3783, INSEE_Communes!$F$2:$F$3783, "code introuvable")</f>
        <v>non publié</v>
      </c>
    </row>
    <row r="2439">
      <c r="A2439" s="2" t="str">
        <f>Communes_HDF!A2439</f>
        <v>62345</v>
      </c>
      <c r="B2439" s="2" t="str">
        <f>Communes_HDF!B2439</f>
        <v>Fontaine-l'Étalon</v>
      </c>
      <c r="C2439" s="2" t="str">
        <f t="array" ref="C2439">_xlfn.XLOOKUP(A2439, INSEE_Communes!$A$2:$A$3783, INSEE_Communes!$F$2:$F$3783, "code introuvable")</f>
        <v>non publié</v>
      </c>
    </row>
    <row r="2440">
      <c r="A2440" s="2" t="str">
        <f>Communes_HDF!A2440</f>
        <v>62342</v>
      </c>
      <c r="B2440" s="2" t="str">
        <f>Communes_HDF!B2440</f>
        <v>Fontaine-lès-Boulans</v>
      </c>
      <c r="C2440" s="2" t="str">
        <f t="array" ref="C2440">_xlfn.XLOOKUP(A2440, INSEE_Communes!$A$2:$A$3783, INSEE_Communes!$F$2:$F$3783, "code introuvable")</f>
        <v>non publié</v>
      </c>
    </row>
    <row r="2441">
      <c r="A2441" s="2" t="str">
        <f>Communes_HDF!A2441</f>
        <v>62343</v>
      </c>
      <c r="B2441" s="2" t="str">
        <f>Communes_HDF!B2441</f>
        <v>Fontaine-lès-Croisilles</v>
      </c>
      <c r="C2441" s="2" t="str">
        <f t="array" ref="C2441">_xlfn.XLOOKUP(A2441, INSEE_Communes!$A$2:$A$3783, INSEE_Communes!$F$2:$F$3783, "code introuvable")</f>
        <v>non publié</v>
      </c>
    </row>
    <row r="2442">
      <c r="A2442" s="2" t="str">
        <f>Communes_HDF!A2442</f>
        <v>62344</v>
      </c>
      <c r="B2442" s="2" t="str">
        <f>Communes_HDF!B2442</f>
        <v>Fontaine-lès-Hermans</v>
      </c>
      <c r="C2442" s="2" t="str">
        <f t="array" ref="C2442">_xlfn.XLOOKUP(A2442, INSEE_Communes!$A$2:$A$3783, INSEE_Communes!$F$2:$F$3783, "code introuvable")</f>
        <v>non publié</v>
      </c>
    </row>
    <row r="2443">
      <c r="A2443" s="2" t="str">
        <f>Communes_HDF!A2443</f>
        <v>62346</v>
      </c>
      <c r="B2443" s="2" t="str">
        <f>Communes_HDF!B2443</f>
        <v>Fortel-en-Artois</v>
      </c>
      <c r="C2443" s="2" t="str">
        <f t="array" ref="C2443">_xlfn.XLOOKUP(A2443, INSEE_Communes!$A$2:$A$3783, INSEE_Communes!$F$2:$F$3783, "code introuvable")</f>
        <v>non publié</v>
      </c>
    </row>
    <row r="2444">
      <c r="A2444" s="2" t="str">
        <f>Communes_HDF!A2444</f>
        <v>62347</v>
      </c>
      <c r="B2444" s="2" t="str">
        <f>Communes_HDF!B2444</f>
        <v>Fosseux</v>
      </c>
      <c r="C2444" s="2" t="str">
        <f t="array" ref="C2444">_xlfn.XLOOKUP(A2444, INSEE_Communes!$A$2:$A$3783, INSEE_Communes!$F$2:$F$3783, "code introuvable")</f>
        <v>non publié</v>
      </c>
    </row>
    <row r="2445">
      <c r="A2445" s="2" t="str">
        <f>Communes_HDF!A2445</f>
        <v>62348</v>
      </c>
      <c r="B2445" s="2" t="str">
        <f>Communes_HDF!B2445</f>
        <v>Foufflin-Ricametz</v>
      </c>
      <c r="C2445" s="2" t="str">
        <f t="array" ref="C2445">_xlfn.XLOOKUP(A2445, INSEE_Communes!$A$2:$A$3783, INSEE_Communes!$F$2:$F$3783, "code introuvable")</f>
        <v>non publié</v>
      </c>
    </row>
    <row r="2446">
      <c r="A2446" s="2" t="str">
        <f>Communes_HDF!A2446</f>
        <v>62349</v>
      </c>
      <c r="B2446" s="2" t="str">
        <f>Communes_HDF!B2446</f>
        <v>Fouquereuil</v>
      </c>
      <c r="C2446" s="2" t="str">
        <f t="array" ref="C2446">_xlfn.XLOOKUP(A2446, INSEE_Communes!$A$2:$A$3783, INSEE_Communes!$F$2:$F$3783, "code introuvable")</f>
        <v>non publié</v>
      </c>
    </row>
    <row r="2447">
      <c r="A2447" s="2" t="str">
        <f>Communes_HDF!A2447</f>
        <v>62350</v>
      </c>
      <c r="B2447" s="2" t="str">
        <f>Communes_HDF!B2447</f>
        <v>Fouquières-lès-Béthune</v>
      </c>
      <c r="C2447" s="2" t="str">
        <f t="array" ref="C2447">_xlfn.XLOOKUP(A2447, INSEE_Communes!$A$2:$A$3783, INSEE_Communes!$F$2:$F$3783, "code introuvable")</f>
        <v>non publié</v>
      </c>
    </row>
    <row r="2448">
      <c r="A2448" s="2" t="str">
        <f>Communes_HDF!A2448</f>
        <v>62351</v>
      </c>
      <c r="B2448" s="2" t="str">
        <f>Communes_HDF!B2448</f>
        <v>Fouquières-lès-Lens</v>
      </c>
      <c r="C2448" s="2">
        <f t="array" ref="C2448">_xlfn.XLOOKUP(A2448, INSEE_Communes!$A$2:$A$3783, INSEE_Communes!$F$2:$F$3783, "code introuvable")</f>
        <v>25</v>
      </c>
    </row>
    <row r="2449">
      <c r="A2449" s="2" t="str">
        <f>Communes_HDF!A2449</f>
        <v>62352</v>
      </c>
      <c r="B2449" s="2" t="str">
        <f>Communes_HDF!B2449</f>
        <v>Framecourt</v>
      </c>
      <c r="C2449" s="2" t="str">
        <f t="array" ref="C2449">_xlfn.XLOOKUP(A2449, INSEE_Communes!$A$2:$A$3783, INSEE_Communes!$F$2:$F$3783, "code introuvable")</f>
        <v>non publié</v>
      </c>
    </row>
    <row r="2450">
      <c r="A2450" s="2" t="str">
        <f>Communes_HDF!A2450</f>
        <v>62354</v>
      </c>
      <c r="B2450" s="2" t="str">
        <f>Communes_HDF!B2450</f>
        <v>Frencq</v>
      </c>
      <c r="C2450" s="2" t="str">
        <f t="array" ref="C2450">_xlfn.XLOOKUP(A2450, INSEE_Communes!$A$2:$A$3783, INSEE_Communes!$F$2:$F$3783, "code introuvable")</f>
        <v>non publié</v>
      </c>
    </row>
    <row r="2451">
      <c r="A2451" s="2" t="str">
        <f>Communes_HDF!A2451</f>
        <v>62355</v>
      </c>
      <c r="B2451" s="2" t="str">
        <f>Communes_HDF!B2451</f>
        <v>Fresnes-lès-Montauban</v>
      </c>
      <c r="C2451" s="2" t="str">
        <f t="array" ref="C2451">_xlfn.XLOOKUP(A2451, INSEE_Communes!$A$2:$A$3783, INSEE_Communes!$F$2:$F$3783, "code introuvable")</f>
        <v>non publié</v>
      </c>
    </row>
    <row r="2452">
      <c r="A2452" s="2" t="str">
        <f>Communes_HDF!A2452</f>
        <v>62356</v>
      </c>
      <c r="B2452" s="2" t="str">
        <f>Communes_HDF!B2452</f>
        <v>Fresnicourt-le-Dolmen</v>
      </c>
      <c r="C2452" s="2" t="str">
        <f t="array" ref="C2452">_xlfn.XLOOKUP(A2452, INSEE_Communes!$A$2:$A$3783, INSEE_Communes!$F$2:$F$3783, "code introuvable")</f>
        <v>non publié</v>
      </c>
    </row>
    <row r="2453">
      <c r="A2453" s="2" t="str">
        <f>Communes_HDF!A2453</f>
        <v>62357</v>
      </c>
      <c r="B2453" s="2" t="str">
        <f>Communes_HDF!B2453</f>
        <v>Fresnoy</v>
      </c>
      <c r="C2453" s="2" t="str">
        <f t="array" ref="C2453">_xlfn.XLOOKUP(A2453, INSEE_Communes!$A$2:$A$3783, INSEE_Communes!$F$2:$F$3783, "code introuvable")</f>
        <v>non publié</v>
      </c>
    </row>
    <row r="2454">
      <c r="A2454" s="2" t="str">
        <f>Communes_HDF!A2454</f>
        <v>62358</v>
      </c>
      <c r="B2454" s="2" t="str">
        <f>Communes_HDF!B2454</f>
        <v>Fresnoy-en-Gohelle</v>
      </c>
      <c r="C2454" s="2" t="str">
        <f t="array" ref="C2454">_xlfn.XLOOKUP(A2454, INSEE_Communes!$A$2:$A$3783, INSEE_Communes!$F$2:$F$3783, "code introuvable")</f>
        <v>non publié</v>
      </c>
    </row>
    <row r="2455">
      <c r="A2455" s="2" t="str">
        <f>Communes_HDF!A2455</f>
        <v>62359</v>
      </c>
      <c r="B2455" s="2" t="str">
        <f>Communes_HDF!B2455</f>
        <v>Fressin</v>
      </c>
      <c r="C2455" s="2" t="str">
        <f t="array" ref="C2455">_xlfn.XLOOKUP(A2455, INSEE_Communes!$A$2:$A$3783, INSEE_Communes!$F$2:$F$3783, "code introuvable")</f>
        <v>non publié</v>
      </c>
    </row>
    <row r="2456">
      <c r="A2456" s="2" t="str">
        <f>Communes_HDF!A2456</f>
        <v>62364</v>
      </c>
      <c r="B2456" s="2" t="str">
        <f>Communes_HDF!B2456</f>
        <v>Fruges</v>
      </c>
      <c r="C2456" s="2">
        <f t="array" ref="C2456">_xlfn.XLOOKUP(A2456, INSEE_Communes!$A$2:$A$3783, INSEE_Communes!$F$2:$F$3783, "code introuvable")</f>
        <v>26</v>
      </c>
    </row>
    <row r="2457">
      <c r="A2457" s="2" t="str">
        <f>Communes_HDF!A2457</f>
        <v>62353</v>
      </c>
      <c r="B2457" s="2" t="str">
        <f>Communes_HDF!B2457</f>
        <v>Frémicourt</v>
      </c>
      <c r="C2457" s="2" t="str">
        <f t="array" ref="C2457">_xlfn.XLOOKUP(A2457, INSEE_Communes!$A$2:$A$3783, INSEE_Communes!$F$2:$F$3783, "code introuvable")</f>
        <v>non publié</v>
      </c>
    </row>
    <row r="2458">
      <c r="A2458" s="2" t="str">
        <f>Communes_HDF!A2458</f>
        <v>62360</v>
      </c>
      <c r="B2458" s="2" t="str">
        <f>Communes_HDF!B2458</f>
        <v>Fréthun</v>
      </c>
      <c r="C2458" s="2" t="str">
        <f t="array" ref="C2458">_xlfn.XLOOKUP(A2458, INSEE_Communes!$A$2:$A$3783, INSEE_Communes!$F$2:$F$3783, "code introuvable")</f>
        <v>non publié</v>
      </c>
    </row>
    <row r="2459">
      <c r="A2459" s="2" t="str">
        <f>Communes_HDF!A2459</f>
        <v>62361</v>
      </c>
      <c r="B2459" s="2" t="str">
        <f>Communes_HDF!B2459</f>
        <v>Frévent</v>
      </c>
      <c r="C2459" s="2">
        <f t="array" ref="C2459">_xlfn.XLOOKUP(A2459, INSEE_Communes!$A$2:$A$3783, INSEE_Communes!$F$2:$F$3783, "code introuvable")</f>
        <v>36</v>
      </c>
    </row>
    <row r="2460">
      <c r="A2460" s="2" t="str">
        <f>Communes_HDF!A2460</f>
        <v>62362</v>
      </c>
      <c r="B2460" s="2" t="str">
        <f>Communes_HDF!B2460</f>
        <v>Frévillers</v>
      </c>
      <c r="C2460" s="2" t="str">
        <f t="array" ref="C2460">_xlfn.XLOOKUP(A2460, INSEE_Communes!$A$2:$A$3783, INSEE_Communes!$F$2:$F$3783, "code introuvable")</f>
        <v>non publié</v>
      </c>
    </row>
    <row r="2461">
      <c r="A2461" s="2" t="str">
        <f>Communes_HDF!A2461</f>
        <v>62363</v>
      </c>
      <c r="B2461" s="2" t="str">
        <f>Communes_HDF!B2461</f>
        <v>Frévin-Capelle</v>
      </c>
      <c r="C2461" s="2" t="str">
        <f t="array" ref="C2461">_xlfn.XLOOKUP(A2461, INSEE_Communes!$A$2:$A$3783, INSEE_Communes!$F$2:$F$3783, "code introuvable")</f>
        <v>non publié</v>
      </c>
    </row>
    <row r="2462">
      <c r="A2462" s="2" t="str">
        <f>Communes_HDF!A2462</f>
        <v>62365</v>
      </c>
      <c r="B2462" s="2" t="str">
        <f>Communes_HDF!B2462</f>
        <v>Galametz</v>
      </c>
      <c r="C2462" s="2" t="str">
        <f t="array" ref="C2462">_xlfn.XLOOKUP(A2462, INSEE_Communes!$A$2:$A$3783, INSEE_Communes!$F$2:$F$3783, "code introuvable")</f>
        <v>non publié</v>
      </c>
    </row>
    <row r="2463">
      <c r="A2463" s="2" t="str">
        <f>Communes_HDF!A2463</f>
        <v>62366</v>
      </c>
      <c r="B2463" s="2" t="str">
        <f>Communes_HDF!B2463</f>
        <v>Gauchin-Légal</v>
      </c>
      <c r="C2463" s="2" t="str">
        <f t="array" ref="C2463">_xlfn.XLOOKUP(A2463, INSEE_Communes!$A$2:$A$3783, INSEE_Communes!$F$2:$F$3783, "code introuvable")</f>
        <v>non publié</v>
      </c>
    </row>
    <row r="2464">
      <c r="A2464" s="2" t="str">
        <f>Communes_HDF!A2464</f>
        <v>62367</v>
      </c>
      <c r="B2464" s="2" t="str">
        <f>Communes_HDF!B2464</f>
        <v>Gauchin-Verloingt</v>
      </c>
      <c r="C2464" s="2" t="str">
        <f t="array" ref="C2464">_xlfn.XLOOKUP(A2464, INSEE_Communes!$A$2:$A$3783, INSEE_Communes!$F$2:$F$3783, "code introuvable")</f>
        <v>non publié</v>
      </c>
    </row>
    <row r="2465">
      <c r="A2465" s="2" t="str">
        <f>Communes_HDF!A2465</f>
        <v>62368</v>
      </c>
      <c r="B2465" s="2" t="str">
        <f>Communes_HDF!B2465</f>
        <v>Gaudiempré</v>
      </c>
      <c r="C2465" s="2" t="str">
        <f t="array" ref="C2465">_xlfn.XLOOKUP(A2465, INSEE_Communes!$A$2:$A$3783, INSEE_Communes!$F$2:$F$3783, "code introuvable")</f>
        <v>non publié</v>
      </c>
    </row>
    <row r="2466">
      <c r="A2466" s="2" t="str">
        <f>Communes_HDF!A2466</f>
        <v>62369</v>
      </c>
      <c r="B2466" s="2" t="str">
        <f>Communes_HDF!B2466</f>
        <v>Gavrelle</v>
      </c>
      <c r="C2466" s="2" t="str">
        <f t="array" ref="C2466">_xlfn.XLOOKUP(A2466, INSEE_Communes!$A$2:$A$3783, INSEE_Communes!$F$2:$F$3783, "code introuvable")</f>
        <v>non publié</v>
      </c>
    </row>
    <row r="2467">
      <c r="A2467" s="2" t="str">
        <f>Communes_HDF!A2467</f>
        <v>62370</v>
      </c>
      <c r="B2467" s="2" t="str">
        <f>Communes_HDF!B2467</f>
        <v>Gennes-Ivergny</v>
      </c>
      <c r="C2467" s="2" t="str">
        <f t="array" ref="C2467">_xlfn.XLOOKUP(A2467, INSEE_Communes!$A$2:$A$3783, INSEE_Communes!$F$2:$F$3783, "code introuvable")</f>
        <v>non publié</v>
      </c>
    </row>
    <row r="2468">
      <c r="A2468" s="2" t="str">
        <f>Communes_HDF!A2468</f>
        <v>62371</v>
      </c>
      <c r="B2468" s="2" t="str">
        <f>Communes_HDF!B2468</f>
        <v>Givenchy-en-Gohelle</v>
      </c>
      <c r="C2468" s="2">
        <f t="array" ref="C2468">_xlfn.XLOOKUP(A2468, INSEE_Communes!$A$2:$A$3783, INSEE_Communes!$F$2:$F$3783, "code introuvable")</f>
        <v>8</v>
      </c>
    </row>
    <row r="2469">
      <c r="A2469" s="2" t="str">
        <f>Communes_HDF!A2469</f>
        <v>62372</v>
      </c>
      <c r="B2469" s="2" t="str">
        <f>Communes_HDF!B2469</f>
        <v>Givenchy-le-Noble</v>
      </c>
      <c r="C2469" s="2" t="str">
        <f t="array" ref="C2469">_xlfn.XLOOKUP(A2469, INSEE_Communes!$A$2:$A$3783, INSEE_Communes!$F$2:$F$3783, "code introuvable")</f>
        <v>non publié</v>
      </c>
    </row>
    <row r="2470">
      <c r="A2470" s="2" t="str">
        <f>Communes_HDF!A2470</f>
        <v>62373</v>
      </c>
      <c r="B2470" s="2" t="str">
        <f>Communes_HDF!B2470</f>
        <v>Givenchy-lès-la-Bassée</v>
      </c>
      <c r="C2470" s="2" t="str">
        <f t="array" ref="C2470">_xlfn.XLOOKUP(A2470, INSEE_Communes!$A$2:$A$3783, INSEE_Communes!$F$2:$F$3783, "code introuvable")</f>
        <v>non publié</v>
      </c>
    </row>
    <row r="2471">
      <c r="A2471" s="2" t="str">
        <f>Communes_HDF!A2471</f>
        <v>62374</v>
      </c>
      <c r="B2471" s="2" t="str">
        <f>Communes_HDF!B2471</f>
        <v>Gomiécourt</v>
      </c>
      <c r="C2471" s="2" t="str">
        <f t="array" ref="C2471">_xlfn.XLOOKUP(A2471, INSEE_Communes!$A$2:$A$3783, INSEE_Communes!$F$2:$F$3783, "code introuvable")</f>
        <v>non publié</v>
      </c>
    </row>
    <row r="2472">
      <c r="A2472" s="2" t="str">
        <f>Communes_HDF!A2472</f>
        <v>62375</v>
      </c>
      <c r="B2472" s="2" t="str">
        <f>Communes_HDF!B2472</f>
        <v>Gommecourt</v>
      </c>
      <c r="C2472" s="2" t="str">
        <f t="array" ref="C2472">_xlfn.XLOOKUP(A2472, INSEE_Communes!$A$2:$A$3783, INSEE_Communes!$F$2:$F$3783, "code introuvable")</f>
        <v>non publié</v>
      </c>
    </row>
    <row r="2473">
      <c r="A2473" s="2" t="str">
        <f>Communes_HDF!A2473</f>
        <v>62376</v>
      </c>
      <c r="B2473" s="2" t="str">
        <f>Communes_HDF!B2473</f>
        <v>Gonnehem</v>
      </c>
      <c r="C2473" s="2">
        <f t="array" ref="C2473">_xlfn.XLOOKUP(A2473, INSEE_Communes!$A$2:$A$3783, INSEE_Communes!$F$2:$F$3783, "code introuvable")</f>
        <v>9</v>
      </c>
    </row>
    <row r="2474">
      <c r="A2474" s="2" t="str">
        <f>Communes_HDF!A2474</f>
        <v>62377</v>
      </c>
      <c r="B2474" s="2" t="str">
        <f>Communes_HDF!B2474</f>
        <v>Gosnay</v>
      </c>
      <c r="C2474" s="2" t="str">
        <f t="array" ref="C2474">_xlfn.XLOOKUP(A2474, INSEE_Communes!$A$2:$A$3783, INSEE_Communes!$F$2:$F$3783, "code introuvable")</f>
        <v>non publié</v>
      </c>
    </row>
    <row r="2475">
      <c r="A2475" s="2" t="str">
        <f>Communes_HDF!A2475</f>
        <v>62378</v>
      </c>
      <c r="B2475" s="2" t="str">
        <f>Communes_HDF!B2475</f>
        <v>Gouves</v>
      </c>
      <c r="C2475" s="2" t="str">
        <f t="array" ref="C2475">_xlfn.XLOOKUP(A2475, INSEE_Communes!$A$2:$A$3783, INSEE_Communes!$F$2:$F$3783, "code introuvable")</f>
        <v>non publié</v>
      </c>
    </row>
    <row r="2476">
      <c r="A2476" s="2" t="str">
        <f>Communes_HDF!A2476</f>
        <v>62382</v>
      </c>
      <c r="B2476" s="2" t="str">
        <f>Communes_HDF!B2476</f>
        <v>Gouy-Saint-André</v>
      </c>
      <c r="C2476" s="2" t="str">
        <f t="array" ref="C2476">_xlfn.XLOOKUP(A2476, INSEE_Communes!$A$2:$A$3783, INSEE_Communes!$F$2:$F$3783, "code introuvable")</f>
        <v>non publié</v>
      </c>
    </row>
    <row r="2477">
      <c r="A2477" s="2" t="str">
        <f>Communes_HDF!A2477</f>
        <v>62380</v>
      </c>
      <c r="B2477" s="2" t="str">
        <f>Communes_HDF!B2477</f>
        <v>Gouy-Servins</v>
      </c>
      <c r="C2477" s="2" t="str">
        <f t="array" ref="C2477">_xlfn.XLOOKUP(A2477, INSEE_Communes!$A$2:$A$3783, INSEE_Communes!$F$2:$F$3783, "code introuvable")</f>
        <v>non publié</v>
      </c>
    </row>
    <row r="2478">
      <c r="A2478" s="2" t="str">
        <f>Communes_HDF!A2478</f>
        <v>62379</v>
      </c>
      <c r="B2478" s="2" t="str">
        <f>Communes_HDF!B2478</f>
        <v>Gouy-en-Artois</v>
      </c>
      <c r="C2478" s="2" t="str">
        <f t="array" ref="C2478">_xlfn.XLOOKUP(A2478, INSEE_Communes!$A$2:$A$3783, INSEE_Communes!$F$2:$F$3783, "code introuvable")</f>
        <v>non publié</v>
      </c>
    </row>
    <row r="2479">
      <c r="A2479" s="2" t="str">
        <f>Communes_HDF!A2479</f>
        <v>62381</v>
      </c>
      <c r="B2479" s="2" t="str">
        <f>Communes_HDF!B2479</f>
        <v>Gouy-en-Ternois</v>
      </c>
      <c r="C2479" s="2" t="str">
        <f t="array" ref="C2479">_xlfn.XLOOKUP(A2479, INSEE_Communes!$A$2:$A$3783, INSEE_Communes!$F$2:$F$3783, "code introuvable")</f>
        <v>non publié</v>
      </c>
    </row>
    <row r="2480">
      <c r="A2480" s="2" t="str">
        <f>Communes_HDF!A2480</f>
        <v>62383</v>
      </c>
      <c r="B2480" s="2" t="str">
        <f>Communes_HDF!B2480</f>
        <v>Gouy-sous-Bellonne</v>
      </c>
      <c r="C2480" s="2" t="str">
        <f t="array" ref="C2480">_xlfn.XLOOKUP(A2480, INSEE_Communes!$A$2:$A$3783, INSEE_Communes!$F$2:$F$3783, "code introuvable")</f>
        <v>non publié</v>
      </c>
    </row>
    <row r="2481">
      <c r="A2481" s="2" t="str">
        <f>Communes_HDF!A2481</f>
        <v>62384</v>
      </c>
      <c r="B2481" s="2" t="str">
        <f>Communes_HDF!B2481</f>
        <v>Graincourt-lès-Havrincourt</v>
      </c>
      <c r="C2481" s="2" t="str">
        <f t="array" ref="C2481">_xlfn.XLOOKUP(A2481, INSEE_Communes!$A$2:$A$3783, INSEE_Communes!$F$2:$F$3783, "code introuvable")</f>
        <v>non publié</v>
      </c>
    </row>
    <row r="2482">
      <c r="A2482" s="2" t="str">
        <f>Communes_HDF!A2482</f>
        <v>62385</v>
      </c>
      <c r="B2482" s="2" t="str">
        <f>Communes_HDF!B2482</f>
        <v>Grand-Rullecourt</v>
      </c>
      <c r="C2482" s="2" t="str">
        <f t="array" ref="C2482">_xlfn.XLOOKUP(A2482, INSEE_Communes!$A$2:$A$3783, INSEE_Communes!$F$2:$F$3783, "code introuvable")</f>
        <v>non publié</v>
      </c>
    </row>
    <row r="2483">
      <c r="A2483" s="2" t="str">
        <f>Communes_HDF!A2483</f>
        <v>62386</v>
      </c>
      <c r="B2483" s="2" t="str">
        <f>Communes_HDF!B2483</f>
        <v>Grenay</v>
      </c>
      <c r="C2483" s="2">
        <f t="array" ref="C2483">_xlfn.XLOOKUP(A2483, INSEE_Communes!$A$2:$A$3783, INSEE_Communes!$F$2:$F$3783, "code introuvable")</f>
        <v>31</v>
      </c>
    </row>
    <row r="2484">
      <c r="A2484" s="2" t="str">
        <f>Communes_HDF!A2484</f>
        <v>62388</v>
      </c>
      <c r="B2484" s="2" t="str">
        <f>Communes_HDF!B2484</f>
        <v>Grigny</v>
      </c>
      <c r="C2484" s="2" t="str">
        <f t="array" ref="C2484">_xlfn.XLOOKUP(A2484, INSEE_Communes!$A$2:$A$3783, INSEE_Communes!$F$2:$F$3783, "code introuvable")</f>
        <v>non publié</v>
      </c>
    </row>
    <row r="2485">
      <c r="A2485" s="2" t="str">
        <f>Communes_HDF!A2485</f>
        <v>62389</v>
      </c>
      <c r="B2485" s="2" t="str">
        <f>Communes_HDF!B2485</f>
        <v>Grincourt-lès-Pas</v>
      </c>
      <c r="C2485" s="2" t="str">
        <f t="array" ref="C2485">_xlfn.XLOOKUP(A2485, INSEE_Communes!$A$2:$A$3783, INSEE_Communes!$F$2:$F$3783, "code introuvable")</f>
        <v>non publié</v>
      </c>
    </row>
    <row r="2486">
      <c r="A2486" s="2" t="str">
        <f>Communes_HDF!A2486</f>
        <v>62390</v>
      </c>
      <c r="B2486" s="2" t="str">
        <f>Communes_HDF!B2486</f>
        <v>Groffliers</v>
      </c>
      <c r="C2486" s="2" t="str">
        <f t="array" ref="C2486">_xlfn.XLOOKUP(A2486, INSEE_Communes!$A$2:$A$3783, INSEE_Communes!$F$2:$F$3783, "code introuvable")</f>
        <v>non publié</v>
      </c>
    </row>
    <row r="2487">
      <c r="A2487" s="2" t="str">
        <f>Communes_HDF!A2487</f>
        <v>62387</v>
      </c>
      <c r="B2487" s="2" t="str">
        <f>Communes_HDF!B2487</f>
        <v>Grévillers</v>
      </c>
      <c r="C2487" s="2" t="str">
        <f t="array" ref="C2487">_xlfn.XLOOKUP(A2487, INSEE_Communes!$A$2:$A$3783, INSEE_Communes!$F$2:$F$3783, "code introuvable")</f>
        <v>non publié</v>
      </c>
    </row>
    <row r="2488">
      <c r="A2488" s="2" t="str">
        <f>Communes_HDF!A2488</f>
        <v>62391</v>
      </c>
      <c r="B2488" s="2" t="str">
        <f>Communes_HDF!B2488</f>
        <v>Guarbecque</v>
      </c>
      <c r="C2488" s="2" t="str">
        <f t="array" ref="C2488">_xlfn.XLOOKUP(A2488, INSEE_Communes!$A$2:$A$3783, INSEE_Communes!$F$2:$F$3783, "code introuvable")</f>
        <v>non publié</v>
      </c>
    </row>
    <row r="2489">
      <c r="A2489" s="2" t="str">
        <f>Communes_HDF!A2489</f>
        <v>62393</v>
      </c>
      <c r="B2489" s="2" t="str">
        <f>Communes_HDF!B2489</f>
        <v>Guemps</v>
      </c>
      <c r="C2489" s="2" t="str">
        <f t="array" ref="C2489">_xlfn.XLOOKUP(A2489, INSEE_Communes!$A$2:$A$3783, INSEE_Communes!$F$2:$F$3783, "code introuvable")</f>
        <v>non publié</v>
      </c>
    </row>
    <row r="2490">
      <c r="A2490" s="2" t="str">
        <f>Communes_HDF!A2490</f>
        <v>62395</v>
      </c>
      <c r="B2490" s="2" t="str">
        <f>Communes_HDF!B2490</f>
        <v>Guigny</v>
      </c>
      <c r="C2490" s="2" t="str">
        <f t="array" ref="C2490">_xlfn.XLOOKUP(A2490, INSEE_Communes!$A$2:$A$3783, INSEE_Communes!$F$2:$F$3783, "code introuvable")</f>
        <v>non publié</v>
      </c>
    </row>
    <row r="2491">
      <c r="A2491" s="2" t="str">
        <f>Communes_HDF!A2491</f>
        <v>62396</v>
      </c>
      <c r="B2491" s="2" t="str">
        <f>Communes_HDF!B2491</f>
        <v>Guinecourt</v>
      </c>
      <c r="C2491" s="2" t="str">
        <f t="array" ref="C2491">_xlfn.XLOOKUP(A2491, INSEE_Communes!$A$2:$A$3783, INSEE_Communes!$F$2:$F$3783, "code introuvable")</f>
        <v>non publié</v>
      </c>
    </row>
    <row r="2492">
      <c r="A2492" s="2" t="str">
        <f>Communes_HDF!A2492</f>
        <v>62398</v>
      </c>
      <c r="B2492" s="2" t="str">
        <f>Communes_HDF!B2492</f>
        <v>Guisy</v>
      </c>
      <c r="C2492" s="2" t="str">
        <f t="array" ref="C2492">_xlfn.XLOOKUP(A2492, INSEE_Communes!$A$2:$A$3783, INSEE_Communes!$F$2:$F$3783, "code introuvable")</f>
        <v>non publié</v>
      </c>
    </row>
    <row r="2493">
      <c r="A2493" s="2" t="str">
        <f>Communes_HDF!A2493</f>
        <v>62392</v>
      </c>
      <c r="B2493" s="2" t="str">
        <f>Communes_HDF!B2493</f>
        <v>Guémappe</v>
      </c>
      <c r="C2493" s="2" t="str">
        <f t="array" ref="C2493">_xlfn.XLOOKUP(A2493, INSEE_Communes!$A$2:$A$3783, INSEE_Communes!$F$2:$F$3783, "code introuvable")</f>
        <v>non publié</v>
      </c>
    </row>
    <row r="2494">
      <c r="A2494" s="2" t="str">
        <f>Communes_HDF!A2494</f>
        <v>62397</v>
      </c>
      <c r="B2494" s="2" t="str">
        <f>Communes_HDF!B2494</f>
        <v>Guînes</v>
      </c>
      <c r="C2494" s="2">
        <f t="array" ref="C2494">_xlfn.XLOOKUP(A2494, INSEE_Communes!$A$2:$A$3783, INSEE_Communes!$F$2:$F$3783, "code introuvable")</f>
        <v>21</v>
      </c>
    </row>
    <row r="2495">
      <c r="A2495" s="2" t="str">
        <f>Communes_HDF!A2495</f>
        <v>62399</v>
      </c>
      <c r="B2495" s="2" t="str">
        <f>Communes_HDF!B2495</f>
        <v>Habarcq</v>
      </c>
      <c r="C2495" s="2" t="str">
        <f t="array" ref="C2495">_xlfn.XLOOKUP(A2495, INSEE_Communes!$A$2:$A$3783, INSEE_Communes!$F$2:$F$3783, "code introuvable")</f>
        <v>non publié</v>
      </c>
    </row>
    <row r="2496">
      <c r="A2496" s="2" t="str">
        <f>Communes_HDF!A2496</f>
        <v>62400</v>
      </c>
      <c r="B2496" s="2" t="str">
        <f>Communes_HDF!B2496</f>
        <v>Haillicourt</v>
      </c>
      <c r="C2496" s="2">
        <f t="array" ref="C2496">_xlfn.XLOOKUP(A2496, INSEE_Communes!$A$2:$A$3783, INSEE_Communes!$F$2:$F$3783, "code introuvable")</f>
        <v>24</v>
      </c>
    </row>
    <row r="2497">
      <c r="A2497" s="2" t="str">
        <f>Communes_HDF!A2497</f>
        <v>62401</v>
      </c>
      <c r="B2497" s="2" t="str">
        <f>Communes_HDF!B2497</f>
        <v>Haisnes</v>
      </c>
      <c r="C2497" s="2">
        <f t="array" ref="C2497">_xlfn.XLOOKUP(A2497, INSEE_Communes!$A$2:$A$3783, INSEE_Communes!$F$2:$F$3783, "code introuvable")</f>
        <v>18</v>
      </c>
    </row>
    <row r="2498">
      <c r="A2498" s="2" t="str">
        <f>Communes_HDF!A2498</f>
        <v>62402</v>
      </c>
      <c r="B2498" s="2" t="str">
        <f>Communes_HDF!B2498</f>
        <v>Halinghen</v>
      </c>
      <c r="C2498" s="2" t="str">
        <f t="array" ref="C2498">_xlfn.XLOOKUP(A2498, INSEE_Communes!$A$2:$A$3783, INSEE_Communes!$F$2:$F$3783, "code introuvable")</f>
        <v>non publié</v>
      </c>
    </row>
    <row r="2499">
      <c r="A2499" s="2" t="str">
        <f>Communes_HDF!A2499</f>
        <v>62403</v>
      </c>
      <c r="B2499" s="2" t="str">
        <f>Communes_HDF!B2499</f>
        <v>Hallines</v>
      </c>
      <c r="C2499" s="2" t="str">
        <f t="array" ref="C2499">_xlfn.XLOOKUP(A2499, INSEE_Communes!$A$2:$A$3783, INSEE_Communes!$F$2:$F$3783, "code introuvable")</f>
        <v>non publié</v>
      </c>
    </row>
    <row r="2500">
      <c r="A2500" s="2" t="str">
        <f>Communes_HDF!A2500</f>
        <v>62404</v>
      </c>
      <c r="B2500" s="2" t="str">
        <f>Communes_HDF!B2500</f>
        <v>Halloy</v>
      </c>
      <c r="C2500" s="2" t="str">
        <f t="array" ref="C2500">_xlfn.XLOOKUP(A2500, INSEE_Communes!$A$2:$A$3783, INSEE_Communes!$F$2:$F$3783, "code introuvable")</f>
        <v>non publié</v>
      </c>
    </row>
    <row r="2501">
      <c r="A2501" s="2" t="str">
        <f>Communes_HDF!A2501</f>
        <v>62407</v>
      </c>
      <c r="B2501" s="2" t="str">
        <f>Communes_HDF!B2501</f>
        <v>Ham-en-Artois</v>
      </c>
      <c r="C2501" s="2" t="str">
        <f t="array" ref="C2501">_xlfn.XLOOKUP(A2501, INSEE_Communes!$A$2:$A$3783, INSEE_Communes!$F$2:$F$3783, "code introuvable")</f>
        <v>non publié</v>
      </c>
    </row>
    <row r="2502">
      <c r="A2502" s="2" t="str">
        <f>Communes_HDF!A2502</f>
        <v>62405</v>
      </c>
      <c r="B2502" s="2" t="str">
        <f>Communes_HDF!B2502</f>
        <v>Hamblain-les-Prés</v>
      </c>
      <c r="C2502" s="2" t="str">
        <f t="array" ref="C2502">_xlfn.XLOOKUP(A2502, INSEE_Communes!$A$2:$A$3783, INSEE_Communes!$F$2:$F$3783, "code introuvable")</f>
        <v>non publié</v>
      </c>
    </row>
    <row r="2503">
      <c r="A2503" s="2" t="str">
        <f>Communes_HDF!A2503</f>
        <v>62406</v>
      </c>
      <c r="B2503" s="2" t="str">
        <f>Communes_HDF!B2503</f>
        <v>Hamelincourt</v>
      </c>
      <c r="C2503" s="2" t="str">
        <f t="array" ref="C2503">_xlfn.XLOOKUP(A2503, INSEE_Communes!$A$2:$A$3783, INSEE_Communes!$F$2:$F$3783, "code introuvable")</f>
        <v>non publié</v>
      </c>
    </row>
    <row r="2504">
      <c r="A2504" s="2" t="str">
        <f>Communes_HDF!A2504</f>
        <v>62408</v>
      </c>
      <c r="B2504" s="2" t="str">
        <f>Communes_HDF!B2504</f>
        <v>Hames-Boucres</v>
      </c>
      <c r="C2504" s="2" t="str">
        <f t="array" ref="C2504">_xlfn.XLOOKUP(A2504, INSEE_Communes!$A$2:$A$3783, INSEE_Communes!$F$2:$F$3783, "code introuvable")</f>
        <v>non publié</v>
      </c>
    </row>
    <row r="2505">
      <c r="A2505" s="2" t="str">
        <f>Communes_HDF!A2505</f>
        <v>62409</v>
      </c>
      <c r="B2505" s="2" t="str">
        <f>Communes_HDF!B2505</f>
        <v>Hannescamps</v>
      </c>
      <c r="C2505" s="2" t="str">
        <f t="array" ref="C2505">_xlfn.XLOOKUP(A2505, INSEE_Communes!$A$2:$A$3783, INSEE_Communes!$F$2:$F$3783, "code introuvable")</f>
        <v>non publié</v>
      </c>
    </row>
    <row r="2506">
      <c r="A2506" s="2" t="str">
        <f>Communes_HDF!A2506</f>
        <v>62410</v>
      </c>
      <c r="B2506" s="2" t="str">
        <f>Communes_HDF!B2506</f>
        <v>Haplincourt</v>
      </c>
      <c r="C2506" s="2" t="str">
        <f t="array" ref="C2506">_xlfn.XLOOKUP(A2506, INSEE_Communes!$A$2:$A$3783, INSEE_Communes!$F$2:$F$3783, "code introuvable")</f>
        <v>non publié</v>
      </c>
    </row>
    <row r="2507">
      <c r="A2507" s="2" t="str">
        <f>Communes_HDF!A2507</f>
        <v>62411</v>
      </c>
      <c r="B2507" s="2" t="str">
        <f>Communes_HDF!B2507</f>
        <v>Haravesnes</v>
      </c>
      <c r="C2507" s="2" t="str">
        <f t="array" ref="C2507">_xlfn.XLOOKUP(A2507, INSEE_Communes!$A$2:$A$3783, INSEE_Communes!$F$2:$F$3783, "code introuvable")</f>
        <v>non publié</v>
      </c>
    </row>
    <row r="2508">
      <c r="A2508" s="2" t="str">
        <f>Communes_HDF!A2508</f>
        <v>62412</v>
      </c>
      <c r="B2508" s="2" t="str">
        <f>Communes_HDF!B2508</f>
        <v>Hardinghen</v>
      </c>
      <c r="C2508" s="2" t="str">
        <f t="array" ref="C2508">_xlfn.XLOOKUP(A2508, INSEE_Communes!$A$2:$A$3783, INSEE_Communes!$F$2:$F$3783, "code introuvable")</f>
        <v>non publié</v>
      </c>
    </row>
    <row r="2509">
      <c r="A2509" s="2" t="str">
        <f>Communes_HDF!A2509</f>
        <v>62413</v>
      </c>
      <c r="B2509" s="2" t="str">
        <f>Communes_HDF!B2509</f>
        <v>Harnes</v>
      </c>
      <c r="C2509" s="2">
        <f t="array" ref="C2509">_xlfn.XLOOKUP(A2509, INSEE_Communes!$A$2:$A$3783, INSEE_Communes!$F$2:$F$3783, "code introuvable")</f>
        <v>27</v>
      </c>
    </row>
    <row r="2510">
      <c r="A2510" s="2" t="str">
        <f>Communes_HDF!A2510</f>
        <v>62414</v>
      </c>
      <c r="B2510" s="2" t="str">
        <f>Communes_HDF!B2510</f>
        <v>Haucourt</v>
      </c>
      <c r="C2510" s="2" t="str">
        <f t="array" ref="C2510">_xlfn.XLOOKUP(A2510, INSEE_Communes!$A$2:$A$3783, INSEE_Communes!$F$2:$F$3783, "code introuvable")</f>
        <v>non publié</v>
      </c>
    </row>
    <row r="2511">
      <c r="A2511" s="2" t="str">
        <f>Communes_HDF!A2511</f>
        <v>62419</v>
      </c>
      <c r="B2511" s="2" t="str">
        <f>Communes_HDF!B2511</f>
        <v>Haut-Loquin</v>
      </c>
      <c r="C2511" s="2" t="str">
        <f t="array" ref="C2511">_xlfn.XLOOKUP(A2511, INSEE_Communes!$A$2:$A$3783, INSEE_Communes!$F$2:$F$3783, "code introuvable")</f>
        <v>non publié</v>
      </c>
    </row>
    <row r="2512">
      <c r="A2512" s="2" t="str">
        <f>Communes_HDF!A2512</f>
        <v>62415</v>
      </c>
      <c r="B2512" s="2" t="str">
        <f>Communes_HDF!B2512</f>
        <v>Haute-Avesnes</v>
      </c>
      <c r="C2512" s="2" t="str">
        <f t="array" ref="C2512">_xlfn.XLOOKUP(A2512, INSEE_Communes!$A$2:$A$3783, INSEE_Communes!$F$2:$F$3783, "code introuvable")</f>
        <v>non publié</v>
      </c>
    </row>
    <row r="2513">
      <c r="A2513" s="2" t="str">
        <f>Communes_HDF!A2513</f>
        <v>62416</v>
      </c>
      <c r="B2513" s="2" t="str">
        <f>Communes_HDF!B2513</f>
        <v>Hautecloque</v>
      </c>
      <c r="C2513" s="2" t="str">
        <f t="array" ref="C2513">_xlfn.XLOOKUP(A2513, INSEE_Communes!$A$2:$A$3783, INSEE_Communes!$F$2:$F$3783, "code introuvable")</f>
        <v>non publié</v>
      </c>
    </row>
    <row r="2514">
      <c r="A2514" s="2" t="str">
        <f>Communes_HDF!A2514</f>
        <v>62418</v>
      </c>
      <c r="B2514" s="2" t="str">
        <f>Communes_HDF!B2514</f>
        <v>Hauteville</v>
      </c>
      <c r="C2514" s="2" t="str">
        <f t="array" ref="C2514">_xlfn.XLOOKUP(A2514, INSEE_Communes!$A$2:$A$3783, INSEE_Communes!$F$2:$F$3783, "code introuvable")</f>
        <v>non publié</v>
      </c>
    </row>
    <row r="2515">
      <c r="A2515" s="2" t="str">
        <f>Communes_HDF!A2515</f>
        <v>62421</v>
      </c>
      <c r="B2515" s="2" t="str">
        <f>Communes_HDF!B2515</f>
        <v>Havrincourt</v>
      </c>
      <c r="C2515" s="2" t="str">
        <f t="array" ref="C2515">_xlfn.XLOOKUP(A2515, INSEE_Communes!$A$2:$A$3783, INSEE_Communes!$F$2:$F$3783, "code introuvable")</f>
        <v>non publié</v>
      </c>
    </row>
    <row r="2516">
      <c r="A2516" s="2" t="str">
        <f>Communes_HDF!A2516</f>
        <v>62423</v>
      </c>
      <c r="B2516" s="2" t="str">
        <f>Communes_HDF!B2516</f>
        <v>Helfaut</v>
      </c>
      <c r="C2516" s="2" t="str">
        <f t="array" ref="C2516">_xlfn.XLOOKUP(A2516, INSEE_Communes!$A$2:$A$3783, INSEE_Communes!$F$2:$F$3783, "code introuvable")</f>
        <v>non publié</v>
      </c>
    </row>
    <row r="2517">
      <c r="A2517" s="2" t="str">
        <f>Communes_HDF!A2517</f>
        <v>62424</v>
      </c>
      <c r="B2517" s="2" t="str">
        <f>Communes_HDF!B2517</f>
        <v>Hendecourt-lès-Cagnicourt</v>
      </c>
      <c r="C2517" s="2" t="str">
        <f t="array" ref="C2517">_xlfn.XLOOKUP(A2517, INSEE_Communes!$A$2:$A$3783, INSEE_Communes!$F$2:$F$3783, "code introuvable")</f>
        <v>non publié</v>
      </c>
    </row>
    <row r="2518">
      <c r="A2518" s="2" t="str">
        <f>Communes_HDF!A2518</f>
        <v>62425</v>
      </c>
      <c r="B2518" s="2" t="str">
        <f>Communes_HDF!B2518</f>
        <v>Hendecourt-lès-Ransart</v>
      </c>
      <c r="C2518" s="2" t="str">
        <f t="array" ref="C2518">_xlfn.XLOOKUP(A2518, INSEE_Communes!$A$2:$A$3783, INSEE_Communes!$F$2:$F$3783, "code introuvable")</f>
        <v>non publié</v>
      </c>
    </row>
    <row r="2519">
      <c r="A2519" s="2" t="str">
        <f>Communes_HDF!A2519</f>
        <v>62429</v>
      </c>
      <c r="B2519" s="2" t="str">
        <f>Communes_HDF!B2519</f>
        <v>Henneveux</v>
      </c>
      <c r="C2519" s="2" t="str">
        <f t="array" ref="C2519">_xlfn.XLOOKUP(A2519, INSEE_Communes!$A$2:$A$3783, INSEE_Communes!$F$2:$F$3783, "code introuvable")</f>
        <v>non publié</v>
      </c>
    </row>
    <row r="2520">
      <c r="A2520" s="2" t="str">
        <f>Communes_HDF!A2520</f>
        <v>62432</v>
      </c>
      <c r="B2520" s="2" t="str">
        <f>Communes_HDF!B2520</f>
        <v>Herbinghen</v>
      </c>
      <c r="C2520" s="2" t="str">
        <f t="array" ref="C2520">_xlfn.XLOOKUP(A2520, INSEE_Communes!$A$2:$A$3783, INSEE_Communes!$F$2:$F$3783, "code introuvable")</f>
        <v>non publié</v>
      </c>
    </row>
    <row r="2521">
      <c r="A2521" s="2" t="str">
        <f>Communes_HDF!A2521</f>
        <v>62436</v>
      </c>
      <c r="B2521" s="2" t="str">
        <f>Communes_HDF!B2521</f>
        <v>Herlin-le-Sec</v>
      </c>
      <c r="C2521" s="2" t="str">
        <f t="array" ref="C2521">_xlfn.XLOOKUP(A2521, INSEE_Communes!$A$2:$A$3783, INSEE_Communes!$F$2:$F$3783, "code introuvable")</f>
        <v>non publié</v>
      </c>
    </row>
    <row r="2522">
      <c r="A2522" s="2" t="str">
        <f>Communes_HDF!A2522</f>
        <v>62435</v>
      </c>
      <c r="B2522" s="2" t="str">
        <f>Communes_HDF!B2522</f>
        <v>Herlincourt</v>
      </c>
      <c r="C2522" s="2" t="str">
        <f t="array" ref="C2522">_xlfn.XLOOKUP(A2522, INSEE_Communes!$A$2:$A$3783, INSEE_Communes!$F$2:$F$3783, "code introuvable")</f>
        <v>non publié</v>
      </c>
    </row>
    <row r="2523">
      <c r="A2523" s="2" t="str">
        <f>Communes_HDF!A2523</f>
        <v>62437</v>
      </c>
      <c r="B2523" s="2" t="str">
        <f>Communes_HDF!B2523</f>
        <v>Herly</v>
      </c>
      <c r="C2523" s="2" t="str">
        <f t="array" ref="C2523">_xlfn.XLOOKUP(A2523, INSEE_Communes!$A$2:$A$3783, INSEE_Communes!$F$2:$F$3783, "code introuvable")</f>
        <v>non publié</v>
      </c>
    </row>
    <row r="2524">
      <c r="A2524" s="2" t="str">
        <f>Communes_HDF!A2524</f>
        <v>62438</v>
      </c>
      <c r="B2524" s="2" t="str">
        <f>Communes_HDF!B2524</f>
        <v>Hermaville</v>
      </c>
      <c r="C2524" s="2" t="str">
        <f t="array" ref="C2524">_xlfn.XLOOKUP(A2524, INSEE_Communes!$A$2:$A$3783, INSEE_Communes!$F$2:$F$3783, "code introuvable")</f>
        <v>non publié</v>
      </c>
    </row>
    <row r="2525">
      <c r="A2525" s="2" t="str">
        <f>Communes_HDF!A2525</f>
        <v>62439</v>
      </c>
      <c r="B2525" s="2" t="str">
        <f>Communes_HDF!B2525</f>
        <v>Hermelinghen</v>
      </c>
      <c r="C2525" s="2" t="str">
        <f t="array" ref="C2525">_xlfn.XLOOKUP(A2525, INSEE_Communes!$A$2:$A$3783, INSEE_Communes!$F$2:$F$3783, "code introuvable")</f>
        <v>non publié</v>
      </c>
    </row>
    <row r="2526">
      <c r="A2526" s="2" t="str">
        <f>Communes_HDF!A2526</f>
        <v>62440</v>
      </c>
      <c r="B2526" s="2" t="str">
        <f>Communes_HDF!B2526</f>
        <v>Hermies</v>
      </c>
      <c r="C2526" s="2" t="str">
        <f t="array" ref="C2526">_xlfn.XLOOKUP(A2526, INSEE_Communes!$A$2:$A$3783, INSEE_Communes!$F$2:$F$3783, "code introuvable")</f>
        <v>non publié</v>
      </c>
    </row>
    <row r="2527">
      <c r="A2527" s="2" t="str">
        <f>Communes_HDF!A2527</f>
        <v>62441</v>
      </c>
      <c r="B2527" s="2" t="str">
        <f>Communes_HDF!B2527</f>
        <v>Hermin</v>
      </c>
      <c r="C2527" s="2" t="str">
        <f t="array" ref="C2527">_xlfn.XLOOKUP(A2527, INSEE_Communes!$A$2:$A$3783, INSEE_Communes!$F$2:$F$3783, "code introuvable")</f>
        <v>non publié</v>
      </c>
    </row>
    <row r="2528">
      <c r="A2528" s="2" t="str">
        <f>Communes_HDF!A2528</f>
        <v>62442</v>
      </c>
      <c r="B2528" s="2" t="str">
        <f>Communes_HDF!B2528</f>
        <v>Hernicourt</v>
      </c>
      <c r="C2528" s="2" t="str">
        <f t="array" ref="C2528">_xlfn.XLOOKUP(A2528, INSEE_Communes!$A$2:$A$3783, INSEE_Communes!$F$2:$F$3783, "code introuvable")</f>
        <v>non publié</v>
      </c>
    </row>
    <row r="2529">
      <c r="A2529" s="2" t="str">
        <f>Communes_HDF!A2529</f>
        <v>62443</v>
      </c>
      <c r="B2529" s="2" t="str">
        <f>Communes_HDF!B2529</f>
        <v>Hersin-Coupigny</v>
      </c>
      <c r="C2529" s="2">
        <f t="array" ref="C2529">_xlfn.XLOOKUP(A2529, INSEE_Communes!$A$2:$A$3783, INSEE_Communes!$F$2:$F$3783, "code introuvable")</f>
        <v>22</v>
      </c>
    </row>
    <row r="2530">
      <c r="A2530" s="2" t="str">
        <f>Communes_HDF!A2530</f>
        <v>62444</v>
      </c>
      <c r="B2530" s="2" t="str">
        <f>Communes_HDF!B2530</f>
        <v>Hervelinghen</v>
      </c>
      <c r="C2530" s="2" t="str">
        <f t="array" ref="C2530">_xlfn.XLOOKUP(A2530, INSEE_Communes!$A$2:$A$3783, INSEE_Communes!$F$2:$F$3783, "code introuvable")</f>
        <v>non publié</v>
      </c>
    </row>
    <row r="2531">
      <c r="A2531" s="2" t="str">
        <f>Communes_HDF!A2531</f>
        <v>62446</v>
      </c>
      <c r="B2531" s="2" t="str">
        <f>Communes_HDF!B2531</f>
        <v>Hesdigneul-lès-Boulogne</v>
      </c>
      <c r="C2531" s="2" t="str">
        <f t="array" ref="C2531">_xlfn.XLOOKUP(A2531, INSEE_Communes!$A$2:$A$3783, INSEE_Communes!$F$2:$F$3783, "code introuvable")</f>
        <v>non publié</v>
      </c>
    </row>
    <row r="2532">
      <c r="A2532" s="2" t="str">
        <f>Communes_HDF!A2532</f>
        <v>62445</v>
      </c>
      <c r="B2532" s="2" t="str">
        <f>Communes_HDF!B2532</f>
        <v>Hesdigneul-lès-Béthune</v>
      </c>
      <c r="C2532" s="2" t="str">
        <f t="array" ref="C2532">_xlfn.XLOOKUP(A2532, INSEE_Communes!$A$2:$A$3783, INSEE_Communes!$F$2:$F$3783, "code introuvable")</f>
        <v>non publié</v>
      </c>
    </row>
    <row r="2533">
      <c r="A2533" s="2" t="str">
        <f>Communes_HDF!A2533</f>
        <v>62448</v>
      </c>
      <c r="B2533" s="2" t="str">
        <f>Communes_HDF!B2533</f>
        <v>Hesdin-l'Abbé</v>
      </c>
      <c r="C2533" s="2" t="str">
        <f t="array" ref="C2533">_xlfn.XLOOKUP(A2533, INSEE_Communes!$A$2:$A$3783, INSEE_Communes!$F$2:$F$3783, "code introuvable")</f>
        <v>non publié</v>
      </c>
    </row>
    <row r="2534">
      <c r="A2534" s="2" t="str">
        <f>Communes_HDF!A2534</f>
        <v>62447</v>
      </c>
      <c r="B2534" s="2" t="str">
        <f>Communes_HDF!B2534</f>
        <v>Hesdin-la-Forêt</v>
      </c>
      <c r="C2534" s="2">
        <f t="array" ref="C2534">_xlfn.XLOOKUP(A2534, INSEE_Communes!$A$2:$A$3783, INSEE_Communes!$F$2:$F$3783, "code introuvable")</f>
        <v>26</v>
      </c>
    </row>
    <row r="2535">
      <c r="A2535" s="2" t="str">
        <f>Communes_HDF!A2535</f>
        <v>62449</v>
      </c>
      <c r="B2535" s="2" t="str">
        <f>Communes_HDF!B2535</f>
        <v>Hesmond</v>
      </c>
      <c r="C2535" s="2" t="str">
        <f t="array" ref="C2535">_xlfn.XLOOKUP(A2535, INSEE_Communes!$A$2:$A$3783, INSEE_Communes!$F$2:$F$3783, "code introuvable")</f>
        <v>non publié</v>
      </c>
    </row>
    <row r="2536">
      <c r="A2536" s="2" t="str">
        <f>Communes_HDF!A2536</f>
        <v>62450</v>
      </c>
      <c r="B2536" s="2" t="str">
        <f>Communes_HDF!B2536</f>
        <v>Hestrus</v>
      </c>
      <c r="C2536" s="2" t="str">
        <f t="array" ref="C2536">_xlfn.XLOOKUP(A2536, INSEE_Communes!$A$2:$A$3783, INSEE_Communes!$F$2:$F$3783, "code introuvable")</f>
        <v>non publié</v>
      </c>
    </row>
    <row r="2537">
      <c r="A2537" s="2" t="str">
        <f>Communes_HDF!A2537</f>
        <v>62451</v>
      </c>
      <c r="B2537" s="2" t="str">
        <f>Communes_HDF!B2537</f>
        <v>Heuchin</v>
      </c>
      <c r="C2537" s="2" t="str">
        <f t="array" ref="C2537">_xlfn.XLOOKUP(A2537, INSEE_Communes!$A$2:$A$3783, INSEE_Communes!$F$2:$F$3783, "code introuvable")</f>
        <v>non publié</v>
      </c>
    </row>
    <row r="2538">
      <c r="A2538" s="2" t="str">
        <f>Communes_HDF!A2538</f>
        <v>62452</v>
      </c>
      <c r="B2538" s="2" t="str">
        <f>Communes_HDF!B2538</f>
        <v>Heuringhem</v>
      </c>
      <c r="C2538" s="2" t="str">
        <f t="array" ref="C2538">_xlfn.XLOOKUP(A2538, INSEE_Communes!$A$2:$A$3783, INSEE_Communes!$F$2:$F$3783, "code introuvable")</f>
        <v>non publié</v>
      </c>
    </row>
    <row r="2539">
      <c r="A2539" s="2" t="str">
        <f>Communes_HDF!A2539</f>
        <v>62454</v>
      </c>
      <c r="B2539" s="2" t="str">
        <f>Communes_HDF!B2539</f>
        <v>Hinges</v>
      </c>
      <c r="C2539" s="2">
        <f t="array" ref="C2539">_xlfn.XLOOKUP(A2539, INSEE_Communes!$A$2:$A$3783, INSEE_Communes!$F$2:$F$3783, "code introuvable")</f>
        <v>5</v>
      </c>
    </row>
    <row r="2540">
      <c r="A2540" s="2" t="str">
        <f>Communes_HDF!A2540</f>
        <v>62455</v>
      </c>
      <c r="B2540" s="2" t="str">
        <f>Communes_HDF!B2540</f>
        <v>Hocquinghen</v>
      </c>
      <c r="C2540" s="2" t="str">
        <f t="array" ref="C2540">_xlfn.XLOOKUP(A2540, INSEE_Communes!$A$2:$A$3783, INSEE_Communes!$F$2:$F$3783, "code introuvable")</f>
        <v>non publié</v>
      </c>
    </row>
    <row r="2541">
      <c r="A2541" s="2" t="str">
        <f>Communes_HDF!A2541</f>
        <v>62456</v>
      </c>
      <c r="B2541" s="2" t="str">
        <f>Communes_HDF!B2541</f>
        <v>Houchin</v>
      </c>
      <c r="C2541" s="2" t="str">
        <f t="array" ref="C2541">_xlfn.XLOOKUP(A2541, INSEE_Communes!$A$2:$A$3783, INSEE_Communes!$F$2:$F$3783, "code introuvable")</f>
        <v>non publié</v>
      </c>
    </row>
    <row r="2542">
      <c r="A2542" s="2" t="str">
        <f>Communes_HDF!A2542</f>
        <v>62457</v>
      </c>
      <c r="B2542" s="2" t="str">
        <f>Communes_HDF!B2542</f>
        <v>Houdain</v>
      </c>
      <c r="C2542" s="2">
        <f t="array" ref="C2542">_xlfn.XLOOKUP(A2542, INSEE_Communes!$A$2:$A$3783, INSEE_Communes!$F$2:$F$3783, "code introuvable")</f>
        <v>22</v>
      </c>
    </row>
    <row r="2543">
      <c r="A2543" s="2" t="str">
        <f>Communes_HDF!A2543</f>
        <v>62458</v>
      </c>
      <c r="B2543" s="2" t="str">
        <f>Communes_HDF!B2543</f>
        <v>Houlle</v>
      </c>
      <c r="C2543" s="2" t="str">
        <f t="array" ref="C2543">_xlfn.XLOOKUP(A2543, INSEE_Communes!$A$2:$A$3783, INSEE_Communes!$F$2:$F$3783, "code introuvable")</f>
        <v>non publié</v>
      </c>
    </row>
    <row r="2544">
      <c r="A2544" s="2" t="str">
        <f>Communes_HDF!A2544</f>
        <v>62459</v>
      </c>
      <c r="B2544" s="2" t="str">
        <f>Communes_HDF!B2544</f>
        <v>Houvin-Houvigneul</v>
      </c>
      <c r="C2544" s="2" t="str">
        <f t="array" ref="C2544">_xlfn.XLOOKUP(A2544, INSEE_Communes!$A$2:$A$3783, INSEE_Communes!$F$2:$F$3783, "code introuvable")</f>
        <v>non publié</v>
      </c>
    </row>
    <row r="2545">
      <c r="A2545" s="2" t="str">
        <f>Communes_HDF!A2545</f>
        <v>62460</v>
      </c>
      <c r="B2545" s="2" t="str">
        <f>Communes_HDF!B2545</f>
        <v>Hubersent</v>
      </c>
      <c r="C2545" s="2" t="str">
        <f t="array" ref="C2545">_xlfn.XLOOKUP(A2545, INSEE_Communes!$A$2:$A$3783, INSEE_Communes!$F$2:$F$3783, "code introuvable")</f>
        <v>non publié</v>
      </c>
    </row>
    <row r="2546">
      <c r="A2546" s="2" t="str">
        <f>Communes_HDF!A2546</f>
        <v>62462</v>
      </c>
      <c r="B2546" s="2" t="str">
        <f>Communes_HDF!B2546</f>
        <v>Huclier</v>
      </c>
      <c r="C2546" s="2" t="str">
        <f t="array" ref="C2546">_xlfn.XLOOKUP(A2546, INSEE_Communes!$A$2:$A$3783, INSEE_Communes!$F$2:$F$3783, "code introuvable")</f>
        <v>non publié</v>
      </c>
    </row>
    <row r="2547">
      <c r="A2547" s="2" t="str">
        <f>Communes_HDF!A2547</f>
        <v>62463</v>
      </c>
      <c r="B2547" s="2" t="str">
        <f>Communes_HDF!B2547</f>
        <v>Hucqueliers</v>
      </c>
      <c r="C2547" s="2" t="str">
        <f t="array" ref="C2547">_xlfn.XLOOKUP(A2547, INSEE_Communes!$A$2:$A$3783, INSEE_Communes!$F$2:$F$3783, "code introuvable")</f>
        <v>non publié</v>
      </c>
    </row>
    <row r="2548">
      <c r="A2548" s="2" t="str">
        <f>Communes_HDF!A2548</f>
        <v>62464</v>
      </c>
      <c r="B2548" s="2" t="str">
        <f>Communes_HDF!B2548</f>
        <v>Hulluch</v>
      </c>
      <c r="C2548" s="2">
        <f t="array" ref="C2548">_xlfn.XLOOKUP(A2548, INSEE_Communes!$A$2:$A$3783, INSEE_Communes!$F$2:$F$3783, "code introuvable")</f>
        <v>18</v>
      </c>
    </row>
    <row r="2549">
      <c r="A2549" s="2" t="str">
        <f>Communes_HDF!A2549</f>
        <v>62465</v>
      </c>
      <c r="B2549" s="2" t="str">
        <f>Communes_HDF!B2549</f>
        <v>Humbercamps</v>
      </c>
      <c r="C2549" s="2" t="str">
        <f t="array" ref="C2549">_xlfn.XLOOKUP(A2549, INSEE_Communes!$A$2:$A$3783, INSEE_Communes!$F$2:$F$3783, "code introuvable")</f>
        <v>non publié</v>
      </c>
    </row>
    <row r="2550">
      <c r="A2550" s="2" t="str">
        <f>Communes_HDF!A2550</f>
        <v>62466</v>
      </c>
      <c r="B2550" s="2" t="str">
        <f>Communes_HDF!B2550</f>
        <v>Humbert</v>
      </c>
      <c r="C2550" s="2" t="str">
        <f t="array" ref="C2550">_xlfn.XLOOKUP(A2550, INSEE_Communes!$A$2:$A$3783, INSEE_Communes!$F$2:$F$3783, "code introuvable")</f>
        <v>non publié</v>
      </c>
    </row>
    <row r="2551">
      <c r="A2551" s="2" t="str">
        <f>Communes_HDF!A2551</f>
        <v>62467</v>
      </c>
      <c r="B2551" s="2" t="str">
        <f>Communes_HDF!B2551</f>
        <v>Humerœuille</v>
      </c>
      <c r="C2551" s="2" t="str">
        <f t="array" ref="C2551">_xlfn.XLOOKUP(A2551, INSEE_Communes!$A$2:$A$3783, INSEE_Communes!$F$2:$F$3783, "code introuvable")</f>
        <v>non publié</v>
      </c>
    </row>
    <row r="2552">
      <c r="A2552" s="2" t="str">
        <f>Communes_HDF!A2552</f>
        <v>62468</v>
      </c>
      <c r="B2552" s="2" t="str">
        <f>Communes_HDF!B2552</f>
        <v>Humières</v>
      </c>
      <c r="C2552" s="2" t="str">
        <f t="array" ref="C2552">_xlfn.XLOOKUP(A2552, INSEE_Communes!$A$2:$A$3783, INSEE_Communes!$F$2:$F$3783, "code introuvable")</f>
        <v>non publié</v>
      </c>
    </row>
    <row r="2553">
      <c r="A2553" s="2" t="str">
        <f>Communes_HDF!A2553</f>
        <v>62422</v>
      </c>
      <c r="B2553" s="2" t="str">
        <f>Communes_HDF!B2553</f>
        <v>Hébuterne</v>
      </c>
      <c r="C2553" s="2" t="str">
        <f t="array" ref="C2553">_xlfn.XLOOKUP(A2553, INSEE_Communes!$A$2:$A$3783, INSEE_Communes!$F$2:$F$3783, "code introuvable")</f>
        <v>non publié</v>
      </c>
    </row>
    <row r="2554">
      <c r="A2554" s="2" t="str">
        <f>Communes_HDF!A2554</f>
        <v>62427</v>
      </c>
      <c r="B2554" s="2" t="str">
        <f>Communes_HDF!B2554</f>
        <v>Hénin-Beaumont</v>
      </c>
      <c r="C2554" s="2">
        <f t="array" ref="C2554">_xlfn.XLOOKUP(A2554, INSEE_Communes!$A$2:$A$3783, INSEE_Communes!$F$2:$F$3783, "code introuvable")</f>
        <v>25.7</v>
      </c>
    </row>
    <row r="2555">
      <c r="A2555" s="2" t="str">
        <f>Communes_HDF!A2555</f>
        <v>62428</v>
      </c>
      <c r="B2555" s="2" t="str">
        <f>Communes_HDF!B2555</f>
        <v>Hénin-sur-Cojeul</v>
      </c>
      <c r="C2555" s="2" t="str">
        <f t="array" ref="C2555">_xlfn.XLOOKUP(A2555, INSEE_Communes!$A$2:$A$3783, INSEE_Communes!$F$2:$F$3783, "code introuvable")</f>
        <v>non publié</v>
      </c>
    </row>
    <row r="2556">
      <c r="A2556" s="2" t="str">
        <f>Communes_HDF!A2556</f>
        <v>62426</v>
      </c>
      <c r="B2556" s="2" t="str">
        <f>Communes_HDF!B2556</f>
        <v>Héninel</v>
      </c>
      <c r="C2556" s="2" t="str">
        <f t="array" ref="C2556">_xlfn.XLOOKUP(A2556, INSEE_Communes!$A$2:$A$3783, INSEE_Communes!$F$2:$F$3783, "code introuvable")</f>
        <v>non publié</v>
      </c>
    </row>
    <row r="2557">
      <c r="A2557" s="2" t="str">
        <f>Communes_HDF!A2557</f>
        <v>62430</v>
      </c>
      <c r="B2557" s="2" t="str">
        <f>Communes_HDF!B2557</f>
        <v>Hénu</v>
      </c>
      <c r="C2557" s="2" t="str">
        <f t="array" ref="C2557">_xlfn.XLOOKUP(A2557, INSEE_Communes!$A$2:$A$3783, INSEE_Communes!$F$2:$F$3783, "code introuvable")</f>
        <v>non publié</v>
      </c>
    </row>
    <row r="2558">
      <c r="A2558" s="2" t="str">
        <f>Communes_HDF!A2558</f>
        <v>62433</v>
      </c>
      <c r="B2558" s="2" t="str">
        <f>Communes_HDF!B2558</f>
        <v>Héricourt</v>
      </c>
      <c r="C2558" s="2" t="str">
        <f t="array" ref="C2558">_xlfn.XLOOKUP(A2558, INSEE_Communes!$A$2:$A$3783, INSEE_Communes!$F$2:$F$3783, "code introuvable")</f>
        <v>non publié</v>
      </c>
    </row>
    <row r="2559">
      <c r="A2559" s="2" t="str">
        <f>Communes_HDF!A2559</f>
        <v>62453</v>
      </c>
      <c r="B2559" s="2" t="str">
        <f>Communes_HDF!B2559</f>
        <v>Hézecques</v>
      </c>
      <c r="C2559" s="2" t="str">
        <f t="array" ref="C2559">_xlfn.XLOOKUP(A2559, INSEE_Communes!$A$2:$A$3783, INSEE_Communes!$F$2:$F$3783, "code introuvable")</f>
        <v>non publié</v>
      </c>
    </row>
    <row r="2560">
      <c r="A2560" s="2" t="str">
        <f>Communes_HDF!A2560</f>
        <v>62469</v>
      </c>
      <c r="B2560" s="2" t="str">
        <f>Communes_HDF!B2560</f>
        <v>Inchy-en-Artois</v>
      </c>
      <c r="C2560" s="2" t="str">
        <f t="array" ref="C2560">_xlfn.XLOOKUP(A2560, INSEE_Communes!$A$2:$A$3783, INSEE_Communes!$F$2:$F$3783, "code introuvable")</f>
        <v>non publié</v>
      </c>
    </row>
    <row r="2561">
      <c r="A2561" s="2" t="str">
        <f>Communes_HDF!A2561</f>
        <v>62470</v>
      </c>
      <c r="B2561" s="2" t="str">
        <f>Communes_HDF!B2561</f>
        <v>Incourt</v>
      </c>
      <c r="C2561" s="2" t="str">
        <f t="array" ref="C2561">_xlfn.XLOOKUP(A2561, INSEE_Communes!$A$2:$A$3783, INSEE_Communes!$F$2:$F$3783, "code introuvable")</f>
        <v>non publié</v>
      </c>
    </row>
    <row r="2562">
      <c r="A2562" s="2" t="str">
        <f>Communes_HDF!A2562</f>
        <v>62472</v>
      </c>
      <c r="B2562" s="2" t="str">
        <f>Communes_HDF!B2562</f>
        <v>Inxent</v>
      </c>
      <c r="C2562" s="2" t="str">
        <f t="array" ref="C2562">_xlfn.XLOOKUP(A2562, INSEE_Communes!$A$2:$A$3783, INSEE_Communes!$F$2:$F$3783, "code introuvable")</f>
        <v>non publié</v>
      </c>
    </row>
    <row r="2563">
      <c r="A2563" s="2" t="str">
        <f>Communes_HDF!A2563</f>
        <v>62473</v>
      </c>
      <c r="B2563" s="2" t="str">
        <f>Communes_HDF!B2563</f>
        <v>Isbergues</v>
      </c>
      <c r="C2563" s="2">
        <f t="array" ref="C2563">_xlfn.XLOOKUP(A2563, INSEE_Communes!$A$2:$A$3783, INSEE_Communes!$F$2:$F$3783, "code introuvable")</f>
        <v>18</v>
      </c>
    </row>
    <row r="2564">
      <c r="A2564" s="2" t="str">
        <f>Communes_HDF!A2564</f>
        <v>62474</v>
      </c>
      <c r="B2564" s="2" t="str">
        <f>Communes_HDF!B2564</f>
        <v>Isques</v>
      </c>
      <c r="C2564" s="2" t="str">
        <f t="array" ref="C2564">_xlfn.XLOOKUP(A2564, INSEE_Communes!$A$2:$A$3783, INSEE_Communes!$F$2:$F$3783, "code introuvable")</f>
        <v>non publié</v>
      </c>
    </row>
    <row r="2565">
      <c r="A2565" s="2" t="str">
        <f>Communes_HDF!A2565</f>
        <v>62475</v>
      </c>
      <c r="B2565" s="2" t="str">
        <f>Communes_HDF!B2565</f>
        <v>Ivergny</v>
      </c>
      <c r="C2565" s="2" t="str">
        <f t="array" ref="C2565">_xlfn.XLOOKUP(A2565, INSEE_Communes!$A$2:$A$3783, INSEE_Communes!$F$2:$F$3783, "code introuvable")</f>
        <v>non publié</v>
      </c>
    </row>
    <row r="2566">
      <c r="A2566" s="2" t="str">
        <f>Communes_HDF!A2566</f>
        <v>62477</v>
      </c>
      <c r="B2566" s="2" t="str">
        <f>Communes_HDF!B2566</f>
        <v>Izel-lès-Hameau</v>
      </c>
      <c r="C2566" s="2" t="str">
        <f t="array" ref="C2566">_xlfn.XLOOKUP(A2566, INSEE_Communes!$A$2:$A$3783, INSEE_Communes!$F$2:$F$3783, "code introuvable")</f>
        <v>non publié</v>
      </c>
    </row>
    <row r="2567">
      <c r="A2567" s="2" t="str">
        <f>Communes_HDF!A2567</f>
        <v>62476</v>
      </c>
      <c r="B2567" s="2" t="str">
        <f>Communes_HDF!B2567</f>
        <v>Izel-lès-Équerchin</v>
      </c>
      <c r="C2567" s="2" t="str">
        <f t="array" ref="C2567">_xlfn.XLOOKUP(A2567, INSEE_Communes!$A$2:$A$3783, INSEE_Communes!$F$2:$F$3783, "code introuvable")</f>
        <v>non publié</v>
      </c>
    </row>
    <row r="2568">
      <c r="A2568" s="2" t="str">
        <f>Communes_HDF!A2568</f>
        <v>62478</v>
      </c>
      <c r="B2568" s="2" t="str">
        <f>Communes_HDF!B2568</f>
        <v>Journy</v>
      </c>
      <c r="C2568" s="2" t="str">
        <f t="array" ref="C2568">_xlfn.XLOOKUP(A2568, INSEE_Communes!$A$2:$A$3783, INSEE_Communes!$F$2:$F$3783, "code introuvable")</f>
        <v>non publié</v>
      </c>
    </row>
    <row r="2569">
      <c r="A2569" s="2" t="str">
        <f>Communes_HDF!A2569</f>
        <v>62196</v>
      </c>
      <c r="B2569" s="2" t="str">
        <f>Communes_HDF!B2569</f>
        <v>La Calotterie</v>
      </c>
      <c r="C2569" s="2" t="str">
        <f t="array" ref="C2569">_xlfn.XLOOKUP(A2569, INSEE_Communes!$A$2:$A$3783, INSEE_Communes!$F$2:$F$3783, "code introuvable")</f>
        <v>non publié</v>
      </c>
    </row>
    <row r="2570">
      <c r="A2570" s="2" t="str">
        <f>Communes_HDF!A2570</f>
        <v>62908</v>
      </c>
      <c r="B2570" s="2" t="str">
        <f>Communes_HDF!B2570</f>
        <v>La Capelle-lès-Boulogne</v>
      </c>
      <c r="C2570" s="2" t="str">
        <f t="array" ref="C2570">_xlfn.XLOOKUP(A2570, INSEE_Communes!$A$2:$A$3783, INSEE_Communes!$F$2:$F$3783, "code introuvable")</f>
        <v>non publié</v>
      </c>
    </row>
    <row r="2571">
      <c r="A2571" s="2" t="str">
        <f>Communes_HDF!A2571</f>
        <v>62216</v>
      </c>
      <c r="B2571" s="2" t="str">
        <f>Communes_HDF!B2571</f>
        <v>La Cauchie</v>
      </c>
      <c r="C2571" s="2" t="str">
        <f t="array" ref="C2571">_xlfn.XLOOKUP(A2571, INSEE_Communes!$A$2:$A$3783, INSEE_Communes!$F$2:$F$3783, "code introuvable")</f>
        <v>non publié</v>
      </c>
    </row>
    <row r="2572">
      <c r="A2572" s="2" t="str">
        <f>Communes_HDF!A2572</f>
        <v>62232</v>
      </c>
      <c r="B2572" s="2" t="str">
        <f>Communes_HDF!B2572</f>
        <v>La Comté</v>
      </c>
      <c r="C2572" s="2" t="str">
        <f t="array" ref="C2572">_xlfn.XLOOKUP(A2572, INSEE_Communes!$A$2:$A$3783, INSEE_Communes!$F$2:$F$3783, "code introuvable")</f>
        <v>non publié</v>
      </c>
    </row>
    <row r="2573">
      <c r="A2573" s="2" t="str">
        <f>Communes_HDF!A2573</f>
        <v>62252</v>
      </c>
      <c r="B2573" s="2" t="str">
        <f>Communes_HDF!B2573</f>
        <v>La Couture</v>
      </c>
      <c r="C2573" s="2">
        <f t="array" ref="C2573">_xlfn.XLOOKUP(A2573, INSEE_Communes!$A$2:$A$3783, INSEE_Communes!$F$2:$F$3783, "code introuvable")</f>
        <v>8</v>
      </c>
    </row>
    <row r="2574">
      <c r="A2574" s="2" t="str">
        <f>Communes_HDF!A2574</f>
        <v>62434</v>
      </c>
      <c r="B2574" s="2" t="str">
        <f>Communes_HDF!B2574</f>
        <v>La Herlière</v>
      </c>
      <c r="C2574" s="2" t="str">
        <f t="array" ref="C2574">_xlfn.XLOOKUP(A2574, INSEE_Communes!$A$2:$A$3783, INSEE_Communes!$F$2:$F$3783, "code introuvable")</f>
        <v>non publié</v>
      </c>
    </row>
    <row r="2575">
      <c r="A2575" s="2" t="str">
        <f>Communes_HDF!A2575</f>
        <v>62521</v>
      </c>
      <c r="B2575" s="2" t="str">
        <f>Communes_HDF!B2575</f>
        <v>La Loge</v>
      </c>
      <c r="C2575" s="2" t="str">
        <f t="array" ref="C2575">_xlfn.XLOOKUP(A2575, INSEE_Communes!$A$2:$A$3783, INSEE_Communes!$F$2:$F$3783, "code introuvable")</f>
        <v>non publié</v>
      </c>
    </row>
    <row r="2576">
      <c r="A2576" s="2" t="str">
        <f>Communes_HDF!A2576</f>
        <v>62535</v>
      </c>
      <c r="B2576" s="2" t="str">
        <f>Communes_HDF!B2576</f>
        <v>La Madelaine-sous-Montreuil</v>
      </c>
      <c r="C2576" s="2" t="str">
        <f t="array" ref="C2576">_xlfn.XLOOKUP(A2576, INSEE_Communes!$A$2:$A$3783, INSEE_Communes!$F$2:$F$3783, "code introuvable")</f>
        <v>non publié</v>
      </c>
    </row>
    <row r="2577">
      <c r="A2577" s="2" t="str">
        <f>Communes_HDF!A2577</f>
        <v>62813</v>
      </c>
      <c r="B2577" s="2" t="str">
        <f>Communes_HDF!B2577</f>
        <v>La Thieuloye</v>
      </c>
      <c r="C2577" s="2" t="str">
        <f t="array" ref="C2577">_xlfn.XLOOKUP(A2577, INSEE_Communes!$A$2:$A$3783, INSEE_Communes!$F$2:$F$3783, "code introuvable")</f>
        <v>non publié</v>
      </c>
    </row>
    <row r="2578">
      <c r="A2578" s="2" t="str">
        <f>Communes_HDF!A2578</f>
        <v>62479</v>
      </c>
      <c r="B2578" s="2" t="str">
        <f>Communes_HDF!B2578</f>
        <v>Labeuvrière</v>
      </c>
      <c r="C2578" s="2" t="str">
        <f t="array" ref="C2578">_xlfn.XLOOKUP(A2578, INSEE_Communes!$A$2:$A$3783, INSEE_Communes!$F$2:$F$3783, "code introuvable")</f>
        <v>non publié</v>
      </c>
    </row>
    <row r="2579">
      <c r="A2579" s="2" t="str">
        <f>Communes_HDF!A2579</f>
        <v>62480</v>
      </c>
      <c r="B2579" s="2" t="str">
        <f>Communes_HDF!B2579</f>
        <v>Labourse</v>
      </c>
      <c r="C2579" s="2">
        <f t="array" ref="C2579">_xlfn.XLOOKUP(A2579, INSEE_Communes!$A$2:$A$3783, INSEE_Communes!$F$2:$F$3783, "code introuvable")</f>
        <v>15</v>
      </c>
    </row>
    <row r="2580">
      <c r="A2580" s="2" t="str">
        <f>Communes_HDF!A2580</f>
        <v>62481</v>
      </c>
      <c r="B2580" s="2" t="str">
        <f>Communes_HDF!B2580</f>
        <v>Labroye</v>
      </c>
      <c r="C2580" s="2" t="str">
        <f t="array" ref="C2580">_xlfn.XLOOKUP(A2580, INSEE_Communes!$A$2:$A$3783, INSEE_Communes!$F$2:$F$3783, "code introuvable")</f>
        <v>non publié</v>
      </c>
    </row>
    <row r="2581">
      <c r="A2581" s="2" t="str">
        <f>Communes_HDF!A2581</f>
        <v>62483</v>
      </c>
      <c r="B2581" s="2" t="str">
        <f>Communes_HDF!B2581</f>
        <v>Lacres</v>
      </c>
      <c r="C2581" s="2" t="str">
        <f t="array" ref="C2581">_xlfn.XLOOKUP(A2581, INSEE_Communes!$A$2:$A$3783, INSEE_Communes!$F$2:$F$3783, "code introuvable")</f>
        <v>non publié</v>
      </c>
    </row>
    <row r="2582">
      <c r="A2582" s="2" t="str">
        <f>Communes_HDF!A2582</f>
        <v>62484</v>
      </c>
      <c r="B2582" s="2" t="str">
        <f>Communes_HDF!B2582</f>
        <v>Lagnicourt-Marcel</v>
      </c>
      <c r="C2582" s="2" t="str">
        <f t="array" ref="C2582">_xlfn.XLOOKUP(A2582, INSEE_Communes!$A$2:$A$3783, INSEE_Communes!$F$2:$F$3783, "code introuvable")</f>
        <v>non publié</v>
      </c>
    </row>
    <row r="2583">
      <c r="A2583" s="2" t="str">
        <f>Communes_HDF!A2583</f>
        <v>62485</v>
      </c>
      <c r="B2583" s="2" t="str">
        <f>Communes_HDF!B2583</f>
        <v>Laires</v>
      </c>
      <c r="C2583" s="2" t="str">
        <f t="array" ref="C2583">_xlfn.XLOOKUP(A2583, INSEE_Communes!$A$2:$A$3783, INSEE_Communes!$F$2:$F$3783, "code introuvable")</f>
        <v>non publié</v>
      </c>
    </row>
    <row r="2584">
      <c r="A2584" s="2" t="str">
        <f>Communes_HDF!A2584</f>
        <v>62486</v>
      </c>
      <c r="B2584" s="2" t="str">
        <f>Communes_HDF!B2584</f>
        <v>Lambres-lez-Aire</v>
      </c>
      <c r="C2584" s="2" t="str">
        <f t="array" ref="C2584">_xlfn.XLOOKUP(A2584, INSEE_Communes!$A$2:$A$3783, INSEE_Communes!$F$2:$F$3783, "code introuvable")</f>
        <v>non publié</v>
      </c>
    </row>
    <row r="2585">
      <c r="A2585" s="2" t="str">
        <f>Communes_HDF!A2585</f>
        <v>62487</v>
      </c>
      <c r="B2585" s="2" t="str">
        <f>Communes_HDF!B2585</f>
        <v>Landrethun-le-Nord</v>
      </c>
      <c r="C2585" s="2" t="str">
        <f t="array" ref="C2585">_xlfn.XLOOKUP(A2585, INSEE_Communes!$A$2:$A$3783, INSEE_Communes!$F$2:$F$3783, "code introuvable")</f>
        <v>non publié</v>
      </c>
    </row>
    <row r="2586">
      <c r="A2586" s="2" t="str">
        <f>Communes_HDF!A2586</f>
        <v>62488</v>
      </c>
      <c r="B2586" s="2" t="str">
        <f>Communes_HDF!B2586</f>
        <v>Landrethun-lès-Ardres</v>
      </c>
      <c r="C2586" s="2" t="str">
        <f t="array" ref="C2586">_xlfn.XLOOKUP(A2586, INSEE_Communes!$A$2:$A$3783, INSEE_Communes!$F$2:$F$3783, "code introuvable")</f>
        <v>non publié</v>
      </c>
    </row>
    <row r="2587">
      <c r="A2587" s="2" t="str">
        <f>Communes_HDF!A2587</f>
        <v>62489</v>
      </c>
      <c r="B2587" s="2" t="str">
        <f>Communes_HDF!B2587</f>
        <v>Lapugnoy</v>
      </c>
      <c r="C2587" s="2">
        <f t="array" ref="C2587">_xlfn.XLOOKUP(A2587, INSEE_Communes!$A$2:$A$3783, INSEE_Communes!$F$2:$F$3783, "code introuvable")</f>
        <v>15</v>
      </c>
    </row>
    <row r="2588">
      <c r="A2588" s="2" t="str">
        <f>Communes_HDF!A2588</f>
        <v>62490</v>
      </c>
      <c r="B2588" s="2" t="str">
        <f>Communes_HDF!B2588</f>
        <v>Lattre-Saint-Quentin</v>
      </c>
      <c r="C2588" s="2" t="str">
        <f t="array" ref="C2588">_xlfn.XLOOKUP(A2588, INSEE_Communes!$A$2:$A$3783, INSEE_Communes!$F$2:$F$3783, "code introuvable")</f>
        <v>non publié</v>
      </c>
    </row>
    <row r="2589">
      <c r="A2589" s="2" t="str">
        <f>Communes_HDF!A2589</f>
        <v>62491</v>
      </c>
      <c r="B2589" s="2" t="str">
        <f>Communes_HDF!B2589</f>
        <v>Laventie</v>
      </c>
      <c r="C2589" s="2">
        <f t="array" ref="C2589">_xlfn.XLOOKUP(A2589, INSEE_Communes!$A$2:$A$3783, INSEE_Communes!$F$2:$F$3783, "code introuvable")</f>
        <v>10</v>
      </c>
    </row>
    <row r="2590">
      <c r="A2590" s="2" t="str">
        <f>Communes_HDF!A2590</f>
        <v>62647</v>
      </c>
      <c r="B2590" s="2" t="str">
        <f>Communes_HDF!B2590</f>
        <v>Le Parcq</v>
      </c>
      <c r="C2590" s="2" t="str">
        <f t="array" ref="C2590">_xlfn.XLOOKUP(A2590, INSEE_Communes!$A$2:$A$3783, INSEE_Communes!$F$2:$F$3783, "code introuvable")</f>
        <v>non publié</v>
      </c>
    </row>
    <row r="2591">
      <c r="A2591" s="2" t="str">
        <f>Communes_HDF!A2591</f>
        <v>62665</v>
      </c>
      <c r="B2591" s="2" t="str">
        <f>Communes_HDF!B2591</f>
        <v>Le Ponchel</v>
      </c>
      <c r="C2591" s="2" t="str">
        <f t="array" ref="C2591">_xlfn.XLOOKUP(A2591, INSEE_Communes!$A$2:$A$3783, INSEE_Communes!$F$2:$F$3783, "code introuvable")</f>
        <v>non publié</v>
      </c>
    </row>
    <row r="2592">
      <c r="A2592" s="2" t="str">
        <f>Communes_HDF!A2592</f>
        <v>62667</v>
      </c>
      <c r="B2592" s="2" t="str">
        <f>Communes_HDF!B2592</f>
        <v>Le Portel</v>
      </c>
      <c r="C2592" s="2">
        <f t="array" ref="C2592">_xlfn.XLOOKUP(A2592, INSEE_Communes!$A$2:$A$3783, INSEE_Communes!$F$2:$F$3783, "code introuvable")</f>
        <v>25</v>
      </c>
    </row>
    <row r="2593">
      <c r="A2593" s="2" t="str">
        <f>Communes_HDF!A2593</f>
        <v>62677</v>
      </c>
      <c r="B2593" s="2" t="str">
        <f>Communes_HDF!B2593</f>
        <v>Le Quesnoy-en-Artois</v>
      </c>
      <c r="C2593" s="2" t="str">
        <f t="array" ref="C2593">_xlfn.XLOOKUP(A2593, INSEE_Communes!$A$2:$A$3783, INSEE_Communes!$F$2:$F$3783, "code introuvable")</f>
        <v>non publié</v>
      </c>
    </row>
    <row r="2594">
      <c r="A2594" s="2" t="str">
        <f>Communes_HDF!A2594</f>
        <v>62777</v>
      </c>
      <c r="B2594" s="2" t="str">
        <f>Communes_HDF!B2594</f>
        <v>Le Sars</v>
      </c>
      <c r="C2594" s="2" t="str">
        <f t="array" ref="C2594">_xlfn.XLOOKUP(A2594, INSEE_Communes!$A$2:$A$3783, INSEE_Communes!$F$2:$F$3783, "code introuvable")</f>
        <v>non publié</v>
      </c>
    </row>
    <row r="2595">
      <c r="A2595" s="2" t="str">
        <f>Communes_HDF!A2595</f>
        <v>62802</v>
      </c>
      <c r="B2595" s="2" t="str">
        <f>Communes_HDF!B2595</f>
        <v>Le Souich</v>
      </c>
      <c r="C2595" s="2" t="str">
        <f t="array" ref="C2595">_xlfn.XLOOKUP(A2595, INSEE_Communes!$A$2:$A$3783, INSEE_Communes!$F$2:$F$3783, "code introuvable")</f>
        <v>non publié</v>
      </c>
    </row>
    <row r="2596">
      <c r="A2596" s="2" t="str">
        <f>Communes_HDF!A2596</f>
        <v>62826</v>
      </c>
      <c r="B2596" s="2" t="str">
        <f>Communes_HDF!B2596</f>
        <v>Le Touquet-Paris-Plage</v>
      </c>
      <c r="C2596" s="2">
        <f t="array" ref="C2596">_xlfn.XLOOKUP(A2596, INSEE_Communes!$A$2:$A$3783, INSEE_Communes!$F$2:$F$3783, "code introuvable")</f>
        <v>10</v>
      </c>
    </row>
    <row r="2597">
      <c r="A2597" s="2" t="str">
        <f>Communes_HDF!A2597</f>
        <v>62829</v>
      </c>
      <c r="B2597" s="2" t="str">
        <f>Communes_HDF!B2597</f>
        <v>Le Transloy</v>
      </c>
      <c r="C2597" s="2" t="str">
        <f t="array" ref="C2597">_xlfn.XLOOKUP(A2597, INSEE_Communes!$A$2:$A$3783, INSEE_Communes!$F$2:$F$3783, "code introuvable")</f>
        <v>non publié</v>
      </c>
    </row>
    <row r="2598">
      <c r="A2598" s="2" t="str">
        <f>Communes_HDF!A2598</f>
        <v>62880</v>
      </c>
      <c r="B2598" s="2" t="str">
        <f>Communes_HDF!B2598</f>
        <v>Le Wast</v>
      </c>
      <c r="C2598" s="2" t="str">
        <f t="array" ref="C2598">_xlfn.XLOOKUP(A2598, INSEE_Communes!$A$2:$A$3783, INSEE_Communes!$F$2:$F$3783, "code introuvable")</f>
        <v>non publié</v>
      </c>
    </row>
    <row r="2599">
      <c r="A2599" s="2" t="str">
        <f>Communes_HDF!A2599</f>
        <v>62492</v>
      </c>
      <c r="B2599" s="2" t="str">
        <f>Communes_HDF!B2599</f>
        <v>Lebiez</v>
      </c>
      <c r="C2599" s="2" t="str">
        <f t="array" ref="C2599">_xlfn.XLOOKUP(A2599, INSEE_Communes!$A$2:$A$3783, INSEE_Communes!$F$2:$F$3783, "code introuvable")</f>
        <v>non publié</v>
      </c>
    </row>
    <row r="2600">
      <c r="A2600" s="2" t="str">
        <f>Communes_HDF!A2600</f>
        <v>62493</v>
      </c>
      <c r="B2600" s="2" t="str">
        <f>Communes_HDF!B2600</f>
        <v>Lebucquière</v>
      </c>
      <c r="C2600" s="2" t="str">
        <f t="array" ref="C2600">_xlfn.XLOOKUP(A2600, INSEE_Communes!$A$2:$A$3783, INSEE_Communes!$F$2:$F$3783, "code introuvable")</f>
        <v>non publié</v>
      </c>
    </row>
    <row r="2601">
      <c r="A2601" s="2" t="str">
        <f>Communes_HDF!A2601</f>
        <v>62495</v>
      </c>
      <c r="B2601" s="2" t="str">
        <f>Communes_HDF!B2601</f>
        <v>Ledinghem</v>
      </c>
      <c r="C2601" s="2" t="str">
        <f t="array" ref="C2601">_xlfn.XLOOKUP(A2601, INSEE_Communes!$A$2:$A$3783, INSEE_Communes!$F$2:$F$3783, "code introuvable")</f>
        <v>non publié</v>
      </c>
    </row>
    <row r="2602">
      <c r="A2602" s="2" t="str">
        <f>Communes_HDF!A2602</f>
        <v>62496</v>
      </c>
      <c r="B2602" s="2" t="str">
        <f>Communes_HDF!B2602</f>
        <v>Lefaux</v>
      </c>
      <c r="C2602" s="2" t="str">
        <f t="array" ref="C2602">_xlfn.XLOOKUP(A2602, INSEE_Communes!$A$2:$A$3783, INSEE_Communes!$F$2:$F$3783, "code introuvable")</f>
        <v>non publié</v>
      </c>
    </row>
    <row r="2603">
      <c r="A2603" s="2" t="str">
        <f>Communes_HDF!A2603</f>
        <v>62497</v>
      </c>
      <c r="B2603" s="2" t="str">
        <f>Communes_HDF!B2603</f>
        <v>Leforest</v>
      </c>
      <c r="C2603" s="2">
        <f t="array" ref="C2603">_xlfn.XLOOKUP(A2603, INSEE_Communes!$A$2:$A$3783, INSEE_Communes!$F$2:$F$3783, "code introuvable")</f>
        <v>19</v>
      </c>
    </row>
    <row r="2604">
      <c r="A2604" s="2" t="str">
        <f>Communes_HDF!A2604</f>
        <v>62498</v>
      </c>
      <c r="B2604" s="2" t="str">
        <f>Communes_HDF!B2604</f>
        <v>Lens</v>
      </c>
      <c r="C2604" s="2">
        <f t="array" ref="C2604">_xlfn.XLOOKUP(A2604, INSEE_Communes!$A$2:$A$3783, INSEE_Communes!$F$2:$F$3783, "code introuvable")</f>
        <v>35.4</v>
      </c>
    </row>
    <row r="2605">
      <c r="A2605" s="2" t="str">
        <f>Communes_HDF!A2605</f>
        <v>62043</v>
      </c>
      <c r="B2605" s="2" t="str">
        <f>Communes_HDF!B2605</f>
        <v>Les Attaques</v>
      </c>
      <c r="C2605" s="2">
        <f t="array" ref="C2605">_xlfn.XLOOKUP(A2605, INSEE_Communes!$A$2:$A$3783, INSEE_Communes!$F$2:$F$3783, "code introuvable")</f>
        <v>12</v>
      </c>
    </row>
    <row r="2606">
      <c r="A2606" s="2" t="str">
        <f>Communes_HDF!A2606</f>
        <v>62500</v>
      </c>
      <c r="B2606" s="2" t="str">
        <f>Communes_HDF!B2606</f>
        <v>Lespesses</v>
      </c>
      <c r="C2606" s="2" t="str">
        <f t="array" ref="C2606">_xlfn.XLOOKUP(A2606, INSEE_Communes!$A$2:$A$3783, INSEE_Communes!$F$2:$F$3783, "code introuvable")</f>
        <v>non publié</v>
      </c>
    </row>
    <row r="2607">
      <c r="A2607" s="2" t="str">
        <f>Communes_HDF!A2607</f>
        <v>62501</v>
      </c>
      <c r="B2607" s="2" t="str">
        <f>Communes_HDF!B2607</f>
        <v>Lespinoy</v>
      </c>
      <c r="C2607" s="2" t="str">
        <f t="array" ref="C2607">_xlfn.XLOOKUP(A2607, INSEE_Communes!$A$2:$A$3783, INSEE_Communes!$F$2:$F$3783, "code introuvable")</f>
        <v>non publié</v>
      </c>
    </row>
    <row r="2608">
      <c r="A2608" s="2" t="str">
        <f>Communes_HDF!A2608</f>
        <v>62502</v>
      </c>
      <c r="B2608" s="2" t="str">
        <f>Communes_HDF!B2608</f>
        <v>Lestrem</v>
      </c>
      <c r="C2608" s="2">
        <f t="array" ref="C2608">_xlfn.XLOOKUP(A2608, INSEE_Communes!$A$2:$A$3783, INSEE_Communes!$F$2:$F$3783, "code introuvable")</f>
        <v>8</v>
      </c>
    </row>
    <row r="2609">
      <c r="A2609" s="2" t="str">
        <f>Communes_HDF!A2609</f>
        <v>62503</v>
      </c>
      <c r="B2609" s="2" t="str">
        <f>Communes_HDF!B2609</f>
        <v>Leubringhen</v>
      </c>
      <c r="C2609" s="2" t="str">
        <f t="array" ref="C2609">_xlfn.XLOOKUP(A2609, INSEE_Communes!$A$2:$A$3783, INSEE_Communes!$F$2:$F$3783, "code introuvable")</f>
        <v>non publié</v>
      </c>
    </row>
    <row r="2610">
      <c r="A2610" s="2" t="str">
        <f>Communes_HDF!A2610</f>
        <v>62504</v>
      </c>
      <c r="B2610" s="2" t="str">
        <f>Communes_HDF!B2610</f>
        <v>Leulinghem</v>
      </c>
      <c r="C2610" s="2" t="str">
        <f t="array" ref="C2610">_xlfn.XLOOKUP(A2610, INSEE_Communes!$A$2:$A$3783, INSEE_Communes!$F$2:$F$3783, "code introuvable")</f>
        <v>non publié</v>
      </c>
    </row>
    <row r="2611">
      <c r="A2611" s="2" t="str">
        <f>Communes_HDF!A2611</f>
        <v>62505</v>
      </c>
      <c r="B2611" s="2" t="str">
        <f>Communes_HDF!B2611</f>
        <v>Leulinghen-Bernes</v>
      </c>
      <c r="C2611" s="2" t="str">
        <f t="array" ref="C2611">_xlfn.XLOOKUP(A2611, INSEE_Communes!$A$2:$A$3783, INSEE_Communes!$F$2:$F$3783, "code introuvable")</f>
        <v>non publié</v>
      </c>
    </row>
    <row r="2612">
      <c r="A2612" s="2" t="str">
        <f>Communes_HDF!A2612</f>
        <v>62907</v>
      </c>
      <c r="B2612" s="2" t="str">
        <f>Communes_HDF!B2612</f>
        <v>Libercourt</v>
      </c>
      <c r="C2612" s="2">
        <f t="array" ref="C2612">_xlfn.XLOOKUP(A2612, INSEE_Communes!$A$2:$A$3783, INSEE_Communes!$F$2:$F$3783, "code introuvable")</f>
        <v>27</v>
      </c>
    </row>
    <row r="2613">
      <c r="A2613" s="2" t="str">
        <f>Communes_HDF!A2613</f>
        <v>62506</v>
      </c>
      <c r="B2613" s="2" t="str">
        <f>Communes_HDF!B2613</f>
        <v>Licques</v>
      </c>
      <c r="C2613" s="2" t="str">
        <f t="array" ref="C2613">_xlfn.XLOOKUP(A2613, INSEE_Communes!$A$2:$A$3783, INSEE_Communes!$F$2:$F$3783, "code introuvable")</f>
        <v>non publié</v>
      </c>
    </row>
    <row r="2614">
      <c r="A2614" s="2" t="str">
        <f>Communes_HDF!A2614</f>
        <v>62507</v>
      </c>
      <c r="B2614" s="2" t="str">
        <f>Communes_HDF!B2614</f>
        <v>Liencourt</v>
      </c>
      <c r="C2614" s="2" t="str">
        <f t="array" ref="C2614">_xlfn.XLOOKUP(A2614, INSEE_Communes!$A$2:$A$3783, INSEE_Communes!$F$2:$F$3783, "code introuvable")</f>
        <v>non publié</v>
      </c>
    </row>
    <row r="2615">
      <c r="A2615" s="2" t="str">
        <f>Communes_HDF!A2615</f>
        <v>62509</v>
      </c>
      <c r="B2615" s="2" t="str">
        <f>Communes_HDF!B2615</f>
        <v>Liettres</v>
      </c>
      <c r="C2615" s="2" t="str">
        <f t="array" ref="C2615">_xlfn.XLOOKUP(A2615, INSEE_Communes!$A$2:$A$3783, INSEE_Communes!$F$2:$F$3783, "code introuvable")</f>
        <v>non publié</v>
      </c>
    </row>
    <row r="2616">
      <c r="A2616" s="2" t="str">
        <f>Communes_HDF!A2616</f>
        <v>62511</v>
      </c>
      <c r="B2616" s="2" t="str">
        <f>Communes_HDF!B2616</f>
        <v>Lignereuil</v>
      </c>
      <c r="C2616" s="2" t="str">
        <f t="array" ref="C2616">_xlfn.XLOOKUP(A2616, INSEE_Communes!$A$2:$A$3783, INSEE_Communes!$F$2:$F$3783, "code introuvable")</f>
        <v>non publié</v>
      </c>
    </row>
    <row r="2617">
      <c r="A2617" s="2" t="str">
        <f>Communes_HDF!A2617</f>
        <v>62514</v>
      </c>
      <c r="B2617" s="2" t="str">
        <f>Communes_HDF!B2617</f>
        <v>Ligny-Saint-Flochel</v>
      </c>
      <c r="C2617" s="2" t="str">
        <f t="array" ref="C2617">_xlfn.XLOOKUP(A2617, INSEE_Communes!$A$2:$A$3783, INSEE_Communes!$F$2:$F$3783, "code introuvable")</f>
        <v>non publié</v>
      </c>
    </row>
    <row r="2618">
      <c r="A2618" s="2" t="str">
        <f>Communes_HDF!A2618</f>
        <v>62515</v>
      </c>
      <c r="B2618" s="2" t="str">
        <f>Communes_HDF!B2618</f>
        <v>Ligny-Thilloy</v>
      </c>
      <c r="C2618" s="2" t="str">
        <f t="array" ref="C2618">_xlfn.XLOOKUP(A2618, INSEE_Communes!$A$2:$A$3783, INSEE_Communes!$F$2:$F$3783, "code introuvable")</f>
        <v>non publié</v>
      </c>
    </row>
    <row r="2619">
      <c r="A2619" s="2" t="str">
        <f>Communes_HDF!A2619</f>
        <v>62512</v>
      </c>
      <c r="B2619" s="2" t="str">
        <f>Communes_HDF!B2619</f>
        <v>Ligny-lès-Aire</v>
      </c>
      <c r="C2619" s="2" t="str">
        <f t="array" ref="C2619">_xlfn.XLOOKUP(A2619, INSEE_Communes!$A$2:$A$3783, INSEE_Communes!$F$2:$F$3783, "code introuvable")</f>
        <v>non publié</v>
      </c>
    </row>
    <row r="2620">
      <c r="A2620" s="2" t="str">
        <f>Communes_HDF!A2620</f>
        <v>62513</v>
      </c>
      <c r="B2620" s="2" t="str">
        <f>Communes_HDF!B2620</f>
        <v>Ligny-sur-Canche</v>
      </c>
      <c r="C2620" s="2" t="str">
        <f t="array" ref="C2620">_xlfn.XLOOKUP(A2620, INSEE_Communes!$A$2:$A$3783, INSEE_Communes!$F$2:$F$3783, "code introuvable")</f>
        <v>non publié</v>
      </c>
    </row>
    <row r="2621">
      <c r="A2621" s="2" t="str">
        <f>Communes_HDF!A2621</f>
        <v>62516</v>
      </c>
      <c r="B2621" s="2" t="str">
        <f>Communes_HDF!B2621</f>
        <v>Lillers</v>
      </c>
      <c r="C2621" s="2">
        <f t="array" ref="C2621">_xlfn.XLOOKUP(A2621, INSEE_Communes!$A$2:$A$3783, INSEE_Communes!$F$2:$F$3783, "code introuvable")</f>
        <v>24</v>
      </c>
    </row>
    <row r="2622">
      <c r="A2622" s="2" t="str">
        <f>Communes_HDF!A2622</f>
        <v>62517</v>
      </c>
      <c r="B2622" s="2" t="str">
        <f>Communes_HDF!B2622</f>
        <v>Linghem</v>
      </c>
      <c r="C2622" s="2" t="str">
        <f t="array" ref="C2622">_xlfn.XLOOKUP(A2622, INSEE_Communes!$A$2:$A$3783, INSEE_Communes!$F$2:$F$3783, "code introuvable")</f>
        <v>non publié</v>
      </c>
    </row>
    <row r="2623">
      <c r="A2623" s="2" t="str">
        <f>Communes_HDF!A2623</f>
        <v>62518</v>
      </c>
      <c r="B2623" s="2" t="str">
        <f>Communes_HDF!B2623</f>
        <v>Linzeux</v>
      </c>
      <c r="C2623" s="2" t="str">
        <f t="array" ref="C2623">_xlfn.XLOOKUP(A2623, INSEE_Communes!$A$2:$A$3783, INSEE_Communes!$F$2:$F$3783, "code introuvable")</f>
        <v>non publié</v>
      </c>
    </row>
    <row r="2624">
      <c r="A2624" s="2" t="str">
        <f>Communes_HDF!A2624</f>
        <v>62519</v>
      </c>
      <c r="B2624" s="2" t="str">
        <f>Communes_HDF!B2624</f>
        <v>Lisbourg</v>
      </c>
      <c r="C2624" s="2" t="str">
        <f t="array" ref="C2624">_xlfn.XLOOKUP(A2624, INSEE_Communes!$A$2:$A$3783, INSEE_Communes!$F$2:$F$3783, "code introuvable")</f>
        <v>non publié</v>
      </c>
    </row>
    <row r="2625">
      <c r="A2625" s="2" t="str">
        <f>Communes_HDF!A2625</f>
        <v>62508</v>
      </c>
      <c r="B2625" s="2" t="str">
        <f>Communes_HDF!B2625</f>
        <v>Lières</v>
      </c>
      <c r="C2625" s="2" t="str">
        <f t="array" ref="C2625">_xlfn.XLOOKUP(A2625, INSEE_Communes!$A$2:$A$3783, INSEE_Communes!$F$2:$F$3783, "code introuvable")</f>
        <v>non publié</v>
      </c>
    </row>
    <row r="2626">
      <c r="A2626" s="2" t="str">
        <f>Communes_HDF!A2626</f>
        <v>62510</v>
      </c>
      <c r="B2626" s="2" t="str">
        <f>Communes_HDF!B2626</f>
        <v>Liévin</v>
      </c>
      <c r="C2626" s="2">
        <f t="array" ref="C2626">_xlfn.XLOOKUP(A2626, INSEE_Communes!$A$2:$A$3783, INSEE_Communes!$F$2:$F$3783, "code introuvable")</f>
        <v>29.2</v>
      </c>
    </row>
    <row r="2627">
      <c r="A2627" s="2" t="str">
        <f>Communes_HDF!A2627</f>
        <v>62520</v>
      </c>
      <c r="B2627" s="2" t="str">
        <f>Communes_HDF!B2627</f>
        <v>Locon</v>
      </c>
      <c r="C2627" s="2">
        <f t="array" ref="C2627">_xlfn.XLOOKUP(A2627, INSEE_Communes!$A$2:$A$3783, INSEE_Communes!$F$2:$F$3783, "code introuvable")</f>
        <v>7</v>
      </c>
    </row>
    <row r="2628">
      <c r="A2628" s="2" t="str">
        <f>Communes_HDF!A2628</f>
        <v>62523</v>
      </c>
      <c r="B2628" s="2" t="str">
        <f>Communes_HDF!B2628</f>
        <v>Loison-sous-Lens</v>
      </c>
      <c r="C2628" s="2">
        <f t="array" ref="C2628">_xlfn.XLOOKUP(A2628, INSEE_Communes!$A$2:$A$3783, INSEE_Communes!$F$2:$F$3783, "code introuvable")</f>
        <v>23</v>
      </c>
    </row>
    <row r="2629">
      <c r="A2629" s="2" t="str">
        <f>Communes_HDF!A2629</f>
        <v>62522</v>
      </c>
      <c r="B2629" s="2" t="str">
        <f>Communes_HDF!B2629</f>
        <v>Loison-sur-Créquoise</v>
      </c>
      <c r="C2629" s="2" t="str">
        <f t="array" ref="C2629">_xlfn.XLOOKUP(A2629, INSEE_Communes!$A$2:$A$3783, INSEE_Communes!$F$2:$F$3783, "code introuvable")</f>
        <v>non publié</v>
      </c>
    </row>
    <row r="2630">
      <c r="A2630" s="2" t="str">
        <f>Communes_HDF!A2630</f>
        <v>62524</v>
      </c>
      <c r="B2630" s="2" t="str">
        <f>Communes_HDF!B2630</f>
        <v>Longfossé</v>
      </c>
      <c r="C2630" s="2" t="str">
        <f t="array" ref="C2630">_xlfn.XLOOKUP(A2630, INSEE_Communes!$A$2:$A$3783, INSEE_Communes!$F$2:$F$3783, "code introuvable")</f>
        <v>non publié</v>
      </c>
    </row>
    <row r="2631">
      <c r="A2631" s="2" t="str">
        <f>Communes_HDF!A2631</f>
        <v>62525</v>
      </c>
      <c r="B2631" s="2" t="str">
        <f>Communes_HDF!B2631</f>
        <v>Longuenesse</v>
      </c>
      <c r="C2631" s="2">
        <f t="array" ref="C2631">_xlfn.XLOOKUP(A2631, INSEE_Communes!$A$2:$A$3783, INSEE_Communes!$F$2:$F$3783, "code introuvable")</f>
        <v>25</v>
      </c>
    </row>
    <row r="2632">
      <c r="A2632" s="2" t="str">
        <f>Communes_HDF!A2632</f>
        <v>62526</v>
      </c>
      <c r="B2632" s="2" t="str">
        <f>Communes_HDF!B2632</f>
        <v>Longueville</v>
      </c>
      <c r="C2632" s="2" t="str">
        <f t="array" ref="C2632">_xlfn.XLOOKUP(A2632, INSEE_Communes!$A$2:$A$3783, INSEE_Communes!$F$2:$F$3783, "code introuvable")</f>
        <v>non publié</v>
      </c>
    </row>
    <row r="2633">
      <c r="A2633" s="2" t="str">
        <f>Communes_HDF!A2633</f>
        <v>62527</v>
      </c>
      <c r="B2633" s="2" t="str">
        <f>Communes_HDF!B2633</f>
        <v>Longvilliers</v>
      </c>
      <c r="C2633" s="2" t="str">
        <f t="array" ref="C2633">_xlfn.XLOOKUP(A2633, INSEE_Communes!$A$2:$A$3783, INSEE_Communes!$F$2:$F$3783, "code introuvable")</f>
        <v>non publié</v>
      </c>
    </row>
    <row r="2634">
      <c r="A2634" s="2" t="str">
        <f>Communes_HDF!A2634</f>
        <v>62528</v>
      </c>
      <c r="B2634" s="2" t="str">
        <f>Communes_HDF!B2634</f>
        <v>Loos-en-Gohelle</v>
      </c>
      <c r="C2634" s="2">
        <f t="array" ref="C2634">_xlfn.XLOOKUP(A2634, INSEE_Communes!$A$2:$A$3783, INSEE_Communes!$F$2:$F$3783, "code introuvable")</f>
        <v>19</v>
      </c>
    </row>
    <row r="2635">
      <c r="A2635" s="2" t="str">
        <f>Communes_HDF!A2635</f>
        <v>62529</v>
      </c>
      <c r="B2635" s="2" t="str">
        <f>Communes_HDF!B2635</f>
        <v>Lorgies</v>
      </c>
      <c r="C2635" s="2" t="str">
        <f t="array" ref="C2635">_xlfn.XLOOKUP(A2635, INSEE_Communes!$A$2:$A$3783, INSEE_Communes!$F$2:$F$3783, "code introuvable")</f>
        <v>non publié</v>
      </c>
    </row>
    <row r="2636">
      <c r="A2636" s="2" t="str">
        <f>Communes_HDF!A2636</f>
        <v>62530</v>
      </c>
      <c r="B2636" s="2" t="str">
        <f>Communes_HDF!B2636</f>
        <v>Lottinghen</v>
      </c>
      <c r="C2636" s="2" t="str">
        <f t="array" ref="C2636">_xlfn.XLOOKUP(A2636, INSEE_Communes!$A$2:$A$3783, INSEE_Communes!$F$2:$F$3783, "code introuvable")</f>
        <v>non publié</v>
      </c>
    </row>
    <row r="2637">
      <c r="A2637" s="2" t="str">
        <f>Communes_HDF!A2637</f>
        <v>62531</v>
      </c>
      <c r="B2637" s="2" t="str">
        <f>Communes_HDF!B2637</f>
        <v>Louches</v>
      </c>
      <c r="C2637" s="2" t="str">
        <f t="array" ref="C2637">_xlfn.XLOOKUP(A2637, INSEE_Communes!$A$2:$A$3783, INSEE_Communes!$F$2:$F$3783, "code introuvable")</f>
        <v>non publié</v>
      </c>
    </row>
    <row r="2638">
      <c r="A2638" s="2" t="str">
        <f>Communes_HDF!A2638</f>
        <v>62532</v>
      </c>
      <c r="B2638" s="2" t="str">
        <f>Communes_HDF!B2638</f>
        <v>Lozinghem</v>
      </c>
      <c r="C2638" s="2" t="str">
        <f t="array" ref="C2638">_xlfn.XLOOKUP(A2638, INSEE_Communes!$A$2:$A$3783, INSEE_Communes!$F$2:$F$3783, "code introuvable")</f>
        <v>non publié</v>
      </c>
    </row>
    <row r="2639">
      <c r="A2639" s="2" t="str">
        <f>Communes_HDF!A2639</f>
        <v>62533</v>
      </c>
      <c r="B2639" s="2" t="str">
        <f>Communes_HDF!B2639</f>
        <v>Lugy</v>
      </c>
      <c r="C2639" s="2" t="str">
        <f t="array" ref="C2639">_xlfn.XLOOKUP(A2639, INSEE_Communes!$A$2:$A$3783, INSEE_Communes!$F$2:$F$3783, "code introuvable")</f>
        <v>non publié</v>
      </c>
    </row>
    <row r="2640">
      <c r="A2640" s="2" t="str">
        <f>Communes_HDF!A2640</f>
        <v>62534</v>
      </c>
      <c r="B2640" s="2" t="str">
        <f>Communes_HDF!B2640</f>
        <v>Lumbres</v>
      </c>
      <c r="C2640" s="2">
        <f t="array" ref="C2640">_xlfn.XLOOKUP(A2640, INSEE_Communes!$A$2:$A$3783, INSEE_Communes!$F$2:$F$3783, "code introuvable")</f>
        <v>19</v>
      </c>
    </row>
    <row r="2641">
      <c r="A2641" s="2" t="str">
        <f>Communes_HDF!A2641</f>
        <v>62494</v>
      </c>
      <c r="B2641" s="2" t="str">
        <f>Communes_HDF!B2641</f>
        <v>Léchelle</v>
      </c>
      <c r="C2641" s="2" t="str">
        <f t="array" ref="C2641">_xlfn.XLOOKUP(A2641, INSEE_Communes!$A$2:$A$3783, INSEE_Communes!$F$2:$F$3783, "code introuvable")</f>
        <v>non publié</v>
      </c>
    </row>
    <row r="2642">
      <c r="A2642" s="2" t="str">
        <f>Communes_HDF!A2642</f>
        <v>62499</v>
      </c>
      <c r="B2642" s="2" t="str">
        <f>Communes_HDF!B2642</f>
        <v>Lépine</v>
      </c>
      <c r="C2642" s="2" t="str">
        <f t="array" ref="C2642">_xlfn.XLOOKUP(A2642, INSEE_Communes!$A$2:$A$3783, INSEE_Communes!$F$2:$F$3783, "code introuvable")</f>
        <v>non publié</v>
      </c>
    </row>
    <row r="2643">
      <c r="A2643" s="2" t="str">
        <f>Communes_HDF!A2643</f>
        <v>62536</v>
      </c>
      <c r="B2643" s="2" t="str">
        <f>Communes_HDF!B2643</f>
        <v>Magnicourt-en-Comte</v>
      </c>
      <c r="C2643" s="2" t="str">
        <f t="array" ref="C2643">_xlfn.XLOOKUP(A2643, INSEE_Communes!$A$2:$A$3783, INSEE_Communes!$F$2:$F$3783, "code introuvable")</f>
        <v>non publié</v>
      </c>
    </row>
    <row r="2644">
      <c r="A2644" s="2" t="str">
        <f>Communes_HDF!A2644</f>
        <v>62537</v>
      </c>
      <c r="B2644" s="2" t="str">
        <f>Communes_HDF!B2644</f>
        <v>Magnicourt-sur-Canche</v>
      </c>
      <c r="C2644" s="2" t="str">
        <f t="array" ref="C2644">_xlfn.XLOOKUP(A2644, INSEE_Communes!$A$2:$A$3783, INSEE_Communes!$F$2:$F$3783, "code introuvable")</f>
        <v>non publié</v>
      </c>
    </row>
    <row r="2645">
      <c r="A2645" s="2" t="str">
        <f>Communes_HDF!A2645</f>
        <v>62538</v>
      </c>
      <c r="B2645" s="2" t="str">
        <f>Communes_HDF!B2645</f>
        <v>Maintenay</v>
      </c>
      <c r="C2645" s="2" t="str">
        <f t="array" ref="C2645">_xlfn.XLOOKUP(A2645, INSEE_Communes!$A$2:$A$3783, INSEE_Communes!$F$2:$F$3783, "code introuvable")</f>
        <v>non publié</v>
      </c>
    </row>
    <row r="2646">
      <c r="A2646" s="2" t="str">
        <f>Communes_HDF!A2646</f>
        <v>62539</v>
      </c>
      <c r="B2646" s="2" t="str">
        <f>Communes_HDF!B2646</f>
        <v>Maisnil</v>
      </c>
      <c r="C2646" s="2" t="str">
        <f t="array" ref="C2646">_xlfn.XLOOKUP(A2646, INSEE_Communes!$A$2:$A$3783, INSEE_Communes!$F$2:$F$3783, "code introuvable")</f>
        <v>non publié</v>
      </c>
    </row>
    <row r="2647">
      <c r="A2647" s="2" t="str">
        <f>Communes_HDF!A2647</f>
        <v>62540</v>
      </c>
      <c r="B2647" s="2" t="str">
        <f>Communes_HDF!B2647</f>
        <v>Maisnil-lès-Ruitz</v>
      </c>
      <c r="C2647" s="2" t="str">
        <f t="array" ref="C2647">_xlfn.XLOOKUP(A2647, INSEE_Communes!$A$2:$A$3783, INSEE_Communes!$F$2:$F$3783, "code introuvable")</f>
        <v>non publié</v>
      </c>
    </row>
    <row r="2648">
      <c r="A2648" s="2" t="str">
        <f>Communes_HDF!A2648</f>
        <v>62541</v>
      </c>
      <c r="B2648" s="2" t="str">
        <f>Communes_HDF!B2648</f>
        <v>Maisoncelle</v>
      </c>
      <c r="C2648" s="2" t="str">
        <f t="array" ref="C2648">_xlfn.XLOOKUP(A2648, INSEE_Communes!$A$2:$A$3783, INSEE_Communes!$F$2:$F$3783, "code introuvable")</f>
        <v>non publié</v>
      </c>
    </row>
    <row r="2649">
      <c r="A2649" s="2" t="str">
        <f>Communes_HDF!A2649</f>
        <v>62542</v>
      </c>
      <c r="B2649" s="2" t="str">
        <f>Communes_HDF!B2649</f>
        <v>Maizières</v>
      </c>
      <c r="C2649" s="2" t="str">
        <f t="array" ref="C2649">_xlfn.XLOOKUP(A2649, INSEE_Communes!$A$2:$A$3783, INSEE_Communes!$F$2:$F$3783, "code introuvable")</f>
        <v>non publié</v>
      </c>
    </row>
    <row r="2650">
      <c r="A2650" s="2" t="str">
        <f>Communes_HDF!A2650</f>
        <v>62543</v>
      </c>
      <c r="B2650" s="2" t="str">
        <f>Communes_HDF!B2650</f>
        <v>Mametz</v>
      </c>
      <c r="C2650" s="2" t="str">
        <f t="array" ref="C2650">_xlfn.XLOOKUP(A2650, INSEE_Communes!$A$2:$A$3783, INSEE_Communes!$F$2:$F$3783, "code introuvable")</f>
        <v>non publié</v>
      </c>
    </row>
    <row r="2651">
      <c r="A2651" s="2" t="str">
        <f>Communes_HDF!A2651</f>
        <v>62544</v>
      </c>
      <c r="B2651" s="2" t="str">
        <f>Communes_HDF!B2651</f>
        <v>Manin</v>
      </c>
      <c r="C2651" s="2" t="str">
        <f t="array" ref="C2651">_xlfn.XLOOKUP(A2651, INSEE_Communes!$A$2:$A$3783, INSEE_Communes!$F$2:$F$3783, "code introuvable")</f>
        <v>non publié</v>
      </c>
    </row>
    <row r="2652">
      <c r="A2652" s="2" t="str">
        <f>Communes_HDF!A2652</f>
        <v>62545</v>
      </c>
      <c r="B2652" s="2" t="str">
        <f>Communes_HDF!B2652</f>
        <v>Maninghem</v>
      </c>
      <c r="C2652" s="2" t="str">
        <f t="array" ref="C2652">_xlfn.XLOOKUP(A2652, INSEE_Communes!$A$2:$A$3783, INSEE_Communes!$F$2:$F$3783, "code introuvable")</f>
        <v>non publié</v>
      </c>
    </row>
    <row r="2653">
      <c r="A2653" s="2" t="str">
        <f>Communes_HDF!A2653</f>
        <v>62546</v>
      </c>
      <c r="B2653" s="2" t="str">
        <f>Communes_HDF!B2653</f>
        <v>Maninghen-Henne</v>
      </c>
      <c r="C2653" s="2" t="str">
        <f t="array" ref="C2653">_xlfn.XLOOKUP(A2653, INSEE_Communes!$A$2:$A$3783, INSEE_Communes!$F$2:$F$3783, "code introuvable")</f>
        <v>non publié</v>
      </c>
    </row>
    <row r="2654">
      <c r="A2654" s="2" t="str">
        <f>Communes_HDF!A2654</f>
        <v>62547</v>
      </c>
      <c r="B2654" s="2" t="str">
        <f>Communes_HDF!B2654</f>
        <v>Marant</v>
      </c>
      <c r="C2654" s="2" t="str">
        <f t="array" ref="C2654">_xlfn.XLOOKUP(A2654, INSEE_Communes!$A$2:$A$3783, INSEE_Communes!$F$2:$F$3783, "code introuvable")</f>
        <v>non publié</v>
      </c>
    </row>
    <row r="2655">
      <c r="A2655" s="2" t="str">
        <f>Communes_HDF!A2655</f>
        <v>62548</v>
      </c>
      <c r="B2655" s="2" t="str">
        <f>Communes_HDF!B2655</f>
        <v>Marck</v>
      </c>
      <c r="C2655" s="2">
        <f t="array" ref="C2655">_xlfn.XLOOKUP(A2655, INSEE_Communes!$A$2:$A$3783, INSEE_Communes!$F$2:$F$3783, "code introuvable")</f>
        <v>12</v>
      </c>
    </row>
    <row r="2656">
      <c r="A2656" s="2" t="str">
        <f>Communes_HDF!A2656</f>
        <v>62550</v>
      </c>
      <c r="B2656" s="2" t="str">
        <f>Communes_HDF!B2656</f>
        <v>Marconnelle</v>
      </c>
      <c r="C2656" s="2" t="str">
        <f t="array" ref="C2656">_xlfn.XLOOKUP(A2656, INSEE_Communes!$A$2:$A$3783, INSEE_Communes!$F$2:$F$3783, "code introuvable")</f>
        <v>non publié</v>
      </c>
    </row>
    <row r="2657">
      <c r="A2657" s="2" t="str">
        <f>Communes_HDF!A2657</f>
        <v>62551</v>
      </c>
      <c r="B2657" s="2" t="str">
        <f>Communes_HDF!B2657</f>
        <v>Marenla</v>
      </c>
      <c r="C2657" s="2" t="str">
        <f t="array" ref="C2657">_xlfn.XLOOKUP(A2657, INSEE_Communes!$A$2:$A$3783, INSEE_Communes!$F$2:$F$3783, "code introuvable")</f>
        <v>non publié</v>
      </c>
    </row>
    <row r="2658">
      <c r="A2658" s="2" t="str">
        <f>Communes_HDF!A2658</f>
        <v>62552</v>
      </c>
      <c r="B2658" s="2" t="str">
        <f>Communes_HDF!B2658</f>
        <v>Maresquel-Ecquemicourt</v>
      </c>
      <c r="C2658" s="2" t="str">
        <f t="array" ref="C2658">_xlfn.XLOOKUP(A2658, INSEE_Communes!$A$2:$A$3783, INSEE_Communes!$F$2:$F$3783, "code introuvable")</f>
        <v>non publié</v>
      </c>
    </row>
    <row r="2659">
      <c r="A2659" s="2" t="str">
        <f>Communes_HDF!A2659</f>
        <v>62553</v>
      </c>
      <c r="B2659" s="2" t="str">
        <f>Communes_HDF!B2659</f>
        <v>Marest</v>
      </c>
      <c r="C2659" s="2" t="str">
        <f t="array" ref="C2659">_xlfn.XLOOKUP(A2659, INSEE_Communes!$A$2:$A$3783, INSEE_Communes!$F$2:$F$3783, "code introuvable")</f>
        <v>non publié</v>
      </c>
    </row>
    <row r="2660">
      <c r="A2660" s="2" t="str">
        <f>Communes_HDF!A2660</f>
        <v>62554</v>
      </c>
      <c r="B2660" s="2" t="str">
        <f>Communes_HDF!B2660</f>
        <v>Maresville</v>
      </c>
      <c r="C2660" s="2" t="str">
        <f t="array" ref="C2660">_xlfn.XLOOKUP(A2660, INSEE_Communes!$A$2:$A$3783, INSEE_Communes!$F$2:$F$3783, "code introuvable")</f>
        <v>non publié</v>
      </c>
    </row>
    <row r="2661">
      <c r="A2661" s="2" t="str">
        <f>Communes_HDF!A2661</f>
        <v>62555</v>
      </c>
      <c r="B2661" s="2" t="str">
        <f>Communes_HDF!B2661</f>
        <v>Marles-les-Mines</v>
      </c>
      <c r="C2661" s="2">
        <f t="array" ref="C2661">_xlfn.XLOOKUP(A2661, INSEE_Communes!$A$2:$A$3783, INSEE_Communes!$F$2:$F$3783, "code introuvable")</f>
        <v>30</v>
      </c>
    </row>
    <row r="2662">
      <c r="A2662" s="2" t="str">
        <f>Communes_HDF!A2662</f>
        <v>62556</v>
      </c>
      <c r="B2662" s="2" t="str">
        <f>Communes_HDF!B2662</f>
        <v>Marles-sur-Canche</v>
      </c>
      <c r="C2662" s="2" t="str">
        <f t="array" ref="C2662">_xlfn.XLOOKUP(A2662, INSEE_Communes!$A$2:$A$3783, INSEE_Communes!$F$2:$F$3783, "code introuvable")</f>
        <v>non publié</v>
      </c>
    </row>
    <row r="2663">
      <c r="A2663" s="2" t="str">
        <f>Communes_HDF!A2663</f>
        <v>62558</v>
      </c>
      <c r="B2663" s="2" t="str">
        <f>Communes_HDF!B2663</f>
        <v>Marquay</v>
      </c>
      <c r="C2663" s="2" t="str">
        <f t="array" ref="C2663">_xlfn.XLOOKUP(A2663, INSEE_Communes!$A$2:$A$3783, INSEE_Communes!$F$2:$F$3783, "code introuvable")</f>
        <v>non publié</v>
      </c>
    </row>
    <row r="2664">
      <c r="A2664" s="2" t="str">
        <f>Communes_HDF!A2664</f>
        <v>62559</v>
      </c>
      <c r="B2664" s="2" t="str">
        <f>Communes_HDF!B2664</f>
        <v>Marquion</v>
      </c>
      <c r="C2664" s="2" t="str">
        <f t="array" ref="C2664">_xlfn.XLOOKUP(A2664, INSEE_Communes!$A$2:$A$3783, INSEE_Communes!$F$2:$F$3783, "code introuvable")</f>
        <v>non publié</v>
      </c>
    </row>
    <row r="2665">
      <c r="A2665" s="2" t="str">
        <f>Communes_HDF!A2665</f>
        <v>62560</v>
      </c>
      <c r="B2665" s="2" t="str">
        <f>Communes_HDF!B2665</f>
        <v>Marquise</v>
      </c>
      <c r="C2665" s="2">
        <f t="array" ref="C2665">_xlfn.XLOOKUP(A2665, INSEE_Communes!$A$2:$A$3783, INSEE_Communes!$F$2:$F$3783, "code introuvable")</f>
        <v>16</v>
      </c>
    </row>
    <row r="2666">
      <c r="A2666" s="2" t="str">
        <f>Communes_HDF!A2666</f>
        <v>62561</v>
      </c>
      <c r="B2666" s="2" t="str">
        <f>Communes_HDF!B2666</f>
        <v>Martinpuich</v>
      </c>
      <c r="C2666" s="2" t="str">
        <f t="array" ref="C2666">_xlfn.XLOOKUP(A2666, INSEE_Communes!$A$2:$A$3783, INSEE_Communes!$F$2:$F$3783, "code introuvable")</f>
        <v>non publié</v>
      </c>
    </row>
    <row r="2667">
      <c r="A2667" s="2" t="str">
        <f>Communes_HDF!A2667</f>
        <v>62557</v>
      </c>
      <c r="B2667" s="2" t="str">
        <f>Communes_HDF!B2667</f>
        <v>Marœuil</v>
      </c>
      <c r="C2667" s="2">
        <f t="array" ref="C2667">_xlfn.XLOOKUP(A2667, INSEE_Communes!$A$2:$A$3783, INSEE_Communes!$F$2:$F$3783, "code introuvable")</f>
        <v>7</v>
      </c>
    </row>
    <row r="2668">
      <c r="A2668" s="2" t="str">
        <f>Communes_HDF!A2668</f>
        <v>62562</v>
      </c>
      <c r="B2668" s="2" t="str">
        <f>Communes_HDF!B2668</f>
        <v>Matringhem</v>
      </c>
      <c r="C2668" s="2" t="str">
        <f t="array" ref="C2668">_xlfn.XLOOKUP(A2668, INSEE_Communes!$A$2:$A$3783, INSEE_Communes!$F$2:$F$3783, "code introuvable")</f>
        <v>non publié</v>
      </c>
    </row>
    <row r="2669">
      <c r="A2669" s="2" t="str">
        <f>Communes_HDF!A2669</f>
        <v>62563</v>
      </c>
      <c r="B2669" s="2" t="str">
        <f>Communes_HDF!B2669</f>
        <v>Mazingarbe</v>
      </c>
      <c r="C2669" s="2">
        <f t="array" ref="C2669">_xlfn.XLOOKUP(A2669, INSEE_Communes!$A$2:$A$3783, INSEE_Communes!$F$2:$F$3783, "code introuvable")</f>
        <v>26</v>
      </c>
    </row>
    <row r="2670">
      <c r="A2670" s="2" t="str">
        <f>Communes_HDF!A2670</f>
        <v>62564</v>
      </c>
      <c r="B2670" s="2" t="str">
        <f>Communes_HDF!B2670</f>
        <v>Mazinghem</v>
      </c>
      <c r="C2670" s="2" t="str">
        <f t="array" ref="C2670">_xlfn.XLOOKUP(A2670, INSEE_Communes!$A$2:$A$3783, INSEE_Communes!$F$2:$F$3783, "code introuvable")</f>
        <v>non publié</v>
      </c>
    </row>
    <row r="2671">
      <c r="A2671" s="2" t="str">
        <f>Communes_HDF!A2671</f>
        <v>62565</v>
      </c>
      <c r="B2671" s="2" t="str">
        <f>Communes_HDF!B2671</f>
        <v>Mencas</v>
      </c>
      <c r="C2671" s="2" t="str">
        <f t="array" ref="C2671">_xlfn.XLOOKUP(A2671, INSEE_Communes!$A$2:$A$3783, INSEE_Communes!$F$2:$F$3783, "code introuvable")</f>
        <v>non publié</v>
      </c>
    </row>
    <row r="2672">
      <c r="A2672" s="2" t="str">
        <f>Communes_HDF!A2672</f>
        <v>62566</v>
      </c>
      <c r="B2672" s="2" t="str">
        <f>Communes_HDF!B2672</f>
        <v>Menneville</v>
      </c>
      <c r="C2672" s="2" t="str">
        <f t="array" ref="C2672">_xlfn.XLOOKUP(A2672, INSEE_Communes!$A$2:$A$3783, INSEE_Communes!$F$2:$F$3783, "code introuvable")</f>
        <v>non publié</v>
      </c>
    </row>
    <row r="2673">
      <c r="A2673" s="2" t="str">
        <f>Communes_HDF!A2673</f>
        <v>62567</v>
      </c>
      <c r="B2673" s="2" t="str">
        <f>Communes_HDF!B2673</f>
        <v>Mentque-Nortbécourt</v>
      </c>
      <c r="C2673" s="2" t="str">
        <f t="array" ref="C2673">_xlfn.XLOOKUP(A2673, INSEE_Communes!$A$2:$A$3783, INSEE_Communes!$F$2:$F$3783, "code introuvable")</f>
        <v>non publié</v>
      </c>
    </row>
    <row r="2674">
      <c r="A2674" s="2" t="str">
        <f>Communes_HDF!A2674</f>
        <v>62568</v>
      </c>
      <c r="B2674" s="2" t="str">
        <f>Communes_HDF!B2674</f>
        <v>Mercatel</v>
      </c>
      <c r="C2674" s="2" t="str">
        <f t="array" ref="C2674">_xlfn.XLOOKUP(A2674, INSEE_Communes!$A$2:$A$3783, INSEE_Communes!$F$2:$F$3783, "code introuvable")</f>
        <v>non publié</v>
      </c>
    </row>
    <row r="2675">
      <c r="A2675" s="2" t="str">
        <f>Communes_HDF!A2675</f>
        <v>62569</v>
      </c>
      <c r="B2675" s="2" t="str">
        <f>Communes_HDF!B2675</f>
        <v>Merck-Saint-Liévin</v>
      </c>
      <c r="C2675" s="2" t="str">
        <f t="array" ref="C2675">_xlfn.XLOOKUP(A2675, INSEE_Communes!$A$2:$A$3783, INSEE_Communes!$F$2:$F$3783, "code introuvable")</f>
        <v>non publié</v>
      </c>
    </row>
    <row r="2676">
      <c r="A2676" s="2" t="str">
        <f>Communes_HDF!A2676</f>
        <v>62571</v>
      </c>
      <c r="B2676" s="2" t="str">
        <f>Communes_HDF!B2676</f>
        <v>Merlimont</v>
      </c>
      <c r="C2676" s="2">
        <f t="array" ref="C2676">_xlfn.XLOOKUP(A2676, INSEE_Communes!$A$2:$A$3783, INSEE_Communes!$F$2:$F$3783, "code introuvable")</f>
        <v>10</v>
      </c>
    </row>
    <row r="2677">
      <c r="A2677" s="2" t="str">
        <f>Communes_HDF!A2677</f>
        <v>62572</v>
      </c>
      <c r="B2677" s="2" t="str">
        <f>Communes_HDF!B2677</f>
        <v>Metz-en-Couture</v>
      </c>
      <c r="C2677" s="2" t="str">
        <f t="array" ref="C2677">_xlfn.XLOOKUP(A2677, INSEE_Communes!$A$2:$A$3783, INSEE_Communes!$F$2:$F$3783, "code introuvable")</f>
        <v>non publié</v>
      </c>
    </row>
    <row r="2678">
      <c r="A2678" s="2" t="str">
        <f>Communes_HDF!A2678</f>
        <v>62573</v>
      </c>
      <c r="B2678" s="2" t="str">
        <f>Communes_HDF!B2678</f>
        <v>Meurchin</v>
      </c>
      <c r="C2678" s="2">
        <f t="array" ref="C2678">_xlfn.XLOOKUP(A2678, INSEE_Communes!$A$2:$A$3783, INSEE_Communes!$F$2:$F$3783, "code introuvable")</f>
        <v>15</v>
      </c>
    </row>
    <row r="2679">
      <c r="A2679" s="2" t="str">
        <f>Communes_HDF!A2679</f>
        <v>62574</v>
      </c>
      <c r="B2679" s="2" t="str">
        <f>Communes_HDF!B2679</f>
        <v>Mingoval</v>
      </c>
      <c r="C2679" s="2" t="str">
        <f t="array" ref="C2679">_xlfn.XLOOKUP(A2679, INSEE_Communes!$A$2:$A$3783, INSEE_Communes!$F$2:$F$3783, "code introuvable")</f>
        <v>non publié</v>
      </c>
    </row>
    <row r="2680">
      <c r="A2680" s="2" t="str">
        <f>Communes_HDF!A2680</f>
        <v>62576</v>
      </c>
      <c r="B2680" s="2" t="str">
        <f>Communes_HDF!B2680</f>
        <v>Moncheaux-lès-Frévent</v>
      </c>
      <c r="C2680" s="2" t="str">
        <f t="array" ref="C2680">_xlfn.XLOOKUP(A2680, INSEE_Communes!$A$2:$A$3783, INSEE_Communes!$F$2:$F$3783, "code introuvable")</f>
        <v>non publié</v>
      </c>
    </row>
    <row r="2681">
      <c r="A2681" s="2" t="str">
        <f>Communes_HDF!A2681</f>
        <v>62577</v>
      </c>
      <c r="B2681" s="2" t="str">
        <f>Communes_HDF!B2681</f>
        <v>Monchel-sur-Canche</v>
      </c>
      <c r="C2681" s="2" t="str">
        <f t="array" ref="C2681">_xlfn.XLOOKUP(A2681, INSEE_Communes!$A$2:$A$3783, INSEE_Communes!$F$2:$F$3783, "code introuvable")</f>
        <v>non publié</v>
      </c>
    </row>
    <row r="2682">
      <c r="A2682" s="2" t="str">
        <f>Communes_HDF!A2682</f>
        <v>62578</v>
      </c>
      <c r="B2682" s="2" t="str">
        <f>Communes_HDF!B2682</f>
        <v>Monchiet</v>
      </c>
      <c r="C2682" s="2" t="str">
        <f t="array" ref="C2682">_xlfn.XLOOKUP(A2682, INSEE_Communes!$A$2:$A$3783, INSEE_Communes!$F$2:$F$3783, "code introuvable")</f>
        <v>non publié</v>
      </c>
    </row>
    <row r="2683">
      <c r="A2683" s="2" t="str">
        <f>Communes_HDF!A2683</f>
        <v>62580</v>
      </c>
      <c r="B2683" s="2" t="str">
        <f>Communes_HDF!B2683</f>
        <v>Monchy-Breton</v>
      </c>
      <c r="C2683" s="2" t="str">
        <f t="array" ref="C2683">_xlfn.XLOOKUP(A2683, INSEE_Communes!$A$2:$A$3783, INSEE_Communes!$F$2:$F$3783, "code introuvable")</f>
        <v>non publié</v>
      </c>
    </row>
    <row r="2684">
      <c r="A2684" s="2" t="str">
        <f>Communes_HDF!A2684</f>
        <v>62581</v>
      </c>
      <c r="B2684" s="2" t="str">
        <f>Communes_HDF!B2684</f>
        <v>Monchy-Cayeux</v>
      </c>
      <c r="C2684" s="2" t="str">
        <f t="array" ref="C2684">_xlfn.XLOOKUP(A2684, INSEE_Communes!$A$2:$A$3783, INSEE_Communes!$F$2:$F$3783, "code introuvable")</f>
        <v>non publié</v>
      </c>
    </row>
    <row r="2685">
      <c r="A2685" s="2" t="str">
        <f>Communes_HDF!A2685</f>
        <v>62579</v>
      </c>
      <c r="B2685" s="2" t="str">
        <f>Communes_HDF!B2685</f>
        <v>Monchy-au-Bois</v>
      </c>
      <c r="C2685" s="2" t="str">
        <f t="array" ref="C2685">_xlfn.XLOOKUP(A2685, INSEE_Communes!$A$2:$A$3783, INSEE_Communes!$F$2:$F$3783, "code introuvable")</f>
        <v>non publié</v>
      </c>
    </row>
    <row r="2686">
      <c r="A2686" s="2" t="str">
        <f>Communes_HDF!A2686</f>
        <v>62582</v>
      </c>
      <c r="B2686" s="2" t="str">
        <f>Communes_HDF!B2686</f>
        <v>Monchy-le-Preux</v>
      </c>
      <c r="C2686" s="2" t="str">
        <f t="array" ref="C2686">_xlfn.XLOOKUP(A2686, INSEE_Communes!$A$2:$A$3783, INSEE_Communes!$F$2:$F$3783, "code introuvable")</f>
        <v>non publié</v>
      </c>
    </row>
    <row r="2687">
      <c r="A2687" s="2" t="str">
        <f>Communes_HDF!A2687</f>
        <v>62583</v>
      </c>
      <c r="B2687" s="2" t="str">
        <f>Communes_HDF!B2687</f>
        <v>Mondicourt</v>
      </c>
      <c r="C2687" s="2" t="str">
        <f t="array" ref="C2687">_xlfn.XLOOKUP(A2687, INSEE_Communes!$A$2:$A$3783, INSEE_Communes!$F$2:$F$3783, "code introuvable")</f>
        <v>non publié</v>
      </c>
    </row>
    <row r="2688">
      <c r="A2688" s="2" t="str">
        <f>Communes_HDF!A2688</f>
        <v>62584</v>
      </c>
      <c r="B2688" s="2" t="str">
        <f>Communes_HDF!B2688</f>
        <v>Mont-Bernanchon</v>
      </c>
      <c r="C2688" s="2" t="str">
        <f t="array" ref="C2688">_xlfn.XLOOKUP(A2688, INSEE_Communes!$A$2:$A$3783, INSEE_Communes!$F$2:$F$3783, "code introuvable")</f>
        <v>non publié</v>
      </c>
    </row>
    <row r="2689">
      <c r="A2689" s="2" t="str">
        <f>Communes_HDF!A2689</f>
        <v>62589</v>
      </c>
      <c r="B2689" s="2" t="str">
        <f>Communes_HDF!B2689</f>
        <v>Mont-Saint-Éloi</v>
      </c>
      <c r="C2689" s="2" t="str">
        <f t="array" ref="C2689">_xlfn.XLOOKUP(A2689, INSEE_Communes!$A$2:$A$3783, INSEE_Communes!$F$2:$F$3783, "code introuvable")</f>
        <v>non publié</v>
      </c>
    </row>
    <row r="2690">
      <c r="A2690" s="2" t="str">
        <f>Communes_HDF!A2690</f>
        <v>62585</v>
      </c>
      <c r="B2690" s="2" t="str">
        <f>Communes_HDF!B2690</f>
        <v>Montcavrel</v>
      </c>
      <c r="C2690" s="2" t="str">
        <f t="array" ref="C2690">_xlfn.XLOOKUP(A2690, INSEE_Communes!$A$2:$A$3783, INSEE_Communes!$F$2:$F$3783, "code introuvable")</f>
        <v>non publié</v>
      </c>
    </row>
    <row r="2691">
      <c r="A2691" s="2" t="str">
        <f>Communes_HDF!A2691</f>
        <v>62586</v>
      </c>
      <c r="B2691" s="2" t="str">
        <f>Communes_HDF!B2691</f>
        <v>Montenescourt</v>
      </c>
      <c r="C2691" s="2" t="str">
        <f t="array" ref="C2691">_xlfn.XLOOKUP(A2691, INSEE_Communes!$A$2:$A$3783, INSEE_Communes!$F$2:$F$3783, "code introuvable")</f>
        <v>non publié</v>
      </c>
    </row>
    <row r="2692">
      <c r="A2692" s="2" t="str">
        <f>Communes_HDF!A2692</f>
        <v>62587</v>
      </c>
      <c r="B2692" s="2" t="str">
        <f>Communes_HDF!B2692</f>
        <v>Montigny-en-Gohelle</v>
      </c>
      <c r="C2692" s="2">
        <f t="array" ref="C2692">_xlfn.XLOOKUP(A2692, INSEE_Communes!$A$2:$A$3783, INSEE_Communes!$F$2:$F$3783, "code introuvable")</f>
        <v>26</v>
      </c>
    </row>
    <row r="2693">
      <c r="A2693" s="2" t="str">
        <f>Communes_HDF!A2693</f>
        <v>62588</v>
      </c>
      <c r="B2693" s="2" t="str">
        <f>Communes_HDF!B2693</f>
        <v>Montreuil-sur-Mer</v>
      </c>
      <c r="C2693" s="2" t="str">
        <f t="array" ref="C2693">_xlfn.XLOOKUP(A2693, INSEE_Communes!$A$2:$A$3783, INSEE_Communes!$F$2:$F$3783, "code introuvable")</f>
        <v>non publié</v>
      </c>
    </row>
    <row r="2694">
      <c r="A2694" s="2" t="str">
        <f>Communes_HDF!A2694</f>
        <v>62590</v>
      </c>
      <c r="B2694" s="2" t="str">
        <f>Communes_HDF!B2694</f>
        <v>Monts-en-Ternois</v>
      </c>
      <c r="C2694" s="2" t="str">
        <f t="array" ref="C2694">_xlfn.XLOOKUP(A2694, INSEE_Communes!$A$2:$A$3783, INSEE_Communes!$F$2:$F$3783, "code introuvable")</f>
        <v>non publié</v>
      </c>
    </row>
    <row r="2695">
      <c r="A2695" s="2" t="str">
        <f>Communes_HDF!A2695</f>
        <v>62591</v>
      </c>
      <c r="B2695" s="2" t="str">
        <f>Communes_HDF!B2695</f>
        <v>Morchies</v>
      </c>
      <c r="C2695" s="2" t="str">
        <f t="array" ref="C2695">_xlfn.XLOOKUP(A2695, INSEE_Communes!$A$2:$A$3783, INSEE_Communes!$F$2:$F$3783, "code introuvable")</f>
        <v>non publié</v>
      </c>
    </row>
    <row r="2696">
      <c r="A2696" s="2" t="str">
        <f>Communes_HDF!A2696</f>
        <v>62592</v>
      </c>
      <c r="B2696" s="2" t="str">
        <f>Communes_HDF!B2696</f>
        <v>Moringhem</v>
      </c>
      <c r="C2696" s="2" t="str">
        <f t="array" ref="C2696">_xlfn.XLOOKUP(A2696, INSEE_Communes!$A$2:$A$3783, INSEE_Communes!$F$2:$F$3783, "code introuvable")</f>
        <v>non publié</v>
      </c>
    </row>
    <row r="2697">
      <c r="A2697" s="2" t="str">
        <f>Communes_HDF!A2697</f>
        <v>62593</v>
      </c>
      <c r="B2697" s="2" t="str">
        <f>Communes_HDF!B2697</f>
        <v>Morval</v>
      </c>
      <c r="C2697" s="2" t="str">
        <f t="array" ref="C2697">_xlfn.XLOOKUP(A2697, INSEE_Communes!$A$2:$A$3783, INSEE_Communes!$F$2:$F$3783, "code introuvable")</f>
        <v>non publié</v>
      </c>
    </row>
    <row r="2698">
      <c r="A2698" s="2" t="str">
        <f>Communes_HDF!A2698</f>
        <v>62594</v>
      </c>
      <c r="B2698" s="2" t="str">
        <f>Communes_HDF!B2698</f>
        <v>Mory</v>
      </c>
      <c r="C2698" s="2" t="str">
        <f t="array" ref="C2698">_xlfn.XLOOKUP(A2698, INSEE_Communes!$A$2:$A$3783, INSEE_Communes!$F$2:$F$3783, "code introuvable")</f>
        <v>non publié</v>
      </c>
    </row>
    <row r="2699">
      <c r="A2699" s="2" t="str">
        <f>Communes_HDF!A2699</f>
        <v>62595</v>
      </c>
      <c r="B2699" s="2" t="str">
        <f>Communes_HDF!B2699</f>
        <v>Moulle</v>
      </c>
      <c r="C2699" s="2" t="str">
        <f t="array" ref="C2699">_xlfn.XLOOKUP(A2699, INSEE_Communes!$A$2:$A$3783, INSEE_Communes!$F$2:$F$3783, "code introuvable")</f>
        <v>non publié</v>
      </c>
    </row>
    <row r="2700">
      <c r="A2700" s="2" t="str">
        <f>Communes_HDF!A2700</f>
        <v>62596</v>
      </c>
      <c r="B2700" s="2" t="str">
        <f>Communes_HDF!B2700</f>
        <v>Mouriez</v>
      </c>
      <c r="C2700" s="2" t="str">
        <f t="array" ref="C2700">_xlfn.XLOOKUP(A2700, INSEE_Communes!$A$2:$A$3783, INSEE_Communes!$F$2:$F$3783, "code introuvable")</f>
        <v>non publié</v>
      </c>
    </row>
    <row r="2701">
      <c r="A2701" s="2" t="str">
        <f>Communes_HDF!A2701</f>
        <v>62597</v>
      </c>
      <c r="B2701" s="2" t="str">
        <f>Communes_HDF!B2701</f>
        <v>Moyenneville</v>
      </c>
      <c r="C2701" s="2" t="str">
        <f t="array" ref="C2701">_xlfn.XLOOKUP(A2701, INSEE_Communes!$A$2:$A$3783, INSEE_Communes!$F$2:$F$3783, "code introuvable")</f>
        <v>non publié</v>
      </c>
    </row>
    <row r="2702">
      <c r="A2702" s="2" t="str">
        <f>Communes_HDF!A2702</f>
        <v>62598</v>
      </c>
      <c r="B2702" s="2" t="str">
        <f>Communes_HDF!B2702</f>
        <v>Muncq-Nieurlet</v>
      </c>
      <c r="C2702" s="2" t="str">
        <f t="array" ref="C2702">_xlfn.XLOOKUP(A2702, INSEE_Communes!$A$2:$A$3783, INSEE_Communes!$F$2:$F$3783, "code introuvable")</f>
        <v>non publié</v>
      </c>
    </row>
    <row r="2703">
      <c r="A2703" s="2" t="str">
        <f>Communes_HDF!A2703</f>
        <v>62570</v>
      </c>
      <c r="B2703" s="2" t="str">
        <f>Communes_HDF!B2703</f>
        <v>Méricourt</v>
      </c>
      <c r="C2703" s="2">
        <f t="array" ref="C2703">_xlfn.XLOOKUP(A2703, INSEE_Communes!$A$2:$A$3783, INSEE_Communes!$F$2:$F$3783, "code introuvable")</f>
        <v>26</v>
      </c>
    </row>
    <row r="2704">
      <c r="A2704" s="2" t="str">
        <f>Communes_HDF!A2704</f>
        <v>62599</v>
      </c>
      <c r="B2704" s="2" t="str">
        <f>Communes_HDF!B2704</f>
        <v>Nabringhen</v>
      </c>
      <c r="C2704" s="2" t="str">
        <f t="array" ref="C2704">_xlfn.XLOOKUP(A2704, INSEE_Communes!$A$2:$A$3783, INSEE_Communes!$F$2:$F$3783, "code introuvable")</f>
        <v>non publié</v>
      </c>
    </row>
    <row r="2705">
      <c r="A2705" s="2" t="str">
        <f>Communes_HDF!A2705</f>
        <v>62602</v>
      </c>
      <c r="B2705" s="2" t="str">
        <f>Communes_HDF!B2705</f>
        <v>Nempont-Saint-Firmin</v>
      </c>
      <c r="C2705" s="2" t="str">
        <f t="array" ref="C2705">_xlfn.XLOOKUP(A2705, INSEE_Communes!$A$2:$A$3783, INSEE_Communes!$F$2:$F$3783, "code introuvable")</f>
        <v>non publié</v>
      </c>
    </row>
    <row r="2706">
      <c r="A2706" s="2" t="str">
        <f>Communes_HDF!A2706</f>
        <v>62603</v>
      </c>
      <c r="B2706" s="2" t="str">
        <f>Communes_HDF!B2706</f>
        <v>Nesles</v>
      </c>
      <c r="C2706" s="2" t="str">
        <f t="array" ref="C2706">_xlfn.XLOOKUP(A2706, INSEE_Communes!$A$2:$A$3783, INSEE_Communes!$F$2:$F$3783, "code introuvable")</f>
        <v>non publié</v>
      </c>
    </row>
    <row r="2707">
      <c r="A2707" s="2" t="str">
        <f>Communes_HDF!A2707</f>
        <v>62604</v>
      </c>
      <c r="B2707" s="2" t="str">
        <f>Communes_HDF!B2707</f>
        <v>Neufchâtel-Hardelot</v>
      </c>
      <c r="C2707" s="2">
        <f t="array" ref="C2707">_xlfn.XLOOKUP(A2707, INSEE_Communes!$A$2:$A$3783, INSEE_Communes!$F$2:$F$3783, "code introuvable")</f>
        <v>11</v>
      </c>
    </row>
    <row r="2708">
      <c r="A2708" s="2" t="str">
        <f>Communes_HDF!A2708</f>
        <v>62605</v>
      </c>
      <c r="B2708" s="2" t="str">
        <f>Communes_HDF!B2708</f>
        <v>Neulette</v>
      </c>
      <c r="C2708" s="2" t="str">
        <f t="array" ref="C2708">_xlfn.XLOOKUP(A2708, INSEE_Communes!$A$2:$A$3783, INSEE_Communes!$F$2:$F$3783, "code introuvable")</f>
        <v>non publié</v>
      </c>
    </row>
    <row r="2709">
      <c r="A2709" s="2" t="str">
        <f>Communes_HDF!A2709</f>
        <v>62606</v>
      </c>
      <c r="B2709" s="2" t="str">
        <f>Communes_HDF!B2709</f>
        <v>Neuve-Chapelle</v>
      </c>
      <c r="C2709" s="2" t="str">
        <f t="array" ref="C2709">_xlfn.XLOOKUP(A2709, INSEE_Communes!$A$2:$A$3783, INSEE_Communes!$F$2:$F$3783, "code introuvable")</f>
        <v>non publié</v>
      </c>
    </row>
    <row r="2710">
      <c r="A2710" s="2" t="str">
        <f>Communes_HDF!A2710</f>
        <v>62608</v>
      </c>
      <c r="B2710" s="2" t="str">
        <f>Communes_HDF!B2710</f>
        <v>Neuville-Bourjonval</v>
      </c>
      <c r="C2710" s="2" t="str">
        <f t="array" ref="C2710">_xlfn.XLOOKUP(A2710, INSEE_Communes!$A$2:$A$3783, INSEE_Communes!$F$2:$F$3783, "code introuvable")</f>
        <v>non publié</v>
      </c>
    </row>
    <row r="2711">
      <c r="A2711" s="2" t="str">
        <f>Communes_HDF!A2711</f>
        <v>62609</v>
      </c>
      <c r="B2711" s="2" t="str">
        <f>Communes_HDF!B2711</f>
        <v>Neuville-Saint-Vaast</v>
      </c>
      <c r="C2711" s="2" t="str">
        <f t="array" ref="C2711">_xlfn.XLOOKUP(A2711, INSEE_Communes!$A$2:$A$3783, INSEE_Communes!$F$2:$F$3783, "code introuvable")</f>
        <v>non publié</v>
      </c>
    </row>
    <row r="2712">
      <c r="A2712" s="2" t="str">
        <f>Communes_HDF!A2712</f>
        <v>62611</v>
      </c>
      <c r="B2712" s="2" t="str">
        <f>Communes_HDF!B2712</f>
        <v>Neuville-Vitasse</v>
      </c>
      <c r="C2712" s="2" t="str">
        <f t="array" ref="C2712">_xlfn.XLOOKUP(A2712, INSEE_Communes!$A$2:$A$3783, INSEE_Communes!$F$2:$F$3783, "code introuvable")</f>
        <v>non publié</v>
      </c>
    </row>
    <row r="2713">
      <c r="A2713" s="2" t="str">
        <f>Communes_HDF!A2713</f>
        <v>62607</v>
      </c>
      <c r="B2713" s="2" t="str">
        <f>Communes_HDF!B2713</f>
        <v>Neuville-au-Cornet</v>
      </c>
      <c r="C2713" s="2" t="str">
        <f t="array" ref="C2713">_xlfn.XLOOKUP(A2713, INSEE_Communes!$A$2:$A$3783, INSEE_Communes!$F$2:$F$3783, "code introuvable")</f>
        <v>non publié</v>
      </c>
    </row>
    <row r="2714">
      <c r="A2714" s="2" t="str">
        <f>Communes_HDF!A2714</f>
        <v>62610</v>
      </c>
      <c r="B2714" s="2" t="str">
        <f>Communes_HDF!B2714</f>
        <v>Neuville-sous-Montreuil</v>
      </c>
      <c r="C2714" s="2" t="str">
        <f t="array" ref="C2714">_xlfn.XLOOKUP(A2714, INSEE_Communes!$A$2:$A$3783, INSEE_Communes!$F$2:$F$3783, "code introuvable")</f>
        <v>non publié</v>
      </c>
    </row>
    <row r="2715">
      <c r="A2715" s="2" t="str">
        <f>Communes_HDF!A2715</f>
        <v>62612</v>
      </c>
      <c r="B2715" s="2" t="str">
        <f>Communes_HDF!B2715</f>
        <v>Neuvireuil</v>
      </c>
      <c r="C2715" s="2" t="str">
        <f t="array" ref="C2715">_xlfn.XLOOKUP(A2715, INSEE_Communes!$A$2:$A$3783, INSEE_Communes!$F$2:$F$3783, "code introuvable")</f>
        <v>non publié</v>
      </c>
    </row>
    <row r="2716">
      <c r="A2716" s="2" t="str">
        <f>Communes_HDF!A2716</f>
        <v>62614</v>
      </c>
      <c r="B2716" s="2" t="str">
        <f>Communes_HDF!B2716</f>
        <v>Nielles-lès-Ardres</v>
      </c>
      <c r="C2716" s="2" t="str">
        <f t="array" ref="C2716">_xlfn.XLOOKUP(A2716, INSEE_Communes!$A$2:$A$3783, INSEE_Communes!$F$2:$F$3783, "code introuvable")</f>
        <v>non publié</v>
      </c>
    </row>
    <row r="2717">
      <c r="A2717" s="2" t="str">
        <f>Communes_HDF!A2717</f>
        <v>62613</v>
      </c>
      <c r="B2717" s="2" t="str">
        <f>Communes_HDF!B2717</f>
        <v>Nielles-lès-Bléquin</v>
      </c>
      <c r="C2717" s="2" t="str">
        <f t="array" ref="C2717">_xlfn.XLOOKUP(A2717, INSEE_Communes!$A$2:$A$3783, INSEE_Communes!$F$2:$F$3783, "code introuvable")</f>
        <v>non publié</v>
      </c>
    </row>
    <row r="2718">
      <c r="A2718" s="2" t="str">
        <f>Communes_HDF!A2718</f>
        <v>62615</v>
      </c>
      <c r="B2718" s="2" t="str">
        <f>Communes_HDF!B2718</f>
        <v>Nielles-lès-Calais</v>
      </c>
      <c r="C2718" s="2" t="str">
        <f t="array" ref="C2718">_xlfn.XLOOKUP(A2718, INSEE_Communes!$A$2:$A$3783, INSEE_Communes!$F$2:$F$3783, "code introuvable")</f>
        <v>non publié</v>
      </c>
    </row>
    <row r="2719">
      <c r="A2719" s="2" t="str">
        <f>Communes_HDF!A2719</f>
        <v>62618</v>
      </c>
      <c r="B2719" s="2" t="str">
        <f>Communes_HDF!B2719</f>
        <v>Nordausques</v>
      </c>
      <c r="C2719" s="2" t="str">
        <f t="array" ref="C2719">_xlfn.XLOOKUP(A2719, INSEE_Communes!$A$2:$A$3783, INSEE_Communes!$F$2:$F$3783, "code introuvable")</f>
        <v>non publié</v>
      </c>
    </row>
    <row r="2720">
      <c r="A2720" s="2" t="str">
        <f>Communes_HDF!A2720</f>
        <v>62619</v>
      </c>
      <c r="B2720" s="2" t="str">
        <f>Communes_HDF!B2720</f>
        <v>Noreuil</v>
      </c>
      <c r="C2720" s="2" t="str">
        <f t="array" ref="C2720">_xlfn.XLOOKUP(A2720, INSEE_Communes!$A$2:$A$3783, INSEE_Communes!$F$2:$F$3783, "code introuvable")</f>
        <v>non publié</v>
      </c>
    </row>
    <row r="2721">
      <c r="A2721" s="2" t="str">
        <f>Communes_HDF!A2721</f>
        <v>62620</v>
      </c>
      <c r="B2721" s="2" t="str">
        <f>Communes_HDF!B2721</f>
        <v>Norrent-Fontes</v>
      </c>
      <c r="C2721" s="2" t="str">
        <f t="array" ref="C2721">_xlfn.XLOOKUP(A2721, INSEE_Communes!$A$2:$A$3783, INSEE_Communes!$F$2:$F$3783, "code introuvable")</f>
        <v>non publié</v>
      </c>
    </row>
    <row r="2722">
      <c r="A2722" s="2" t="str">
        <f>Communes_HDF!A2722</f>
        <v>62622</v>
      </c>
      <c r="B2722" s="2" t="str">
        <f>Communes_HDF!B2722</f>
        <v>Nort-Leulinghem</v>
      </c>
      <c r="C2722" s="2" t="str">
        <f t="array" ref="C2722">_xlfn.XLOOKUP(A2722, INSEE_Communes!$A$2:$A$3783, INSEE_Communes!$F$2:$F$3783, "code introuvable")</f>
        <v>non publié</v>
      </c>
    </row>
    <row r="2723">
      <c r="A2723" s="2" t="str">
        <f>Communes_HDF!A2723</f>
        <v>62621</v>
      </c>
      <c r="B2723" s="2" t="str">
        <f>Communes_HDF!B2723</f>
        <v>Nortkerque</v>
      </c>
      <c r="C2723" s="2" t="str">
        <f t="array" ref="C2723">_xlfn.XLOOKUP(A2723, INSEE_Communes!$A$2:$A$3783, INSEE_Communes!$F$2:$F$3783, "code introuvable")</f>
        <v>non publié</v>
      </c>
    </row>
    <row r="2724">
      <c r="A2724" s="2" t="str">
        <f>Communes_HDF!A2724</f>
        <v>62623</v>
      </c>
      <c r="B2724" s="2" t="str">
        <f>Communes_HDF!B2724</f>
        <v>Nouvelle-Église</v>
      </c>
      <c r="C2724" s="2" t="str">
        <f t="array" ref="C2724">_xlfn.XLOOKUP(A2724, INSEE_Communes!$A$2:$A$3783, INSEE_Communes!$F$2:$F$3783, "code introuvable")</f>
        <v>non publié</v>
      </c>
    </row>
    <row r="2725">
      <c r="A2725" s="2" t="str">
        <f>Communes_HDF!A2725</f>
        <v>62630</v>
      </c>
      <c r="B2725" s="2" t="str">
        <f>Communes_HDF!B2725</f>
        <v>Noyelle-Vion</v>
      </c>
      <c r="C2725" s="2" t="str">
        <f t="array" ref="C2725">_xlfn.XLOOKUP(A2725, INSEE_Communes!$A$2:$A$3783, INSEE_Communes!$F$2:$F$3783, "code introuvable")</f>
        <v>non publié</v>
      </c>
    </row>
    <row r="2726">
      <c r="A2726" s="2" t="str">
        <f>Communes_HDF!A2726</f>
        <v>62624</v>
      </c>
      <c r="B2726" s="2" t="str">
        <f>Communes_HDF!B2726</f>
        <v>Noyelles-Godault</v>
      </c>
      <c r="C2726" s="2">
        <f t="array" ref="C2726">_xlfn.XLOOKUP(A2726, INSEE_Communes!$A$2:$A$3783, INSEE_Communes!$F$2:$F$3783, "code introuvable")</f>
        <v>24</v>
      </c>
    </row>
    <row r="2727">
      <c r="A2727" s="2" t="str">
        <f>Communes_HDF!A2727</f>
        <v>62625</v>
      </c>
      <c r="B2727" s="2" t="str">
        <f>Communes_HDF!B2727</f>
        <v>Noyelles-lès-Humières</v>
      </c>
      <c r="C2727" s="2" t="str">
        <f t="array" ref="C2727">_xlfn.XLOOKUP(A2727, INSEE_Communes!$A$2:$A$3783, INSEE_Communes!$F$2:$F$3783, "code introuvable")</f>
        <v>non publié</v>
      </c>
    </row>
    <row r="2728">
      <c r="A2728" s="2" t="str">
        <f>Communes_HDF!A2728</f>
        <v>62626</v>
      </c>
      <c r="B2728" s="2" t="str">
        <f>Communes_HDF!B2728</f>
        <v>Noyelles-lès-Vermelles</v>
      </c>
      <c r="C2728" s="2">
        <f t="array" ref="C2728">_xlfn.XLOOKUP(A2728, INSEE_Communes!$A$2:$A$3783, INSEE_Communes!$F$2:$F$3783, "code introuvable")</f>
        <v>18</v>
      </c>
    </row>
    <row r="2729">
      <c r="A2729" s="2" t="str">
        <f>Communes_HDF!A2729</f>
        <v>62627</v>
      </c>
      <c r="B2729" s="2" t="str">
        <f>Communes_HDF!B2729</f>
        <v>Noyelles-sous-Bellonne</v>
      </c>
      <c r="C2729" s="2" t="str">
        <f t="array" ref="C2729">_xlfn.XLOOKUP(A2729, INSEE_Communes!$A$2:$A$3783, INSEE_Communes!$F$2:$F$3783, "code introuvable")</f>
        <v>non publié</v>
      </c>
    </row>
    <row r="2730">
      <c r="A2730" s="2" t="str">
        <f>Communes_HDF!A2730</f>
        <v>62628</v>
      </c>
      <c r="B2730" s="2" t="str">
        <f>Communes_HDF!B2730</f>
        <v>Noyelles-sous-Lens</v>
      </c>
      <c r="C2730" s="2">
        <f t="array" ref="C2730">_xlfn.XLOOKUP(A2730, INSEE_Communes!$A$2:$A$3783, INSEE_Communes!$F$2:$F$3783, "code introuvable")</f>
        <v>30</v>
      </c>
    </row>
    <row r="2731">
      <c r="A2731" s="2" t="str">
        <f>Communes_HDF!A2731</f>
        <v>62629</v>
      </c>
      <c r="B2731" s="2" t="str">
        <f>Communes_HDF!B2731</f>
        <v>Noyellette</v>
      </c>
      <c r="C2731" s="2" t="str">
        <f t="array" ref="C2731">_xlfn.XLOOKUP(A2731, INSEE_Communes!$A$2:$A$3783, INSEE_Communes!$F$2:$F$3783, "code introuvable")</f>
        <v>non publié</v>
      </c>
    </row>
    <row r="2732">
      <c r="A2732" s="2" t="str">
        <f>Communes_HDF!A2732</f>
        <v>62631</v>
      </c>
      <c r="B2732" s="2" t="str">
        <f>Communes_HDF!B2732</f>
        <v>Nuncq-Hautecôte</v>
      </c>
      <c r="C2732" s="2" t="str">
        <f t="array" ref="C2732">_xlfn.XLOOKUP(A2732, INSEE_Communes!$A$2:$A$3783, INSEE_Communes!$F$2:$F$3783, "code introuvable")</f>
        <v>non publié</v>
      </c>
    </row>
    <row r="2733">
      <c r="A2733" s="2" t="str">
        <f>Communes_HDF!A2733</f>
        <v>62600</v>
      </c>
      <c r="B2733" s="2" t="str">
        <f>Communes_HDF!B2733</f>
        <v>Nédon</v>
      </c>
      <c r="C2733" s="2" t="str">
        <f t="array" ref="C2733">_xlfn.XLOOKUP(A2733, INSEE_Communes!$A$2:$A$3783, INSEE_Communes!$F$2:$F$3783, "code introuvable")</f>
        <v>non publié</v>
      </c>
    </row>
    <row r="2734">
      <c r="A2734" s="2" t="str">
        <f>Communes_HDF!A2734</f>
        <v>62601</v>
      </c>
      <c r="B2734" s="2" t="str">
        <f>Communes_HDF!B2734</f>
        <v>Nédonchel</v>
      </c>
      <c r="C2734" s="2" t="str">
        <f t="array" ref="C2734">_xlfn.XLOOKUP(A2734, INSEE_Communes!$A$2:$A$3783, INSEE_Communes!$F$2:$F$3783, "code introuvable")</f>
        <v>non publié</v>
      </c>
    </row>
    <row r="2735">
      <c r="A2735" s="2" t="str">
        <f>Communes_HDF!A2735</f>
        <v>62617</v>
      </c>
      <c r="B2735" s="2" t="str">
        <f>Communes_HDF!B2735</f>
        <v>Nœux-les-Mines</v>
      </c>
      <c r="C2735" s="2">
        <f t="array" ref="C2735">_xlfn.XLOOKUP(A2735, INSEE_Communes!$A$2:$A$3783, INSEE_Communes!$F$2:$F$3783, "code introuvable")</f>
        <v>24</v>
      </c>
    </row>
    <row r="2736">
      <c r="A2736" s="2" t="str">
        <f>Communes_HDF!A2736</f>
        <v>62616</v>
      </c>
      <c r="B2736" s="2" t="str">
        <f>Communes_HDF!B2736</f>
        <v>Nœux-lès-Auxi</v>
      </c>
      <c r="C2736" s="2" t="str">
        <f t="array" ref="C2736">_xlfn.XLOOKUP(A2736, INSEE_Communes!$A$2:$A$3783, INSEE_Communes!$F$2:$F$3783, "code introuvable")</f>
        <v>non publié</v>
      </c>
    </row>
    <row r="2737">
      <c r="A2737" s="2" t="str">
        <f>Communes_HDF!A2737</f>
        <v>62632</v>
      </c>
      <c r="B2737" s="2" t="str">
        <f>Communes_HDF!B2737</f>
        <v>Oblinghem</v>
      </c>
      <c r="C2737" s="2" t="str">
        <f t="array" ref="C2737">_xlfn.XLOOKUP(A2737, INSEE_Communes!$A$2:$A$3783, INSEE_Communes!$F$2:$F$3783, "code introuvable")</f>
        <v>non publié</v>
      </c>
    </row>
    <row r="2738">
      <c r="A2738" s="2" t="str">
        <f>Communes_HDF!A2738</f>
        <v>62634</v>
      </c>
      <c r="B2738" s="2" t="str">
        <f>Communes_HDF!B2738</f>
        <v>Offekerque</v>
      </c>
      <c r="C2738" s="2" t="str">
        <f t="array" ref="C2738">_xlfn.XLOOKUP(A2738, INSEE_Communes!$A$2:$A$3783, INSEE_Communes!$F$2:$F$3783, "code introuvable")</f>
        <v>non publié</v>
      </c>
    </row>
    <row r="2739">
      <c r="A2739" s="2" t="str">
        <f>Communes_HDF!A2739</f>
        <v>62635</v>
      </c>
      <c r="B2739" s="2" t="str">
        <f>Communes_HDF!B2739</f>
        <v>Offin</v>
      </c>
      <c r="C2739" s="2" t="str">
        <f t="array" ref="C2739">_xlfn.XLOOKUP(A2739, INSEE_Communes!$A$2:$A$3783, INSEE_Communes!$F$2:$F$3783, "code introuvable")</f>
        <v>non publié</v>
      </c>
    </row>
    <row r="2740">
      <c r="A2740" s="2" t="str">
        <f>Communes_HDF!A2740</f>
        <v>62636</v>
      </c>
      <c r="B2740" s="2" t="str">
        <f>Communes_HDF!B2740</f>
        <v>Offrethun</v>
      </c>
      <c r="C2740" s="2" t="str">
        <f t="array" ref="C2740">_xlfn.XLOOKUP(A2740, INSEE_Communes!$A$2:$A$3783, INSEE_Communes!$F$2:$F$3783, "code introuvable")</f>
        <v>non publié</v>
      </c>
    </row>
    <row r="2741">
      <c r="A2741" s="2" t="str">
        <f>Communes_HDF!A2741</f>
        <v>62637</v>
      </c>
      <c r="B2741" s="2" t="str">
        <f>Communes_HDF!B2741</f>
        <v>Oignies</v>
      </c>
      <c r="C2741" s="2">
        <f t="array" ref="C2741">_xlfn.XLOOKUP(A2741, INSEE_Communes!$A$2:$A$3783, INSEE_Communes!$F$2:$F$3783, "code introuvable")</f>
        <v>26</v>
      </c>
    </row>
    <row r="2742">
      <c r="A2742" s="2" t="str">
        <f>Communes_HDF!A2742</f>
        <v>62638</v>
      </c>
      <c r="B2742" s="2" t="str">
        <f>Communes_HDF!B2742</f>
        <v>Oisy-le-Verger</v>
      </c>
      <c r="C2742" s="2" t="str">
        <f t="array" ref="C2742">_xlfn.XLOOKUP(A2742, INSEE_Communes!$A$2:$A$3783, INSEE_Communes!$F$2:$F$3783, "code introuvable")</f>
        <v>non publié</v>
      </c>
    </row>
    <row r="2743">
      <c r="A2743" s="2" t="str">
        <f>Communes_HDF!A2743</f>
        <v>62639</v>
      </c>
      <c r="B2743" s="2" t="str">
        <f>Communes_HDF!B2743</f>
        <v>Oppy</v>
      </c>
      <c r="C2743" s="2" t="str">
        <f t="array" ref="C2743">_xlfn.XLOOKUP(A2743, INSEE_Communes!$A$2:$A$3783, INSEE_Communes!$F$2:$F$3783, "code introuvable")</f>
        <v>non publié</v>
      </c>
    </row>
    <row r="2744">
      <c r="A2744" s="2" t="str">
        <f>Communes_HDF!A2744</f>
        <v>62640</v>
      </c>
      <c r="B2744" s="2" t="str">
        <f>Communes_HDF!B2744</f>
        <v>Orville</v>
      </c>
      <c r="C2744" s="2" t="str">
        <f t="array" ref="C2744">_xlfn.XLOOKUP(A2744, INSEE_Communes!$A$2:$A$3783, INSEE_Communes!$F$2:$F$3783, "code introuvable")</f>
        <v>non publié</v>
      </c>
    </row>
    <row r="2745">
      <c r="A2745" s="2" t="str">
        <f>Communes_HDF!A2745</f>
        <v>62641</v>
      </c>
      <c r="B2745" s="2" t="str">
        <f>Communes_HDF!B2745</f>
        <v>Ostreville</v>
      </c>
      <c r="C2745" s="2" t="str">
        <f t="array" ref="C2745">_xlfn.XLOOKUP(A2745, INSEE_Communes!$A$2:$A$3783, INSEE_Communes!$F$2:$F$3783, "code introuvable")</f>
        <v>non publié</v>
      </c>
    </row>
    <row r="2746">
      <c r="A2746" s="2" t="str">
        <f>Communes_HDF!A2746</f>
        <v>62642</v>
      </c>
      <c r="B2746" s="2" t="str">
        <f>Communes_HDF!B2746</f>
        <v>Ourton</v>
      </c>
      <c r="C2746" s="2" t="str">
        <f t="array" ref="C2746">_xlfn.XLOOKUP(A2746, INSEE_Communes!$A$2:$A$3783, INSEE_Communes!$F$2:$F$3783, "code introuvable")</f>
        <v>non publié</v>
      </c>
    </row>
    <row r="2747">
      <c r="A2747" s="2" t="str">
        <f>Communes_HDF!A2747</f>
        <v>62643</v>
      </c>
      <c r="B2747" s="2" t="str">
        <f>Communes_HDF!B2747</f>
        <v>Outreau</v>
      </c>
      <c r="C2747" s="2">
        <f t="array" ref="C2747">_xlfn.XLOOKUP(A2747, INSEE_Communes!$A$2:$A$3783, INSEE_Communes!$F$2:$F$3783, "code introuvable")</f>
        <v>19</v>
      </c>
    </row>
    <row r="2748">
      <c r="A2748" s="2" t="str">
        <f>Communes_HDF!A2748</f>
        <v>62644</v>
      </c>
      <c r="B2748" s="2" t="str">
        <f>Communes_HDF!B2748</f>
        <v>Ouve-Wirquin</v>
      </c>
      <c r="C2748" s="2" t="str">
        <f t="array" ref="C2748">_xlfn.XLOOKUP(A2748, INSEE_Communes!$A$2:$A$3783, INSEE_Communes!$F$2:$F$3783, "code introuvable")</f>
        <v>non publié</v>
      </c>
    </row>
    <row r="2749">
      <c r="A2749" s="2" t="str">
        <f>Communes_HDF!A2749</f>
        <v>62645</v>
      </c>
      <c r="B2749" s="2" t="str">
        <f>Communes_HDF!B2749</f>
        <v>Oye-Plage</v>
      </c>
      <c r="C2749" s="2">
        <f t="array" ref="C2749">_xlfn.XLOOKUP(A2749, INSEE_Communes!$A$2:$A$3783, INSEE_Communes!$F$2:$F$3783, "code introuvable")</f>
        <v>11</v>
      </c>
    </row>
    <row r="2750">
      <c r="A2750" s="2" t="str">
        <f>Communes_HDF!A2750</f>
        <v>62646</v>
      </c>
      <c r="B2750" s="2" t="str">
        <f>Communes_HDF!B2750</f>
        <v>Palluel</v>
      </c>
      <c r="C2750" s="2" t="str">
        <f t="array" ref="C2750">_xlfn.XLOOKUP(A2750, INSEE_Communes!$A$2:$A$3783, INSEE_Communes!$F$2:$F$3783, "code introuvable")</f>
        <v>non publié</v>
      </c>
    </row>
    <row r="2751">
      <c r="A2751" s="2" t="str">
        <f>Communes_HDF!A2751</f>
        <v>62648</v>
      </c>
      <c r="B2751" s="2" t="str">
        <f>Communes_HDF!B2751</f>
        <v>Parenty</v>
      </c>
      <c r="C2751" s="2" t="str">
        <f t="array" ref="C2751">_xlfn.XLOOKUP(A2751, INSEE_Communes!$A$2:$A$3783, INSEE_Communes!$F$2:$F$3783, "code introuvable")</f>
        <v>non publié</v>
      </c>
    </row>
    <row r="2752">
      <c r="A2752" s="2" t="str">
        <f>Communes_HDF!A2752</f>
        <v>62649</v>
      </c>
      <c r="B2752" s="2" t="str">
        <f>Communes_HDF!B2752</f>
        <v>Pas-en-Artois</v>
      </c>
      <c r="C2752" s="2" t="str">
        <f t="array" ref="C2752">_xlfn.XLOOKUP(A2752, INSEE_Communes!$A$2:$A$3783, INSEE_Communes!$F$2:$F$3783, "code introuvable")</f>
        <v>non publié</v>
      </c>
    </row>
    <row r="2753">
      <c r="A2753" s="2" t="str">
        <f>Communes_HDF!A2753</f>
        <v>62650</v>
      </c>
      <c r="B2753" s="2" t="str">
        <f>Communes_HDF!B2753</f>
        <v>Pelves</v>
      </c>
      <c r="C2753" s="2" t="str">
        <f t="array" ref="C2753">_xlfn.XLOOKUP(A2753, INSEE_Communes!$A$2:$A$3783, INSEE_Communes!$F$2:$F$3783, "code introuvable")</f>
        <v>non publié</v>
      </c>
    </row>
    <row r="2754">
      <c r="A2754" s="2" t="str">
        <f>Communes_HDF!A2754</f>
        <v>62651</v>
      </c>
      <c r="B2754" s="2" t="str">
        <f>Communes_HDF!B2754</f>
        <v>Penin</v>
      </c>
      <c r="C2754" s="2" t="str">
        <f t="array" ref="C2754">_xlfn.XLOOKUP(A2754, INSEE_Communes!$A$2:$A$3783, INSEE_Communes!$F$2:$F$3783, "code introuvable")</f>
        <v>non publié</v>
      </c>
    </row>
    <row r="2755">
      <c r="A2755" s="2" t="str">
        <f>Communes_HDF!A2755</f>
        <v>62652</v>
      </c>
      <c r="B2755" s="2" t="str">
        <f>Communes_HDF!B2755</f>
        <v>Pernes</v>
      </c>
      <c r="C2755" s="2" t="str">
        <f t="array" ref="C2755">_xlfn.XLOOKUP(A2755, INSEE_Communes!$A$2:$A$3783, INSEE_Communes!$F$2:$F$3783, "code introuvable")</f>
        <v>non publié</v>
      </c>
    </row>
    <row r="2756">
      <c r="A2756" s="2" t="str">
        <f>Communes_HDF!A2756</f>
        <v>62653</v>
      </c>
      <c r="B2756" s="2" t="str">
        <f>Communes_HDF!B2756</f>
        <v>Pernes-lès-Boulogne</v>
      </c>
      <c r="C2756" s="2" t="str">
        <f t="array" ref="C2756">_xlfn.XLOOKUP(A2756, INSEE_Communes!$A$2:$A$3783, INSEE_Communes!$F$2:$F$3783, "code introuvable")</f>
        <v>non publié</v>
      </c>
    </row>
    <row r="2757">
      <c r="A2757" s="2" t="str">
        <f>Communes_HDF!A2757</f>
        <v>62654</v>
      </c>
      <c r="B2757" s="2" t="str">
        <f>Communes_HDF!B2757</f>
        <v>Peuplingues</v>
      </c>
      <c r="C2757" s="2" t="str">
        <f t="array" ref="C2757">_xlfn.XLOOKUP(A2757, INSEE_Communes!$A$2:$A$3783, INSEE_Communes!$F$2:$F$3783, "code introuvable")</f>
        <v>non publié</v>
      </c>
    </row>
    <row r="2758">
      <c r="A2758" s="2" t="str">
        <f>Communes_HDF!A2758</f>
        <v>62655</v>
      </c>
      <c r="B2758" s="2" t="str">
        <f>Communes_HDF!B2758</f>
        <v>Pierremont</v>
      </c>
      <c r="C2758" s="2" t="str">
        <f t="array" ref="C2758">_xlfn.XLOOKUP(A2758, INSEE_Communes!$A$2:$A$3783, INSEE_Communes!$F$2:$F$3783, "code introuvable")</f>
        <v>non publié</v>
      </c>
    </row>
    <row r="2759">
      <c r="A2759" s="2" t="str">
        <f>Communes_HDF!A2759</f>
        <v>62656</v>
      </c>
      <c r="B2759" s="2" t="str">
        <f>Communes_HDF!B2759</f>
        <v>Pihem</v>
      </c>
      <c r="C2759" s="2" t="str">
        <f t="array" ref="C2759">_xlfn.XLOOKUP(A2759, INSEE_Communes!$A$2:$A$3783, INSEE_Communes!$F$2:$F$3783, "code introuvable")</f>
        <v>non publié</v>
      </c>
    </row>
    <row r="2760">
      <c r="A2760" s="2" t="str">
        <f>Communes_HDF!A2760</f>
        <v>62657</v>
      </c>
      <c r="B2760" s="2" t="str">
        <f>Communes_HDF!B2760</f>
        <v>Pihen-lès-Guînes</v>
      </c>
      <c r="C2760" s="2" t="str">
        <f t="array" ref="C2760">_xlfn.XLOOKUP(A2760, INSEE_Communes!$A$2:$A$3783, INSEE_Communes!$F$2:$F$3783, "code introuvable")</f>
        <v>non publié</v>
      </c>
    </row>
    <row r="2761">
      <c r="A2761" s="2" t="str">
        <f>Communes_HDF!A2761</f>
        <v>62658</v>
      </c>
      <c r="B2761" s="2" t="str">
        <f>Communes_HDF!B2761</f>
        <v>Pittefaux</v>
      </c>
      <c r="C2761" s="2" t="str">
        <f t="array" ref="C2761">_xlfn.XLOOKUP(A2761, INSEE_Communes!$A$2:$A$3783, INSEE_Communes!$F$2:$F$3783, "code introuvable")</f>
        <v>non publié</v>
      </c>
    </row>
    <row r="2762">
      <c r="A2762" s="2" t="str">
        <f>Communes_HDF!A2762</f>
        <v>62659</v>
      </c>
      <c r="B2762" s="2" t="str">
        <f>Communes_HDF!B2762</f>
        <v>Planques</v>
      </c>
      <c r="C2762" s="2" t="str">
        <f t="array" ref="C2762">_xlfn.XLOOKUP(A2762, INSEE_Communes!$A$2:$A$3783, INSEE_Communes!$F$2:$F$3783, "code introuvable")</f>
        <v>non publié</v>
      </c>
    </row>
    <row r="2763">
      <c r="A2763" s="2" t="str">
        <f>Communes_HDF!A2763</f>
        <v>62660</v>
      </c>
      <c r="B2763" s="2" t="str">
        <f>Communes_HDF!B2763</f>
        <v>Plouvain</v>
      </c>
      <c r="C2763" s="2" t="str">
        <f t="array" ref="C2763">_xlfn.XLOOKUP(A2763, INSEE_Communes!$A$2:$A$3783, INSEE_Communes!$F$2:$F$3783, "code introuvable")</f>
        <v>non publié</v>
      </c>
    </row>
    <row r="2764">
      <c r="A2764" s="2" t="str">
        <f>Communes_HDF!A2764</f>
        <v>62662</v>
      </c>
      <c r="B2764" s="2" t="str">
        <f>Communes_HDF!B2764</f>
        <v>Polincove</v>
      </c>
      <c r="C2764" s="2" t="str">
        <f t="array" ref="C2764">_xlfn.XLOOKUP(A2764, INSEE_Communes!$A$2:$A$3783, INSEE_Communes!$F$2:$F$3783, "code introuvable")</f>
        <v>non publié</v>
      </c>
    </row>
    <row r="2765">
      <c r="A2765" s="2" t="str">
        <f>Communes_HDF!A2765</f>
        <v>62663</v>
      </c>
      <c r="B2765" s="2" t="str">
        <f>Communes_HDF!B2765</f>
        <v>Pommera</v>
      </c>
      <c r="C2765" s="2" t="str">
        <f t="array" ref="C2765">_xlfn.XLOOKUP(A2765, INSEE_Communes!$A$2:$A$3783, INSEE_Communes!$F$2:$F$3783, "code introuvable")</f>
        <v>non publié</v>
      </c>
    </row>
    <row r="2766">
      <c r="A2766" s="2" t="str">
        <f>Communes_HDF!A2766</f>
        <v>62664</v>
      </c>
      <c r="B2766" s="2" t="str">
        <f>Communes_HDF!B2766</f>
        <v>Pommier</v>
      </c>
      <c r="C2766" s="2" t="str">
        <f t="array" ref="C2766">_xlfn.XLOOKUP(A2766, INSEE_Communes!$A$2:$A$3783, INSEE_Communes!$F$2:$F$3783, "code introuvable")</f>
        <v>non publié</v>
      </c>
    </row>
    <row r="2767">
      <c r="A2767" s="2" t="str">
        <f>Communes_HDF!A2767</f>
        <v>62666</v>
      </c>
      <c r="B2767" s="2" t="str">
        <f>Communes_HDF!B2767</f>
        <v>Pont-à-Vendin</v>
      </c>
      <c r="C2767" s="2">
        <f t="array" ref="C2767">_xlfn.XLOOKUP(A2767, INSEE_Communes!$A$2:$A$3783, INSEE_Communes!$F$2:$F$3783, "code introuvable")</f>
        <v>22</v>
      </c>
    </row>
    <row r="2768">
      <c r="A2768" s="2" t="str">
        <f>Communes_HDF!A2768</f>
        <v>62669</v>
      </c>
      <c r="B2768" s="2" t="str">
        <f>Communes_HDF!B2768</f>
        <v>Pressy</v>
      </c>
      <c r="C2768" s="2" t="str">
        <f t="array" ref="C2768">_xlfn.XLOOKUP(A2768, INSEE_Communes!$A$2:$A$3783, INSEE_Communes!$F$2:$F$3783, "code introuvable")</f>
        <v>non publié</v>
      </c>
    </row>
    <row r="2769">
      <c r="A2769" s="2" t="str">
        <f>Communes_HDF!A2769</f>
        <v>62670</v>
      </c>
      <c r="B2769" s="2" t="str">
        <f>Communes_HDF!B2769</f>
        <v>Preures</v>
      </c>
      <c r="C2769" s="2" t="str">
        <f t="array" ref="C2769">_xlfn.XLOOKUP(A2769, INSEE_Communes!$A$2:$A$3783, INSEE_Communes!$F$2:$F$3783, "code introuvable")</f>
        <v>non publié</v>
      </c>
    </row>
    <row r="2770">
      <c r="A2770" s="2" t="str">
        <f>Communes_HDF!A2770</f>
        <v>62671</v>
      </c>
      <c r="B2770" s="2" t="str">
        <f>Communes_HDF!B2770</f>
        <v>Pronville-en-Artois</v>
      </c>
      <c r="C2770" s="2" t="str">
        <f t="array" ref="C2770">_xlfn.XLOOKUP(A2770, INSEE_Communes!$A$2:$A$3783, INSEE_Communes!$F$2:$F$3783, "code introuvable")</f>
        <v>non publié</v>
      </c>
    </row>
    <row r="2771">
      <c r="A2771" s="2" t="str">
        <f>Communes_HDF!A2771</f>
        <v>62668</v>
      </c>
      <c r="B2771" s="2" t="str">
        <f>Communes_HDF!B2771</f>
        <v>Prédefin</v>
      </c>
      <c r="C2771" s="2" t="str">
        <f t="array" ref="C2771">_xlfn.XLOOKUP(A2771, INSEE_Communes!$A$2:$A$3783, INSEE_Communes!$F$2:$F$3783, "code introuvable")</f>
        <v>non publié</v>
      </c>
    </row>
    <row r="2772">
      <c r="A2772" s="2" t="str">
        <f>Communes_HDF!A2772</f>
        <v>62672</v>
      </c>
      <c r="B2772" s="2" t="str">
        <f>Communes_HDF!B2772</f>
        <v>Puisieux</v>
      </c>
      <c r="C2772" s="2" t="str">
        <f t="array" ref="C2772">_xlfn.XLOOKUP(A2772, INSEE_Communes!$A$2:$A$3783, INSEE_Communes!$F$2:$F$3783, "code introuvable")</f>
        <v>non publié</v>
      </c>
    </row>
    <row r="2773">
      <c r="A2773" s="2" t="str">
        <f>Communes_HDF!A2773</f>
        <v>62674</v>
      </c>
      <c r="B2773" s="2" t="str">
        <f>Communes_HDF!B2773</f>
        <v>Quelmes</v>
      </c>
      <c r="C2773" s="2" t="str">
        <f t="array" ref="C2773">_xlfn.XLOOKUP(A2773, INSEE_Communes!$A$2:$A$3783, INSEE_Communes!$F$2:$F$3783, "code introuvable")</f>
        <v>non publié</v>
      </c>
    </row>
    <row r="2774">
      <c r="A2774" s="2" t="str">
        <f>Communes_HDF!A2774</f>
        <v>62675</v>
      </c>
      <c r="B2774" s="2" t="str">
        <f>Communes_HDF!B2774</f>
        <v>Quercamps</v>
      </c>
      <c r="C2774" s="2" t="str">
        <f t="array" ref="C2774">_xlfn.XLOOKUP(A2774, INSEE_Communes!$A$2:$A$3783, INSEE_Communes!$F$2:$F$3783, "code introuvable")</f>
        <v>non publié</v>
      </c>
    </row>
    <row r="2775">
      <c r="A2775" s="2" t="str">
        <f>Communes_HDF!A2775</f>
        <v>62676</v>
      </c>
      <c r="B2775" s="2" t="str">
        <f>Communes_HDF!B2775</f>
        <v>Quernes</v>
      </c>
      <c r="C2775" s="2" t="str">
        <f t="array" ref="C2775">_xlfn.XLOOKUP(A2775, INSEE_Communes!$A$2:$A$3783, INSEE_Communes!$F$2:$F$3783, "code introuvable")</f>
        <v>non publié</v>
      </c>
    </row>
    <row r="2776">
      <c r="A2776" s="2" t="str">
        <f>Communes_HDF!A2776</f>
        <v>62678</v>
      </c>
      <c r="B2776" s="2" t="str">
        <f>Communes_HDF!B2776</f>
        <v>Quesques</v>
      </c>
      <c r="C2776" s="2" t="str">
        <f t="array" ref="C2776">_xlfn.XLOOKUP(A2776, INSEE_Communes!$A$2:$A$3783, INSEE_Communes!$F$2:$F$3783, "code introuvable")</f>
        <v>non publié</v>
      </c>
    </row>
    <row r="2777">
      <c r="A2777" s="2" t="str">
        <f>Communes_HDF!A2777</f>
        <v>62679</v>
      </c>
      <c r="B2777" s="2" t="str">
        <f>Communes_HDF!B2777</f>
        <v>Questrecques</v>
      </c>
      <c r="C2777" s="2" t="str">
        <f t="array" ref="C2777">_xlfn.XLOOKUP(A2777, INSEE_Communes!$A$2:$A$3783, INSEE_Communes!$F$2:$F$3783, "code introuvable")</f>
        <v>non publié</v>
      </c>
    </row>
    <row r="2778">
      <c r="A2778" s="2" t="str">
        <f>Communes_HDF!A2778</f>
        <v>62681</v>
      </c>
      <c r="B2778" s="2" t="str">
        <f>Communes_HDF!B2778</f>
        <v>Quiestède</v>
      </c>
      <c r="C2778" s="2" t="str">
        <f t="array" ref="C2778">_xlfn.XLOOKUP(A2778, INSEE_Communes!$A$2:$A$3783, INSEE_Communes!$F$2:$F$3783, "code introuvable")</f>
        <v>non publié</v>
      </c>
    </row>
    <row r="2779">
      <c r="A2779" s="2" t="str">
        <f>Communes_HDF!A2779</f>
        <v>62682</v>
      </c>
      <c r="B2779" s="2" t="str">
        <f>Communes_HDF!B2779</f>
        <v>Quilen</v>
      </c>
      <c r="C2779" s="2" t="str">
        <f t="array" ref="C2779">_xlfn.XLOOKUP(A2779, INSEE_Communes!$A$2:$A$3783, INSEE_Communes!$F$2:$F$3783, "code introuvable")</f>
        <v>non publié</v>
      </c>
    </row>
    <row r="2780">
      <c r="A2780" s="2" t="str">
        <f>Communes_HDF!A2780</f>
        <v>62680</v>
      </c>
      <c r="B2780" s="2" t="str">
        <f>Communes_HDF!B2780</f>
        <v>Quiéry-la-Motte</v>
      </c>
      <c r="C2780" s="2" t="str">
        <f t="array" ref="C2780">_xlfn.XLOOKUP(A2780, INSEE_Communes!$A$2:$A$3783, INSEE_Communes!$F$2:$F$3783, "code introuvable")</f>
        <v>non publié</v>
      </c>
    </row>
    <row r="2781">
      <c r="A2781" s="2" t="str">
        <f>Communes_HDF!A2781</f>
        <v>62673</v>
      </c>
      <c r="B2781" s="2" t="str">
        <f>Communes_HDF!B2781</f>
        <v>Quéant</v>
      </c>
      <c r="C2781" s="2" t="str">
        <f t="array" ref="C2781">_xlfn.XLOOKUP(A2781, INSEE_Communes!$A$2:$A$3783, INSEE_Communes!$F$2:$F$3783, "code introuvable")</f>
        <v>non publié</v>
      </c>
    </row>
    <row r="2782">
      <c r="A2782" s="2" t="str">
        <f>Communes_HDF!A2782</f>
        <v>62683</v>
      </c>
      <c r="B2782" s="2" t="str">
        <f>Communes_HDF!B2782</f>
        <v>Quœux-Haut-Maînil</v>
      </c>
      <c r="C2782" s="2" t="str">
        <f t="array" ref="C2782">_xlfn.XLOOKUP(A2782, INSEE_Communes!$A$2:$A$3783, INSEE_Communes!$F$2:$F$3783, "code introuvable")</f>
        <v>non publié</v>
      </c>
    </row>
    <row r="2783">
      <c r="A2783" s="2" t="str">
        <f>Communes_HDF!A2783</f>
        <v>62684</v>
      </c>
      <c r="B2783" s="2" t="str">
        <f>Communes_HDF!B2783</f>
        <v>Racquinghem</v>
      </c>
      <c r="C2783" s="2">
        <f t="array" ref="C2783">_xlfn.XLOOKUP(A2783, INSEE_Communes!$A$2:$A$3783, INSEE_Communes!$F$2:$F$3783, "code introuvable")</f>
        <v>10</v>
      </c>
    </row>
    <row r="2784">
      <c r="A2784" s="2" t="str">
        <f>Communes_HDF!A2784</f>
        <v>62685</v>
      </c>
      <c r="B2784" s="2" t="str">
        <f>Communes_HDF!B2784</f>
        <v>Radinghem</v>
      </c>
      <c r="C2784" s="2" t="str">
        <f t="array" ref="C2784">_xlfn.XLOOKUP(A2784, INSEE_Communes!$A$2:$A$3783, INSEE_Communes!$F$2:$F$3783, "code introuvable")</f>
        <v>non publié</v>
      </c>
    </row>
    <row r="2785">
      <c r="A2785" s="2" t="str">
        <f>Communes_HDF!A2785</f>
        <v>62686</v>
      </c>
      <c r="B2785" s="2" t="str">
        <f>Communes_HDF!B2785</f>
        <v>Ramecourt</v>
      </c>
      <c r="C2785" s="2" t="str">
        <f t="array" ref="C2785">_xlfn.XLOOKUP(A2785, INSEE_Communes!$A$2:$A$3783, INSEE_Communes!$F$2:$F$3783, "code introuvable")</f>
        <v>non publié</v>
      </c>
    </row>
    <row r="2786">
      <c r="A2786" s="2" t="str">
        <f>Communes_HDF!A2786</f>
        <v>62688</v>
      </c>
      <c r="B2786" s="2" t="str">
        <f>Communes_HDF!B2786</f>
        <v>Rang-du-Fliers</v>
      </c>
      <c r="C2786" s="2">
        <f t="array" ref="C2786">_xlfn.XLOOKUP(A2786, INSEE_Communes!$A$2:$A$3783, INSEE_Communes!$F$2:$F$3783, "code introuvable")</f>
        <v>9</v>
      </c>
    </row>
    <row r="2787">
      <c r="A2787" s="2" t="str">
        <f>Communes_HDF!A2787</f>
        <v>62689</v>
      </c>
      <c r="B2787" s="2" t="str">
        <f>Communes_HDF!B2787</f>
        <v>Ransart</v>
      </c>
      <c r="C2787" s="2" t="str">
        <f t="array" ref="C2787">_xlfn.XLOOKUP(A2787, INSEE_Communes!$A$2:$A$3783, INSEE_Communes!$F$2:$F$3783, "code introuvable")</f>
        <v>non publié</v>
      </c>
    </row>
    <row r="2788">
      <c r="A2788" s="2" t="str">
        <f>Communes_HDF!A2788</f>
        <v>62690</v>
      </c>
      <c r="B2788" s="2" t="str">
        <f>Communes_HDF!B2788</f>
        <v>Raye-sur-Authie</v>
      </c>
      <c r="C2788" s="2" t="str">
        <f t="array" ref="C2788">_xlfn.XLOOKUP(A2788, INSEE_Communes!$A$2:$A$3783, INSEE_Communes!$F$2:$F$3783, "code introuvable")</f>
        <v>non publié</v>
      </c>
    </row>
    <row r="2789">
      <c r="A2789" s="2" t="str">
        <f>Communes_HDF!A2789</f>
        <v>62692</v>
      </c>
      <c r="B2789" s="2" t="str">
        <f>Communes_HDF!B2789</f>
        <v>Rebergues</v>
      </c>
      <c r="C2789" s="2" t="str">
        <f t="array" ref="C2789">_xlfn.XLOOKUP(A2789, INSEE_Communes!$A$2:$A$3783, INSEE_Communes!$F$2:$F$3783, "code introuvable")</f>
        <v>non publié</v>
      </c>
    </row>
    <row r="2790">
      <c r="A2790" s="2" t="str">
        <f>Communes_HDF!A2790</f>
        <v>62693</v>
      </c>
      <c r="B2790" s="2" t="str">
        <f>Communes_HDF!B2790</f>
        <v>Rebreuve-Ranchicourt</v>
      </c>
      <c r="C2790" s="2" t="str">
        <f t="array" ref="C2790">_xlfn.XLOOKUP(A2790, INSEE_Communes!$A$2:$A$3783, INSEE_Communes!$F$2:$F$3783, "code introuvable")</f>
        <v>non publié</v>
      </c>
    </row>
    <row r="2791">
      <c r="A2791" s="2" t="str">
        <f>Communes_HDF!A2791</f>
        <v>62694</v>
      </c>
      <c r="B2791" s="2" t="str">
        <f>Communes_HDF!B2791</f>
        <v>Rebreuve-sur-Canche</v>
      </c>
      <c r="C2791" s="2" t="str">
        <f t="array" ref="C2791">_xlfn.XLOOKUP(A2791, INSEE_Communes!$A$2:$A$3783, INSEE_Communes!$F$2:$F$3783, "code introuvable")</f>
        <v>non publié</v>
      </c>
    </row>
    <row r="2792">
      <c r="A2792" s="2" t="str">
        <f>Communes_HDF!A2792</f>
        <v>62695</v>
      </c>
      <c r="B2792" s="2" t="str">
        <f>Communes_HDF!B2792</f>
        <v>Rebreuviette</v>
      </c>
      <c r="C2792" s="2" t="str">
        <f t="array" ref="C2792">_xlfn.XLOOKUP(A2792, INSEE_Communes!$A$2:$A$3783, INSEE_Communes!$F$2:$F$3783, "code introuvable")</f>
        <v>non publié</v>
      </c>
    </row>
    <row r="2793">
      <c r="A2793" s="2" t="str">
        <f>Communes_HDF!A2793</f>
        <v>62696</v>
      </c>
      <c r="B2793" s="2" t="str">
        <f>Communes_HDF!B2793</f>
        <v>Reclinghem</v>
      </c>
      <c r="C2793" s="2" t="str">
        <f t="array" ref="C2793">_xlfn.XLOOKUP(A2793, INSEE_Communes!$A$2:$A$3783, INSEE_Communes!$F$2:$F$3783, "code introuvable")</f>
        <v>non publié</v>
      </c>
    </row>
    <row r="2794">
      <c r="A2794" s="2" t="str">
        <f>Communes_HDF!A2794</f>
        <v>62698</v>
      </c>
      <c r="B2794" s="2" t="str">
        <f>Communes_HDF!B2794</f>
        <v>Recques-sur-Course</v>
      </c>
      <c r="C2794" s="2" t="str">
        <f t="array" ref="C2794">_xlfn.XLOOKUP(A2794, INSEE_Communes!$A$2:$A$3783, INSEE_Communes!$F$2:$F$3783, "code introuvable")</f>
        <v>non publié</v>
      </c>
    </row>
    <row r="2795">
      <c r="A2795" s="2" t="str">
        <f>Communes_HDF!A2795</f>
        <v>62699</v>
      </c>
      <c r="B2795" s="2" t="str">
        <f>Communes_HDF!B2795</f>
        <v>Recques-sur-Hem</v>
      </c>
      <c r="C2795" s="2" t="str">
        <f t="array" ref="C2795">_xlfn.XLOOKUP(A2795, INSEE_Communes!$A$2:$A$3783, INSEE_Communes!$F$2:$F$3783, "code introuvable")</f>
        <v>non publié</v>
      </c>
    </row>
    <row r="2796">
      <c r="A2796" s="2" t="str">
        <f>Communes_HDF!A2796</f>
        <v>62700</v>
      </c>
      <c r="B2796" s="2" t="str">
        <f>Communes_HDF!B2796</f>
        <v>Regnauville</v>
      </c>
      <c r="C2796" s="2" t="str">
        <f t="array" ref="C2796">_xlfn.XLOOKUP(A2796, INSEE_Communes!$A$2:$A$3783, INSEE_Communes!$F$2:$F$3783, "code introuvable")</f>
        <v>non publié</v>
      </c>
    </row>
    <row r="2797">
      <c r="A2797" s="2" t="str">
        <f>Communes_HDF!A2797</f>
        <v>62701</v>
      </c>
      <c r="B2797" s="2" t="str">
        <f>Communes_HDF!B2797</f>
        <v>Rely</v>
      </c>
      <c r="C2797" s="2" t="str">
        <f t="array" ref="C2797">_xlfn.XLOOKUP(A2797, INSEE_Communes!$A$2:$A$3783, INSEE_Communes!$F$2:$F$3783, "code introuvable")</f>
        <v>non publié</v>
      </c>
    </row>
    <row r="2798">
      <c r="A2798" s="2" t="str">
        <f>Communes_HDF!A2798</f>
        <v>62702</v>
      </c>
      <c r="B2798" s="2" t="str">
        <f>Communes_HDF!B2798</f>
        <v>Remilly-Wirquin</v>
      </c>
      <c r="C2798" s="2" t="str">
        <f t="array" ref="C2798">_xlfn.XLOOKUP(A2798, INSEE_Communes!$A$2:$A$3783, INSEE_Communes!$F$2:$F$3783, "code introuvable")</f>
        <v>non publié</v>
      </c>
    </row>
    <row r="2799">
      <c r="A2799" s="2" t="str">
        <f>Communes_HDF!A2799</f>
        <v>62704</v>
      </c>
      <c r="B2799" s="2" t="str">
        <f>Communes_HDF!B2799</f>
        <v>Renty</v>
      </c>
      <c r="C2799" s="2" t="str">
        <f t="array" ref="C2799">_xlfn.XLOOKUP(A2799, INSEE_Communes!$A$2:$A$3783, INSEE_Communes!$F$2:$F$3783, "code introuvable")</f>
        <v>non publié</v>
      </c>
    </row>
    <row r="2800">
      <c r="A2800" s="2" t="str">
        <f>Communes_HDF!A2800</f>
        <v>62705</v>
      </c>
      <c r="B2800" s="2" t="str">
        <f>Communes_HDF!B2800</f>
        <v>Rety</v>
      </c>
      <c r="C2800" s="2">
        <f t="array" ref="C2800">_xlfn.XLOOKUP(A2800, INSEE_Communes!$A$2:$A$3783, INSEE_Communes!$F$2:$F$3783, "code introuvable")</f>
        <v>15</v>
      </c>
    </row>
    <row r="2801">
      <c r="A2801" s="2" t="str">
        <f>Communes_HDF!A2801</f>
        <v>62706</v>
      </c>
      <c r="B2801" s="2" t="str">
        <f>Communes_HDF!B2801</f>
        <v>Richebourg</v>
      </c>
      <c r="C2801" s="2">
        <f t="array" ref="C2801">_xlfn.XLOOKUP(A2801, INSEE_Communes!$A$2:$A$3783, INSEE_Communes!$F$2:$F$3783, "code introuvable")</f>
        <v>6</v>
      </c>
    </row>
    <row r="2802">
      <c r="A2802" s="2" t="str">
        <f>Communes_HDF!A2802</f>
        <v>62708</v>
      </c>
      <c r="B2802" s="2" t="str">
        <f>Communes_HDF!B2802</f>
        <v>Riencourt-lès-Bapaume</v>
      </c>
      <c r="C2802" s="2" t="str">
        <f t="array" ref="C2802">_xlfn.XLOOKUP(A2802, INSEE_Communes!$A$2:$A$3783, INSEE_Communes!$F$2:$F$3783, "code introuvable")</f>
        <v>non publié</v>
      </c>
    </row>
    <row r="2803">
      <c r="A2803" s="2" t="str">
        <f>Communes_HDF!A2803</f>
        <v>62709</v>
      </c>
      <c r="B2803" s="2" t="str">
        <f>Communes_HDF!B2803</f>
        <v>Riencourt-lès-Cagnicourt</v>
      </c>
      <c r="C2803" s="2" t="str">
        <f t="array" ref="C2803">_xlfn.XLOOKUP(A2803, INSEE_Communes!$A$2:$A$3783, INSEE_Communes!$F$2:$F$3783, "code introuvable")</f>
        <v>non publié</v>
      </c>
    </row>
    <row r="2804">
      <c r="A2804" s="2" t="str">
        <f>Communes_HDF!A2804</f>
        <v>62710</v>
      </c>
      <c r="B2804" s="2" t="str">
        <f>Communes_HDF!B2804</f>
        <v>Rimboval</v>
      </c>
      <c r="C2804" s="2" t="str">
        <f t="array" ref="C2804">_xlfn.XLOOKUP(A2804, INSEE_Communes!$A$2:$A$3783, INSEE_Communes!$F$2:$F$3783, "code introuvable")</f>
        <v>non publié</v>
      </c>
    </row>
    <row r="2805">
      <c r="A2805" s="2" t="str">
        <f>Communes_HDF!A2805</f>
        <v>62711</v>
      </c>
      <c r="B2805" s="2" t="str">
        <f>Communes_HDF!B2805</f>
        <v>Rinxent</v>
      </c>
      <c r="C2805" s="2">
        <f t="array" ref="C2805">_xlfn.XLOOKUP(A2805, INSEE_Communes!$A$2:$A$3783, INSEE_Communes!$F$2:$F$3783, "code introuvable")</f>
        <v>18</v>
      </c>
    </row>
    <row r="2806">
      <c r="A2806" s="2" t="str">
        <f>Communes_HDF!A2806</f>
        <v>62712</v>
      </c>
      <c r="B2806" s="2" t="str">
        <f>Communes_HDF!B2806</f>
        <v>Rivière</v>
      </c>
      <c r="C2806" s="2" t="str">
        <f t="array" ref="C2806">_xlfn.XLOOKUP(A2806, INSEE_Communes!$A$2:$A$3783, INSEE_Communes!$F$2:$F$3783, "code introuvable")</f>
        <v>non publié</v>
      </c>
    </row>
    <row r="2807">
      <c r="A2807" s="2" t="str">
        <f>Communes_HDF!A2807</f>
        <v>62713</v>
      </c>
      <c r="B2807" s="2" t="str">
        <f>Communes_HDF!B2807</f>
        <v>Robecq</v>
      </c>
      <c r="C2807" s="2" t="str">
        <f t="array" ref="C2807">_xlfn.XLOOKUP(A2807, INSEE_Communes!$A$2:$A$3783, INSEE_Communes!$F$2:$F$3783, "code introuvable")</f>
        <v>non publié</v>
      </c>
    </row>
    <row r="2808">
      <c r="A2808" s="2" t="str">
        <f>Communes_HDF!A2808</f>
        <v>62714</v>
      </c>
      <c r="B2808" s="2" t="str">
        <f>Communes_HDF!B2808</f>
        <v>Roclincourt</v>
      </c>
      <c r="C2808" s="2" t="str">
        <f t="array" ref="C2808">_xlfn.XLOOKUP(A2808, INSEE_Communes!$A$2:$A$3783, INSEE_Communes!$F$2:$F$3783, "code introuvable")</f>
        <v>non publié</v>
      </c>
    </row>
    <row r="2809">
      <c r="A2809" s="2" t="str">
        <f>Communes_HDF!A2809</f>
        <v>62715</v>
      </c>
      <c r="B2809" s="2" t="str">
        <f>Communes_HDF!B2809</f>
        <v>Rocquigny</v>
      </c>
      <c r="C2809" s="2" t="str">
        <f t="array" ref="C2809">_xlfn.XLOOKUP(A2809, INSEE_Communes!$A$2:$A$3783, INSEE_Communes!$F$2:$F$3783, "code introuvable")</f>
        <v>non publié</v>
      </c>
    </row>
    <row r="2810">
      <c r="A2810" s="2" t="str">
        <f>Communes_HDF!A2810</f>
        <v>62716</v>
      </c>
      <c r="B2810" s="2" t="str">
        <f>Communes_HDF!B2810</f>
        <v>Rodelinghem</v>
      </c>
      <c r="C2810" s="2" t="str">
        <f t="array" ref="C2810">_xlfn.XLOOKUP(A2810, INSEE_Communes!$A$2:$A$3783, INSEE_Communes!$F$2:$F$3783, "code introuvable")</f>
        <v>non publié</v>
      </c>
    </row>
    <row r="2811">
      <c r="A2811" s="2" t="str">
        <f>Communes_HDF!A2811</f>
        <v>62719</v>
      </c>
      <c r="B2811" s="2" t="str">
        <f>Communes_HDF!B2811</f>
        <v>Rollancourt</v>
      </c>
      <c r="C2811" s="2" t="str">
        <f t="array" ref="C2811">_xlfn.XLOOKUP(A2811, INSEE_Communes!$A$2:$A$3783, INSEE_Communes!$F$2:$F$3783, "code introuvable")</f>
        <v>non publié</v>
      </c>
    </row>
    <row r="2812">
      <c r="A2812" s="2" t="str">
        <f>Communes_HDF!A2812</f>
        <v>62720</v>
      </c>
      <c r="B2812" s="2" t="str">
        <f>Communes_HDF!B2812</f>
        <v>Rombly</v>
      </c>
      <c r="C2812" s="2" t="str">
        <f t="array" ref="C2812">_xlfn.XLOOKUP(A2812, INSEE_Communes!$A$2:$A$3783, INSEE_Communes!$F$2:$F$3783, "code introuvable")</f>
        <v>non publié</v>
      </c>
    </row>
    <row r="2813">
      <c r="A2813" s="2" t="str">
        <f>Communes_HDF!A2813</f>
        <v>62721</v>
      </c>
      <c r="B2813" s="2" t="str">
        <f>Communes_HDF!B2813</f>
        <v>Roquetoire</v>
      </c>
      <c r="C2813" s="2" t="str">
        <f t="array" ref="C2813">_xlfn.XLOOKUP(A2813, INSEE_Communes!$A$2:$A$3783, INSEE_Communes!$F$2:$F$3783, "code introuvable")</f>
        <v>non publié</v>
      </c>
    </row>
    <row r="2814">
      <c r="A2814" s="2" t="str">
        <f>Communes_HDF!A2814</f>
        <v>62722</v>
      </c>
      <c r="B2814" s="2" t="str">
        <f>Communes_HDF!B2814</f>
        <v>Rougefay</v>
      </c>
      <c r="C2814" s="2" t="str">
        <f t="array" ref="C2814">_xlfn.XLOOKUP(A2814, INSEE_Communes!$A$2:$A$3783, INSEE_Communes!$F$2:$F$3783, "code introuvable")</f>
        <v>non publié</v>
      </c>
    </row>
    <row r="2815">
      <c r="A2815" s="2" t="str">
        <f>Communes_HDF!A2815</f>
        <v>62723</v>
      </c>
      <c r="B2815" s="2" t="str">
        <f>Communes_HDF!B2815</f>
        <v>Roussent</v>
      </c>
      <c r="C2815" s="2" t="str">
        <f t="array" ref="C2815">_xlfn.XLOOKUP(A2815, INSEE_Communes!$A$2:$A$3783, INSEE_Communes!$F$2:$F$3783, "code introuvable")</f>
        <v>non publié</v>
      </c>
    </row>
    <row r="2816">
      <c r="A2816" s="2" t="str">
        <f>Communes_HDF!A2816</f>
        <v>62724</v>
      </c>
      <c r="B2816" s="2" t="str">
        <f>Communes_HDF!B2816</f>
        <v>Rouvroy</v>
      </c>
      <c r="C2816" s="2">
        <f t="array" ref="C2816">_xlfn.XLOOKUP(A2816, INSEE_Communes!$A$2:$A$3783, INSEE_Communes!$F$2:$F$3783, "code introuvable")</f>
        <v>27</v>
      </c>
    </row>
    <row r="2817">
      <c r="A2817" s="2" t="str">
        <f>Communes_HDF!A2817</f>
        <v>62725</v>
      </c>
      <c r="B2817" s="2" t="str">
        <f>Communes_HDF!B2817</f>
        <v>Royon</v>
      </c>
      <c r="C2817" s="2" t="str">
        <f t="array" ref="C2817">_xlfn.XLOOKUP(A2817, INSEE_Communes!$A$2:$A$3783, INSEE_Communes!$F$2:$F$3783, "code introuvable")</f>
        <v>non publié</v>
      </c>
    </row>
    <row r="2818">
      <c r="A2818" s="2" t="str">
        <f>Communes_HDF!A2818</f>
        <v>62717</v>
      </c>
      <c r="B2818" s="2" t="str">
        <f>Communes_HDF!B2818</f>
        <v>Roëllecourt</v>
      </c>
      <c r="C2818" s="2" t="str">
        <f t="array" ref="C2818">_xlfn.XLOOKUP(A2818, INSEE_Communes!$A$2:$A$3783, INSEE_Communes!$F$2:$F$3783, "code introuvable")</f>
        <v>non publié</v>
      </c>
    </row>
    <row r="2819">
      <c r="A2819" s="2" t="str">
        <f>Communes_HDF!A2819</f>
        <v>62726</v>
      </c>
      <c r="B2819" s="2" t="str">
        <f>Communes_HDF!B2819</f>
        <v>Ruisseauville</v>
      </c>
      <c r="C2819" s="2" t="str">
        <f t="array" ref="C2819">_xlfn.XLOOKUP(A2819, INSEE_Communes!$A$2:$A$3783, INSEE_Communes!$F$2:$F$3783, "code introuvable")</f>
        <v>non publié</v>
      </c>
    </row>
    <row r="2820">
      <c r="A2820" s="2" t="str">
        <f>Communes_HDF!A2820</f>
        <v>62727</v>
      </c>
      <c r="B2820" s="2" t="str">
        <f>Communes_HDF!B2820</f>
        <v>Ruitz</v>
      </c>
      <c r="C2820" s="2" t="str">
        <f t="array" ref="C2820">_xlfn.XLOOKUP(A2820, INSEE_Communes!$A$2:$A$3783, INSEE_Communes!$F$2:$F$3783, "code introuvable")</f>
        <v>non publié</v>
      </c>
    </row>
    <row r="2821">
      <c r="A2821" s="2" t="str">
        <f>Communes_HDF!A2821</f>
        <v>62728</v>
      </c>
      <c r="B2821" s="2" t="str">
        <f>Communes_HDF!B2821</f>
        <v>Rumaucourt</v>
      </c>
      <c r="C2821" s="2" t="str">
        <f t="array" ref="C2821">_xlfn.XLOOKUP(A2821, INSEE_Communes!$A$2:$A$3783, INSEE_Communes!$F$2:$F$3783, "code introuvable")</f>
        <v>non publié</v>
      </c>
    </row>
    <row r="2822">
      <c r="A2822" s="2" t="str">
        <f>Communes_HDF!A2822</f>
        <v>62729</v>
      </c>
      <c r="B2822" s="2" t="str">
        <f>Communes_HDF!B2822</f>
        <v>Rumilly</v>
      </c>
      <c r="C2822" s="2" t="str">
        <f t="array" ref="C2822">_xlfn.XLOOKUP(A2822, INSEE_Communes!$A$2:$A$3783, INSEE_Communes!$F$2:$F$3783, "code introuvable")</f>
        <v>non publié</v>
      </c>
    </row>
    <row r="2823">
      <c r="A2823" s="2" t="str">
        <f>Communes_HDF!A2823</f>
        <v>62730</v>
      </c>
      <c r="B2823" s="2" t="str">
        <f>Communes_HDF!B2823</f>
        <v>Ruminghem</v>
      </c>
      <c r="C2823" s="2" t="str">
        <f t="array" ref="C2823">_xlfn.XLOOKUP(A2823, INSEE_Communes!$A$2:$A$3783, INSEE_Communes!$F$2:$F$3783, "code introuvable")</f>
        <v>non publié</v>
      </c>
    </row>
    <row r="2824">
      <c r="A2824" s="2" t="str">
        <f>Communes_HDF!A2824</f>
        <v>62731</v>
      </c>
      <c r="B2824" s="2" t="str">
        <f>Communes_HDF!B2824</f>
        <v>Ruyaulcourt</v>
      </c>
      <c r="C2824" s="2" t="str">
        <f t="array" ref="C2824">_xlfn.XLOOKUP(A2824, INSEE_Communes!$A$2:$A$3783, INSEE_Communes!$F$2:$F$3783, "code introuvable")</f>
        <v>non publié</v>
      </c>
    </row>
    <row r="2825">
      <c r="A2825" s="2" t="str">
        <f>Communes_HDF!A2825</f>
        <v>62697</v>
      </c>
      <c r="B2825" s="2" t="str">
        <f>Communes_HDF!B2825</f>
        <v>Récourt</v>
      </c>
      <c r="C2825" s="2" t="str">
        <f t="array" ref="C2825">_xlfn.XLOOKUP(A2825, INSEE_Communes!$A$2:$A$3783, INSEE_Communes!$F$2:$F$3783, "code introuvable")</f>
        <v>non publié</v>
      </c>
    </row>
    <row r="2826">
      <c r="A2826" s="2" t="str">
        <f>Communes_HDF!A2826</f>
        <v>62703</v>
      </c>
      <c r="B2826" s="2" t="str">
        <f>Communes_HDF!B2826</f>
        <v>Rémy</v>
      </c>
      <c r="C2826" s="2" t="str">
        <f t="array" ref="C2826">_xlfn.XLOOKUP(A2826, INSEE_Communes!$A$2:$A$3783, INSEE_Communes!$F$2:$F$3783, "code introuvable")</f>
        <v>non publié</v>
      </c>
    </row>
    <row r="2827">
      <c r="A2827" s="2" t="str">
        <f>Communes_HDF!A2827</f>
        <v>62718</v>
      </c>
      <c r="B2827" s="2" t="str">
        <f>Communes_HDF!B2827</f>
        <v>Rœux</v>
      </c>
      <c r="C2827" s="2" t="str">
        <f t="array" ref="C2827">_xlfn.XLOOKUP(A2827, INSEE_Communes!$A$2:$A$3783, INSEE_Communes!$F$2:$F$3783, "code introuvable")</f>
        <v>non publié</v>
      </c>
    </row>
    <row r="2828">
      <c r="A2828" s="2" t="str">
        <f>Communes_HDF!A2828</f>
        <v>62732</v>
      </c>
      <c r="B2828" s="2" t="str">
        <f>Communes_HDF!B2828</f>
        <v>Sachin</v>
      </c>
      <c r="C2828" s="2" t="str">
        <f t="array" ref="C2828">_xlfn.XLOOKUP(A2828, INSEE_Communes!$A$2:$A$3783, INSEE_Communes!$F$2:$F$3783, "code introuvable")</f>
        <v>non publié</v>
      </c>
    </row>
    <row r="2829">
      <c r="A2829" s="2" t="str">
        <f>Communes_HDF!A2829</f>
        <v>62735</v>
      </c>
      <c r="B2829" s="2" t="str">
        <f>Communes_HDF!B2829</f>
        <v>Sailly-Labourse</v>
      </c>
      <c r="C2829" s="2">
        <f t="array" ref="C2829">_xlfn.XLOOKUP(A2829, INSEE_Communes!$A$2:$A$3783, INSEE_Communes!$F$2:$F$3783, "code introuvable")</f>
        <v>18</v>
      </c>
    </row>
    <row r="2830">
      <c r="A2830" s="2" t="str">
        <f>Communes_HDF!A2830</f>
        <v>62733</v>
      </c>
      <c r="B2830" s="2" t="str">
        <f>Communes_HDF!B2830</f>
        <v>Sailly-au-Bois</v>
      </c>
      <c r="C2830" s="2" t="str">
        <f t="array" ref="C2830">_xlfn.XLOOKUP(A2830, INSEE_Communes!$A$2:$A$3783, INSEE_Communes!$F$2:$F$3783, "code introuvable")</f>
        <v>non publié</v>
      </c>
    </row>
    <row r="2831">
      <c r="A2831" s="2" t="str">
        <f>Communes_HDF!A2831</f>
        <v>62734</v>
      </c>
      <c r="B2831" s="2" t="str">
        <f>Communes_HDF!B2831</f>
        <v>Sailly-en-Ostrevent</v>
      </c>
      <c r="C2831" s="2" t="str">
        <f t="array" ref="C2831">_xlfn.XLOOKUP(A2831, INSEE_Communes!$A$2:$A$3783, INSEE_Communes!$F$2:$F$3783, "code introuvable")</f>
        <v>non publié</v>
      </c>
    </row>
    <row r="2832">
      <c r="A2832" s="2" t="str">
        <f>Communes_HDF!A2832</f>
        <v>62736</v>
      </c>
      <c r="B2832" s="2" t="str">
        <f>Communes_HDF!B2832</f>
        <v>Sailly-sur-la-Lys</v>
      </c>
      <c r="C2832" s="2">
        <f t="array" ref="C2832">_xlfn.XLOOKUP(A2832, INSEE_Communes!$A$2:$A$3783, INSEE_Communes!$F$2:$F$3783, "code introuvable")</f>
        <v>7</v>
      </c>
    </row>
    <row r="2833">
      <c r="A2833" s="2" t="str">
        <f>Communes_HDF!A2833</f>
        <v>62737</v>
      </c>
      <c r="B2833" s="2" t="str">
        <f>Communes_HDF!B2833</f>
        <v>Sains-en-Gohelle</v>
      </c>
      <c r="C2833" s="2">
        <f t="array" ref="C2833">_xlfn.XLOOKUP(A2833, INSEE_Communes!$A$2:$A$3783, INSEE_Communes!$F$2:$F$3783, "code introuvable")</f>
        <v>22</v>
      </c>
    </row>
    <row r="2834">
      <c r="A2834" s="2" t="str">
        <f>Communes_HDF!A2834</f>
        <v>62738</v>
      </c>
      <c r="B2834" s="2" t="str">
        <f>Communes_HDF!B2834</f>
        <v>Sains-lès-Fressin</v>
      </c>
      <c r="C2834" s="2" t="str">
        <f t="array" ref="C2834">_xlfn.XLOOKUP(A2834, INSEE_Communes!$A$2:$A$3783, INSEE_Communes!$F$2:$F$3783, "code introuvable")</f>
        <v>non publié</v>
      </c>
    </row>
    <row r="2835">
      <c r="A2835" s="2" t="str">
        <f>Communes_HDF!A2835</f>
        <v>62739</v>
      </c>
      <c r="B2835" s="2" t="str">
        <f>Communes_HDF!B2835</f>
        <v>Sains-lès-Marquion</v>
      </c>
      <c r="C2835" s="2" t="str">
        <f t="array" ref="C2835">_xlfn.XLOOKUP(A2835, INSEE_Communes!$A$2:$A$3783, INSEE_Communes!$F$2:$F$3783, "code introuvable")</f>
        <v>non publié</v>
      </c>
    </row>
    <row r="2836">
      <c r="A2836" s="2" t="str">
        <f>Communes_HDF!A2836</f>
        <v>62740</v>
      </c>
      <c r="B2836" s="2" t="str">
        <f>Communes_HDF!B2836</f>
        <v>Sains-lès-Pernes</v>
      </c>
      <c r="C2836" s="2" t="str">
        <f t="array" ref="C2836">_xlfn.XLOOKUP(A2836, INSEE_Communes!$A$2:$A$3783, INSEE_Communes!$F$2:$F$3783, "code introuvable")</f>
        <v>non publié</v>
      </c>
    </row>
    <row r="2837">
      <c r="A2837" s="2" t="str">
        <f>Communes_HDF!A2837</f>
        <v>62741</v>
      </c>
      <c r="B2837" s="2" t="str">
        <f>Communes_HDF!B2837</f>
        <v>Saint-Amand</v>
      </c>
      <c r="C2837" s="2" t="str">
        <f t="array" ref="C2837">_xlfn.XLOOKUP(A2837, INSEE_Communes!$A$2:$A$3783, INSEE_Communes!$F$2:$F$3783, "code introuvable")</f>
        <v>non publié</v>
      </c>
    </row>
    <row r="2838">
      <c r="A2838" s="2" t="str">
        <f>Communes_HDF!A2838</f>
        <v>62742</v>
      </c>
      <c r="B2838" s="2" t="str">
        <f>Communes_HDF!B2838</f>
        <v>Saint-Aubin</v>
      </c>
      <c r="C2838" s="2" t="str">
        <f t="array" ref="C2838">_xlfn.XLOOKUP(A2838, INSEE_Communes!$A$2:$A$3783, INSEE_Communes!$F$2:$F$3783, "code introuvable")</f>
        <v>non publié</v>
      </c>
    </row>
    <row r="2839">
      <c r="A2839" s="2" t="str">
        <f>Communes_HDF!A2839</f>
        <v>62691</v>
      </c>
      <c r="B2839" s="2" t="str">
        <f>Communes_HDF!B2839</f>
        <v>Saint-Augustin</v>
      </c>
      <c r="C2839" s="2" t="str">
        <f t="array" ref="C2839">_xlfn.XLOOKUP(A2839, INSEE_Communes!$A$2:$A$3783, INSEE_Communes!$F$2:$F$3783, "code introuvable")</f>
        <v>non publié</v>
      </c>
    </row>
    <row r="2840">
      <c r="A2840" s="2" t="str">
        <f>Communes_HDF!A2840</f>
        <v>62745</v>
      </c>
      <c r="B2840" s="2" t="str">
        <f>Communes_HDF!B2840</f>
        <v>Saint-Denœux</v>
      </c>
      <c r="C2840" s="2" t="str">
        <f t="array" ref="C2840">_xlfn.XLOOKUP(A2840, INSEE_Communes!$A$2:$A$3783, INSEE_Communes!$F$2:$F$3783, "code introuvable")</f>
        <v>non publié</v>
      </c>
    </row>
    <row r="2841">
      <c r="A2841" s="2" t="str">
        <f>Communes_HDF!A2841</f>
        <v>62747</v>
      </c>
      <c r="B2841" s="2" t="str">
        <f>Communes_HDF!B2841</f>
        <v>Saint-Floris</v>
      </c>
      <c r="C2841" s="2" t="str">
        <f t="array" ref="C2841">_xlfn.XLOOKUP(A2841, INSEE_Communes!$A$2:$A$3783, INSEE_Communes!$F$2:$F$3783, "code introuvable")</f>
        <v>non publié</v>
      </c>
    </row>
    <row r="2842">
      <c r="A2842" s="2" t="str">
        <f>Communes_HDF!A2842</f>
        <v>62748</v>
      </c>
      <c r="B2842" s="2" t="str">
        <f>Communes_HDF!B2842</f>
        <v>Saint-Folquin</v>
      </c>
      <c r="C2842" s="2">
        <f t="array" ref="C2842">_xlfn.XLOOKUP(A2842, INSEE_Communes!$A$2:$A$3783, INSEE_Communes!$F$2:$F$3783, "code introuvable")</f>
        <v>9</v>
      </c>
    </row>
    <row r="2843">
      <c r="A2843" s="2" t="str">
        <f>Communes_HDF!A2843</f>
        <v>62749</v>
      </c>
      <c r="B2843" s="2" t="str">
        <f>Communes_HDF!B2843</f>
        <v>Saint-Georges</v>
      </c>
      <c r="C2843" s="2" t="str">
        <f t="array" ref="C2843">_xlfn.XLOOKUP(A2843, INSEE_Communes!$A$2:$A$3783, INSEE_Communes!$F$2:$F$3783, "code introuvable")</f>
        <v>non publié</v>
      </c>
    </row>
    <row r="2844">
      <c r="A2844" s="2" t="str">
        <f>Communes_HDF!A2844</f>
        <v>62750</v>
      </c>
      <c r="B2844" s="2" t="str">
        <f>Communes_HDF!B2844</f>
        <v>Saint-Hilaire-Cottes</v>
      </c>
      <c r="C2844" s="2" t="str">
        <f t="array" ref="C2844">_xlfn.XLOOKUP(A2844, INSEE_Communes!$A$2:$A$3783, INSEE_Communes!$F$2:$F$3783, "code introuvable")</f>
        <v>non publié</v>
      </c>
    </row>
    <row r="2845">
      <c r="A2845" s="2" t="str">
        <f>Communes_HDF!A2845</f>
        <v>62751</v>
      </c>
      <c r="B2845" s="2" t="str">
        <f>Communes_HDF!B2845</f>
        <v>Saint-Inglevert</v>
      </c>
      <c r="C2845" s="2" t="str">
        <f t="array" ref="C2845">_xlfn.XLOOKUP(A2845, INSEE_Communes!$A$2:$A$3783, INSEE_Communes!$F$2:$F$3783, "code introuvable")</f>
        <v>non publié</v>
      </c>
    </row>
    <row r="2846">
      <c r="A2846" s="2" t="str">
        <f>Communes_HDF!A2846</f>
        <v>62752</v>
      </c>
      <c r="B2846" s="2" t="str">
        <f>Communes_HDF!B2846</f>
        <v>Saint-Josse</v>
      </c>
      <c r="C2846" s="2" t="str">
        <f t="array" ref="C2846">_xlfn.XLOOKUP(A2846, INSEE_Communes!$A$2:$A$3783, INSEE_Communes!$F$2:$F$3783, "code introuvable")</f>
        <v>non publié</v>
      </c>
    </row>
    <row r="2847">
      <c r="A2847" s="2" t="str">
        <f>Communes_HDF!A2847</f>
        <v>62753</v>
      </c>
      <c r="B2847" s="2" t="str">
        <f>Communes_HDF!B2847</f>
        <v>Saint-Laurent-Blangy</v>
      </c>
      <c r="C2847" s="2">
        <f t="array" ref="C2847">_xlfn.XLOOKUP(A2847, INSEE_Communes!$A$2:$A$3783, INSEE_Communes!$F$2:$F$3783, "code introuvable")</f>
        <v>17</v>
      </c>
    </row>
    <row r="2848">
      <c r="A2848" s="2" t="str">
        <f>Communes_HDF!A2848</f>
        <v>62754</v>
      </c>
      <c r="B2848" s="2" t="str">
        <f>Communes_HDF!B2848</f>
        <v>Saint-Léger</v>
      </c>
      <c r="C2848" s="2" t="str">
        <f t="array" ref="C2848">_xlfn.XLOOKUP(A2848, INSEE_Communes!$A$2:$A$3783, INSEE_Communes!$F$2:$F$3783, "code introuvable")</f>
        <v>non publié</v>
      </c>
    </row>
    <row r="2849">
      <c r="A2849" s="2" t="str">
        <f>Communes_HDF!A2849</f>
        <v>62755</v>
      </c>
      <c r="B2849" s="2" t="str">
        <f>Communes_HDF!B2849</f>
        <v>Saint-Léonard</v>
      </c>
      <c r="C2849" s="2">
        <f t="array" ref="C2849">_xlfn.XLOOKUP(A2849, INSEE_Communes!$A$2:$A$3783, INSEE_Communes!$F$2:$F$3783, "code introuvable")</f>
        <v>11</v>
      </c>
    </row>
    <row r="2850">
      <c r="A2850" s="2" t="str">
        <f>Communes_HDF!A2850</f>
        <v>62758</v>
      </c>
      <c r="B2850" s="2" t="str">
        <f>Communes_HDF!B2850</f>
        <v>Saint-Martin-Boulogne</v>
      </c>
      <c r="C2850" s="2">
        <f t="array" ref="C2850">_xlfn.XLOOKUP(A2850, INSEE_Communes!$A$2:$A$3783, INSEE_Communes!$F$2:$F$3783, "code introuvable")</f>
        <v>17</v>
      </c>
    </row>
    <row r="2851">
      <c r="A2851" s="2" t="str">
        <f>Communes_HDF!A2851</f>
        <v>62759</v>
      </c>
      <c r="B2851" s="2" t="str">
        <f>Communes_HDF!B2851</f>
        <v>Saint-Martin-Choquel</v>
      </c>
      <c r="C2851" s="2" t="str">
        <f t="array" ref="C2851">_xlfn.XLOOKUP(A2851, INSEE_Communes!$A$2:$A$3783, INSEE_Communes!$F$2:$F$3783, "code introuvable")</f>
        <v>non publié</v>
      </c>
    </row>
    <row r="2852">
      <c r="A2852" s="2" t="str">
        <f>Communes_HDF!A2852</f>
        <v>62760</v>
      </c>
      <c r="B2852" s="2" t="str">
        <f>Communes_HDF!B2852</f>
        <v>Saint-Martin-d'Hardinghem</v>
      </c>
      <c r="C2852" s="2" t="str">
        <f t="array" ref="C2852">_xlfn.XLOOKUP(A2852, INSEE_Communes!$A$2:$A$3783, INSEE_Communes!$F$2:$F$3783, "code introuvable")</f>
        <v>non publié</v>
      </c>
    </row>
    <row r="2853">
      <c r="A2853" s="2" t="str">
        <f>Communes_HDF!A2853</f>
        <v>62757</v>
      </c>
      <c r="B2853" s="2" t="str">
        <f>Communes_HDF!B2853</f>
        <v>Saint-Martin-lez-Tatinghem</v>
      </c>
      <c r="C2853" s="2">
        <f t="array" ref="C2853">_xlfn.XLOOKUP(A2853, INSEE_Communes!$A$2:$A$3783, INSEE_Communes!$F$2:$F$3783, "code introuvable")</f>
        <v>14</v>
      </c>
    </row>
    <row r="2854">
      <c r="A2854" s="2" t="str">
        <f>Communes_HDF!A2854</f>
        <v>62761</v>
      </c>
      <c r="B2854" s="2" t="str">
        <f>Communes_HDF!B2854</f>
        <v>Saint-Martin-sur-Cojeul</v>
      </c>
      <c r="C2854" s="2" t="str">
        <f t="array" ref="C2854">_xlfn.XLOOKUP(A2854, INSEE_Communes!$A$2:$A$3783, INSEE_Communes!$F$2:$F$3783, "code introuvable")</f>
        <v>non publié</v>
      </c>
    </row>
    <row r="2855">
      <c r="A2855" s="2" t="str">
        <f>Communes_HDF!A2855</f>
        <v>62762</v>
      </c>
      <c r="B2855" s="2" t="str">
        <f>Communes_HDF!B2855</f>
        <v>Saint-Michel-sous-Bois</v>
      </c>
      <c r="C2855" s="2" t="str">
        <f t="array" ref="C2855">_xlfn.XLOOKUP(A2855, INSEE_Communes!$A$2:$A$3783, INSEE_Communes!$F$2:$F$3783, "code introuvable")</f>
        <v>non publié</v>
      </c>
    </row>
    <row r="2856">
      <c r="A2856" s="2" t="str">
        <f>Communes_HDF!A2856</f>
        <v>62763</v>
      </c>
      <c r="B2856" s="2" t="str">
        <f>Communes_HDF!B2856</f>
        <v>Saint-Michel-sur-Ternoise</v>
      </c>
      <c r="C2856" s="2" t="str">
        <f t="array" ref="C2856">_xlfn.XLOOKUP(A2856, INSEE_Communes!$A$2:$A$3783, INSEE_Communes!$F$2:$F$3783, "code introuvable")</f>
        <v>non publié</v>
      </c>
    </row>
    <row r="2857">
      <c r="A2857" s="2" t="str">
        <f>Communes_HDF!A2857</f>
        <v>62764</v>
      </c>
      <c r="B2857" s="2" t="str">
        <f>Communes_HDF!B2857</f>
        <v>Saint-Nicolas</v>
      </c>
      <c r="C2857" s="2">
        <f t="array" ref="C2857">_xlfn.XLOOKUP(A2857, INSEE_Communes!$A$2:$A$3783, INSEE_Communes!$F$2:$F$3783, "code introuvable")</f>
        <v>23</v>
      </c>
    </row>
    <row r="2858">
      <c r="A2858" s="2" t="str">
        <f>Communes_HDF!A2858</f>
        <v>62765</v>
      </c>
      <c r="B2858" s="2" t="str">
        <f>Communes_HDF!B2858</f>
        <v>Saint-Omer</v>
      </c>
      <c r="C2858" s="2">
        <f t="array" ref="C2858">_xlfn.XLOOKUP(A2858, INSEE_Communes!$A$2:$A$3783, INSEE_Communes!$F$2:$F$3783, "code introuvable")</f>
        <v>31</v>
      </c>
    </row>
    <row r="2859">
      <c r="A2859" s="2" t="str">
        <f>Communes_HDF!A2859</f>
        <v>62766</v>
      </c>
      <c r="B2859" s="2" t="str">
        <f>Communes_HDF!B2859</f>
        <v>Saint-Omer-Capelle</v>
      </c>
      <c r="C2859" s="2" t="str">
        <f t="array" ref="C2859">_xlfn.XLOOKUP(A2859, INSEE_Communes!$A$2:$A$3783, INSEE_Communes!$F$2:$F$3783, "code introuvable")</f>
        <v>non publié</v>
      </c>
    </row>
    <row r="2860">
      <c r="A2860" s="2" t="str">
        <f>Communes_HDF!A2860</f>
        <v>62767</v>
      </c>
      <c r="B2860" s="2" t="str">
        <f>Communes_HDF!B2860</f>
        <v>Saint-Pol-sur-Ternoise</v>
      </c>
      <c r="C2860" s="2">
        <f t="array" ref="C2860">_xlfn.XLOOKUP(A2860, INSEE_Communes!$A$2:$A$3783, INSEE_Communes!$F$2:$F$3783, "code introuvable")</f>
        <v>28</v>
      </c>
    </row>
    <row r="2861">
      <c r="A2861" s="2" t="str">
        <f>Communes_HDF!A2861</f>
        <v>62768</v>
      </c>
      <c r="B2861" s="2" t="str">
        <f>Communes_HDF!B2861</f>
        <v>Saint-Rémy-au-Bois</v>
      </c>
      <c r="C2861" s="2" t="str">
        <f t="array" ref="C2861">_xlfn.XLOOKUP(A2861, INSEE_Communes!$A$2:$A$3783, INSEE_Communes!$F$2:$F$3783, "code introuvable")</f>
        <v>non publié</v>
      </c>
    </row>
    <row r="2862">
      <c r="A2862" s="2" t="str">
        <f>Communes_HDF!A2862</f>
        <v>62769</v>
      </c>
      <c r="B2862" s="2" t="str">
        <f>Communes_HDF!B2862</f>
        <v>Saint-Tricat</v>
      </c>
      <c r="C2862" s="2" t="str">
        <f t="array" ref="C2862">_xlfn.XLOOKUP(A2862, INSEE_Communes!$A$2:$A$3783, INSEE_Communes!$F$2:$F$3783, "code introuvable")</f>
        <v>non publié</v>
      </c>
    </row>
    <row r="2863">
      <c r="A2863" s="2" t="str">
        <f>Communes_HDF!A2863</f>
        <v>62770</v>
      </c>
      <c r="B2863" s="2" t="str">
        <f>Communes_HDF!B2863</f>
        <v>Saint-Venant</v>
      </c>
      <c r="C2863" s="2">
        <f t="array" ref="C2863">_xlfn.XLOOKUP(A2863, INSEE_Communes!$A$2:$A$3783, INSEE_Communes!$F$2:$F$3783, "code introuvable")</f>
        <v>11</v>
      </c>
    </row>
    <row r="2864">
      <c r="A2864" s="2" t="str">
        <f>Communes_HDF!A2864</f>
        <v>62746</v>
      </c>
      <c r="B2864" s="2" t="str">
        <f>Communes_HDF!B2864</f>
        <v>Saint-Étienne-au-Mont</v>
      </c>
      <c r="C2864" s="2">
        <f t="array" ref="C2864">_xlfn.XLOOKUP(A2864, INSEE_Communes!$A$2:$A$3783, INSEE_Communes!$F$2:$F$3783, "code introuvable")</f>
        <v>19</v>
      </c>
    </row>
    <row r="2865">
      <c r="A2865" s="2" t="str">
        <f>Communes_HDF!A2865</f>
        <v>62744</v>
      </c>
      <c r="B2865" s="2" t="str">
        <f>Communes_HDF!B2865</f>
        <v>Sainte-Catherine</v>
      </c>
      <c r="C2865" s="2">
        <f t="array" ref="C2865">_xlfn.XLOOKUP(A2865, INSEE_Communes!$A$2:$A$3783, INSEE_Communes!$F$2:$F$3783, "code introuvable")</f>
        <v>7</v>
      </c>
    </row>
    <row r="2866">
      <c r="A2866" s="2" t="str">
        <f>Communes_HDF!A2866</f>
        <v>62756</v>
      </c>
      <c r="B2866" s="2" t="str">
        <f>Communes_HDF!B2866</f>
        <v>Sainte-Marie-Kerque</v>
      </c>
      <c r="C2866" s="2" t="str">
        <f t="array" ref="C2866">_xlfn.XLOOKUP(A2866, INSEE_Communes!$A$2:$A$3783, INSEE_Communes!$F$2:$F$3783, "code introuvable")</f>
        <v>non publié</v>
      </c>
    </row>
    <row r="2867">
      <c r="A2867" s="2" t="str">
        <f>Communes_HDF!A2867</f>
        <v>62771</v>
      </c>
      <c r="B2867" s="2" t="str">
        <f>Communes_HDF!B2867</f>
        <v>Sallaumines</v>
      </c>
      <c r="C2867" s="2">
        <f t="array" ref="C2867">_xlfn.XLOOKUP(A2867, INSEE_Communes!$A$2:$A$3783, INSEE_Communes!$F$2:$F$3783, "code introuvable")</f>
        <v>36</v>
      </c>
    </row>
    <row r="2868">
      <c r="A2868" s="2" t="str">
        <f>Communes_HDF!A2868</f>
        <v>62772</v>
      </c>
      <c r="B2868" s="2" t="str">
        <f>Communes_HDF!B2868</f>
        <v>Salperwick</v>
      </c>
      <c r="C2868" s="2" t="str">
        <f t="array" ref="C2868">_xlfn.XLOOKUP(A2868, INSEE_Communes!$A$2:$A$3783, INSEE_Communes!$F$2:$F$3783, "code introuvable")</f>
        <v>non publié</v>
      </c>
    </row>
    <row r="2869">
      <c r="A2869" s="2" t="str">
        <f>Communes_HDF!A2869</f>
        <v>62773</v>
      </c>
      <c r="B2869" s="2" t="str">
        <f>Communes_HDF!B2869</f>
        <v>Samer</v>
      </c>
      <c r="C2869" s="2">
        <f t="array" ref="C2869">_xlfn.XLOOKUP(A2869, INSEE_Communes!$A$2:$A$3783, INSEE_Communes!$F$2:$F$3783, "code introuvable")</f>
        <v>15</v>
      </c>
    </row>
    <row r="2870">
      <c r="A2870" s="2" t="str">
        <f>Communes_HDF!A2870</f>
        <v>62774</v>
      </c>
      <c r="B2870" s="2" t="str">
        <f>Communes_HDF!B2870</f>
        <v>Sangatte</v>
      </c>
      <c r="C2870" s="2">
        <f t="array" ref="C2870">_xlfn.XLOOKUP(A2870, INSEE_Communes!$A$2:$A$3783, INSEE_Communes!$F$2:$F$3783, "code introuvable")</f>
        <v>12</v>
      </c>
    </row>
    <row r="2871">
      <c r="A2871" s="2" t="str">
        <f>Communes_HDF!A2871</f>
        <v>62775</v>
      </c>
      <c r="B2871" s="2" t="str">
        <f>Communes_HDF!B2871</f>
        <v>Sanghen</v>
      </c>
      <c r="C2871" s="2" t="str">
        <f t="array" ref="C2871">_xlfn.XLOOKUP(A2871, INSEE_Communes!$A$2:$A$3783, INSEE_Communes!$F$2:$F$3783, "code introuvable")</f>
        <v>non publié</v>
      </c>
    </row>
    <row r="2872">
      <c r="A2872" s="2" t="str">
        <f>Communes_HDF!A2872</f>
        <v>62776</v>
      </c>
      <c r="B2872" s="2" t="str">
        <f>Communes_HDF!B2872</f>
        <v>Sapignies</v>
      </c>
      <c r="C2872" s="2" t="str">
        <f t="array" ref="C2872">_xlfn.XLOOKUP(A2872, INSEE_Communes!$A$2:$A$3783, INSEE_Communes!$F$2:$F$3783, "code introuvable")</f>
        <v>non publié</v>
      </c>
    </row>
    <row r="2873">
      <c r="A2873" s="2" t="str">
        <f>Communes_HDF!A2873</f>
        <v>62778</v>
      </c>
      <c r="B2873" s="2" t="str">
        <f>Communes_HDF!B2873</f>
        <v>Sars-le-Bois</v>
      </c>
      <c r="C2873" s="2" t="str">
        <f t="array" ref="C2873">_xlfn.XLOOKUP(A2873, INSEE_Communes!$A$2:$A$3783, INSEE_Communes!$F$2:$F$3783, "code introuvable")</f>
        <v>non publié</v>
      </c>
    </row>
    <row r="2874">
      <c r="A2874" s="2" t="str">
        <f>Communes_HDF!A2874</f>
        <v>62779</v>
      </c>
      <c r="B2874" s="2" t="str">
        <f>Communes_HDF!B2874</f>
        <v>Sarton</v>
      </c>
      <c r="C2874" s="2" t="str">
        <f t="array" ref="C2874">_xlfn.XLOOKUP(A2874, INSEE_Communes!$A$2:$A$3783, INSEE_Communes!$F$2:$F$3783, "code introuvable")</f>
        <v>non publié</v>
      </c>
    </row>
    <row r="2875">
      <c r="A2875" s="2" t="str">
        <f>Communes_HDF!A2875</f>
        <v>62780</v>
      </c>
      <c r="B2875" s="2" t="str">
        <f>Communes_HDF!B2875</f>
        <v>Sauchy-Cauchy</v>
      </c>
      <c r="C2875" s="2" t="str">
        <f t="array" ref="C2875">_xlfn.XLOOKUP(A2875, INSEE_Communes!$A$2:$A$3783, INSEE_Communes!$F$2:$F$3783, "code introuvable")</f>
        <v>non publié</v>
      </c>
    </row>
    <row r="2876">
      <c r="A2876" s="2" t="str">
        <f>Communes_HDF!A2876</f>
        <v>62781</v>
      </c>
      <c r="B2876" s="2" t="str">
        <f>Communes_HDF!B2876</f>
        <v>Sauchy-Lestrée</v>
      </c>
      <c r="C2876" s="2" t="str">
        <f t="array" ref="C2876">_xlfn.XLOOKUP(A2876, INSEE_Communes!$A$2:$A$3783, INSEE_Communes!$F$2:$F$3783, "code introuvable")</f>
        <v>non publié</v>
      </c>
    </row>
    <row r="2877">
      <c r="A2877" s="2" t="str">
        <f>Communes_HDF!A2877</f>
        <v>62782</v>
      </c>
      <c r="B2877" s="2" t="str">
        <f>Communes_HDF!B2877</f>
        <v>Saudemont</v>
      </c>
      <c r="C2877" s="2" t="str">
        <f t="array" ref="C2877">_xlfn.XLOOKUP(A2877, INSEE_Communes!$A$2:$A$3783, INSEE_Communes!$F$2:$F$3783, "code introuvable")</f>
        <v>non publié</v>
      </c>
    </row>
    <row r="2878">
      <c r="A2878" s="2" t="str">
        <f>Communes_HDF!A2878</f>
        <v>62783</v>
      </c>
      <c r="B2878" s="2" t="str">
        <f>Communes_HDF!B2878</f>
        <v>Saulchoy</v>
      </c>
      <c r="C2878" s="2" t="str">
        <f t="array" ref="C2878">_xlfn.XLOOKUP(A2878, INSEE_Communes!$A$2:$A$3783, INSEE_Communes!$F$2:$F$3783, "code introuvable")</f>
        <v>non publié</v>
      </c>
    </row>
    <row r="2879">
      <c r="A2879" s="2" t="str">
        <f>Communes_HDF!A2879</f>
        <v>62784</v>
      </c>
      <c r="B2879" s="2" t="str">
        <f>Communes_HDF!B2879</f>
        <v>Saulty</v>
      </c>
      <c r="C2879" s="2" t="str">
        <f t="array" ref="C2879">_xlfn.XLOOKUP(A2879, INSEE_Communes!$A$2:$A$3783, INSEE_Communes!$F$2:$F$3783, "code introuvable")</f>
        <v>non publié</v>
      </c>
    </row>
    <row r="2880">
      <c r="A2880" s="2" t="str">
        <f>Communes_HDF!A2880</f>
        <v>62785</v>
      </c>
      <c r="B2880" s="2" t="str">
        <f>Communes_HDF!B2880</f>
        <v>Savy-Berlette</v>
      </c>
      <c r="C2880" s="2" t="str">
        <f t="array" ref="C2880">_xlfn.XLOOKUP(A2880, INSEE_Communes!$A$2:$A$3783, INSEE_Communes!$F$2:$F$3783, "code introuvable")</f>
        <v>non publié</v>
      </c>
    </row>
    <row r="2881">
      <c r="A2881" s="2" t="str">
        <f>Communes_HDF!A2881</f>
        <v>62786</v>
      </c>
      <c r="B2881" s="2" t="str">
        <f>Communes_HDF!B2881</f>
        <v>Selles</v>
      </c>
      <c r="C2881" s="2" t="str">
        <f t="array" ref="C2881">_xlfn.XLOOKUP(A2881, INSEE_Communes!$A$2:$A$3783, INSEE_Communes!$F$2:$F$3783, "code introuvable")</f>
        <v>non publié</v>
      </c>
    </row>
    <row r="2882">
      <c r="A2882" s="2" t="str">
        <f>Communes_HDF!A2882</f>
        <v>62787</v>
      </c>
      <c r="B2882" s="2" t="str">
        <f>Communes_HDF!B2882</f>
        <v>Sempy</v>
      </c>
      <c r="C2882" s="2" t="str">
        <f t="array" ref="C2882">_xlfn.XLOOKUP(A2882, INSEE_Communes!$A$2:$A$3783, INSEE_Communes!$F$2:$F$3783, "code introuvable")</f>
        <v>non publié</v>
      </c>
    </row>
    <row r="2883">
      <c r="A2883" s="2" t="str">
        <f>Communes_HDF!A2883</f>
        <v>62788</v>
      </c>
      <c r="B2883" s="2" t="str">
        <f>Communes_HDF!B2883</f>
        <v>Seninghem</v>
      </c>
      <c r="C2883" s="2" t="str">
        <f t="array" ref="C2883">_xlfn.XLOOKUP(A2883, INSEE_Communes!$A$2:$A$3783, INSEE_Communes!$F$2:$F$3783, "code introuvable")</f>
        <v>non publié</v>
      </c>
    </row>
    <row r="2884">
      <c r="A2884" s="2" t="str">
        <f>Communes_HDF!A2884</f>
        <v>62789</v>
      </c>
      <c r="B2884" s="2" t="str">
        <f>Communes_HDF!B2884</f>
        <v>Senlecques</v>
      </c>
      <c r="C2884" s="2" t="str">
        <f t="array" ref="C2884">_xlfn.XLOOKUP(A2884, INSEE_Communes!$A$2:$A$3783, INSEE_Communes!$F$2:$F$3783, "code introuvable")</f>
        <v>non publié</v>
      </c>
    </row>
    <row r="2885">
      <c r="A2885" s="2" t="str">
        <f>Communes_HDF!A2885</f>
        <v>62790</v>
      </c>
      <c r="B2885" s="2" t="str">
        <f>Communes_HDF!B2885</f>
        <v>Senlis</v>
      </c>
      <c r="C2885" s="2" t="str">
        <f t="array" ref="C2885">_xlfn.XLOOKUP(A2885, INSEE_Communes!$A$2:$A$3783, INSEE_Communes!$F$2:$F$3783, "code introuvable")</f>
        <v>non publié</v>
      </c>
    </row>
    <row r="2886">
      <c r="A2886" s="2" t="str">
        <f>Communes_HDF!A2886</f>
        <v>62792</v>
      </c>
      <c r="B2886" s="2" t="str">
        <f>Communes_HDF!B2886</f>
        <v>Serques</v>
      </c>
      <c r="C2886" s="2" t="str">
        <f t="array" ref="C2886">_xlfn.XLOOKUP(A2886, INSEE_Communes!$A$2:$A$3783, INSEE_Communes!$F$2:$F$3783, "code introuvable")</f>
        <v>non publié</v>
      </c>
    </row>
    <row r="2887">
      <c r="A2887" s="2" t="str">
        <f>Communes_HDF!A2887</f>
        <v>62793</v>
      </c>
      <c r="B2887" s="2" t="str">
        <f>Communes_HDF!B2887</f>
        <v>Servins</v>
      </c>
      <c r="C2887" s="2" t="str">
        <f t="array" ref="C2887">_xlfn.XLOOKUP(A2887, INSEE_Communes!$A$2:$A$3783, INSEE_Communes!$F$2:$F$3783, "code introuvable")</f>
        <v>non publié</v>
      </c>
    </row>
    <row r="2888">
      <c r="A2888" s="2" t="str">
        <f>Communes_HDF!A2888</f>
        <v>62794</v>
      </c>
      <c r="B2888" s="2" t="str">
        <f>Communes_HDF!B2888</f>
        <v>Setques</v>
      </c>
      <c r="C2888" s="2" t="str">
        <f t="array" ref="C2888">_xlfn.XLOOKUP(A2888, INSEE_Communes!$A$2:$A$3783, INSEE_Communes!$F$2:$F$3783, "code introuvable")</f>
        <v>non publié</v>
      </c>
    </row>
    <row r="2889">
      <c r="A2889" s="2" t="str">
        <f>Communes_HDF!A2889</f>
        <v>62795</v>
      </c>
      <c r="B2889" s="2" t="str">
        <f>Communes_HDF!B2889</f>
        <v>Sibiville</v>
      </c>
      <c r="C2889" s="2" t="str">
        <f t="array" ref="C2889">_xlfn.XLOOKUP(A2889, INSEE_Communes!$A$2:$A$3783, INSEE_Communes!$F$2:$F$3783, "code introuvable")</f>
        <v>non publié</v>
      </c>
    </row>
    <row r="2890">
      <c r="A2890" s="2" t="str">
        <f>Communes_HDF!A2890</f>
        <v>62796</v>
      </c>
      <c r="B2890" s="2" t="str">
        <f>Communes_HDF!B2890</f>
        <v>Simencourt</v>
      </c>
      <c r="C2890" s="2" t="str">
        <f t="array" ref="C2890">_xlfn.XLOOKUP(A2890, INSEE_Communes!$A$2:$A$3783, INSEE_Communes!$F$2:$F$3783, "code introuvable")</f>
        <v>non publié</v>
      </c>
    </row>
    <row r="2891">
      <c r="A2891" s="2" t="str">
        <f>Communes_HDF!A2891</f>
        <v>62797</v>
      </c>
      <c r="B2891" s="2" t="str">
        <f>Communes_HDF!B2891</f>
        <v>Siracourt</v>
      </c>
      <c r="C2891" s="2" t="str">
        <f t="array" ref="C2891">_xlfn.XLOOKUP(A2891, INSEE_Communes!$A$2:$A$3783, INSEE_Communes!$F$2:$F$3783, "code introuvable")</f>
        <v>non publié</v>
      </c>
    </row>
    <row r="2892">
      <c r="A2892" s="2" t="str">
        <f>Communes_HDF!A2892</f>
        <v>62798</v>
      </c>
      <c r="B2892" s="2" t="str">
        <f>Communes_HDF!B2892</f>
        <v>Sombrin</v>
      </c>
      <c r="C2892" s="2" t="str">
        <f t="array" ref="C2892">_xlfn.XLOOKUP(A2892, INSEE_Communes!$A$2:$A$3783, INSEE_Communes!$F$2:$F$3783, "code introuvable")</f>
        <v>non publié</v>
      </c>
    </row>
    <row r="2893">
      <c r="A2893" s="2" t="str">
        <f>Communes_HDF!A2893</f>
        <v>62799</v>
      </c>
      <c r="B2893" s="2" t="str">
        <f>Communes_HDF!B2893</f>
        <v>Sorrus</v>
      </c>
      <c r="C2893" s="2" t="str">
        <f t="array" ref="C2893">_xlfn.XLOOKUP(A2893, INSEE_Communes!$A$2:$A$3783, INSEE_Communes!$F$2:$F$3783, "code introuvable")</f>
        <v>non publié</v>
      </c>
    </row>
    <row r="2894">
      <c r="A2894" s="2" t="str">
        <f>Communes_HDF!A2894</f>
        <v>62800</v>
      </c>
      <c r="B2894" s="2" t="str">
        <f>Communes_HDF!B2894</f>
        <v>Souastre</v>
      </c>
      <c r="C2894" s="2" t="str">
        <f t="array" ref="C2894">_xlfn.XLOOKUP(A2894, INSEE_Communes!$A$2:$A$3783, INSEE_Communes!$F$2:$F$3783, "code introuvable")</f>
        <v>non publié</v>
      </c>
    </row>
    <row r="2895">
      <c r="A2895" s="2" t="str">
        <f>Communes_HDF!A2895</f>
        <v>62801</v>
      </c>
      <c r="B2895" s="2" t="str">
        <f>Communes_HDF!B2895</f>
        <v>Souchez</v>
      </c>
      <c r="C2895" s="2">
        <f t="array" ref="C2895">_xlfn.XLOOKUP(A2895, INSEE_Communes!$A$2:$A$3783, INSEE_Communes!$F$2:$F$3783, "code introuvable")</f>
        <v>9</v>
      </c>
    </row>
    <row r="2896">
      <c r="A2896" s="2" t="str">
        <f>Communes_HDF!A2896</f>
        <v>62803</v>
      </c>
      <c r="B2896" s="2" t="str">
        <f>Communes_HDF!B2896</f>
        <v>Surques</v>
      </c>
      <c r="C2896" s="2" t="str">
        <f t="array" ref="C2896">_xlfn.XLOOKUP(A2896, INSEE_Communes!$A$2:$A$3783, INSEE_Communes!$F$2:$F$3783, "code introuvable")</f>
        <v>non publié</v>
      </c>
    </row>
    <row r="2897">
      <c r="A2897" s="2" t="str">
        <f>Communes_HDF!A2897</f>
        <v>62804</v>
      </c>
      <c r="B2897" s="2" t="str">
        <f>Communes_HDF!B2897</f>
        <v>Sus-Saint-Léger</v>
      </c>
      <c r="C2897" s="2" t="str">
        <f t="array" ref="C2897">_xlfn.XLOOKUP(A2897, INSEE_Communes!$A$2:$A$3783, INSEE_Communes!$F$2:$F$3783, "code introuvable")</f>
        <v>non publié</v>
      </c>
    </row>
    <row r="2898">
      <c r="A2898" s="2" t="str">
        <f>Communes_HDF!A2898</f>
        <v>62791</v>
      </c>
      <c r="B2898" s="2" t="str">
        <f>Communes_HDF!B2898</f>
        <v>Séricourt</v>
      </c>
      <c r="C2898" s="2" t="str">
        <f t="array" ref="C2898">_xlfn.XLOOKUP(A2898, INSEE_Communes!$A$2:$A$3783, INSEE_Communes!$F$2:$F$3783, "code introuvable")</f>
        <v>non publié</v>
      </c>
    </row>
    <row r="2899">
      <c r="A2899" s="2" t="str">
        <f>Communes_HDF!A2899</f>
        <v>62805</v>
      </c>
      <c r="B2899" s="2" t="str">
        <f>Communes_HDF!B2899</f>
        <v>Tangry</v>
      </c>
      <c r="C2899" s="2" t="str">
        <f t="array" ref="C2899">_xlfn.XLOOKUP(A2899, INSEE_Communes!$A$2:$A$3783, INSEE_Communes!$F$2:$F$3783, "code introuvable")</f>
        <v>non publié</v>
      </c>
    </row>
    <row r="2900">
      <c r="A2900" s="2" t="str">
        <f>Communes_HDF!A2900</f>
        <v>62806</v>
      </c>
      <c r="B2900" s="2" t="str">
        <f>Communes_HDF!B2900</f>
        <v>Tardinghen</v>
      </c>
      <c r="C2900" s="2" t="str">
        <f t="array" ref="C2900">_xlfn.XLOOKUP(A2900, INSEE_Communes!$A$2:$A$3783, INSEE_Communes!$F$2:$F$3783, "code introuvable")</f>
        <v>non publié</v>
      </c>
    </row>
    <row r="2901">
      <c r="A2901" s="2" t="str">
        <f>Communes_HDF!A2901</f>
        <v>62808</v>
      </c>
      <c r="B2901" s="2" t="str">
        <f>Communes_HDF!B2901</f>
        <v>Teneur</v>
      </c>
      <c r="C2901" s="2" t="str">
        <f t="array" ref="C2901">_xlfn.XLOOKUP(A2901, INSEE_Communes!$A$2:$A$3783, INSEE_Communes!$F$2:$F$3783, "code introuvable")</f>
        <v>non publié</v>
      </c>
    </row>
    <row r="2902">
      <c r="A2902" s="2" t="str">
        <f>Communes_HDF!A2902</f>
        <v>62809</v>
      </c>
      <c r="B2902" s="2" t="str">
        <f>Communes_HDF!B2902</f>
        <v>Ternas</v>
      </c>
      <c r="C2902" s="2" t="str">
        <f t="array" ref="C2902">_xlfn.XLOOKUP(A2902, INSEE_Communes!$A$2:$A$3783, INSEE_Communes!$F$2:$F$3783, "code introuvable")</f>
        <v>non publié</v>
      </c>
    </row>
    <row r="2903">
      <c r="A2903" s="2" t="str">
        <f>Communes_HDF!A2903</f>
        <v>62812</v>
      </c>
      <c r="B2903" s="2" t="str">
        <f>Communes_HDF!B2903</f>
        <v>Thiembronne</v>
      </c>
      <c r="C2903" s="2" t="str">
        <f t="array" ref="C2903">_xlfn.XLOOKUP(A2903, INSEE_Communes!$A$2:$A$3783, INSEE_Communes!$F$2:$F$3783, "code introuvable")</f>
        <v>non publié</v>
      </c>
    </row>
    <row r="2904">
      <c r="A2904" s="2" t="str">
        <f>Communes_HDF!A2904</f>
        <v>62814</v>
      </c>
      <c r="B2904" s="2" t="str">
        <f>Communes_HDF!B2904</f>
        <v>Thièvres</v>
      </c>
      <c r="C2904" s="2" t="str">
        <f t="array" ref="C2904">_xlfn.XLOOKUP(A2904, INSEE_Communes!$A$2:$A$3783, INSEE_Communes!$F$2:$F$3783, "code introuvable")</f>
        <v>non publié</v>
      </c>
    </row>
    <row r="2905">
      <c r="A2905" s="2" t="str">
        <f>Communes_HDF!A2905</f>
        <v>62810</v>
      </c>
      <c r="B2905" s="2" t="str">
        <f>Communes_HDF!B2905</f>
        <v>Thélus</v>
      </c>
      <c r="C2905" s="2" t="str">
        <f t="array" ref="C2905">_xlfn.XLOOKUP(A2905, INSEE_Communes!$A$2:$A$3783, INSEE_Communes!$F$2:$F$3783, "code introuvable")</f>
        <v>non publié</v>
      </c>
    </row>
    <row r="2906">
      <c r="A2906" s="2" t="str">
        <f>Communes_HDF!A2906</f>
        <v>62811</v>
      </c>
      <c r="B2906" s="2" t="str">
        <f>Communes_HDF!B2906</f>
        <v>Thérouanne</v>
      </c>
      <c r="C2906" s="2" t="str">
        <f t="array" ref="C2906">_xlfn.XLOOKUP(A2906, INSEE_Communes!$A$2:$A$3783, INSEE_Communes!$F$2:$F$3783, "code introuvable")</f>
        <v>non publié</v>
      </c>
    </row>
    <row r="2907">
      <c r="A2907" s="2" t="str">
        <f>Communes_HDF!A2907</f>
        <v>62815</v>
      </c>
      <c r="B2907" s="2" t="str">
        <f>Communes_HDF!B2907</f>
        <v>Tigny-Noyelle</v>
      </c>
      <c r="C2907" s="2" t="str">
        <f t="array" ref="C2907">_xlfn.XLOOKUP(A2907, INSEE_Communes!$A$2:$A$3783, INSEE_Communes!$F$2:$F$3783, "code introuvable")</f>
        <v>non publié</v>
      </c>
    </row>
    <row r="2908">
      <c r="A2908" s="2" t="str">
        <f>Communes_HDF!A2908</f>
        <v>62816</v>
      </c>
      <c r="B2908" s="2" t="str">
        <f>Communes_HDF!B2908</f>
        <v>Tilloy-lès-Hermaville</v>
      </c>
      <c r="C2908" s="2" t="str">
        <f t="array" ref="C2908">_xlfn.XLOOKUP(A2908, INSEE_Communes!$A$2:$A$3783, INSEE_Communes!$F$2:$F$3783, "code introuvable")</f>
        <v>non publié</v>
      </c>
    </row>
    <row r="2909">
      <c r="A2909" s="2" t="str">
        <f>Communes_HDF!A2909</f>
        <v>62817</v>
      </c>
      <c r="B2909" s="2" t="str">
        <f>Communes_HDF!B2909</f>
        <v>Tilloy-lès-Mofflaines</v>
      </c>
      <c r="C2909" s="2" t="str">
        <f t="array" ref="C2909">_xlfn.XLOOKUP(A2909, INSEE_Communes!$A$2:$A$3783, INSEE_Communes!$F$2:$F$3783, "code introuvable")</f>
        <v>non publié</v>
      </c>
    </row>
    <row r="2910">
      <c r="A2910" s="2" t="str">
        <f>Communes_HDF!A2910</f>
        <v>62818</v>
      </c>
      <c r="B2910" s="2" t="str">
        <f>Communes_HDF!B2910</f>
        <v>Tilly-Capelle</v>
      </c>
      <c r="C2910" s="2" t="str">
        <f t="array" ref="C2910">_xlfn.XLOOKUP(A2910, INSEE_Communes!$A$2:$A$3783, INSEE_Communes!$F$2:$F$3783, "code introuvable")</f>
        <v>non publié</v>
      </c>
    </row>
    <row r="2911">
      <c r="A2911" s="2" t="str">
        <f>Communes_HDF!A2911</f>
        <v>62819</v>
      </c>
      <c r="B2911" s="2" t="str">
        <f>Communes_HDF!B2911</f>
        <v>Tilques</v>
      </c>
      <c r="C2911" s="2" t="str">
        <f t="array" ref="C2911">_xlfn.XLOOKUP(A2911, INSEE_Communes!$A$2:$A$3783, INSEE_Communes!$F$2:$F$3783, "code introuvable")</f>
        <v>non publié</v>
      </c>
    </row>
    <row r="2912">
      <c r="A2912" s="2" t="str">
        <f>Communes_HDF!A2912</f>
        <v>62820</v>
      </c>
      <c r="B2912" s="2" t="str">
        <f>Communes_HDF!B2912</f>
        <v>Tincques</v>
      </c>
      <c r="C2912" s="2" t="str">
        <f t="array" ref="C2912">_xlfn.XLOOKUP(A2912, INSEE_Communes!$A$2:$A$3783, INSEE_Communes!$F$2:$F$3783, "code introuvable")</f>
        <v>non publié</v>
      </c>
    </row>
    <row r="2913">
      <c r="A2913" s="2" t="str">
        <f>Communes_HDF!A2913</f>
        <v>62821</v>
      </c>
      <c r="B2913" s="2" t="str">
        <f>Communes_HDF!B2913</f>
        <v>Tingry</v>
      </c>
      <c r="C2913" s="2" t="str">
        <f t="array" ref="C2913">_xlfn.XLOOKUP(A2913, INSEE_Communes!$A$2:$A$3783, INSEE_Communes!$F$2:$F$3783, "code introuvable")</f>
        <v>non publié</v>
      </c>
    </row>
    <row r="2914">
      <c r="A2914" s="2" t="str">
        <f>Communes_HDF!A2914</f>
        <v>62822</v>
      </c>
      <c r="B2914" s="2" t="str">
        <f>Communes_HDF!B2914</f>
        <v>Tollent</v>
      </c>
      <c r="C2914" s="2" t="str">
        <f t="array" ref="C2914">_xlfn.XLOOKUP(A2914, INSEE_Communes!$A$2:$A$3783, INSEE_Communes!$F$2:$F$3783, "code introuvable")</f>
        <v>non publié</v>
      </c>
    </row>
    <row r="2915">
      <c r="A2915" s="2" t="str">
        <f>Communes_HDF!A2915</f>
        <v>62823</v>
      </c>
      <c r="B2915" s="2" t="str">
        <f>Communes_HDF!B2915</f>
        <v>Torcy</v>
      </c>
      <c r="C2915" s="2" t="str">
        <f t="array" ref="C2915">_xlfn.XLOOKUP(A2915, INSEE_Communes!$A$2:$A$3783, INSEE_Communes!$F$2:$F$3783, "code introuvable")</f>
        <v>non publié</v>
      </c>
    </row>
    <row r="2916">
      <c r="A2916" s="2" t="str">
        <f>Communes_HDF!A2916</f>
        <v>62824</v>
      </c>
      <c r="B2916" s="2" t="str">
        <f>Communes_HDF!B2916</f>
        <v>Tortefontaine</v>
      </c>
      <c r="C2916" s="2" t="str">
        <f t="array" ref="C2916">_xlfn.XLOOKUP(A2916, INSEE_Communes!$A$2:$A$3783, INSEE_Communes!$F$2:$F$3783, "code introuvable")</f>
        <v>non publié</v>
      </c>
    </row>
    <row r="2917">
      <c r="A2917" s="2" t="str">
        <f>Communes_HDF!A2917</f>
        <v>62825</v>
      </c>
      <c r="B2917" s="2" t="str">
        <f>Communes_HDF!B2917</f>
        <v>Tortequesne</v>
      </c>
      <c r="C2917" s="2" t="str">
        <f t="array" ref="C2917">_xlfn.XLOOKUP(A2917, INSEE_Communes!$A$2:$A$3783, INSEE_Communes!$F$2:$F$3783, "code introuvable")</f>
        <v>non publié</v>
      </c>
    </row>
    <row r="2918">
      <c r="A2918" s="2" t="str">
        <f>Communes_HDF!A2918</f>
        <v>62827</v>
      </c>
      <c r="B2918" s="2" t="str">
        <f>Communes_HDF!B2918</f>
        <v>Tournehem-sur-la-Hem</v>
      </c>
      <c r="C2918" s="2" t="str">
        <f t="array" ref="C2918">_xlfn.XLOOKUP(A2918, INSEE_Communes!$A$2:$A$3783, INSEE_Communes!$F$2:$F$3783, "code introuvable")</f>
        <v>non publié</v>
      </c>
    </row>
    <row r="2919">
      <c r="A2919" s="2" t="str">
        <f>Communes_HDF!A2919</f>
        <v>62828</v>
      </c>
      <c r="B2919" s="2" t="str">
        <f>Communes_HDF!B2919</f>
        <v>Tramecourt</v>
      </c>
      <c r="C2919" s="2" t="str">
        <f t="array" ref="C2919">_xlfn.XLOOKUP(A2919, INSEE_Communes!$A$2:$A$3783, INSEE_Communes!$F$2:$F$3783, "code introuvable")</f>
        <v>non publié</v>
      </c>
    </row>
    <row r="2920">
      <c r="A2920" s="2" t="str">
        <f>Communes_HDF!A2920</f>
        <v>62830</v>
      </c>
      <c r="B2920" s="2" t="str">
        <f>Communes_HDF!B2920</f>
        <v>Trescault</v>
      </c>
      <c r="C2920" s="2" t="str">
        <f t="array" ref="C2920">_xlfn.XLOOKUP(A2920, INSEE_Communes!$A$2:$A$3783, INSEE_Communes!$F$2:$F$3783, "code introuvable")</f>
        <v>non publié</v>
      </c>
    </row>
    <row r="2921">
      <c r="A2921" s="2" t="str">
        <f>Communes_HDF!A2921</f>
        <v>62831</v>
      </c>
      <c r="B2921" s="2" t="str">
        <f>Communes_HDF!B2921</f>
        <v>Troisvaux</v>
      </c>
      <c r="C2921" s="2" t="str">
        <f t="array" ref="C2921">_xlfn.XLOOKUP(A2921, INSEE_Communes!$A$2:$A$3783, INSEE_Communes!$F$2:$F$3783, "code introuvable")</f>
        <v>non publié</v>
      </c>
    </row>
    <row r="2922">
      <c r="A2922" s="2" t="str">
        <f>Communes_HDF!A2922</f>
        <v>62832</v>
      </c>
      <c r="B2922" s="2" t="str">
        <f>Communes_HDF!B2922</f>
        <v>Tubersent</v>
      </c>
      <c r="C2922" s="2" t="str">
        <f t="array" ref="C2922">_xlfn.XLOOKUP(A2922, INSEE_Communes!$A$2:$A$3783, INSEE_Communes!$F$2:$F$3783, "code introuvable")</f>
        <v>non publié</v>
      </c>
    </row>
    <row r="2923">
      <c r="A2923" s="2" t="str">
        <f>Communes_HDF!A2923</f>
        <v>62833</v>
      </c>
      <c r="B2923" s="2" t="str">
        <f>Communes_HDF!B2923</f>
        <v>Vacquerie-le-Boucq</v>
      </c>
      <c r="C2923" s="2" t="str">
        <f t="array" ref="C2923">_xlfn.XLOOKUP(A2923, INSEE_Communes!$A$2:$A$3783, INSEE_Communes!$F$2:$F$3783, "code introuvable")</f>
        <v>non publié</v>
      </c>
    </row>
    <row r="2924">
      <c r="A2924" s="2" t="str">
        <f>Communes_HDF!A2924</f>
        <v>62834</v>
      </c>
      <c r="B2924" s="2" t="str">
        <f>Communes_HDF!B2924</f>
        <v>Vacqueriette-Erquières</v>
      </c>
      <c r="C2924" s="2" t="str">
        <f t="array" ref="C2924">_xlfn.XLOOKUP(A2924, INSEE_Communes!$A$2:$A$3783, INSEE_Communes!$F$2:$F$3783, "code introuvable")</f>
        <v>non publié</v>
      </c>
    </row>
    <row r="2925">
      <c r="A2925" s="2" t="str">
        <f>Communes_HDF!A2925</f>
        <v>62835</v>
      </c>
      <c r="B2925" s="2" t="str">
        <f>Communes_HDF!B2925</f>
        <v>Valhuon</v>
      </c>
      <c r="C2925" s="2" t="str">
        <f t="array" ref="C2925">_xlfn.XLOOKUP(A2925, INSEE_Communes!$A$2:$A$3783, INSEE_Communes!$F$2:$F$3783, "code introuvable")</f>
        <v>non publié</v>
      </c>
    </row>
    <row r="2926">
      <c r="A2926" s="2" t="str">
        <f>Communes_HDF!A2926</f>
        <v>62836</v>
      </c>
      <c r="B2926" s="2" t="str">
        <f>Communes_HDF!B2926</f>
        <v>Vaudricourt</v>
      </c>
      <c r="C2926" s="2" t="str">
        <f t="array" ref="C2926">_xlfn.XLOOKUP(A2926, INSEE_Communes!$A$2:$A$3783, INSEE_Communes!$F$2:$F$3783, "code introuvable")</f>
        <v>non publié</v>
      </c>
    </row>
    <row r="2927">
      <c r="A2927" s="2" t="str">
        <f>Communes_HDF!A2927</f>
        <v>62837</v>
      </c>
      <c r="B2927" s="2" t="str">
        <f>Communes_HDF!B2927</f>
        <v>Vaudringhem</v>
      </c>
      <c r="C2927" s="2" t="str">
        <f t="array" ref="C2927">_xlfn.XLOOKUP(A2927, INSEE_Communes!$A$2:$A$3783, INSEE_Communes!$F$2:$F$3783, "code introuvable")</f>
        <v>non publié</v>
      </c>
    </row>
    <row r="2928">
      <c r="A2928" s="2" t="str">
        <f>Communes_HDF!A2928</f>
        <v>62838</v>
      </c>
      <c r="B2928" s="2" t="str">
        <f>Communes_HDF!B2928</f>
        <v>Vaulx</v>
      </c>
      <c r="C2928" s="2" t="str">
        <f t="array" ref="C2928">_xlfn.XLOOKUP(A2928, INSEE_Communes!$A$2:$A$3783, INSEE_Communes!$F$2:$F$3783, "code introuvable")</f>
        <v>non publié</v>
      </c>
    </row>
    <row r="2929">
      <c r="A2929" s="2" t="str">
        <f>Communes_HDF!A2929</f>
        <v>62839</v>
      </c>
      <c r="B2929" s="2" t="str">
        <f>Communes_HDF!B2929</f>
        <v>Vaulx-Vraucourt</v>
      </c>
      <c r="C2929" s="2" t="str">
        <f t="array" ref="C2929">_xlfn.XLOOKUP(A2929, INSEE_Communes!$A$2:$A$3783, INSEE_Communes!$F$2:$F$3783, "code introuvable")</f>
        <v>non publié</v>
      </c>
    </row>
    <row r="2930">
      <c r="A2930" s="2" t="str">
        <f>Communes_HDF!A2930</f>
        <v>62842</v>
      </c>
      <c r="B2930" s="2" t="str">
        <f>Communes_HDF!B2930</f>
        <v>Vendin-le-Vieil</v>
      </c>
      <c r="C2930" s="2">
        <f t="array" ref="C2930">_xlfn.XLOOKUP(A2930, INSEE_Communes!$A$2:$A$3783, INSEE_Communes!$F$2:$F$3783, "code introuvable")</f>
        <v>20</v>
      </c>
    </row>
    <row r="2931">
      <c r="A2931" s="2" t="str">
        <f>Communes_HDF!A2931</f>
        <v>62841</v>
      </c>
      <c r="B2931" s="2" t="str">
        <f>Communes_HDF!B2931</f>
        <v>Vendin-lès-Béthune</v>
      </c>
      <c r="C2931" s="2">
        <f t="array" ref="C2931">_xlfn.XLOOKUP(A2931, INSEE_Communes!$A$2:$A$3783, INSEE_Communes!$F$2:$F$3783, "code introuvable")</f>
        <v>12</v>
      </c>
    </row>
    <row r="2932">
      <c r="A2932" s="2" t="str">
        <f>Communes_HDF!A2932</f>
        <v>62843</v>
      </c>
      <c r="B2932" s="2" t="str">
        <f>Communes_HDF!B2932</f>
        <v>Verchin</v>
      </c>
      <c r="C2932" s="2" t="str">
        <f t="array" ref="C2932">_xlfn.XLOOKUP(A2932, INSEE_Communes!$A$2:$A$3783, INSEE_Communes!$F$2:$F$3783, "code introuvable")</f>
        <v>non publié</v>
      </c>
    </row>
    <row r="2933">
      <c r="A2933" s="2" t="str">
        <f>Communes_HDF!A2933</f>
        <v>62844</v>
      </c>
      <c r="B2933" s="2" t="str">
        <f>Communes_HDF!B2933</f>
        <v>Verchocq</v>
      </c>
      <c r="C2933" s="2" t="str">
        <f t="array" ref="C2933">_xlfn.XLOOKUP(A2933, INSEE_Communes!$A$2:$A$3783, INSEE_Communes!$F$2:$F$3783, "code introuvable")</f>
        <v>non publié</v>
      </c>
    </row>
    <row r="2934">
      <c r="A2934" s="2" t="str">
        <f>Communes_HDF!A2934</f>
        <v>62845</v>
      </c>
      <c r="B2934" s="2" t="str">
        <f>Communes_HDF!B2934</f>
        <v>Verlincthun</v>
      </c>
      <c r="C2934" s="2" t="str">
        <f t="array" ref="C2934">_xlfn.XLOOKUP(A2934, INSEE_Communes!$A$2:$A$3783, INSEE_Communes!$F$2:$F$3783, "code introuvable")</f>
        <v>non publié</v>
      </c>
    </row>
    <row r="2935">
      <c r="A2935" s="2" t="str">
        <f>Communes_HDF!A2935</f>
        <v>62846</v>
      </c>
      <c r="B2935" s="2" t="str">
        <f>Communes_HDF!B2935</f>
        <v>Vermelles</v>
      </c>
      <c r="C2935" s="2">
        <f t="array" ref="C2935">_xlfn.XLOOKUP(A2935, INSEE_Communes!$A$2:$A$3783, INSEE_Communes!$F$2:$F$3783, "code introuvable")</f>
        <v>18</v>
      </c>
    </row>
    <row r="2936">
      <c r="A2936" s="2" t="str">
        <f>Communes_HDF!A2936</f>
        <v>62847</v>
      </c>
      <c r="B2936" s="2" t="str">
        <f>Communes_HDF!B2936</f>
        <v>Verquigneul</v>
      </c>
      <c r="C2936" s="2" t="str">
        <f t="array" ref="C2936">_xlfn.XLOOKUP(A2936, INSEE_Communes!$A$2:$A$3783, INSEE_Communes!$F$2:$F$3783, "code introuvable")</f>
        <v>non publié</v>
      </c>
    </row>
    <row r="2937">
      <c r="A2937" s="2" t="str">
        <f>Communes_HDF!A2937</f>
        <v>62848</v>
      </c>
      <c r="B2937" s="2" t="str">
        <f>Communes_HDF!B2937</f>
        <v>Verquin</v>
      </c>
      <c r="C2937" s="2">
        <f t="array" ref="C2937">_xlfn.XLOOKUP(A2937, INSEE_Communes!$A$2:$A$3783, INSEE_Communes!$F$2:$F$3783, "code introuvable")</f>
        <v>15</v>
      </c>
    </row>
    <row r="2938">
      <c r="A2938" s="2" t="str">
        <f>Communes_HDF!A2938</f>
        <v>62849</v>
      </c>
      <c r="B2938" s="2" t="str">
        <f>Communes_HDF!B2938</f>
        <v>Verton</v>
      </c>
      <c r="C2938" s="2">
        <f t="array" ref="C2938">_xlfn.XLOOKUP(A2938, INSEE_Communes!$A$2:$A$3783, INSEE_Communes!$F$2:$F$3783, "code introuvable")</f>
        <v>8</v>
      </c>
    </row>
    <row r="2939">
      <c r="A2939" s="2" t="str">
        <f>Communes_HDF!A2939</f>
        <v>62850</v>
      </c>
      <c r="B2939" s="2" t="str">
        <f>Communes_HDF!B2939</f>
        <v>Vieil-Hesdin</v>
      </c>
      <c r="C2939" s="2" t="str">
        <f t="array" ref="C2939">_xlfn.XLOOKUP(A2939, INSEE_Communes!$A$2:$A$3783, INSEE_Communes!$F$2:$F$3783, "code introuvable")</f>
        <v>non publié</v>
      </c>
    </row>
    <row r="2940">
      <c r="A2940" s="2" t="str">
        <f>Communes_HDF!A2940</f>
        <v>62853</v>
      </c>
      <c r="B2940" s="2" t="str">
        <f>Communes_HDF!B2940</f>
        <v>Vieil-Moutier</v>
      </c>
      <c r="C2940" s="2" t="str">
        <f t="array" ref="C2940">_xlfn.XLOOKUP(A2940, INSEE_Communes!$A$2:$A$3783, INSEE_Communes!$F$2:$F$3783, "code introuvable")</f>
        <v>non publié</v>
      </c>
    </row>
    <row r="2941">
      <c r="A2941" s="2" t="str">
        <f>Communes_HDF!A2941</f>
        <v>62851</v>
      </c>
      <c r="B2941" s="2" t="str">
        <f>Communes_HDF!B2941</f>
        <v>Vieille-Chapelle</v>
      </c>
      <c r="C2941" s="2" t="str">
        <f t="array" ref="C2941">_xlfn.XLOOKUP(A2941, INSEE_Communes!$A$2:$A$3783, INSEE_Communes!$F$2:$F$3783, "code introuvable")</f>
        <v>non publié</v>
      </c>
    </row>
    <row r="2942">
      <c r="A2942" s="2" t="str">
        <f>Communes_HDF!A2942</f>
        <v>62852</v>
      </c>
      <c r="B2942" s="2" t="str">
        <f>Communes_HDF!B2942</f>
        <v>Vieille-Église</v>
      </c>
      <c r="C2942" s="2" t="str">
        <f t="array" ref="C2942">_xlfn.XLOOKUP(A2942, INSEE_Communes!$A$2:$A$3783, INSEE_Communes!$F$2:$F$3783, "code introuvable")</f>
        <v>non publié</v>
      </c>
    </row>
    <row r="2943">
      <c r="A2943" s="2" t="str">
        <f>Communes_HDF!A2943</f>
        <v>62856</v>
      </c>
      <c r="B2943" s="2" t="str">
        <f>Communes_HDF!B2943</f>
        <v>Villers-Brûlin</v>
      </c>
      <c r="C2943" s="2" t="str">
        <f t="array" ref="C2943">_xlfn.XLOOKUP(A2943, INSEE_Communes!$A$2:$A$3783, INSEE_Communes!$F$2:$F$3783, "code introuvable")</f>
        <v>non publié</v>
      </c>
    </row>
    <row r="2944">
      <c r="A2944" s="2" t="str">
        <f>Communes_HDF!A2944</f>
        <v>62857</v>
      </c>
      <c r="B2944" s="2" t="str">
        <f>Communes_HDF!B2944</f>
        <v>Villers-Châtel</v>
      </c>
      <c r="C2944" s="2" t="str">
        <f t="array" ref="C2944">_xlfn.XLOOKUP(A2944, INSEE_Communes!$A$2:$A$3783, INSEE_Communes!$F$2:$F$3783, "code introuvable")</f>
        <v>non publié</v>
      </c>
    </row>
    <row r="2945">
      <c r="A2945" s="2" t="str">
        <f>Communes_HDF!A2945</f>
        <v>62860</v>
      </c>
      <c r="B2945" s="2" t="str">
        <f>Communes_HDF!B2945</f>
        <v>Villers-Sir-Simon</v>
      </c>
      <c r="C2945" s="2" t="str">
        <f t="array" ref="C2945">_xlfn.XLOOKUP(A2945, INSEE_Communes!$A$2:$A$3783, INSEE_Communes!$F$2:$F$3783, "code introuvable")</f>
        <v>non publié</v>
      </c>
    </row>
    <row r="2946">
      <c r="A2946" s="2" t="str">
        <f>Communes_HDF!A2946</f>
        <v>62854</v>
      </c>
      <c r="B2946" s="2" t="str">
        <f>Communes_HDF!B2946</f>
        <v>Villers-au-Bois</v>
      </c>
      <c r="C2946" s="2" t="str">
        <f t="array" ref="C2946">_xlfn.XLOOKUP(A2946, INSEE_Communes!$A$2:$A$3783, INSEE_Communes!$F$2:$F$3783, "code introuvable")</f>
        <v>non publié</v>
      </c>
    </row>
    <row r="2947">
      <c r="A2947" s="2" t="str">
        <f>Communes_HDF!A2947</f>
        <v>62855</v>
      </c>
      <c r="B2947" s="2" t="str">
        <f>Communes_HDF!B2947</f>
        <v>Villers-au-Flos</v>
      </c>
      <c r="C2947" s="2" t="str">
        <f t="array" ref="C2947">_xlfn.XLOOKUP(A2947, INSEE_Communes!$A$2:$A$3783, INSEE_Communes!$F$2:$F$3783, "code introuvable")</f>
        <v>non publié</v>
      </c>
    </row>
    <row r="2948">
      <c r="A2948" s="2" t="str">
        <f>Communes_HDF!A2948</f>
        <v>62859</v>
      </c>
      <c r="B2948" s="2" t="str">
        <f>Communes_HDF!B2948</f>
        <v>Villers-l'Hôpital</v>
      </c>
      <c r="C2948" s="2" t="str">
        <f t="array" ref="C2948">_xlfn.XLOOKUP(A2948, INSEE_Communes!$A$2:$A$3783, INSEE_Communes!$F$2:$F$3783, "code introuvable")</f>
        <v>non publié</v>
      </c>
    </row>
    <row r="2949">
      <c r="A2949" s="2" t="str">
        <f>Communes_HDF!A2949</f>
        <v>62858</v>
      </c>
      <c r="B2949" s="2" t="str">
        <f>Communes_HDF!B2949</f>
        <v>Villers-lès-Cagnicourt</v>
      </c>
      <c r="C2949" s="2" t="str">
        <f t="array" ref="C2949">_xlfn.XLOOKUP(A2949, INSEE_Communes!$A$2:$A$3783, INSEE_Communes!$F$2:$F$3783, "code introuvable")</f>
        <v>non publié</v>
      </c>
    </row>
    <row r="2950">
      <c r="A2950" s="2" t="str">
        <f>Communes_HDF!A2950</f>
        <v>62861</v>
      </c>
      <c r="B2950" s="2" t="str">
        <f>Communes_HDF!B2950</f>
        <v>Vimy</v>
      </c>
      <c r="C2950" s="2">
        <f t="array" ref="C2950">_xlfn.XLOOKUP(A2950, INSEE_Communes!$A$2:$A$3783, INSEE_Communes!$F$2:$F$3783, "code introuvable")</f>
        <v>8</v>
      </c>
    </row>
    <row r="2951">
      <c r="A2951" s="2" t="str">
        <f>Communes_HDF!A2951</f>
        <v>62862</v>
      </c>
      <c r="B2951" s="2" t="str">
        <f>Communes_HDF!B2951</f>
        <v>Vincly</v>
      </c>
      <c r="C2951" s="2" t="str">
        <f t="array" ref="C2951">_xlfn.XLOOKUP(A2951, INSEE_Communes!$A$2:$A$3783, INSEE_Communes!$F$2:$F$3783, "code introuvable")</f>
        <v>non publié</v>
      </c>
    </row>
    <row r="2952">
      <c r="A2952" s="2" t="str">
        <f>Communes_HDF!A2952</f>
        <v>62863</v>
      </c>
      <c r="B2952" s="2" t="str">
        <f>Communes_HDF!B2952</f>
        <v>Violaines</v>
      </c>
      <c r="C2952" s="2">
        <f t="array" ref="C2952">_xlfn.XLOOKUP(A2952, INSEE_Communes!$A$2:$A$3783, INSEE_Communes!$F$2:$F$3783, "code introuvable")</f>
        <v>10</v>
      </c>
    </row>
    <row r="2953">
      <c r="A2953" s="2" t="str">
        <f>Communes_HDF!A2953</f>
        <v>62864</v>
      </c>
      <c r="B2953" s="2" t="str">
        <f>Communes_HDF!B2953</f>
        <v>Vis-en-Artois</v>
      </c>
      <c r="C2953" s="2" t="str">
        <f t="array" ref="C2953">_xlfn.XLOOKUP(A2953, INSEE_Communes!$A$2:$A$3783, INSEE_Communes!$F$2:$F$3783, "code introuvable")</f>
        <v>non publié</v>
      </c>
    </row>
    <row r="2954">
      <c r="A2954" s="2" t="str">
        <f>Communes_HDF!A2954</f>
        <v>62865</v>
      </c>
      <c r="B2954" s="2" t="str">
        <f>Communes_HDF!B2954</f>
        <v>Vitry-en-Artois</v>
      </c>
      <c r="C2954" s="2">
        <f t="array" ref="C2954">_xlfn.XLOOKUP(A2954, INSEE_Communes!$A$2:$A$3783, INSEE_Communes!$F$2:$F$3783, "code introuvable")</f>
        <v>16</v>
      </c>
    </row>
    <row r="2955">
      <c r="A2955" s="2" t="str">
        <f>Communes_HDF!A2955</f>
        <v>62840</v>
      </c>
      <c r="B2955" s="2" t="str">
        <f>Communes_HDF!B2955</f>
        <v>Vélu</v>
      </c>
      <c r="C2955" s="2" t="str">
        <f t="array" ref="C2955">_xlfn.XLOOKUP(A2955, INSEE_Communes!$A$2:$A$3783, INSEE_Communes!$F$2:$F$3783, "code introuvable")</f>
        <v>non publié</v>
      </c>
    </row>
    <row r="2956">
      <c r="A2956" s="2" t="str">
        <f>Communes_HDF!A2956</f>
        <v>62866</v>
      </c>
      <c r="B2956" s="2" t="str">
        <f>Communes_HDF!B2956</f>
        <v>Waben</v>
      </c>
      <c r="C2956" s="2" t="str">
        <f t="array" ref="C2956">_xlfn.XLOOKUP(A2956, INSEE_Communes!$A$2:$A$3783, INSEE_Communes!$F$2:$F$3783, "code introuvable")</f>
        <v>non publié</v>
      </c>
    </row>
    <row r="2957">
      <c r="A2957" s="2" t="str">
        <f>Communes_HDF!A2957</f>
        <v>62867</v>
      </c>
      <c r="B2957" s="2" t="str">
        <f>Communes_HDF!B2957</f>
        <v>Wacquinghen</v>
      </c>
      <c r="C2957" s="2" t="str">
        <f t="array" ref="C2957">_xlfn.XLOOKUP(A2957, INSEE_Communes!$A$2:$A$3783, INSEE_Communes!$F$2:$F$3783, "code introuvable")</f>
        <v>non publié</v>
      </c>
    </row>
    <row r="2958">
      <c r="A2958" s="2" t="str">
        <f>Communes_HDF!A2958</f>
        <v>62868</v>
      </c>
      <c r="B2958" s="2" t="str">
        <f>Communes_HDF!B2958</f>
        <v>Wail</v>
      </c>
      <c r="C2958" s="2" t="str">
        <f t="array" ref="C2958">_xlfn.XLOOKUP(A2958, INSEE_Communes!$A$2:$A$3783, INSEE_Communes!$F$2:$F$3783, "code introuvable")</f>
        <v>non publié</v>
      </c>
    </row>
    <row r="2959">
      <c r="A2959" s="2" t="str">
        <f>Communes_HDF!A2959</f>
        <v>62869</v>
      </c>
      <c r="B2959" s="2" t="str">
        <f>Communes_HDF!B2959</f>
        <v>Wailly</v>
      </c>
      <c r="C2959" s="2" t="str">
        <f t="array" ref="C2959">_xlfn.XLOOKUP(A2959, INSEE_Communes!$A$2:$A$3783, INSEE_Communes!$F$2:$F$3783, "code introuvable")</f>
        <v>non publié</v>
      </c>
    </row>
    <row r="2960">
      <c r="A2960" s="2" t="str">
        <f>Communes_HDF!A2960</f>
        <v>62870</v>
      </c>
      <c r="B2960" s="2" t="str">
        <f>Communes_HDF!B2960</f>
        <v>Wailly-Beaucamp</v>
      </c>
      <c r="C2960" s="2" t="str">
        <f t="array" ref="C2960">_xlfn.XLOOKUP(A2960, INSEE_Communes!$A$2:$A$3783, INSEE_Communes!$F$2:$F$3783, "code introuvable")</f>
        <v>non publié</v>
      </c>
    </row>
    <row r="2961">
      <c r="A2961" s="2" t="str">
        <f>Communes_HDF!A2961</f>
        <v>62871</v>
      </c>
      <c r="B2961" s="2" t="str">
        <f>Communes_HDF!B2961</f>
        <v>Wambercourt</v>
      </c>
      <c r="C2961" s="2" t="str">
        <f t="array" ref="C2961">_xlfn.XLOOKUP(A2961, INSEE_Communes!$A$2:$A$3783, INSEE_Communes!$F$2:$F$3783, "code introuvable")</f>
        <v>non publié</v>
      </c>
    </row>
    <row r="2962">
      <c r="A2962" s="2" t="str">
        <f>Communes_HDF!A2962</f>
        <v>62872</v>
      </c>
      <c r="B2962" s="2" t="str">
        <f>Communes_HDF!B2962</f>
        <v>Wamin</v>
      </c>
      <c r="C2962" s="2" t="str">
        <f t="array" ref="C2962">_xlfn.XLOOKUP(A2962, INSEE_Communes!$A$2:$A$3783, INSEE_Communes!$F$2:$F$3783, "code introuvable")</f>
        <v>non publié</v>
      </c>
    </row>
    <row r="2963">
      <c r="A2963" s="2" t="str">
        <f>Communes_HDF!A2963</f>
        <v>62873</v>
      </c>
      <c r="B2963" s="2" t="str">
        <f>Communes_HDF!B2963</f>
        <v>Wancourt</v>
      </c>
      <c r="C2963" s="2" t="str">
        <f t="array" ref="C2963">_xlfn.XLOOKUP(A2963, INSEE_Communes!$A$2:$A$3783, INSEE_Communes!$F$2:$F$3783, "code introuvable")</f>
        <v>non publié</v>
      </c>
    </row>
    <row r="2964">
      <c r="A2964" s="2" t="str">
        <f>Communes_HDF!A2964</f>
        <v>62874</v>
      </c>
      <c r="B2964" s="2" t="str">
        <f>Communes_HDF!B2964</f>
        <v>Wanquetin</v>
      </c>
      <c r="C2964" s="2" t="str">
        <f t="array" ref="C2964">_xlfn.XLOOKUP(A2964, INSEE_Communes!$A$2:$A$3783, INSEE_Communes!$F$2:$F$3783, "code introuvable")</f>
        <v>non publié</v>
      </c>
    </row>
    <row r="2965">
      <c r="A2965" s="2" t="str">
        <f>Communes_HDF!A2965</f>
        <v>62875</v>
      </c>
      <c r="B2965" s="2" t="str">
        <f>Communes_HDF!B2965</f>
        <v>Wardrecques</v>
      </c>
      <c r="C2965" s="2" t="str">
        <f t="array" ref="C2965">_xlfn.XLOOKUP(A2965, INSEE_Communes!$A$2:$A$3783, INSEE_Communes!$F$2:$F$3783, "code introuvable")</f>
        <v>non publié</v>
      </c>
    </row>
    <row r="2966">
      <c r="A2966" s="2" t="str">
        <f>Communes_HDF!A2966</f>
        <v>62876</v>
      </c>
      <c r="B2966" s="2" t="str">
        <f>Communes_HDF!B2966</f>
        <v>Warlencourt-Eaucourt</v>
      </c>
      <c r="C2966" s="2" t="str">
        <f t="array" ref="C2966">_xlfn.XLOOKUP(A2966, INSEE_Communes!$A$2:$A$3783, INSEE_Communes!$F$2:$F$3783, "code introuvable")</f>
        <v>non publié</v>
      </c>
    </row>
    <row r="2967">
      <c r="A2967" s="2" t="str">
        <f>Communes_HDF!A2967</f>
        <v>62877</v>
      </c>
      <c r="B2967" s="2" t="str">
        <f>Communes_HDF!B2967</f>
        <v>Warlincourt-lès-Pas</v>
      </c>
      <c r="C2967" s="2" t="str">
        <f t="array" ref="C2967">_xlfn.XLOOKUP(A2967, INSEE_Communes!$A$2:$A$3783, INSEE_Communes!$F$2:$F$3783, "code introuvable")</f>
        <v>non publié</v>
      </c>
    </row>
    <row r="2968">
      <c r="A2968" s="2" t="str">
        <f>Communes_HDF!A2968</f>
        <v>62878</v>
      </c>
      <c r="B2968" s="2" t="str">
        <f>Communes_HDF!B2968</f>
        <v>Warlus</v>
      </c>
      <c r="C2968" s="2" t="str">
        <f t="array" ref="C2968">_xlfn.XLOOKUP(A2968, INSEE_Communes!$A$2:$A$3783, INSEE_Communes!$F$2:$F$3783, "code introuvable")</f>
        <v>non publié</v>
      </c>
    </row>
    <row r="2969">
      <c r="A2969" s="2" t="str">
        <f>Communes_HDF!A2969</f>
        <v>62879</v>
      </c>
      <c r="B2969" s="2" t="str">
        <f>Communes_HDF!B2969</f>
        <v>Warluzel</v>
      </c>
      <c r="C2969" s="2" t="str">
        <f t="array" ref="C2969">_xlfn.XLOOKUP(A2969, INSEE_Communes!$A$2:$A$3783, INSEE_Communes!$F$2:$F$3783, "code introuvable")</f>
        <v>non publié</v>
      </c>
    </row>
    <row r="2970">
      <c r="A2970" s="2" t="str">
        <f>Communes_HDF!A2970</f>
        <v>62883</v>
      </c>
      <c r="B2970" s="2" t="str">
        <f>Communes_HDF!B2970</f>
        <v>Wavrans-sur-Ternoise</v>
      </c>
      <c r="C2970" s="2" t="str">
        <f t="array" ref="C2970">_xlfn.XLOOKUP(A2970, INSEE_Communes!$A$2:$A$3783, INSEE_Communes!$F$2:$F$3783, "code introuvable")</f>
        <v>non publié</v>
      </c>
    </row>
    <row r="2971">
      <c r="A2971" s="2" t="str">
        <f>Communes_HDF!A2971</f>
        <v>62882</v>
      </c>
      <c r="B2971" s="2" t="str">
        <f>Communes_HDF!B2971</f>
        <v>Wavrans-sur-l'Aa</v>
      </c>
      <c r="C2971" s="2" t="str">
        <f t="array" ref="C2971">_xlfn.XLOOKUP(A2971, INSEE_Communes!$A$2:$A$3783, INSEE_Communes!$F$2:$F$3783, "code introuvable")</f>
        <v>non publié</v>
      </c>
    </row>
    <row r="2972">
      <c r="A2972" s="2" t="str">
        <f>Communes_HDF!A2972</f>
        <v>62885</v>
      </c>
      <c r="B2972" s="2" t="str">
        <f>Communes_HDF!B2972</f>
        <v>Westrehem</v>
      </c>
      <c r="C2972" s="2" t="str">
        <f t="array" ref="C2972">_xlfn.XLOOKUP(A2972, INSEE_Communes!$A$2:$A$3783, INSEE_Communes!$F$2:$F$3783, "code introuvable")</f>
        <v>non publié</v>
      </c>
    </row>
    <row r="2973">
      <c r="A2973" s="2" t="str">
        <f>Communes_HDF!A2973</f>
        <v>62886</v>
      </c>
      <c r="B2973" s="2" t="str">
        <f>Communes_HDF!B2973</f>
        <v>Wicquinghem</v>
      </c>
      <c r="C2973" s="2" t="str">
        <f t="array" ref="C2973">_xlfn.XLOOKUP(A2973, INSEE_Communes!$A$2:$A$3783, INSEE_Communes!$F$2:$F$3783, "code introuvable")</f>
        <v>non publié</v>
      </c>
    </row>
    <row r="2974">
      <c r="A2974" s="2" t="str">
        <f>Communes_HDF!A2974</f>
        <v>62887</v>
      </c>
      <c r="B2974" s="2" t="str">
        <f>Communes_HDF!B2974</f>
        <v>Widehem</v>
      </c>
      <c r="C2974" s="2" t="str">
        <f t="array" ref="C2974">_xlfn.XLOOKUP(A2974, INSEE_Communes!$A$2:$A$3783, INSEE_Communes!$F$2:$F$3783, "code introuvable")</f>
        <v>non publié</v>
      </c>
    </row>
    <row r="2975">
      <c r="A2975" s="2" t="str">
        <f>Communes_HDF!A2975</f>
        <v>62889</v>
      </c>
      <c r="B2975" s="2" t="str">
        <f>Communes_HDF!B2975</f>
        <v>Wierre-Effroy</v>
      </c>
      <c r="C2975" s="2" t="str">
        <f t="array" ref="C2975">_xlfn.XLOOKUP(A2975, INSEE_Communes!$A$2:$A$3783, INSEE_Communes!$F$2:$F$3783, "code introuvable")</f>
        <v>non publié</v>
      </c>
    </row>
    <row r="2976">
      <c r="A2976" s="2" t="str">
        <f>Communes_HDF!A2976</f>
        <v>62888</v>
      </c>
      <c r="B2976" s="2" t="str">
        <f>Communes_HDF!B2976</f>
        <v>Wierre-au-Bois</v>
      </c>
      <c r="C2976" s="2" t="str">
        <f t="array" ref="C2976">_xlfn.XLOOKUP(A2976, INSEE_Communes!$A$2:$A$3783, INSEE_Communes!$F$2:$F$3783, "code introuvable")</f>
        <v>non publié</v>
      </c>
    </row>
    <row r="2977">
      <c r="A2977" s="2" t="str">
        <f>Communes_HDF!A2977</f>
        <v>62890</v>
      </c>
      <c r="B2977" s="2" t="str">
        <f>Communes_HDF!B2977</f>
        <v>Willeman</v>
      </c>
      <c r="C2977" s="2" t="str">
        <f t="array" ref="C2977">_xlfn.XLOOKUP(A2977, INSEE_Communes!$A$2:$A$3783, INSEE_Communes!$F$2:$F$3783, "code introuvable")</f>
        <v>non publié</v>
      </c>
    </row>
    <row r="2978">
      <c r="A2978" s="2" t="str">
        <f>Communes_HDF!A2978</f>
        <v>62891</v>
      </c>
      <c r="B2978" s="2" t="str">
        <f>Communes_HDF!B2978</f>
        <v>Willencourt</v>
      </c>
      <c r="C2978" s="2" t="str">
        <f t="array" ref="C2978">_xlfn.XLOOKUP(A2978, INSEE_Communes!$A$2:$A$3783, INSEE_Communes!$F$2:$F$3783, "code introuvable")</f>
        <v>non publié</v>
      </c>
    </row>
    <row r="2979">
      <c r="A2979" s="2" t="str">
        <f>Communes_HDF!A2979</f>
        <v>62892</v>
      </c>
      <c r="B2979" s="2" t="str">
        <f>Communes_HDF!B2979</f>
        <v>Willerval</v>
      </c>
      <c r="C2979" s="2" t="str">
        <f t="array" ref="C2979">_xlfn.XLOOKUP(A2979, INSEE_Communes!$A$2:$A$3783, INSEE_Communes!$F$2:$F$3783, "code introuvable")</f>
        <v>non publié</v>
      </c>
    </row>
    <row r="2980">
      <c r="A2980" s="2" t="str">
        <f>Communes_HDF!A2980</f>
        <v>62893</v>
      </c>
      <c r="B2980" s="2" t="str">
        <f>Communes_HDF!B2980</f>
        <v>Wimereux</v>
      </c>
      <c r="C2980" s="2">
        <f t="array" ref="C2980">_xlfn.XLOOKUP(A2980, INSEE_Communes!$A$2:$A$3783, INSEE_Communes!$F$2:$F$3783, "code introuvable")</f>
        <v>13</v>
      </c>
    </row>
    <row r="2981">
      <c r="A2981" s="2" t="str">
        <f>Communes_HDF!A2981</f>
        <v>62894</v>
      </c>
      <c r="B2981" s="2" t="str">
        <f>Communes_HDF!B2981</f>
        <v>Wimille</v>
      </c>
      <c r="C2981" s="2">
        <f t="array" ref="C2981">_xlfn.XLOOKUP(A2981, INSEE_Communes!$A$2:$A$3783, INSEE_Communes!$F$2:$F$3783, "code introuvable")</f>
        <v>15</v>
      </c>
    </row>
    <row r="2982">
      <c r="A2982" s="2" t="str">
        <f>Communes_HDF!A2982</f>
        <v>62895</v>
      </c>
      <c r="B2982" s="2" t="str">
        <f>Communes_HDF!B2982</f>
        <v>Wingles</v>
      </c>
      <c r="C2982" s="2">
        <f t="array" ref="C2982">_xlfn.XLOOKUP(A2982, INSEE_Communes!$A$2:$A$3783, INSEE_Communes!$F$2:$F$3783, "code introuvable")</f>
        <v>23</v>
      </c>
    </row>
    <row r="2983">
      <c r="A2983" s="2" t="str">
        <f>Communes_HDF!A2983</f>
        <v>62896</v>
      </c>
      <c r="B2983" s="2" t="str">
        <f>Communes_HDF!B2983</f>
        <v>Wirwignes</v>
      </c>
      <c r="C2983" s="2" t="str">
        <f t="array" ref="C2983">_xlfn.XLOOKUP(A2983, INSEE_Communes!$A$2:$A$3783, INSEE_Communes!$F$2:$F$3783, "code introuvable")</f>
        <v>non publié</v>
      </c>
    </row>
    <row r="2984">
      <c r="A2984" s="2" t="str">
        <f>Communes_HDF!A2984</f>
        <v>62897</v>
      </c>
      <c r="B2984" s="2" t="str">
        <f>Communes_HDF!B2984</f>
        <v>Wismes</v>
      </c>
      <c r="C2984" s="2" t="str">
        <f t="array" ref="C2984">_xlfn.XLOOKUP(A2984, INSEE_Communes!$A$2:$A$3783, INSEE_Communes!$F$2:$F$3783, "code introuvable")</f>
        <v>non publié</v>
      </c>
    </row>
    <row r="2985">
      <c r="A2985" s="2" t="str">
        <f>Communes_HDF!A2985</f>
        <v>62898</v>
      </c>
      <c r="B2985" s="2" t="str">
        <f>Communes_HDF!B2985</f>
        <v>Wisques</v>
      </c>
      <c r="C2985" s="2" t="str">
        <f t="array" ref="C2985">_xlfn.XLOOKUP(A2985, INSEE_Communes!$A$2:$A$3783, INSEE_Communes!$F$2:$F$3783, "code introuvable")</f>
        <v>non publié</v>
      </c>
    </row>
    <row r="2986">
      <c r="A2986" s="2" t="str">
        <f>Communes_HDF!A2986</f>
        <v>62899</v>
      </c>
      <c r="B2986" s="2" t="str">
        <f>Communes_HDF!B2986</f>
        <v>Wissant</v>
      </c>
      <c r="C2986" s="2" t="str">
        <f t="array" ref="C2986">_xlfn.XLOOKUP(A2986, INSEE_Communes!$A$2:$A$3783, INSEE_Communes!$F$2:$F$3783, "code introuvable")</f>
        <v>non publié</v>
      </c>
    </row>
    <row r="2987">
      <c r="A2987" s="2" t="str">
        <f>Communes_HDF!A2987</f>
        <v>62900</v>
      </c>
      <c r="B2987" s="2" t="str">
        <f>Communes_HDF!B2987</f>
        <v>Witternesse</v>
      </c>
      <c r="C2987" s="2" t="str">
        <f t="array" ref="C2987">_xlfn.XLOOKUP(A2987, INSEE_Communes!$A$2:$A$3783, INSEE_Communes!$F$2:$F$3783, "code introuvable")</f>
        <v>non publié</v>
      </c>
    </row>
    <row r="2988">
      <c r="A2988" s="2" t="str">
        <f>Communes_HDF!A2988</f>
        <v>62901</v>
      </c>
      <c r="B2988" s="2" t="str">
        <f>Communes_HDF!B2988</f>
        <v>Wittes</v>
      </c>
      <c r="C2988" s="2" t="str">
        <f t="array" ref="C2988">_xlfn.XLOOKUP(A2988, INSEE_Communes!$A$2:$A$3783, INSEE_Communes!$F$2:$F$3783, "code introuvable")</f>
        <v>non publié</v>
      </c>
    </row>
    <row r="2989">
      <c r="A2989" s="2" t="str">
        <f>Communes_HDF!A2989</f>
        <v>62902</v>
      </c>
      <c r="B2989" s="2" t="str">
        <f>Communes_HDF!B2989</f>
        <v>Wizernes</v>
      </c>
      <c r="C2989" s="2">
        <f t="array" ref="C2989">_xlfn.XLOOKUP(A2989, INSEE_Communes!$A$2:$A$3783, INSEE_Communes!$F$2:$F$3783, "code introuvable")</f>
        <v>19</v>
      </c>
    </row>
    <row r="2990">
      <c r="A2990" s="2" t="str">
        <f>Communes_HDF!A2990</f>
        <v>62909</v>
      </c>
      <c r="B2990" s="2" t="str">
        <f>Communes_HDF!B2990</f>
        <v>Ytres</v>
      </c>
      <c r="C2990" s="2" t="str">
        <f t="array" ref="C2990">_xlfn.XLOOKUP(A2990, INSEE_Communes!$A$2:$A$3783, INSEE_Communes!$F$2:$F$3783, "code introuvable")</f>
        <v>non publié</v>
      </c>
    </row>
    <row r="2991">
      <c r="A2991" s="2" t="str">
        <f>Communes_HDF!A2991</f>
        <v>62903</v>
      </c>
      <c r="B2991" s="2" t="str">
        <f>Communes_HDF!B2991</f>
        <v>Zoteux</v>
      </c>
      <c r="C2991" s="2" t="str">
        <f t="array" ref="C2991">_xlfn.XLOOKUP(A2991, INSEE_Communes!$A$2:$A$3783, INSEE_Communes!$F$2:$F$3783, "code introuvable")</f>
        <v>non publié</v>
      </c>
    </row>
    <row r="2992">
      <c r="A2992" s="2" t="str">
        <f>Communes_HDF!A2992</f>
        <v>62904</v>
      </c>
      <c r="B2992" s="2" t="str">
        <f>Communes_HDF!B2992</f>
        <v>Zouafques</v>
      </c>
      <c r="C2992" s="2" t="str">
        <f t="array" ref="C2992">_xlfn.XLOOKUP(A2992, INSEE_Communes!$A$2:$A$3783, INSEE_Communes!$F$2:$F$3783, "code introuvable")</f>
        <v>non publié</v>
      </c>
    </row>
    <row r="2993">
      <c r="A2993" s="2" t="str">
        <f>Communes_HDF!A2993</f>
        <v>62905</v>
      </c>
      <c r="B2993" s="2" t="str">
        <f>Communes_HDF!B2993</f>
        <v>Zudausques</v>
      </c>
      <c r="C2993" s="2" t="str">
        <f t="array" ref="C2993">_xlfn.XLOOKUP(A2993, INSEE_Communes!$A$2:$A$3783, INSEE_Communes!$F$2:$F$3783, "code introuvable")</f>
        <v>non publié</v>
      </c>
    </row>
    <row r="2994">
      <c r="A2994" s="2" t="str">
        <f>Communes_HDF!A2994</f>
        <v>62906</v>
      </c>
      <c r="B2994" s="2" t="str">
        <f>Communes_HDF!B2994</f>
        <v>Zutkerque</v>
      </c>
      <c r="C2994" s="2" t="str">
        <f t="array" ref="C2994">_xlfn.XLOOKUP(A2994, INSEE_Communes!$A$2:$A$3783, INSEE_Communes!$F$2:$F$3783, "code introuvable")</f>
        <v>non publié</v>
      </c>
    </row>
    <row r="2995">
      <c r="A2995" s="2" t="str">
        <f>Communes_HDF!A2995</f>
        <v>62282</v>
      </c>
      <c r="B2995" s="2" t="str">
        <f>Communes_HDF!B2995</f>
        <v>Éclimeux</v>
      </c>
      <c r="C2995" s="2" t="str">
        <f t="array" ref="C2995">_xlfn.XLOOKUP(A2995, INSEE_Communes!$A$2:$A$3783, INSEE_Communes!$F$2:$F$3783, "code introuvable")</f>
        <v>non publié</v>
      </c>
    </row>
    <row r="2996">
      <c r="A2996" s="2" t="str">
        <f>Communes_HDF!A2996</f>
        <v>62283</v>
      </c>
      <c r="B2996" s="2" t="str">
        <f>Communes_HDF!B2996</f>
        <v>Écoivres</v>
      </c>
      <c r="C2996" s="2" t="str">
        <f t="array" ref="C2996">_xlfn.XLOOKUP(A2996, INSEE_Communes!$A$2:$A$3783, INSEE_Communes!$F$2:$F$3783, "code introuvable")</f>
        <v>non publié</v>
      </c>
    </row>
    <row r="2997">
      <c r="A2997" s="2" t="str">
        <f>Communes_HDF!A2997</f>
        <v>62284</v>
      </c>
      <c r="B2997" s="2" t="str">
        <f>Communes_HDF!B2997</f>
        <v>Écourt-Saint-Quentin</v>
      </c>
      <c r="C2997" s="2" t="str">
        <f t="array" ref="C2997">_xlfn.XLOOKUP(A2997, INSEE_Communes!$A$2:$A$3783, INSEE_Communes!$F$2:$F$3783, "code introuvable")</f>
        <v>non publié</v>
      </c>
    </row>
    <row r="2998">
      <c r="A2998" s="2" t="str">
        <f>Communes_HDF!A2998</f>
        <v>62285</v>
      </c>
      <c r="B2998" s="2" t="str">
        <f>Communes_HDF!B2998</f>
        <v>Écoust-Saint-Mein</v>
      </c>
      <c r="C2998" s="2" t="str">
        <f t="array" ref="C2998">_xlfn.XLOOKUP(A2998, INSEE_Communes!$A$2:$A$3783, INSEE_Communes!$F$2:$F$3783, "code introuvable")</f>
        <v>non publié</v>
      </c>
    </row>
    <row r="2999">
      <c r="A2999" s="2" t="str">
        <f>Communes_HDF!A2999</f>
        <v>62289</v>
      </c>
      <c r="B2999" s="2" t="str">
        <f>Communes_HDF!B2999</f>
        <v>Écuires</v>
      </c>
      <c r="C2999" s="2" t="str">
        <f t="array" ref="C2999">_xlfn.XLOOKUP(A2999, INSEE_Communes!$A$2:$A$3783, INSEE_Communes!$F$2:$F$3783, "code introuvable")</f>
        <v>non publié</v>
      </c>
    </row>
    <row r="3000">
      <c r="A3000" s="2" t="str">
        <f>Communes_HDF!A3000</f>
        <v>62290</v>
      </c>
      <c r="B3000" s="2" t="str">
        <f>Communes_HDF!B3000</f>
        <v>Écurie</v>
      </c>
      <c r="C3000" s="2" t="str">
        <f t="array" ref="C3000">_xlfn.XLOOKUP(A3000, INSEE_Communes!$A$2:$A$3783, INSEE_Communes!$F$2:$F$3783, "code introuvable")</f>
        <v>non publié</v>
      </c>
    </row>
    <row r="3001">
      <c r="A3001" s="2" t="str">
        <f>Communes_HDF!A3001</f>
        <v>62291</v>
      </c>
      <c r="B3001" s="2" t="str">
        <f>Communes_HDF!B3001</f>
        <v>Éleu-dit-Leauwette</v>
      </c>
      <c r="C3001" s="2">
        <f t="array" ref="C3001">_xlfn.XLOOKUP(A3001, INSEE_Communes!$A$2:$A$3783, INSEE_Communes!$F$2:$F$3783, "code introuvable")</f>
        <v>19</v>
      </c>
    </row>
    <row r="3002">
      <c r="A3002" s="2" t="str">
        <f>Communes_HDF!A3002</f>
        <v>62297</v>
      </c>
      <c r="B3002" s="2" t="str">
        <f>Communes_HDF!B3002</f>
        <v>Éperlecques</v>
      </c>
      <c r="C3002" s="2">
        <f t="array" ref="C3002">_xlfn.XLOOKUP(A3002, INSEE_Communes!$A$2:$A$3783, INSEE_Communes!$F$2:$F$3783, "code introuvable")</f>
        <v>14</v>
      </c>
    </row>
    <row r="3003">
      <c r="A3003" s="2" t="str">
        <f>Communes_HDF!A3003</f>
        <v>62298</v>
      </c>
      <c r="B3003" s="2" t="str">
        <f>Communes_HDF!B3003</f>
        <v>Épinoy</v>
      </c>
      <c r="C3003" s="2" t="str">
        <f t="array" ref="C3003">_xlfn.XLOOKUP(A3003, INSEE_Communes!$A$2:$A$3783, INSEE_Communes!$F$2:$F$3783, "code introuvable")</f>
        <v>non publié</v>
      </c>
    </row>
    <row r="3004">
      <c r="A3004" s="2" t="str">
        <f>Communes_HDF!A3004</f>
        <v>62300</v>
      </c>
      <c r="B3004" s="2" t="str">
        <f>Communes_HDF!B3004</f>
        <v>Équihen-Plage</v>
      </c>
      <c r="C3004" s="2">
        <f t="array" ref="C3004">_xlfn.XLOOKUP(A3004, INSEE_Communes!$A$2:$A$3783, INSEE_Communes!$F$2:$F$3783, "code introuvable")</f>
        <v>18</v>
      </c>
    </row>
    <row r="3005">
      <c r="A3005" s="2" t="str">
        <f>Communes_HDF!A3005</f>
        <v>62301</v>
      </c>
      <c r="B3005" s="2" t="str">
        <f>Communes_HDF!B3005</f>
        <v>Équirre</v>
      </c>
      <c r="C3005" s="2" t="str">
        <f t="array" ref="C3005">_xlfn.XLOOKUP(A3005, INSEE_Communes!$A$2:$A$3783, INSEE_Communes!$F$2:$F$3783, "code introuvable")</f>
        <v>non publié</v>
      </c>
    </row>
    <row r="3006">
      <c r="A3006" s="2" t="str">
        <f>Communes_HDF!A3006</f>
        <v>62303</v>
      </c>
      <c r="B3006" s="2" t="str">
        <f>Communes_HDF!B3006</f>
        <v>Érin</v>
      </c>
      <c r="C3006" s="2" t="str">
        <f t="array" ref="C3006">_xlfn.XLOOKUP(A3006, INSEE_Communes!$A$2:$A$3783, INSEE_Communes!$F$2:$F$3783, "code introuvable")</f>
        <v>non publié</v>
      </c>
    </row>
    <row r="3007">
      <c r="A3007" s="2" t="str">
        <f>Communes_HDF!A3007</f>
        <v>62317</v>
      </c>
      <c r="B3007" s="2" t="str">
        <f>Communes_HDF!B3007</f>
        <v>Étaing</v>
      </c>
      <c r="C3007" s="2" t="str">
        <f t="array" ref="C3007">_xlfn.XLOOKUP(A3007, INSEE_Communes!$A$2:$A$3783, INSEE_Communes!$F$2:$F$3783, "code introuvable")</f>
        <v>non publié</v>
      </c>
    </row>
    <row r="3008">
      <c r="A3008" s="2" t="str">
        <f>Communes_HDF!A3008</f>
        <v>62318</v>
      </c>
      <c r="B3008" s="2" t="str">
        <f>Communes_HDF!B3008</f>
        <v>Étaples</v>
      </c>
      <c r="C3008" s="2">
        <f t="array" ref="C3008">_xlfn.XLOOKUP(A3008, INSEE_Communes!$A$2:$A$3783, INSEE_Communes!$F$2:$F$3783, "code introuvable")</f>
        <v>21</v>
      </c>
    </row>
    <row r="3009">
      <c r="A3009" s="2" t="str">
        <f>Communes_HDF!A3009</f>
        <v>62319</v>
      </c>
      <c r="B3009" s="2" t="str">
        <f>Communes_HDF!B3009</f>
        <v>Éterpigny</v>
      </c>
      <c r="C3009" s="2" t="str">
        <f t="array" ref="C3009">_xlfn.XLOOKUP(A3009, INSEE_Communes!$A$2:$A$3783, INSEE_Communes!$F$2:$F$3783, "code introuvable")</f>
        <v>non publié</v>
      </c>
    </row>
    <row r="3010">
      <c r="A3010" s="2" t="str">
        <f>Communes_HDF!A3010</f>
        <v>62320</v>
      </c>
      <c r="B3010" s="2" t="str">
        <f>Communes_HDF!B3010</f>
        <v>Étrun</v>
      </c>
      <c r="C3010" s="2" t="str">
        <f t="array" ref="C3010">_xlfn.XLOOKUP(A3010, INSEE_Communes!$A$2:$A$3783, INSEE_Communes!$F$2:$F$3783, "code introuvable")</f>
        <v>non publié</v>
      </c>
    </row>
    <row r="3011">
      <c r="A3011" s="2" t="str">
        <f>Communes_HDF!A3011</f>
        <v>62321</v>
      </c>
      <c r="B3011" s="2" t="str">
        <f>Communes_HDF!B3011</f>
        <v>Évin-Malmaison</v>
      </c>
      <c r="C3011" s="2">
        <f t="array" ref="C3011">_xlfn.XLOOKUP(A3011, INSEE_Communes!$A$2:$A$3783, INSEE_Communes!$F$2:$F$3783, "code introuvable")</f>
        <v>22</v>
      </c>
    </row>
    <row r="3012">
      <c r="A3012" s="2" t="str">
        <f>Communes_HDF!A3012</f>
        <v>62633</v>
      </c>
      <c r="B3012" s="2" t="str">
        <f>Communes_HDF!B3012</f>
        <v>Œuf-en-Ternois</v>
      </c>
      <c r="C3012" s="2" t="str">
        <f t="array" ref="C3012">_xlfn.XLOOKUP(A3012, INSEE_Communes!$A$2:$A$3783, INSEE_Communes!$F$2:$F$3783, "code introuvable")</f>
        <v>non publié</v>
      </c>
    </row>
    <row r="3013">
      <c r="A3013" s="2" t="str">
        <f>Communes_HDF!A3013</f>
        <v>80001</v>
      </c>
      <c r="B3013" s="2" t="str">
        <f>Communes_HDF!B3013</f>
        <v>Abbeville</v>
      </c>
      <c r="C3013" s="2">
        <f t="array" ref="C3013">_xlfn.XLOOKUP(A3013, INSEE_Communes!$A$2:$A$3783, INSEE_Communes!$F$2:$F$3783, "code introuvable")</f>
        <v>25.4</v>
      </c>
    </row>
    <row r="3014">
      <c r="A3014" s="2" t="str">
        <f>Communes_HDF!A3014</f>
        <v>80002</v>
      </c>
      <c r="B3014" s="2" t="str">
        <f>Communes_HDF!B3014</f>
        <v>Ablaincourt-Pressoir</v>
      </c>
      <c r="C3014" s="2" t="str">
        <f t="array" ref="C3014">_xlfn.XLOOKUP(A3014, INSEE_Communes!$A$2:$A$3783, INSEE_Communes!$F$2:$F$3783, "code introuvable")</f>
        <v>non publié</v>
      </c>
    </row>
    <row r="3015">
      <c r="A3015" s="2" t="str">
        <f>Communes_HDF!A3015</f>
        <v>80003</v>
      </c>
      <c r="B3015" s="2" t="str">
        <f>Communes_HDF!B3015</f>
        <v>Acheux-en-Amiénois</v>
      </c>
      <c r="C3015" s="2" t="str">
        <f t="array" ref="C3015">_xlfn.XLOOKUP(A3015, INSEE_Communes!$A$2:$A$3783, INSEE_Communes!$F$2:$F$3783, "code introuvable")</f>
        <v>non publié</v>
      </c>
    </row>
    <row r="3016">
      <c r="A3016" s="2" t="str">
        <f>Communes_HDF!A3016</f>
        <v>80004</v>
      </c>
      <c r="B3016" s="2" t="str">
        <f>Communes_HDF!B3016</f>
        <v>Acheux-en-Vimeu</v>
      </c>
      <c r="C3016" s="2" t="str">
        <f t="array" ref="C3016">_xlfn.XLOOKUP(A3016, INSEE_Communes!$A$2:$A$3783, INSEE_Communes!$F$2:$F$3783, "code introuvable")</f>
        <v>non publié</v>
      </c>
    </row>
    <row r="3017">
      <c r="A3017" s="2" t="str">
        <f>Communes_HDF!A3017</f>
        <v>80005</v>
      </c>
      <c r="B3017" s="2" t="str">
        <f>Communes_HDF!B3017</f>
        <v>Agenville</v>
      </c>
      <c r="C3017" s="2" t="str">
        <f t="array" ref="C3017">_xlfn.XLOOKUP(A3017, INSEE_Communes!$A$2:$A$3783, INSEE_Communes!$F$2:$F$3783, "code introuvable")</f>
        <v>non publié</v>
      </c>
    </row>
    <row r="3018">
      <c r="A3018" s="2" t="str">
        <f>Communes_HDF!A3018</f>
        <v>80006</v>
      </c>
      <c r="B3018" s="2" t="str">
        <f>Communes_HDF!B3018</f>
        <v>Agenvillers</v>
      </c>
      <c r="C3018" s="2" t="str">
        <f t="array" ref="C3018">_xlfn.XLOOKUP(A3018, INSEE_Communes!$A$2:$A$3783, INSEE_Communes!$F$2:$F$3783, "code introuvable")</f>
        <v>non publié</v>
      </c>
    </row>
    <row r="3019">
      <c r="A3019" s="2" t="str">
        <f>Communes_HDF!A3019</f>
        <v>80008</v>
      </c>
      <c r="B3019" s="2" t="str">
        <f>Communes_HDF!B3019</f>
        <v>Aigneville</v>
      </c>
      <c r="C3019" s="2" t="str">
        <f t="array" ref="C3019">_xlfn.XLOOKUP(A3019, INSEE_Communes!$A$2:$A$3783, INSEE_Communes!$F$2:$F$3783, "code introuvable")</f>
        <v>non publié</v>
      </c>
    </row>
    <row r="3020">
      <c r="A3020" s="2" t="str">
        <f>Communes_HDF!A3020</f>
        <v>80009</v>
      </c>
      <c r="B3020" s="2" t="str">
        <f>Communes_HDF!B3020</f>
        <v>Ailly-le-Haut-Clocher</v>
      </c>
      <c r="C3020" s="2" t="str">
        <f t="array" ref="C3020">_xlfn.XLOOKUP(A3020, INSEE_Communes!$A$2:$A$3783, INSEE_Communes!$F$2:$F$3783, "code introuvable")</f>
        <v>non publié</v>
      </c>
    </row>
    <row r="3021">
      <c r="A3021" s="2" t="str">
        <f>Communes_HDF!A3021</f>
        <v>80010</v>
      </c>
      <c r="B3021" s="2" t="str">
        <f>Communes_HDF!B3021</f>
        <v>Ailly-sur-Noye</v>
      </c>
      <c r="C3021" s="2">
        <f t="array" ref="C3021">_xlfn.XLOOKUP(A3021, INSEE_Communes!$A$2:$A$3783, INSEE_Communes!$F$2:$F$3783, "code introuvable")</f>
        <v>13</v>
      </c>
    </row>
    <row r="3022">
      <c r="A3022" s="2" t="str">
        <f>Communes_HDF!A3022</f>
        <v>80011</v>
      </c>
      <c r="B3022" s="2" t="str">
        <f>Communes_HDF!B3022</f>
        <v>Ailly-sur-Somme</v>
      </c>
      <c r="C3022" s="2">
        <f t="array" ref="C3022">_xlfn.XLOOKUP(A3022, INSEE_Communes!$A$2:$A$3783, INSEE_Communes!$F$2:$F$3783, "code introuvable")</f>
        <v>11</v>
      </c>
    </row>
    <row r="3023">
      <c r="A3023" s="2" t="str">
        <f>Communes_HDF!A3023</f>
        <v>80013</v>
      </c>
      <c r="B3023" s="2" t="str">
        <f>Communes_HDF!B3023</f>
        <v>Airaines</v>
      </c>
      <c r="C3023" s="2">
        <f t="array" ref="C3023">_xlfn.XLOOKUP(A3023, INSEE_Communes!$A$2:$A$3783, INSEE_Communes!$F$2:$F$3783, "code introuvable")</f>
        <v>27</v>
      </c>
    </row>
    <row r="3024">
      <c r="A3024" s="2" t="str">
        <f>Communes_HDF!A3024</f>
        <v>80014</v>
      </c>
      <c r="B3024" s="2" t="str">
        <f>Communes_HDF!B3024</f>
        <v>Aizecourt-le-Bas</v>
      </c>
      <c r="C3024" s="2" t="str">
        <f t="array" ref="C3024">_xlfn.XLOOKUP(A3024, INSEE_Communes!$A$2:$A$3783, INSEE_Communes!$F$2:$F$3783, "code introuvable")</f>
        <v>non publié</v>
      </c>
    </row>
    <row r="3025">
      <c r="A3025" s="2" t="str">
        <f>Communes_HDF!A3025</f>
        <v>80015</v>
      </c>
      <c r="B3025" s="2" t="str">
        <f>Communes_HDF!B3025</f>
        <v>Aizecourt-le-Haut</v>
      </c>
      <c r="C3025" s="2" t="str">
        <f t="array" ref="C3025">_xlfn.XLOOKUP(A3025, INSEE_Communes!$A$2:$A$3783, INSEE_Communes!$F$2:$F$3783, "code introuvable")</f>
        <v>non publié</v>
      </c>
    </row>
    <row r="3026">
      <c r="A3026" s="2" t="str">
        <f>Communes_HDF!A3026</f>
        <v>80016</v>
      </c>
      <c r="B3026" s="2" t="str">
        <f>Communes_HDF!B3026</f>
        <v>Albert</v>
      </c>
      <c r="C3026" s="2">
        <f t="array" ref="C3026">_xlfn.XLOOKUP(A3026, INSEE_Communes!$A$2:$A$3783, INSEE_Communes!$F$2:$F$3783, "code introuvable")</f>
        <v>22</v>
      </c>
    </row>
    <row r="3027">
      <c r="A3027" s="2" t="str">
        <f>Communes_HDF!A3027</f>
        <v>80017</v>
      </c>
      <c r="B3027" s="2" t="str">
        <f>Communes_HDF!B3027</f>
        <v>Allaines</v>
      </c>
      <c r="C3027" s="2" t="str">
        <f t="array" ref="C3027">_xlfn.XLOOKUP(A3027, INSEE_Communes!$A$2:$A$3783, INSEE_Communes!$F$2:$F$3783, "code introuvable")</f>
        <v>non publié</v>
      </c>
    </row>
    <row r="3028">
      <c r="A3028" s="2" t="str">
        <f>Communes_HDF!A3028</f>
        <v>80018</v>
      </c>
      <c r="B3028" s="2" t="str">
        <f>Communes_HDF!B3028</f>
        <v>Allenay</v>
      </c>
      <c r="C3028" s="2" t="str">
        <f t="array" ref="C3028">_xlfn.XLOOKUP(A3028, INSEE_Communes!$A$2:$A$3783, INSEE_Communes!$F$2:$F$3783, "code introuvable")</f>
        <v>non publié</v>
      </c>
    </row>
    <row r="3029">
      <c r="A3029" s="2" t="str">
        <f>Communes_HDF!A3029</f>
        <v>80019</v>
      </c>
      <c r="B3029" s="2" t="str">
        <f>Communes_HDF!B3029</f>
        <v>Allery</v>
      </c>
      <c r="C3029" s="2" t="str">
        <f t="array" ref="C3029">_xlfn.XLOOKUP(A3029, INSEE_Communes!$A$2:$A$3783, INSEE_Communes!$F$2:$F$3783, "code introuvable")</f>
        <v>non publié</v>
      </c>
    </row>
    <row r="3030">
      <c r="A3030" s="2" t="str">
        <f>Communes_HDF!A3030</f>
        <v>80020</v>
      </c>
      <c r="B3030" s="2" t="str">
        <f>Communes_HDF!B3030</f>
        <v>Allonville</v>
      </c>
      <c r="C3030" s="2" t="str">
        <f t="array" ref="C3030">_xlfn.XLOOKUP(A3030, INSEE_Communes!$A$2:$A$3783, INSEE_Communes!$F$2:$F$3783, "code introuvable")</f>
        <v>non publié</v>
      </c>
    </row>
    <row r="3031">
      <c r="A3031" s="2" t="str">
        <f>Communes_HDF!A3031</f>
        <v>80021</v>
      </c>
      <c r="B3031" s="2" t="str">
        <f>Communes_HDF!B3031</f>
        <v>Amiens</v>
      </c>
      <c r="C3031" s="2">
        <f t="array" ref="C3031">_xlfn.XLOOKUP(A3031, INSEE_Communes!$A$2:$A$3783, INSEE_Communes!$F$2:$F$3783, "code introuvable")</f>
        <v>29.3</v>
      </c>
    </row>
    <row r="3032">
      <c r="A3032" s="2" t="str">
        <f>Communes_HDF!A3032</f>
        <v>80022</v>
      </c>
      <c r="B3032" s="2" t="str">
        <f>Communes_HDF!B3032</f>
        <v>Andainville</v>
      </c>
      <c r="C3032" s="2" t="str">
        <f t="array" ref="C3032">_xlfn.XLOOKUP(A3032, INSEE_Communes!$A$2:$A$3783, INSEE_Communes!$F$2:$F$3783, "code introuvable")</f>
        <v>non publié</v>
      </c>
    </row>
    <row r="3033">
      <c r="A3033" s="2" t="str">
        <f>Communes_HDF!A3033</f>
        <v>80023</v>
      </c>
      <c r="B3033" s="2" t="str">
        <f>Communes_HDF!B3033</f>
        <v>Andechy</v>
      </c>
      <c r="C3033" s="2" t="str">
        <f t="array" ref="C3033">_xlfn.XLOOKUP(A3033, INSEE_Communes!$A$2:$A$3783, INSEE_Communes!$F$2:$F$3783, "code introuvable")</f>
        <v>non publié</v>
      </c>
    </row>
    <row r="3034">
      <c r="A3034" s="2" t="str">
        <f>Communes_HDF!A3034</f>
        <v>80025</v>
      </c>
      <c r="B3034" s="2" t="str">
        <f>Communes_HDF!B3034</f>
        <v>Argoules</v>
      </c>
      <c r="C3034" s="2" t="str">
        <f t="array" ref="C3034">_xlfn.XLOOKUP(A3034, INSEE_Communes!$A$2:$A$3783, INSEE_Communes!$F$2:$F$3783, "code introuvable")</f>
        <v>non publié</v>
      </c>
    </row>
    <row r="3035">
      <c r="A3035" s="2" t="str">
        <f>Communes_HDF!A3035</f>
        <v>80026</v>
      </c>
      <c r="B3035" s="2" t="str">
        <f>Communes_HDF!B3035</f>
        <v>Arguel</v>
      </c>
      <c r="C3035" s="2" t="str">
        <f t="array" ref="C3035">_xlfn.XLOOKUP(A3035, INSEE_Communes!$A$2:$A$3783, INSEE_Communes!$F$2:$F$3783, "code introuvable")</f>
        <v>non publié</v>
      </c>
    </row>
    <row r="3036">
      <c r="A3036" s="2" t="str">
        <f>Communes_HDF!A3036</f>
        <v>80024</v>
      </c>
      <c r="B3036" s="2" t="str">
        <f>Communes_HDF!B3036</f>
        <v>Argœuves</v>
      </c>
      <c r="C3036" s="2" t="str">
        <f t="array" ref="C3036">_xlfn.XLOOKUP(A3036, INSEE_Communes!$A$2:$A$3783, INSEE_Communes!$F$2:$F$3783, "code introuvable")</f>
        <v>non publié</v>
      </c>
    </row>
    <row r="3037">
      <c r="A3037" s="2" t="str">
        <f>Communes_HDF!A3037</f>
        <v>80027</v>
      </c>
      <c r="B3037" s="2" t="str">
        <f>Communes_HDF!B3037</f>
        <v>Armancourt</v>
      </c>
      <c r="C3037" s="2" t="str">
        <f t="array" ref="C3037">_xlfn.XLOOKUP(A3037, INSEE_Communes!$A$2:$A$3783, INSEE_Communes!$F$2:$F$3783, "code introuvable")</f>
        <v>non publié</v>
      </c>
    </row>
    <row r="3038">
      <c r="A3038" s="2" t="str">
        <f>Communes_HDF!A3038</f>
        <v>80028</v>
      </c>
      <c r="B3038" s="2" t="str">
        <f>Communes_HDF!B3038</f>
        <v>Arquèves</v>
      </c>
      <c r="C3038" s="2" t="str">
        <f t="array" ref="C3038">_xlfn.XLOOKUP(A3038, INSEE_Communes!$A$2:$A$3783, INSEE_Communes!$F$2:$F$3783, "code introuvable")</f>
        <v>non publié</v>
      </c>
    </row>
    <row r="3039">
      <c r="A3039" s="2" t="str">
        <f>Communes_HDF!A3039</f>
        <v>80029</v>
      </c>
      <c r="B3039" s="2" t="str">
        <f>Communes_HDF!B3039</f>
        <v>Arrest</v>
      </c>
      <c r="C3039" s="2" t="str">
        <f t="array" ref="C3039">_xlfn.XLOOKUP(A3039, INSEE_Communes!$A$2:$A$3783, INSEE_Communes!$F$2:$F$3783, "code introuvable")</f>
        <v>non publié</v>
      </c>
    </row>
    <row r="3040">
      <c r="A3040" s="2" t="str">
        <f>Communes_HDF!A3040</f>
        <v>80030</v>
      </c>
      <c r="B3040" s="2" t="str">
        <f>Communes_HDF!B3040</f>
        <v>Arry</v>
      </c>
      <c r="C3040" s="2" t="str">
        <f t="array" ref="C3040">_xlfn.XLOOKUP(A3040, INSEE_Communes!$A$2:$A$3783, INSEE_Communes!$F$2:$F$3783, "code introuvable")</f>
        <v>non publié</v>
      </c>
    </row>
    <row r="3041">
      <c r="A3041" s="2" t="str">
        <f>Communes_HDF!A3041</f>
        <v>80031</v>
      </c>
      <c r="B3041" s="2" t="str">
        <f>Communes_HDF!B3041</f>
        <v>Arvillers</v>
      </c>
      <c r="C3041" s="2" t="str">
        <f t="array" ref="C3041">_xlfn.XLOOKUP(A3041, INSEE_Communes!$A$2:$A$3783, INSEE_Communes!$F$2:$F$3783, "code introuvable")</f>
        <v>non publié</v>
      </c>
    </row>
    <row r="3042">
      <c r="A3042" s="2" t="str">
        <f>Communes_HDF!A3042</f>
        <v>80032</v>
      </c>
      <c r="B3042" s="2" t="str">
        <f>Communes_HDF!B3042</f>
        <v>Assainvillers</v>
      </c>
      <c r="C3042" s="2" t="str">
        <f t="array" ref="C3042">_xlfn.XLOOKUP(A3042, INSEE_Communes!$A$2:$A$3783, INSEE_Communes!$F$2:$F$3783, "code introuvable")</f>
        <v>non publié</v>
      </c>
    </row>
    <row r="3043">
      <c r="A3043" s="2" t="str">
        <f>Communes_HDF!A3043</f>
        <v>80033</v>
      </c>
      <c r="B3043" s="2" t="str">
        <f>Communes_HDF!B3043</f>
        <v>Assevillers</v>
      </c>
      <c r="C3043" s="2" t="str">
        <f t="array" ref="C3043">_xlfn.XLOOKUP(A3043, INSEE_Communes!$A$2:$A$3783, INSEE_Communes!$F$2:$F$3783, "code introuvable")</f>
        <v>non publié</v>
      </c>
    </row>
    <row r="3044">
      <c r="A3044" s="2" t="str">
        <f>Communes_HDF!A3044</f>
        <v>80034</v>
      </c>
      <c r="B3044" s="2" t="str">
        <f>Communes_HDF!B3044</f>
        <v>Athies</v>
      </c>
      <c r="C3044" s="2" t="str">
        <f t="array" ref="C3044">_xlfn.XLOOKUP(A3044, INSEE_Communes!$A$2:$A$3783, INSEE_Communes!$F$2:$F$3783, "code introuvable")</f>
        <v>non publié</v>
      </c>
    </row>
    <row r="3045">
      <c r="A3045" s="2" t="str">
        <f>Communes_HDF!A3045</f>
        <v>80035</v>
      </c>
      <c r="B3045" s="2" t="str">
        <f>Communes_HDF!B3045</f>
        <v>Aubercourt</v>
      </c>
      <c r="C3045" s="2" t="str">
        <f t="array" ref="C3045">_xlfn.XLOOKUP(A3045, INSEE_Communes!$A$2:$A$3783, INSEE_Communes!$F$2:$F$3783, "code introuvable")</f>
        <v>non publié</v>
      </c>
    </row>
    <row r="3046">
      <c r="A3046" s="2" t="str">
        <f>Communes_HDF!A3046</f>
        <v>80036</v>
      </c>
      <c r="B3046" s="2" t="str">
        <f>Communes_HDF!B3046</f>
        <v>Aubigny</v>
      </c>
      <c r="C3046" s="2" t="str">
        <f t="array" ref="C3046">_xlfn.XLOOKUP(A3046, INSEE_Communes!$A$2:$A$3783, INSEE_Communes!$F$2:$F$3783, "code introuvable")</f>
        <v>non publié</v>
      </c>
    </row>
    <row r="3047">
      <c r="A3047" s="2" t="str">
        <f>Communes_HDF!A3047</f>
        <v>80037</v>
      </c>
      <c r="B3047" s="2" t="str">
        <f>Communes_HDF!B3047</f>
        <v>Aubvillers</v>
      </c>
      <c r="C3047" s="2" t="str">
        <f t="array" ref="C3047">_xlfn.XLOOKUP(A3047, INSEE_Communes!$A$2:$A$3783, INSEE_Communes!$F$2:$F$3783, "code introuvable")</f>
        <v>non publié</v>
      </c>
    </row>
    <row r="3048">
      <c r="A3048" s="2" t="str">
        <f>Communes_HDF!A3048</f>
        <v>80038</v>
      </c>
      <c r="B3048" s="2" t="str">
        <f>Communes_HDF!B3048</f>
        <v>Auchonvillers</v>
      </c>
      <c r="C3048" s="2" t="str">
        <f t="array" ref="C3048">_xlfn.XLOOKUP(A3048, INSEE_Communes!$A$2:$A$3783, INSEE_Communes!$F$2:$F$3783, "code introuvable")</f>
        <v>non publié</v>
      </c>
    </row>
    <row r="3049">
      <c r="A3049" s="2" t="str">
        <f>Communes_HDF!A3049</f>
        <v>80039</v>
      </c>
      <c r="B3049" s="2" t="str">
        <f>Communes_HDF!B3049</f>
        <v>Ault</v>
      </c>
      <c r="C3049" s="2" t="str">
        <f t="array" ref="C3049">_xlfn.XLOOKUP(A3049, INSEE_Communes!$A$2:$A$3783, INSEE_Communes!$F$2:$F$3783, "code introuvable")</f>
        <v>non publié</v>
      </c>
    </row>
    <row r="3050">
      <c r="A3050" s="2" t="str">
        <f>Communes_HDF!A3050</f>
        <v>80041</v>
      </c>
      <c r="B3050" s="2" t="str">
        <f>Communes_HDF!B3050</f>
        <v>Aumont</v>
      </c>
      <c r="C3050" s="2" t="str">
        <f t="array" ref="C3050">_xlfn.XLOOKUP(A3050, INSEE_Communes!$A$2:$A$3783, INSEE_Communes!$F$2:$F$3783, "code introuvable")</f>
        <v>non publié</v>
      </c>
    </row>
    <row r="3051">
      <c r="A3051" s="2" t="str">
        <f>Communes_HDF!A3051</f>
        <v>80040</v>
      </c>
      <c r="B3051" s="2" t="str">
        <f>Communes_HDF!B3051</f>
        <v>Aumâtre</v>
      </c>
      <c r="C3051" s="2" t="str">
        <f t="array" ref="C3051">_xlfn.XLOOKUP(A3051, INSEE_Communes!$A$2:$A$3783, INSEE_Communes!$F$2:$F$3783, "code introuvable")</f>
        <v>non publié</v>
      </c>
    </row>
    <row r="3052">
      <c r="A3052" s="2" t="str">
        <f>Communes_HDF!A3052</f>
        <v>80042</v>
      </c>
      <c r="B3052" s="2" t="str">
        <f>Communes_HDF!B3052</f>
        <v>Autheux</v>
      </c>
      <c r="C3052" s="2" t="str">
        <f t="array" ref="C3052">_xlfn.XLOOKUP(A3052, INSEE_Communes!$A$2:$A$3783, INSEE_Communes!$F$2:$F$3783, "code introuvable")</f>
        <v>non publié</v>
      </c>
    </row>
    <row r="3053">
      <c r="A3053" s="2" t="str">
        <f>Communes_HDF!A3053</f>
        <v>80043</v>
      </c>
      <c r="B3053" s="2" t="str">
        <f>Communes_HDF!B3053</f>
        <v>Authie</v>
      </c>
      <c r="C3053" s="2" t="str">
        <f t="array" ref="C3053">_xlfn.XLOOKUP(A3053, INSEE_Communes!$A$2:$A$3783, INSEE_Communes!$F$2:$F$3783, "code introuvable")</f>
        <v>non publié</v>
      </c>
    </row>
    <row r="3054">
      <c r="A3054" s="2" t="str">
        <f>Communes_HDF!A3054</f>
        <v>80044</v>
      </c>
      <c r="B3054" s="2" t="str">
        <f>Communes_HDF!B3054</f>
        <v>Authieule</v>
      </c>
      <c r="C3054" s="2" t="str">
        <f t="array" ref="C3054">_xlfn.XLOOKUP(A3054, INSEE_Communes!$A$2:$A$3783, INSEE_Communes!$F$2:$F$3783, "code introuvable")</f>
        <v>non publié</v>
      </c>
    </row>
    <row r="3055">
      <c r="A3055" s="2" t="str">
        <f>Communes_HDF!A3055</f>
        <v>80045</v>
      </c>
      <c r="B3055" s="2" t="str">
        <f>Communes_HDF!B3055</f>
        <v>Authuille</v>
      </c>
      <c r="C3055" s="2" t="str">
        <f t="array" ref="C3055">_xlfn.XLOOKUP(A3055, INSEE_Communes!$A$2:$A$3783, INSEE_Communes!$F$2:$F$3783, "code introuvable")</f>
        <v>non publié</v>
      </c>
    </row>
    <row r="3056">
      <c r="A3056" s="2" t="str">
        <f>Communes_HDF!A3056</f>
        <v>80046</v>
      </c>
      <c r="B3056" s="2" t="str">
        <f>Communes_HDF!B3056</f>
        <v>Avelesges</v>
      </c>
      <c r="C3056" s="2" t="str">
        <f t="array" ref="C3056">_xlfn.XLOOKUP(A3056, INSEE_Communes!$A$2:$A$3783, INSEE_Communes!$F$2:$F$3783, "code introuvable")</f>
        <v>non publié</v>
      </c>
    </row>
    <row r="3057">
      <c r="A3057" s="2" t="str">
        <f>Communes_HDF!A3057</f>
        <v>80047</v>
      </c>
      <c r="B3057" s="2" t="str">
        <f>Communes_HDF!B3057</f>
        <v>Aveluy</v>
      </c>
      <c r="C3057" s="2" t="str">
        <f t="array" ref="C3057">_xlfn.XLOOKUP(A3057, INSEE_Communes!$A$2:$A$3783, INSEE_Communes!$F$2:$F$3783, "code introuvable")</f>
        <v>non publié</v>
      </c>
    </row>
    <row r="3058">
      <c r="A3058" s="2" t="str">
        <f>Communes_HDF!A3058</f>
        <v>80048</v>
      </c>
      <c r="B3058" s="2" t="str">
        <f>Communes_HDF!B3058</f>
        <v>Avesnes-Chaussoy</v>
      </c>
      <c r="C3058" s="2" t="str">
        <f t="array" ref="C3058">_xlfn.XLOOKUP(A3058, INSEE_Communes!$A$2:$A$3783, INSEE_Communes!$F$2:$F$3783, "code introuvable")</f>
        <v>non publié</v>
      </c>
    </row>
    <row r="3059">
      <c r="A3059" s="2" t="str">
        <f>Communes_HDF!A3059</f>
        <v>80049</v>
      </c>
      <c r="B3059" s="2" t="str">
        <f>Communes_HDF!B3059</f>
        <v>Ayencourt</v>
      </c>
      <c r="C3059" s="2" t="str">
        <f t="array" ref="C3059">_xlfn.XLOOKUP(A3059, INSEE_Communes!$A$2:$A$3783, INSEE_Communes!$F$2:$F$3783, "code introuvable")</f>
        <v>non publié</v>
      </c>
    </row>
    <row r="3060">
      <c r="A3060" s="2" t="str">
        <f>Communes_HDF!A3060</f>
        <v>80050</v>
      </c>
      <c r="B3060" s="2" t="str">
        <f>Communes_HDF!B3060</f>
        <v>Bacouel-sur-Selle</v>
      </c>
      <c r="C3060" s="2" t="str">
        <f t="array" ref="C3060">_xlfn.XLOOKUP(A3060, INSEE_Communes!$A$2:$A$3783, INSEE_Communes!$F$2:$F$3783, "code introuvable")</f>
        <v>non publié</v>
      </c>
    </row>
    <row r="3061">
      <c r="A3061" s="2" t="str">
        <f>Communes_HDF!A3061</f>
        <v>80051</v>
      </c>
      <c r="B3061" s="2" t="str">
        <f>Communes_HDF!B3061</f>
        <v>Bailleul</v>
      </c>
      <c r="C3061" s="2" t="str">
        <f t="array" ref="C3061">_xlfn.XLOOKUP(A3061, INSEE_Communes!$A$2:$A$3783, INSEE_Communes!$F$2:$F$3783, "code introuvable")</f>
        <v>non publié</v>
      </c>
    </row>
    <row r="3062">
      <c r="A3062" s="2" t="str">
        <f>Communes_HDF!A3062</f>
        <v>80052</v>
      </c>
      <c r="B3062" s="2" t="str">
        <f>Communes_HDF!B3062</f>
        <v>Baizieux</v>
      </c>
      <c r="C3062" s="2" t="str">
        <f t="array" ref="C3062">_xlfn.XLOOKUP(A3062, INSEE_Communes!$A$2:$A$3783, INSEE_Communes!$F$2:$F$3783, "code introuvable")</f>
        <v>non publié</v>
      </c>
    </row>
    <row r="3063">
      <c r="A3063" s="2" t="str">
        <f>Communes_HDF!A3063</f>
        <v>80053</v>
      </c>
      <c r="B3063" s="2" t="str">
        <f>Communes_HDF!B3063</f>
        <v>Balâtre</v>
      </c>
      <c r="C3063" s="2" t="str">
        <f t="array" ref="C3063">_xlfn.XLOOKUP(A3063, INSEE_Communes!$A$2:$A$3783, INSEE_Communes!$F$2:$F$3783, "code introuvable")</f>
        <v>non publié</v>
      </c>
    </row>
    <row r="3064">
      <c r="A3064" s="2" t="str">
        <f>Communes_HDF!A3064</f>
        <v>80054</v>
      </c>
      <c r="B3064" s="2" t="str">
        <f>Communes_HDF!B3064</f>
        <v>Barleux</v>
      </c>
      <c r="C3064" s="2" t="str">
        <f t="array" ref="C3064">_xlfn.XLOOKUP(A3064, INSEE_Communes!$A$2:$A$3783, INSEE_Communes!$F$2:$F$3783, "code introuvable")</f>
        <v>non publié</v>
      </c>
    </row>
    <row r="3065">
      <c r="A3065" s="2" t="str">
        <f>Communes_HDF!A3065</f>
        <v>80055</v>
      </c>
      <c r="B3065" s="2" t="str">
        <f>Communes_HDF!B3065</f>
        <v>Barly</v>
      </c>
      <c r="C3065" s="2" t="str">
        <f t="array" ref="C3065">_xlfn.XLOOKUP(A3065, INSEE_Communes!$A$2:$A$3783, INSEE_Communes!$F$2:$F$3783, "code introuvable")</f>
        <v>non publié</v>
      </c>
    </row>
    <row r="3066">
      <c r="A3066" s="2" t="str">
        <f>Communes_HDF!A3066</f>
        <v>80056</v>
      </c>
      <c r="B3066" s="2" t="str">
        <f>Communes_HDF!B3066</f>
        <v>Bavelincourt</v>
      </c>
      <c r="C3066" s="2" t="str">
        <f t="array" ref="C3066">_xlfn.XLOOKUP(A3066, INSEE_Communes!$A$2:$A$3783, INSEE_Communes!$F$2:$F$3783, "code introuvable")</f>
        <v>non publié</v>
      </c>
    </row>
    <row r="3067">
      <c r="A3067" s="2" t="str">
        <f>Communes_HDF!A3067</f>
        <v>80057</v>
      </c>
      <c r="B3067" s="2" t="str">
        <f>Communes_HDF!B3067</f>
        <v>Bayencourt</v>
      </c>
      <c r="C3067" s="2" t="str">
        <f t="array" ref="C3067">_xlfn.XLOOKUP(A3067, INSEE_Communes!$A$2:$A$3783, INSEE_Communes!$F$2:$F$3783, "code introuvable")</f>
        <v>non publié</v>
      </c>
    </row>
    <row r="3068">
      <c r="A3068" s="2" t="str">
        <f>Communes_HDF!A3068</f>
        <v>80058</v>
      </c>
      <c r="B3068" s="2" t="str">
        <f>Communes_HDF!B3068</f>
        <v>Bayonvillers</v>
      </c>
      <c r="C3068" s="2" t="str">
        <f t="array" ref="C3068">_xlfn.XLOOKUP(A3068, INSEE_Communes!$A$2:$A$3783, INSEE_Communes!$F$2:$F$3783, "code introuvable")</f>
        <v>non publié</v>
      </c>
    </row>
    <row r="3069">
      <c r="A3069" s="2" t="str">
        <f>Communes_HDF!A3069</f>
        <v>80059</v>
      </c>
      <c r="B3069" s="2" t="str">
        <f>Communes_HDF!B3069</f>
        <v>Bazentin</v>
      </c>
      <c r="C3069" s="2" t="str">
        <f t="array" ref="C3069">_xlfn.XLOOKUP(A3069, INSEE_Communes!$A$2:$A$3783, INSEE_Communes!$F$2:$F$3783, "code introuvable")</f>
        <v>non publié</v>
      </c>
    </row>
    <row r="3070">
      <c r="A3070" s="2" t="str">
        <f>Communes_HDF!A3070</f>
        <v>80061</v>
      </c>
      <c r="B3070" s="2" t="str">
        <f>Communes_HDF!B3070</f>
        <v>Beaucamps-le-Jeune</v>
      </c>
      <c r="C3070" s="2" t="str">
        <f t="array" ref="C3070">_xlfn.XLOOKUP(A3070, INSEE_Communes!$A$2:$A$3783, INSEE_Communes!$F$2:$F$3783, "code introuvable")</f>
        <v>non publié</v>
      </c>
    </row>
    <row r="3071">
      <c r="A3071" s="2" t="str">
        <f>Communes_HDF!A3071</f>
        <v>80062</v>
      </c>
      <c r="B3071" s="2" t="str">
        <f>Communes_HDF!B3071</f>
        <v>Beaucamps-le-Vieux</v>
      </c>
      <c r="C3071" s="2" t="str">
        <f t="array" ref="C3071">_xlfn.XLOOKUP(A3071, INSEE_Communes!$A$2:$A$3783, INSEE_Communes!$F$2:$F$3783, "code introuvable")</f>
        <v>non publié</v>
      </c>
    </row>
    <row r="3072">
      <c r="A3072" s="2" t="str">
        <f>Communes_HDF!A3072</f>
        <v>80063</v>
      </c>
      <c r="B3072" s="2" t="str">
        <f>Communes_HDF!B3072</f>
        <v>Beauchamps</v>
      </c>
      <c r="C3072" s="2" t="str">
        <f t="array" ref="C3072">_xlfn.XLOOKUP(A3072, INSEE_Communes!$A$2:$A$3783, INSEE_Communes!$F$2:$F$3783, "code introuvable")</f>
        <v>non publié</v>
      </c>
    </row>
    <row r="3073">
      <c r="A3073" s="2" t="str">
        <f>Communes_HDF!A3073</f>
        <v>80064</v>
      </c>
      <c r="B3073" s="2" t="str">
        <f>Communes_HDF!B3073</f>
        <v>Beaucourt-en-Santerre</v>
      </c>
      <c r="C3073" s="2" t="str">
        <f t="array" ref="C3073">_xlfn.XLOOKUP(A3073, INSEE_Communes!$A$2:$A$3783, INSEE_Communes!$F$2:$F$3783, "code introuvable")</f>
        <v>non publié</v>
      </c>
    </row>
    <row r="3074">
      <c r="A3074" s="2" t="str">
        <f>Communes_HDF!A3074</f>
        <v>80065</v>
      </c>
      <c r="B3074" s="2" t="str">
        <f>Communes_HDF!B3074</f>
        <v>Beaucourt-sur-l'Ancre</v>
      </c>
      <c r="C3074" s="2" t="str">
        <f t="array" ref="C3074">_xlfn.XLOOKUP(A3074, INSEE_Communes!$A$2:$A$3783, INSEE_Communes!$F$2:$F$3783, "code introuvable")</f>
        <v>non publié</v>
      </c>
    </row>
    <row r="3075">
      <c r="A3075" s="2" t="str">
        <f>Communes_HDF!A3075</f>
        <v>80066</v>
      </c>
      <c r="B3075" s="2" t="str">
        <f>Communes_HDF!B3075</f>
        <v>Beaucourt-sur-l'Hallue</v>
      </c>
      <c r="C3075" s="2" t="str">
        <f t="array" ref="C3075">_xlfn.XLOOKUP(A3075, INSEE_Communes!$A$2:$A$3783, INSEE_Communes!$F$2:$F$3783, "code introuvable")</f>
        <v>non publié</v>
      </c>
    </row>
    <row r="3076">
      <c r="A3076" s="2" t="str">
        <f>Communes_HDF!A3076</f>
        <v>80067</v>
      </c>
      <c r="B3076" s="2" t="str">
        <f>Communes_HDF!B3076</f>
        <v>Beaufort-en-Santerre</v>
      </c>
      <c r="C3076" s="2" t="str">
        <f t="array" ref="C3076">_xlfn.XLOOKUP(A3076, INSEE_Communes!$A$2:$A$3783, INSEE_Communes!$F$2:$F$3783, "code introuvable")</f>
        <v>non publié</v>
      </c>
    </row>
    <row r="3077">
      <c r="A3077" s="2" t="str">
        <f>Communes_HDF!A3077</f>
        <v>80068</v>
      </c>
      <c r="B3077" s="2" t="str">
        <f>Communes_HDF!B3077</f>
        <v>Beaumetz</v>
      </c>
      <c r="C3077" s="2" t="str">
        <f t="array" ref="C3077">_xlfn.XLOOKUP(A3077, INSEE_Communes!$A$2:$A$3783, INSEE_Communes!$F$2:$F$3783, "code introuvable")</f>
        <v>non publié</v>
      </c>
    </row>
    <row r="3078">
      <c r="A3078" s="2" t="str">
        <f>Communes_HDF!A3078</f>
        <v>80069</v>
      </c>
      <c r="B3078" s="2" t="str">
        <f>Communes_HDF!B3078</f>
        <v>Beaumont-Hamel</v>
      </c>
      <c r="C3078" s="2" t="str">
        <f t="array" ref="C3078">_xlfn.XLOOKUP(A3078, INSEE_Communes!$A$2:$A$3783, INSEE_Communes!$F$2:$F$3783, "code introuvable")</f>
        <v>non publié</v>
      </c>
    </row>
    <row r="3079">
      <c r="A3079" s="2" t="str">
        <f>Communes_HDF!A3079</f>
        <v>80070</v>
      </c>
      <c r="B3079" s="2" t="str">
        <f>Communes_HDF!B3079</f>
        <v>Beauquesne</v>
      </c>
      <c r="C3079" s="2" t="str">
        <f t="array" ref="C3079">_xlfn.XLOOKUP(A3079, INSEE_Communes!$A$2:$A$3783, INSEE_Communes!$F$2:$F$3783, "code introuvable")</f>
        <v>non publié</v>
      </c>
    </row>
    <row r="3080">
      <c r="A3080" s="2" t="str">
        <f>Communes_HDF!A3080</f>
        <v>80071</v>
      </c>
      <c r="B3080" s="2" t="str">
        <f>Communes_HDF!B3080</f>
        <v>Beauval</v>
      </c>
      <c r="C3080" s="2" t="str">
        <f t="array" ref="C3080">_xlfn.XLOOKUP(A3080, INSEE_Communes!$A$2:$A$3783, INSEE_Communes!$F$2:$F$3783, "code introuvable")</f>
        <v>non publié</v>
      </c>
    </row>
    <row r="3081">
      <c r="A3081" s="2" t="str">
        <f>Communes_HDF!A3081</f>
        <v>80074</v>
      </c>
      <c r="B3081" s="2" t="str">
        <f>Communes_HDF!B3081</f>
        <v>Becquigny</v>
      </c>
      <c r="C3081" s="2" t="str">
        <f t="array" ref="C3081">_xlfn.XLOOKUP(A3081, INSEE_Communes!$A$2:$A$3783, INSEE_Communes!$F$2:$F$3783, "code introuvable")</f>
        <v>non publié</v>
      </c>
    </row>
    <row r="3082">
      <c r="A3082" s="2" t="str">
        <f>Communes_HDF!A3082</f>
        <v>80078</v>
      </c>
      <c r="B3082" s="2" t="str">
        <f>Communes_HDF!B3082</f>
        <v>Bellancourt</v>
      </c>
      <c r="C3082" s="2" t="str">
        <f t="array" ref="C3082">_xlfn.XLOOKUP(A3082, INSEE_Communes!$A$2:$A$3783, INSEE_Communes!$F$2:$F$3783, "code introuvable")</f>
        <v>non publié</v>
      </c>
    </row>
    <row r="3083">
      <c r="A3083" s="2" t="str">
        <f>Communes_HDF!A3083</f>
        <v>80079</v>
      </c>
      <c r="B3083" s="2" t="str">
        <f>Communes_HDF!B3083</f>
        <v>Belleuse</v>
      </c>
      <c r="C3083" s="2" t="str">
        <f t="array" ref="C3083">_xlfn.XLOOKUP(A3083, INSEE_Communes!$A$2:$A$3783, INSEE_Communes!$F$2:$F$3783, "code introuvable")</f>
        <v>non publié</v>
      </c>
    </row>
    <row r="3084">
      <c r="A3084" s="2" t="str">
        <f>Communes_HDF!A3084</f>
        <v>80081</v>
      </c>
      <c r="B3084" s="2" t="str">
        <f>Communes_HDF!B3084</f>
        <v>Belloy-Saint-Léonard</v>
      </c>
      <c r="C3084" s="2" t="str">
        <f t="array" ref="C3084">_xlfn.XLOOKUP(A3084, INSEE_Communes!$A$2:$A$3783, INSEE_Communes!$F$2:$F$3783, "code introuvable")</f>
        <v>non publié</v>
      </c>
    </row>
    <row r="3085">
      <c r="A3085" s="2" t="str">
        <f>Communes_HDF!A3085</f>
        <v>80080</v>
      </c>
      <c r="B3085" s="2" t="str">
        <f>Communes_HDF!B3085</f>
        <v>Belloy-en-Santerre</v>
      </c>
      <c r="C3085" s="2" t="str">
        <f t="array" ref="C3085">_xlfn.XLOOKUP(A3085, INSEE_Communes!$A$2:$A$3783, INSEE_Communes!$F$2:$F$3783, "code introuvable")</f>
        <v>non publié</v>
      </c>
    </row>
    <row r="3086">
      <c r="A3086" s="2" t="str">
        <f>Communes_HDF!A3086</f>
        <v>80082</v>
      </c>
      <c r="B3086" s="2" t="str">
        <f>Communes_HDF!B3086</f>
        <v>Belloy-sur-Somme</v>
      </c>
      <c r="C3086" s="2" t="str">
        <f t="array" ref="C3086">_xlfn.XLOOKUP(A3086, INSEE_Communes!$A$2:$A$3783, INSEE_Communes!$F$2:$F$3783, "code introuvable")</f>
        <v>non publié</v>
      </c>
    </row>
    <row r="3087">
      <c r="A3087" s="2" t="str">
        <f>Communes_HDF!A3087</f>
        <v>80083</v>
      </c>
      <c r="B3087" s="2" t="str">
        <f>Communes_HDF!B3087</f>
        <v>Bergicourt</v>
      </c>
      <c r="C3087" s="2" t="str">
        <f t="array" ref="C3087">_xlfn.XLOOKUP(A3087, INSEE_Communes!$A$2:$A$3783, INSEE_Communes!$F$2:$F$3783, "code introuvable")</f>
        <v>non publié</v>
      </c>
    </row>
    <row r="3088">
      <c r="A3088" s="2" t="str">
        <f>Communes_HDF!A3088</f>
        <v>80084</v>
      </c>
      <c r="B3088" s="2" t="str">
        <f>Communes_HDF!B3088</f>
        <v>Bermesnil</v>
      </c>
      <c r="C3088" s="2" t="str">
        <f t="array" ref="C3088">_xlfn.XLOOKUP(A3088, INSEE_Communes!$A$2:$A$3783, INSEE_Communes!$F$2:$F$3783, "code introuvable")</f>
        <v>non publié</v>
      </c>
    </row>
    <row r="3089">
      <c r="A3089" s="2" t="str">
        <f>Communes_HDF!A3089</f>
        <v>80086</v>
      </c>
      <c r="B3089" s="2" t="str">
        <f>Communes_HDF!B3089</f>
        <v>Bernaville</v>
      </c>
      <c r="C3089" s="2" t="str">
        <f t="array" ref="C3089">_xlfn.XLOOKUP(A3089, INSEE_Communes!$A$2:$A$3783, INSEE_Communes!$F$2:$F$3783, "code introuvable")</f>
        <v>non publié</v>
      </c>
    </row>
    <row r="3090">
      <c r="A3090" s="2" t="str">
        <f>Communes_HDF!A3090</f>
        <v>80087</v>
      </c>
      <c r="B3090" s="2" t="str">
        <f>Communes_HDF!B3090</f>
        <v>Bernay-en-Ponthieu</v>
      </c>
      <c r="C3090" s="2" t="str">
        <f t="array" ref="C3090">_xlfn.XLOOKUP(A3090, INSEE_Communes!$A$2:$A$3783, INSEE_Communes!$F$2:$F$3783, "code introuvable")</f>
        <v>non publié</v>
      </c>
    </row>
    <row r="3091">
      <c r="A3091" s="2" t="str">
        <f>Communes_HDF!A3091</f>
        <v>80088</v>
      </c>
      <c r="B3091" s="2" t="str">
        <f>Communes_HDF!B3091</f>
        <v>Bernes</v>
      </c>
      <c r="C3091" s="2" t="str">
        <f t="array" ref="C3091">_xlfn.XLOOKUP(A3091, INSEE_Communes!$A$2:$A$3783, INSEE_Communes!$F$2:$F$3783, "code introuvable")</f>
        <v>non publié</v>
      </c>
    </row>
    <row r="3092">
      <c r="A3092" s="2" t="str">
        <f>Communes_HDF!A3092</f>
        <v>80089</v>
      </c>
      <c r="B3092" s="2" t="str">
        <f>Communes_HDF!B3092</f>
        <v>Berneuil</v>
      </c>
      <c r="C3092" s="2" t="str">
        <f t="array" ref="C3092">_xlfn.XLOOKUP(A3092, INSEE_Communes!$A$2:$A$3783, INSEE_Communes!$F$2:$F$3783, "code introuvable")</f>
        <v>non publié</v>
      </c>
    </row>
    <row r="3093">
      <c r="A3093" s="2" t="str">
        <f>Communes_HDF!A3093</f>
        <v>80090</v>
      </c>
      <c r="B3093" s="2" t="str">
        <f>Communes_HDF!B3093</f>
        <v>Berny-en-Santerre</v>
      </c>
      <c r="C3093" s="2" t="str">
        <f t="array" ref="C3093">_xlfn.XLOOKUP(A3093, INSEE_Communes!$A$2:$A$3783, INSEE_Communes!$F$2:$F$3783, "code introuvable")</f>
        <v>non publié</v>
      </c>
    </row>
    <row r="3094">
      <c r="A3094" s="2" t="str">
        <f>Communes_HDF!A3094</f>
        <v>80085</v>
      </c>
      <c r="B3094" s="2" t="str">
        <f>Communes_HDF!B3094</f>
        <v>Bernâtre</v>
      </c>
      <c r="C3094" s="2" t="str">
        <f t="array" ref="C3094">_xlfn.XLOOKUP(A3094, INSEE_Communes!$A$2:$A$3783, INSEE_Communes!$F$2:$F$3783, "code introuvable")</f>
        <v>non publié</v>
      </c>
    </row>
    <row r="3095">
      <c r="A3095" s="2" t="str">
        <f>Communes_HDF!A3095</f>
        <v>80092</v>
      </c>
      <c r="B3095" s="2" t="str">
        <f>Communes_HDF!B3095</f>
        <v>Bertangles</v>
      </c>
      <c r="C3095" s="2" t="str">
        <f t="array" ref="C3095">_xlfn.XLOOKUP(A3095, INSEE_Communes!$A$2:$A$3783, INSEE_Communes!$F$2:$F$3783, "code introuvable")</f>
        <v>non publié</v>
      </c>
    </row>
    <row r="3096">
      <c r="A3096" s="2" t="str">
        <f>Communes_HDF!A3096</f>
        <v>80093</v>
      </c>
      <c r="B3096" s="2" t="str">
        <f>Communes_HDF!B3096</f>
        <v>Berteaucourt-les-Dames</v>
      </c>
      <c r="C3096" s="2" t="str">
        <f t="array" ref="C3096">_xlfn.XLOOKUP(A3096, INSEE_Communes!$A$2:$A$3783, INSEE_Communes!$F$2:$F$3783, "code introuvable")</f>
        <v>non publié</v>
      </c>
    </row>
    <row r="3097">
      <c r="A3097" s="2" t="str">
        <f>Communes_HDF!A3097</f>
        <v>80094</v>
      </c>
      <c r="B3097" s="2" t="str">
        <f>Communes_HDF!B3097</f>
        <v>Berteaucourt-lès-Thennes</v>
      </c>
      <c r="C3097" s="2" t="str">
        <f t="array" ref="C3097">_xlfn.XLOOKUP(A3097, INSEE_Communes!$A$2:$A$3783, INSEE_Communes!$F$2:$F$3783, "code introuvable")</f>
        <v>non publié</v>
      </c>
    </row>
    <row r="3098">
      <c r="A3098" s="2" t="str">
        <f>Communes_HDF!A3098</f>
        <v>80095</v>
      </c>
      <c r="B3098" s="2" t="str">
        <f>Communes_HDF!B3098</f>
        <v>Bertrancourt</v>
      </c>
      <c r="C3098" s="2" t="str">
        <f t="array" ref="C3098">_xlfn.XLOOKUP(A3098, INSEE_Communes!$A$2:$A$3783, INSEE_Communes!$F$2:$F$3783, "code introuvable")</f>
        <v>non publié</v>
      </c>
    </row>
    <row r="3099">
      <c r="A3099" s="2" t="str">
        <f>Communes_HDF!A3099</f>
        <v>80098</v>
      </c>
      <c r="B3099" s="2" t="str">
        <f>Communes_HDF!B3099</f>
        <v>Bettembos</v>
      </c>
      <c r="C3099" s="2" t="str">
        <f t="array" ref="C3099">_xlfn.XLOOKUP(A3099, INSEE_Communes!$A$2:$A$3783, INSEE_Communes!$F$2:$F$3783, "code introuvable")</f>
        <v>non publié</v>
      </c>
    </row>
    <row r="3100">
      <c r="A3100" s="2" t="str">
        <f>Communes_HDF!A3100</f>
        <v>80099</v>
      </c>
      <c r="B3100" s="2" t="str">
        <f>Communes_HDF!B3100</f>
        <v>Bettencourt-Rivière</v>
      </c>
      <c r="C3100" s="2" t="str">
        <f t="array" ref="C3100">_xlfn.XLOOKUP(A3100, INSEE_Communes!$A$2:$A$3783, INSEE_Communes!$F$2:$F$3783, "code introuvable")</f>
        <v>non publié</v>
      </c>
    </row>
    <row r="3101">
      <c r="A3101" s="2" t="str">
        <f>Communes_HDF!A3101</f>
        <v>80100</v>
      </c>
      <c r="B3101" s="2" t="str">
        <f>Communes_HDF!B3101</f>
        <v>Bettencourt-Saint-Ouen</v>
      </c>
      <c r="C3101" s="2" t="str">
        <f t="array" ref="C3101">_xlfn.XLOOKUP(A3101, INSEE_Communes!$A$2:$A$3783, INSEE_Communes!$F$2:$F$3783, "code introuvable")</f>
        <v>non publié</v>
      </c>
    </row>
    <row r="3102">
      <c r="A3102" s="2" t="str">
        <f>Communes_HDF!A3102</f>
        <v>80101</v>
      </c>
      <c r="B3102" s="2" t="str">
        <f>Communes_HDF!B3102</f>
        <v>Beuvraignes</v>
      </c>
      <c r="C3102" s="2" t="str">
        <f t="array" ref="C3102">_xlfn.XLOOKUP(A3102, INSEE_Communes!$A$2:$A$3783, INSEE_Communes!$F$2:$F$3783, "code introuvable")</f>
        <v>non publié</v>
      </c>
    </row>
    <row r="3103">
      <c r="A3103" s="2" t="str">
        <f>Communes_HDF!A3103</f>
        <v>80102</v>
      </c>
      <c r="B3103" s="2" t="str">
        <f>Communes_HDF!B3103</f>
        <v>Biaches</v>
      </c>
      <c r="C3103" s="2" t="str">
        <f t="array" ref="C3103">_xlfn.XLOOKUP(A3103, INSEE_Communes!$A$2:$A$3783, INSEE_Communes!$F$2:$F$3783, "code introuvable")</f>
        <v>non publié</v>
      </c>
    </row>
    <row r="3104">
      <c r="A3104" s="2" t="str">
        <f>Communes_HDF!A3104</f>
        <v>80103</v>
      </c>
      <c r="B3104" s="2" t="str">
        <f>Communes_HDF!B3104</f>
        <v>Biarre</v>
      </c>
      <c r="C3104" s="2" t="str">
        <f t="array" ref="C3104">_xlfn.XLOOKUP(A3104, INSEE_Communes!$A$2:$A$3783, INSEE_Communes!$F$2:$F$3783, "code introuvable")</f>
        <v>non publié</v>
      </c>
    </row>
    <row r="3105">
      <c r="A3105" s="2" t="str">
        <f>Communes_HDF!A3105</f>
        <v>80104</v>
      </c>
      <c r="B3105" s="2" t="str">
        <f>Communes_HDF!B3105</f>
        <v>Biencourt</v>
      </c>
      <c r="C3105" s="2" t="str">
        <f t="array" ref="C3105">_xlfn.XLOOKUP(A3105, INSEE_Communes!$A$2:$A$3783, INSEE_Communes!$F$2:$F$3783, "code introuvable")</f>
        <v>non publié</v>
      </c>
    </row>
    <row r="3106">
      <c r="A3106" s="2" t="str">
        <f>Communes_HDF!A3106</f>
        <v>80105</v>
      </c>
      <c r="B3106" s="2" t="str">
        <f>Communes_HDF!B3106</f>
        <v>Billancourt</v>
      </c>
      <c r="C3106" s="2" t="str">
        <f t="array" ref="C3106">_xlfn.XLOOKUP(A3106, INSEE_Communes!$A$2:$A$3783, INSEE_Communes!$F$2:$F$3783, "code introuvable")</f>
        <v>non publié</v>
      </c>
    </row>
    <row r="3107">
      <c r="A3107" s="2" t="str">
        <f>Communes_HDF!A3107</f>
        <v>80107</v>
      </c>
      <c r="B3107" s="2" t="str">
        <f>Communes_HDF!B3107</f>
        <v>Blangy-Tronville</v>
      </c>
      <c r="C3107" s="2" t="str">
        <f t="array" ref="C3107">_xlfn.XLOOKUP(A3107, INSEE_Communes!$A$2:$A$3783, INSEE_Communes!$F$2:$F$3783, "code introuvable")</f>
        <v>non publié</v>
      </c>
    </row>
    <row r="3108">
      <c r="A3108" s="2" t="str">
        <f>Communes_HDF!A3108</f>
        <v>80106</v>
      </c>
      <c r="B3108" s="2" t="str">
        <f>Communes_HDF!B3108</f>
        <v>Blangy-sous-Poix</v>
      </c>
      <c r="C3108" s="2" t="str">
        <f t="array" ref="C3108">_xlfn.XLOOKUP(A3108, INSEE_Communes!$A$2:$A$3783, INSEE_Communes!$F$2:$F$3783, "code introuvable")</f>
        <v>non publié</v>
      </c>
    </row>
    <row r="3109">
      <c r="A3109" s="2" t="str">
        <f>Communes_HDF!A3109</f>
        <v>80108</v>
      </c>
      <c r="B3109" s="2" t="str">
        <f>Communes_HDF!B3109</f>
        <v>Boisbergues</v>
      </c>
      <c r="C3109" s="2" t="str">
        <f t="array" ref="C3109">_xlfn.XLOOKUP(A3109, INSEE_Communes!$A$2:$A$3783, INSEE_Communes!$F$2:$F$3783, "code introuvable")</f>
        <v>non publié</v>
      </c>
    </row>
    <row r="3110">
      <c r="A3110" s="2" t="str">
        <f>Communes_HDF!A3110</f>
        <v>80110</v>
      </c>
      <c r="B3110" s="2" t="str">
        <f>Communes_HDF!B3110</f>
        <v>Boismont</v>
      </c>
      <c r="C3110" s="2" t="str">
        <f t="array" ref="C3110">_xlfn.XLOOKUP(A3110, INSEE_Communes!$A$2:$A$3783, INSEE_Communes!$F$2:$F$3783, "code introuvable")</f>
        <v>non publié</v>
      </c>
    </row>
    <row r="3111">
      <c r="A3111" s="2" t="str">
        <f>Communes_HDF!A3111</f>
        <v>80112</v>
      </c>
      <c r="B3111" s="2" t="str">
        <f>Communes_HDF!B3111</f>
        <v>Bonnay</v>
      </c>
      <c r="C3111" s="2" t="str">
        <f t="array" ref="C3111">_xlfn.XLOOKUP(A3111, INSEE_Communes!$A$2:$A$3783, INSEE_Communes!$F$2:$F$3783, "code introuvable")</f>
        <v>non publié</v>
      </c>
    </row>
    <row r="3112">
      <c r="A3112" s="2" t="str">
        <f>Communes_HDF!A3112</f>
        <v>80113</v>
      </c>
      <c r="B3112" s="2" t="str">
        <f>Communes_HDF!B3112</f>
        <v>Bonneville</v>
      </c>
      <c r="C3112" s="2" t="str">
        <f t="array" ref="C3112">_xlfn.XLOOKUP(A3112, INSEE_Communes!$A$2:$A$3783, INSEE_Communes!$F$2:$F$3783, "code introuvable")</f>
        <v>non publié</v>
      </c>
    </row>
    <row r="3113">
      <c r="A3113" s="2" t="str">
        <f>Communes_HDF!A3113</f>
        <v>80114</v>
      </c>
      <c r="B3113" s="2" t="str">
        <f>Communes_HDF!B3113</f>
        <v>Bosquel</v>
      </c>
      <c r="C3113" s="2" t="str">
        <f t="array" ref="C3113">_xlfn.XLOOKUP(A3113, INSEE_Communes!$A$2:$A$3783, INSEE_Communes!$F$2:$F$3783, "code introuvable")</f>
        <v>non publié</v>
      </c>
    </row>
    <row r="3114">
      <c r="A3114" s="2" t="str">
        <f>Communes_HDF!A3114</f>
        <v>80115</v>
      </c>
      <c r="B3114" s="2" t="str">
        <f>Communes_HDF!B3114</f>
        <v>Bouchavesnes-Bergen</v>
      </c>
      <c r="C3114" s="2" t="str">
        <f t="array" ref="C3114">_xlfn.XLOOKUP(A3114, INSEE_Communes!$A$2:$A$3783, INSEE_Communes!$F$2:$F$3783, "code introuvable")</f>
        <v>non publié</v>
      </c>
    </row>
    <row r="3115">
      <c r="A3115" s="2" t="str">
        <f>Communes_HDF!A3115</f>
        <v>80116</v>
      </c>
      <c r="B3115" s="2" t="str">
        <f>Communes_HDF!B3115</f>
        <v>Bouchoir</v>
      </c>
      <c r="C3115" s="2" t="str">
        <f t="array" ref="C3115">_xlfn.XLOOKUP(A3115, INSEE_Communes!$A$2:$A$3783, INSEE_Communes!$F$2:$F$3783, "code introuvable")</f>
        <v>non publié</v>
      </c>
    </row>
    <row r="3116">
      <c r="A3116" s="2" t="str">
        <f>Communes_HDF!A3116</f>
        <v>80117</v>
      </c>
      <c r="B3116" s="2" t="str">
        <f>Communes_HDF!B3116</f>
        <v>Bouchon</v>
      </c>
      <c r="C3116" s="2" t="str">
        <f t="array" ref="C3116">_xlfn.XLOOKUP(A3116, INSEE_Communes!$A$2:$A$3783, INSEE_Communes!$F$2:$F$3783, "code introuvable")</f>
        <v>non publié</v>
      </c>
    </row>
    <row r="3117">
      <c r="A3117" s="2" t="str">
        <f>Communes_HDF!A3117</f>
        <v>80118</v>
      </c>
      <c r="B3117" s="2" t="str">
        <f>Communes_HDF!B3117</f>
        <v>Boufflers</v>
      </c>
      <c r="C3117" s="2" t="str">
        <f t="array" ref="C3117">_xlfn.XLOOKUP(A3117, INSEE_Communes!$A$2:$A$3783, INSEE_Communes!$F$2:$F$3783, "code introuvable")</f>
        <v>non publié</v>
      </c>
    </row>
    <row r="3118">
      <c r="A3118" s="2" t="str">
        <f>Communes_HDF!A3118</f>
        <v>80119</v>
      </c>
      <c r="B3118" s="2" t="str">
        <f>Communes_HDF!B3118</f>
        <v>Bougainville</v>
      </c>
      <c r="C3118" s="2" t="str">
        <f t="array" ref="C3118">_xlfn.XLOOKUP(A3118, INSEE_Communes!$A$2:$A$3783, INSEE_Communes!$F$2:$F$3783, "code introuvable")</f>
        <v>non publié</v>
      </c>
    </row>
    <row r="3119">
      <c r="A3119" s="2" t="str">
        <f>Communes_HDF!A3119</f>
        <v>80120</v>
      </c>
      <c r="B3119" s="2" t="str">
        <f>Communes_HDF!B3119</f>
        <v>Bouillancourt-en-Séry</v>
      </c>
      <c r="C3119" s="2" t="str">
        <f t="array" ref="C3119">_xlfn.XLOOKUP(A3119, INSEE_Communes!$A$2:$A$3783, INSEE_Communes!$F$2:$F$3783, "code introuvable")</f>
        <v>non publié</v>
      </c>
    </row>
    <row r="3120">
      <c r="A3120" s="2" t="str">
        <f>Communes_HDF!A3120</f>
        <v>80121</v>
      </c>
      <c r="B3120" s="2" t="str">
        <f>Communes_HDF!B3120</f>
        <v>Bouillancourt-la-Bataille</v>
      </c>
      <c r="C3120" s="2" t="str">
        <f t="array" ref="C3120">_xlfn.XLOOKUP(A3120, INSEE_Communes!$A$2:$A$3783, INSEE_Communes!$F$2:$F$3783, "code introuvable")</f>
        <v>non publié</v>
      </c>
    </row>
    <row r="3121">
      <c r="A3121" s="2" t="str">
        <f>Communes_HDF!A3121</f>
        <v>80122</v>
      </c>
      <c r="B3121" s="2" t="str">
        <f>Communes_HDF!B3121</f>
        <v>Bouquemaison</v>
      </c>
      <c r="C3121" s="2" t="str">
        <f t="array" ref="C3121">_xlfn.XLOOKUP(A3121, INSEE_Communes!$A$2:$A$3783, INSEE_Communes!$F$2:$F$3783, "code introuvable")</f>
        <v>non publié</v>
      </c>
    </row>
    <row r="3122">
      <c r="A3122" s="2" t="str">
        <f>Communes_HDF!A3122</f>
        <v>80123</v>
      </c>
      <c r="B3122" s="2" t="str">
        <f>Communes_HDF!B3122</f>
        <v>Bourdon</v>
      </c>
      <c r="C3122" s="2" t="str">
        <f t="array" ref="C3122">_xlfn.XLOOKUP(A3122, INSEE_Communes!$A$2:$A$3783, INSEE_Communes!$F$2:$F$3783, "code introuvable")</f>
        <v>non publié</v>
      </c>
    </row>
    <row r="3123">
      <c r="A3123" s="2" t="str">
        <f>Communes_HDF!A3123</f>
        <v>80124</v>
      </c>
      <c r="B3123" s="2" t="str">
        <f>Communes_HDF!B3123</f>
        <v>Bourseville</v>
      </c>
      <c r="C3123" s="2" t="str">
        <f t="array" ref="C3123">_xlfn.XLOOKUP(A3123, INSEE_Communes!$A$2:$A$3783, INSEE_Communes!$F$2:$F$3783, "code introuvable")</f>
        <v>non publié</v>
      </c>
    </row>
    <row r="3124">
      <c r="A3124" s="2" t="str">
        <f>Communes_HDF!A3124</f>
        <v>80125</v>
      </c>
      <c r="B3124" s="2" t="str">
        <f>Communes_HDF!B3124</f>
        <v>Boussicourt</v>
      </c>
      <c r="C3124" s="2" t="str">
        <f t="array" ref="C3124">_xlfn.XLOOKUP(A3124, INSEE_Communes!$A$2:$A$3783, INSEE_Communes!$F$2:$F$3783, "code introuvable")</f>
        <v>non publié</v>
      </c>
    </row>
    <row r="3125">
      <c r="A3125" s="2" t="str">
        <f>Communes_HDF!A3125</f>
        <v>80126</v>
      </c>
      <c r="B3125" s="2" t="str">
        <f>Communes_HDF!B3125</f>
        <v>Bouttencourt</v>
      </c>
      <c r="C3125" s="2" t="str">
        <f t="array" ref="C3125">_xlfn.XLOOKUP(A3125, INSEE_Communes!$A$2:$A$3783, INSEE_Communes!$F$2:$F$3783, "code introuvable")</f>
        <v>non publié</v>
      </c>
    </row>
    <row r="3126">
      <c r="A3126" s="2" t="str">
        <f>Communes_HDF!A3126</f>
        <v>80127</v>
      </c>
      <c r="B3126" s="2" t="str">
        <f>Communes_HDF!B3126</f>
        <v>Bouvaincourt-sur-Bresle</v>
      </c>
      <c r="C3126" s="2" t="str">
        <f t="array" ref="C3126">_xlfn.XLOOKUP(A3126, INSEE_Communes!$A$2:$A$3783, INSEE_Communes!$F$2:$F$3783, "code introuvable")</f>
        <v>non publié</v>
      </c>
    </row>
    <row r="3127">
      <c r="A3127" s="2" t="str">
        <f>Communes_HDF!A3127</f>
        <v>80128</v>
      </c>
      <c r="B3127" s="2" t="str">
        <f>Communes_HDF!B3127</f>
        <v>Bouvincourt-en-Vermandois</v>
      </c>
      <c r="C3127" s="2" t="str">
        <f t="array" ref="C3127">_xlfn.XLOOKUP(A3127, INSEE_Communes!$A$2:$A$3783, INSEE_Communes!$F$2:$F$3783, "code introuvable")</f>
        <v>non publié</v>
      </c>
    </row>
    <row r="3128">
      <c r="A3128" s="2" t="str">
        <f>Communes_HDF!A3128</f>
        <v>80129</v>
      </c>
      <c r="B3128" s="2" t="str">
        <f>Communes_HDF!B3128</f>
        <v>Bouzincourt</v>
      </c>
      <c r="C3128" s="2" t="str">
        <f t="array" ref="C3128">_xlfn.XLOOKUP(A3128, INSEE_Communes!$A$2:$A$3783, INSEE_Communes!$F$2:$F$3783, "code introuvable")</f>
        <v>non publié</v>
      </c>
    </row>
    <row r="3129">
      <c r="A3129" s="2" t="str">
        <f>Communes_HDF!A3129</f>
        <v>80130</v>
      </c>
      <c r="B3129" s="2" t="str">
        <f>Communes_HDF!B3129</f>
        <v>Bovelles</v>
      </c>
      <c r="C3129" s="2" t="str">
        <f t="array" ref="C3129">_xlfn.XLOOKUP(A3129, INSEE_Communes!$A$2:$A$3783, INSEE_Communes!$F$2:$F$3783, "code introuvable")</f>
        <v>non publié</v>
      </c>
    </row>
    <row r="3130">
      <c r="A3130" s="2" t="str">
        <f>Communes_HDF!A3130</f>
        <v>80131</v>
      </c>
      <c r="B3130" s="2" t="str">
        <f>Communes_HDF!B3130</f>
        <v>Boves</v>
      </c>
      <c r="C3130" s="2">
        <f t="array" ref="C3130">_xlfn.XLOOKUP(A3130, INSEE_Communes!$A$2:$A$3783, INSEE_Communes!$F$2:$F$3783, "code introuvable")</f>
        <v>8</v>
      </c>
    </row>
    <row r="3131">
      <c r="A3131" s="2" t="str">
        <f>Communes_HDF!A3131</f>
        <v>80132</v>
      </c>
      <c r="B3131" s="2" t="str">
        <f>Communes_HDF!B3131</f>
        <v>Braches</v>
      </c>
      <c r="C3131" s="2" t="str">
        <f t="array" ref="C3131">_xlfn.XLOOKUP(A3131, INSEE_Communes!$A$2:$A$3783, INSEE_Communes!$F$2:$F$3783, "code introuvable")</f>
        <v>non publié</v>
      </c>
    </row>
    <row r="3132">
      <c r="A3132" s="2" t="str">
        <f>Communes_HDF!A3132</f>
        <v>80133</v>
      </c>
      <c r="B3132" s="2" t="str">
        <f>Communes_HDF!B3132</f>
        <v>Brailly-Cornehotte</v>
      </c>
      <c r="C3132" s="2" t="str">
        <f t="array" ref="C3132">_xlfn.XLOOKUP(A3132, INSEE_Communes!$A$2:$A$3783, INSEE_Communes!$F$2:$F$3783, "code introuvable")</f>
        <v>non publié</v>
      </c>
    </row>
    <row r="3133">
      <c r="A3133" s="2" t="str">
        <f>Communes_HDF!A3133</f>
        <v>80134</v>
      </c>
      <c r="B3133" s="2" t="str">
        <f>Communes_HDF!B3133</f>
        <v>Brassy</v>
      </c>
      <c r="C3133" s="2" t="str">
        <f t="array" ref="C3133">_xlfn.XLOOKUP(A3133, INSEE_Communes!$A$2:$A$3783, INSEE_Communes!$F$2:$F$3783, "code introuvable")</f>
        <v>non publié</v>
      </c>
    </row>
    <row r="3134">
      <c r="A3134" s="2" t="str">
        <f>Communes_HDF!A3134</f>
        <v>80135</v>
      </c>
      <c r="B3134" s="2" t="str">
        <f>Communes_HDF!B3134</f>
        <v>Bray-lès-Mareuil</v>
      </c>
      <c r="C3134" s="2" t="str">
        <f t="array" ref="C3134">_xlfn.XLOOKUP(A3134, INSEE_Communes!$A$2:$A$3783, INSEE_Communes!$F$2:$F$3783, "code introuvable")</f>
        <v>non publié</v>
      </c>
    </row>
    <row r="3135">
      <c r="A3135" s="2" t="str">
        <f>Communes_HDF!A3135</f>
        <v>80136</v>
      </c>
      <c r="B3135" s="2" t="str">
        <f>Communes_HDF!B3135</f>
        <v>Bray-sur-Somme</v>
      </c>
      <c r="C3135" s="2" t="str">
        <f t="array" ref="C3135">_xlfn.XLOOKUP(A3135, INSEE_Communes!$A$2:$A$3783, INSEE_Communes!$F$2:$F$3783, "code introuvable")</f>
        <v>non publié</v>
      </c>
    </row>
    <row r="3136">
      <c r="A3136" s="2" t="str">
        <f>Communes_HDF!A3136</f>
        <v>80137</v>
      </c>
      <c r="B3136" s="2" t="str">
        <f>Communes_HDF!B3136</f>
        <v>Breilly</v>
      </c>
      <c r="C3136" s="2" t="str">
        <f t="array" ref="C3136">_xlfn.XLOOKUP(A3136, INSEE_Communes!$A$2:$A$3783, INSEE_Communes!$F$2:$F$3783, "code introuvable")</f>
        <v>non publié</v>
      </c>
    </row>
    <row r="3137">
      <c r="A3137" s="2" t="str">
        <f>Communes_HDF!A3137</f>
        <v>80138</v>
      </c>
      <c r="B3137" s="2" t="str">
        <f>Communes_HDF!B3137</f>
        <v>Bresle</v>
      </c>
      <c r="C3137" s="2" t="str">
        <f t="array" ref="C3137">_xlfn.XLOOKUP(A3137, INSEE_Communes!$A$2:$A$3783, INSEE_Communes!$F$2:$F$3783, "code introuvable")</f>
        <v>non publié</v>
      </c>
    </row>
    <row r="3138">
      <c r="A3138" s="2" t="str">
        <f>Communes_HDF!A3138</f>
        <v>80139</v>
      </c>
      <c r="B3138" s="2" t="str">
        <f>Communes_HDF!B3138</f>
        <v>Breuil</v>
      </c>
      <c r="C3138" s="2" t="str">
        <f t="array" ref="C3138">_xlfn.XLOOKUP(A3138, INSEE_Communes!$A$2:$A$3783, INSEE_Communes!$F$2:$F$3783, "code introuvable")</f>
        <v>non publié</v>
      </c>
    </row>
    <row r="3139">
      <c r="A3139" s="2" t="str">
        <f>Communes_HDF!A3139</f>
        <v>80141</v>
      </c>
      <c r="B3139" s="2" t="str">
        <f>Communes_HDF!B3139</f>
        <v>Brie</v>
      </c>
      <c r="C3139" s="2" t="str">
        <f t="array" ref="C3139">_xlfn.XLOOKUP(A3139, INSEE_Communes!$A$2:$A$3783, INSEE_Communes!$F$2:$F$3783, "code introuvable")</f>
        <v>non publié</v>
      </c>
    </row>
    <row r="3140">
      <c r="A3140" s="2" t="str">
        <f>Communes_HDF!A3140</f>
        <v>80142</v>
      </c>
      <c r="B3140" s="2" t="str">
        <f>Communes_HDF!B3140</f>
        <v>Briquemesnil-Floxicourt</v>
      </c>
      <c r="C3140" s="2" t="str">
        <f t="array" ref="C3140">_xlfn.XLOOKUP(A3140, INSEE_Communes!$A$2:$A$3783, INSEE_Communes!$F$2:$F$3783, "code introuvable")</f>
        <v>non publié</v>
      </c>
    </row>
    <row r="3141">
      <c r="A3141" s="2" t="str">
        <f>Communes_HDF!A3141</f>
        <v>80143</v>
      </c>
      <c r="B3141" s="2" t="str">
        <f>Communes_HDF!B3141</f>
        <v>Brocourt</v>
      </c>
      <c r="C3141" s="2" t="str">
        <f t="array" ref="C3141">_xlfn.XLOOKUP(A3141, INSEE_Communes!$A$2:$A$3783, INSEE_Communes!$F$2:$F$3783, "code introuvable")</f>
        <v>non publié</v>
      </c>
    </row>
    <row r="3142">
      <c r="A3142" s="2" t="str">
        <f>Communes_HDF!A3142</f>
        <v>80144</v>
      </c>
      <c r="B3142" s="2" t="str">
        <f>Communes_HDF!B3142</f>
        <v>Brouchy</v>
      </c>
      <c r="C3142" s="2" t="str">
        <f t="array" ref="C3142">_xlfn.XLOOKUP(A3142, INSEE_Communes!$A$2:$A$3783, INSEE_Communes!$F$2:$F$3783, "code introuvable")</f>
        <v>non publié</v>
      </c>
    </row>
    <row r="3143">
      <c r="A3143" s="2" t="str">
        <f>Communes_HDF!A3143</f>
        <v>80145</v>
      </c>
      <c r="B3143" s="2" t="str">
        <f>Communes_HDF!B3143</f>
        <v>Brucamps</v>
      </c>
      <c r="C3143" s="2" t="str">
        <f t="array" ref="C3143">_xlfn.XLOOKUP(A3143, INSEE_Communes!$A$2:$A$3783, INSEE_Communes!$F$2:$F$3783, "code introuvable")</f>
        <v>non publié</v>
      </c>
    </row>
    <row r="3144">
      <c r="A3144" s="2" t="str">
        <f>Communes_HDF!A3144</f>
        <v>80146</v>
      </c>
      <c r="B3144" s="2" t="str">
        <f>Communes_HDF!B3144</f>
        <v>Brutelles</v>
      </c>
      <c r="C3144" s="2" t="str">
        <f t="array" ref="C3144">_xlfn.XLOOKUP(A3144, INSEE_Communes!$A$2:$A$3783, INSEE_Communes!$F$2:$F$3783, "code introuvable")</f>
        <v>non publié</v>
      </c>
    </row>
    <row r="3145">
      <c r="A3145" s="2" t="str">
        <f>Communes_HDF!A3145</f>
        <v>80140</v>
      </c>
      <c r="B3145" s="2" t="str">
        <f>Communes_HDF!B3145</f>
        <v>Brévillers</v>
      </c>
      <c r="C3145" s="2" t="str">
        <f t="array" ref="C3145">_xlfn.XLOOKUP(A3145, INSEE_Communes!$A$2:$A$3783, INSEE_Communes!$F$2:$F$3783, "code introuvable")</f>
        <v>non publié</v>
      </c>
    </row>
    <row r="3146">
      <c r="A3146" s="2" t="str">
        <f>Communes_HDF!A3146</f>
        <v>80149</v>
      </c>
      <c r="B3146" s="2" t="str">
        <f>Communes_HDF!B3146</f>
        <v>Buigny-Saint-Maclou</v>
      </c>
      <c r="C3146" s="2" t="str">
        <f t="array" ref="C3146">_xlfn.XLOOKUP(A3146, INSEE_Communes!$A$2:$A$3783, INSEE_Communes!$F$2:$F$3783, "code introuvable")</f>
        <v>non publié</v>
      </c>
    </row>
    <row r="3147">
      <c r="A3147" s="2" t="str">
        <f>Communes_HDF!A3147</f>
        <v>80147</v>
      </c>
      <c r="B3147" s="2" t="str">
        <f>Communes_HDF!B3147</f>
        <v>Buigny-l'Abbé</v>
      </c>
      <c r="C3147" s="2" t="str">
        <f t="array" ref="C3147">_xlfn.XLOOKUP(A3147, INSEE_Communes!$A$2:$A$3783, INSEE_Communes!$F$2:$F$3783, "code introuvable")</f>
        <v>non publié</v>
      </c>
    </row>
    <row r="3148">
      <c r="A3148" s="2" t="str">
        <f>Communes_HDF!A3148</f>
        <v>80148</v>
      </c>
      <c r="B3148" s="2" t="str">
        <f>Communes_HDF!B3148</f>
        <v>Buigny-lès-Gamaches</v>
      </c>
      <c r="C3148" s="2" t="str">
        <f t="array" ref="C3148">_xlfn.XLOOKUP(A3148, INSEE_Communes!$A$2:$A$3783, INSEE_Communes!$F$2:$F$3783, "code introuvable")</f>
        <v>non publié</v>
      </c>
    </row>
    <row r="3149">
      <c r="A3149" s="2" t="str">
        <f>Communes_HDF!A3149</f>
        <v>80150</v>
      </c>
      <c r="B3149" s="2" t="str">
        <f>Communes_HDF!B3149</f>
        <v>Buire-Courcelles</v>
      </c>
      <c r="C3149" s="2" t="str">
        <f t="array" ref="C3149">_xlfn.XLOOKUP(A3149, INSEE_Communes!$A$2:$A$3783, INSEE_Communes!$F$2:$F$3783, "code introuvable")</f>
        <v>non publié</v>
      </c>
    </row>
    <row r="3150">
      <c r="A3150" s="2" t="str">
        <f>Communes_HDF!A3150</f>
        <v>80151</v>
      </c>
      <c r="B3150" s="2" t="str">
        <f>Communes_HDF!B3150</f>
        <v>Buire-sur-l'Ancre</v>
      </c>
      <c r="C3150" s="2" t="str">
        <f t="array" ref="C3150">_xlfn.XLOOKUP(A3150, INSEE_Communes!$A$2:$A$3783, INSEE_Communes!$F$2:$F$3783, "code introuvable")</f>
        <v>non publié</v>
      </c>
    </row>
    <row r="3151">
      <c r="A3151" s="2" t="str">
        <f>Communes_HDF!A3151</f>
        <v>80152</v>
      </c>
      <c r="B3151" s="2" t="str">
        <f>Communes_HDF!B3151</f>
        <v>Bus-la-Mésière</v>
      </c>
      <c r="C3151" s="2" t="str">
        <f t="array" ref="C3151">_xlfn.XLOOKUP(A3151, INSEE_Communes!$A$2:$A$3783, INSEE_Communes!$F$2:$F$3783, "code introuvable")</f>
        <v>non publié</v>
      </c>
    </row>
    <row r="3152">
      <c r="A3152" s="2" t="str">
        <f>Communes_HDF!A3152</f>
        <v>80153</v>
      </c>
      <c r="B3152" s="2" t="str">
        <f>Communes_HDF!B3152</f>
        <v>Bus-lès-Artois</v>
      </c>
      <c r="C3152" s="2" t="str">
        <f t="array" ref="C3152">_xlfn.XLOOKUP(A3152, INSEE_Communes!$A$2:$A$3783, INSEE_Communes!$F$2:$F$3783, "code introuvable")</f>
        <v>non publié</v>
      </c>
    </row>
    <row r="3153">
      <c r="A3153" s="2" t="str">
        <f>Communes_HDF!A3153</f>
        <v>80154</v>
      </c>
      <c r="B3153" s="2" t="str">
        <f>Communes_HDF!B3153</f>
        <v>Bussu</v>
      </c>
      <c r="C3153" s="2" t="str">
        <f t="array" ref="C3153">_xlfn.XLOOKUP(A3153, INSEE_Communes!$A$2:$A$3783, INSEE_Communes!$F$2:$F$3783, "code introuvable")</f>
        <v>non publié</v>
      </c>
    </row>
    <row r="3154">
      <c r="A3154" s="2" t="str">
        <f>Communes_HDF!A3154</f>
        <v>80155</v>
      </c>
      <c r="B3154" s="2" t="str">
        <f>Communes_HDF!B3154</f>
        <v>Bussus-lès-Yaucourt</v>
      </c>
      <c r="C3154" s="2" t="str">
        <f t="array" ref="C3154">_xlfn.XLOOKUP(A3154, INSEE_Communes!$A$2:$A$3783, INSEE_Communes!$F$2:$F$3783, "code introuvable")</f>
        <v>non publié</v>
      </c>
    </row>
    <row r="3155">
      <c r="A3155" s="2" t="str">
        <f>Communes_HDF!A3155</f>
        <v>80156</v>
      </c>
      <c r="B3155" s="2" t="str">
        <f>Communes_HDF!B3155</f>
        <v>Bussy-lès-Daours</v>
      </c>
      <c r="C3155" s="2" t="str">
        <f t="array" ref="C3155">_xlfn.XLOOKUP(A3155, INSEE_Communes!$A$2:$A$3783, INSEE_Communes!$F$2:$F$3783, "code introuvable")</f>
        <v>non publié</v>
      </c>
    </row>
    <row r="3156">
      <c r="A3156" s="2" t="str">
        <f>Communes_HDF!A3156</f>
        <v>80157</v>
      </c>
      <c r="B3156" s="2" t="str">
        <f>Communes_HDF!B3156</f>
        <v>Bussy-lès-Poix</v>
      </c>
      <c r="C3156" s="2" t="str">
        <f t="array" ref="C3156">_xlfn.XLOOKUP(A3156, INSEE_Communes!$A$2:$A$3783, INSEE_Communes!$F$2:$F$3783, "code introuvable")</f>
        <v>non publié</v>
      </c>
    </row>
    <row r="3157">
      <c r="A3157" s="2" t="str">
        <f>Communes_HDF!A3157</f>
        <v>80158</v>
      </c>
      <c r="B3157" s="2" t="str">
        <f>Communes_HDF!B3157</f>
        <v>Buverchy</v>
      </c>
      <c r="C3157" s="2" t="str">
        <f t="array" ref="C3157">_xlfn.XLOOKUP(A3157, INSEE_Communes!$A$2:$A$3783, INSEE_Communes!$F$2:$F$3783, "code introuvable")</f>
        <v>non publié</v>
      </c>
    </row>
    <row r="3158">
      <c r="A3158" s="2" t="str">
        <f>Communes_HDF!A3158</f>
        <v>80060</v>
      </c>
      <c r="B3158" s="2" t="str">
        <f>Communes_HDF!B3158</f>
        <v>Béalcourt</v>
      </c>
      <c r="C3158" s="2" t="str">
        <f t="array" ref="C3158">_xlfn.XLOOKUP(A3158, INSEE_Communes!$A$2:$A$3783, INSEE_Communes!$F$2:$F$3783, "code introuvable")</f>
        <v>non publié</v>
      </c>
    </row>
    <row r="3159">
      <c r="A3159" s="2" t="str">
        <f>Communes_HDF!A3159</f>
        <v>80073</v>
      </c>
      <c r="B3159" s="2" t="str">
        <f>Communes_HDF!B3159</f>
        <v>Bécordel-Bécourt</v>
      </c>
      <c r="C3159" s="2" t="str">
        <f t="array" ref="C3159">_xlfn.XLOOKUP(A3159, INSEE_Communes!$A$2:$A$3783, INSEE_Communes!$F$2:$F$3783, "code introuvable")</f>
        <v>non publié</v>
      </c>
    </row>
    <row r="3160">
      <c r="A3160" s="2" t="str">
        <f>Communes_HDF!A3160</f>
        <v>80076</v>
      </c>
      <c r="B3160" s="2" t="str">
        <f>Communes_HDF!B3160</f>
        <v>Béhen</v>
      </c>
      <c r="C3160" s="2" t="str">
        <f t="array" ref="C3160">_xlfn.XLOOKUP(A3160, INSEE_Communes!$A$2:$A$3783, INSEE_Communes!$F$2:$F$3783, "code introuvable")</f>
        <v>non publié</v>
      </c>
    </row>
    <row r="3161">
      <c r="A3161" s="2" t="str">
        <f>Communes_HDF!A3161</f>
        <v>80077</v>
      </c>
      <c r="B3161" s="2" t="str">
        <f>Communes_HDF!B3161</f>
        <v>Béhencourt</v>
      </c>
      <c r="C3161" s="2" t="str">
        <f t="array" ref="C3161">_xlfn.XLOOKUP(A3161, INSEE_Communes!$A$2:$A$3783, INSEE_Communes!$F$2:$F$3783, "code introuvable")</f>
        <v>non publié</v>
      </c>
    </row>
    <row r="3162">
      <c r="A3162" s="2" t="str">
        <f>Communes_HDF!A3162</f>
        <v>80096</v>
      </c>
      <c r="B3162" s="2" t="str">
        <f>Communes_HDF!B3162</f>
        <v>Béthencourt-sur-Mer</v>
      </c>
      <c r="C3162" s="2" t="str">
        <f t="array" ref="C3162">_xlfn.XLOOKUP(A3162, INSEE_Communes!$A$2:$A$3783, INSEE_Communes!$F$2:$F$3783, "code introuvable")</f>
        <v>non publié</v>
      </c>
    </row>
    <row r="3163">
      <c r="A3163" s="2" t="str">
        <f>Communes_HDF!A3163</f>
        <v>80097</v>
      </c>
      <c r="B3163" s="2" t="str">
        <f>Communes_HDF!B3163</f>
        <v>Béthencourt-sur-Somme</v>
      </c>
      <c r="C3163" s="2" t="str">
        <f t="array" ref="C3163">_xlfn.XLOOKUP(A3163, INSEE_Communes!$A$2:$A$3783, INSEE_Communes!$F$2:$F$3783, "code introuvable")</f>
        <v>non publié</v>
      </c>
    </row>
    <row r="3164">
      <c r="A3164" s="2" t="str">
        <f>Communes_HDF!A3164</f>
        <v>80159</v>
      </c>
      <c r="B3164" s="2" t="str">
        <f>Communes_HDF!B3164</f>
        <v>Cachy</v>
      </c>
      <c r="C3164" s="2" t="str">
        <f t="array" ref="C3164">_xlfn.XLOOKUP(A3164, INSEE_Communes!$A$2:$A$3783, INSEE_Communes!$F$2:$F$3783, "code introuvable")</f>
        <v>non publié</v>
      </c>
    </row>
    <row r="3165">
      <c r="A3165" s="2" t="str">
        <f>Communes_HDF!A3165</f>
        <v>80160</v>
      </c>
      <c r="B3165" s="2" t="str">
        <f>Communes_HDF!B3165</f>
        <v>Cagny</v>
      </c>
      <c r="C3165" s="2" t="str">
        <f t="array" ref="C3165">_xlfn.XLOOKUP(A3165, INSEE_Communes!$A$2:$A$3783, INSEE_Communes!$F$2:$F$3783, "code introuvable")</f>
        <v>non publié</v>
      </c>
    </row>
    <row r="3166">
      <c r="A3166" s="2" t="str">
        <f>Communes_HDF!A3166</f>
        <v>80161</v>
      </c>
      <c r="B3166" s="2" t="str">
        <f>Communes_HDF!B3166</f>
        <v>Cahon</v>
      </c>
      <c r="C3166" s="2" t="str">
        <f t="array" ref="C3166">_xlfn.XLOOKUP(A3166, INSEE_Communes!$A$2:$A$3783, INSEE_Communes!$F$2:$F$3783, "code introuvable")</f>
        <v>non publié</v>
      </c>
    </row>
    <row r="3167">
      <c r="A3167" s="2" t="str">
        <f>Communes_HDF!A3167</f>
        <v>80162</v>
      </c>
      <c r="B3167" s="2" t="str">
        <f>Communes_HDF!B3167</f>
        <v>Caix</v>
      </c>
      <c r="C3167" s="2" t="str">
        <f t="array" ref="C3167">_xlfn.XLOOKUP(A3167, INSEE_Communes!$A$2:$A$3783, INSEE_Communes!$F$2:$F$3783, "code introuvable")</f>
        <v>non publié</v>
      </c>
    </row>
    <row r="3168">
      <c r="A3168" s="2" t="str">
        <f>Communes_HDF!A3168</f>
        <v>80163</v>
      </c>
      <c r="B3168" s="2" t="str">
        <f>Communes_HDF!B3168</f>
        <v>Cambron</v>
      </c>
      <c r="C3168" s="2" t="str">
        <f t="array" ref="C3168">_xlfn.XLOOKUP(A3168, INSEE_Communes!$A$2:$A$3783, INSEE_Communes!$F$2:$F$3783, "code introuvable")</f>
        <v>non publié</v>
      </c>
    </row>
    <row r="3169">
      <c r="A3169" s="2" t="str">
        <f>Communes_HDF!A3169</f>
        <v>80164</v>
      </c>
      <c r="B3169" s="2" t="str">
        <f>Communes_HDF!B3169</f>
        <v>Camon</v>
      </c>
      <c r="C3169" s="2">
        <f t="array" ref="C3169">_xlfn.XLOOKUP(A3169, INSEE_Communes!$A$2:$A$3783, INSEE_Communes!$F$2:$F$3783, "code introuvable")</f>
        <v>13</v>
      </c>
    </row>
    <row r="3170">
      <c r="A3170" s="2" t="str">
        <f>Communes_HDF!A3170</f>
        <v>80165</v>
      </c>
      <c r="B3170" s="2" t="str">
        <f>Communes_HDF!B3170</f>
        <v>Camps-en-Amiénois</v>
      </c>
      <c r="C3170" s="2" t="str">
        <f t="array" ref="C3170">_xlfn.XLOOKUP(A3170, INSEE_Communes!$A$2:$A$3783, INSEE_Communes!$F$2:$F$3783, "code introuvable")</f>
        <v>non publié</v>
      </c>
    </row>
    <row r="3171">
      <c r="A3171" s="2" t="str">
        <f>Communes_HDF!A3171</f>
        <v>80166</v>
      </c>
      <c r="B3171" s="2" t="str">
        <f>Communes_HDF!B3171</f>
        <v>Canaples</v>
      </c>
      <c r="C3171" s="2" t="str">
        <f t="array" ref="C3171">_xlfn.XLOOKUP(A3171, INSEE_Communes!$A$2:$A$3783, INSEE_Communes!$F$2:$F$3783, "code introuvable")</f>
        <v>non publié</v>
      </c>
    </row>
    <row r="3172">
      <c r="A3172" s="2" t="str">
        <f>Communes_HDF!A3172</f>
        <v>80167</v>
      </c>
      <c r="B3172" s="2" t="str">
        <f>Communes_HDF!B3172</f>
        <v>Canchy</v>
      </c>
      <c r="C3172" s="2" t="str">
        <f t="array" ref="C3172">_xlfn.XLOOKUP(A3172, INSEE_Communes!$A$2:$A$3783, INSEE_Communes!$F$2:$F$3783, "code introuvable")</f>
        <v>non publié</v>
      </c>
    </row>
    <row r="3173">
      <c r="A3173" s="2" t="str">
        <f>Communes_HDF!A3173</f>
        <v>80168</v>
      </c>
      <c r="B3173" s="2" t="str">
        <f>Communes_HDF!B3173</f>
        <v>Candas</v>
      </c>
      <c r="C3173" s="2" t="str">
        <f t="array" ref="C3173">_xlfn.XLOOKUP(A3173, INSEE_Communes!$A$2:$A$3783, INSEE_Communes!$F$2:$F$3783, "code introuvable")</f>
        <v>non publié</v>
      </c>
    </row>
    <row r="3174">
      <c r="A3174" s="2" t="str">
        <f>Communes_HDF!A3174</f>
        <v>80169</v>
      </c>
      <c r="B3174" s="2" t="str">
        <f>Communes_HDF!B3174</f>
        <v>Cannessières</v>
      </c>
      <c r="C3174" s="2" t="str">
        <f t="array" ref="C3174">_xlfn.XLOOKUP(A3174, INSEE_Communes!$A$2:$A$3783, INSEE_Communes!$F$2:$F$3783, "code introuvable")</f>
        <v>non publié</v>
      </c>
    </row>
    <row r="3175">
      <c r="A3175" s="2" t="str">
        <f>Communes_HDF!A3175</f>
        <v>80170</v>
      </c>
      <c r="B3175" s="2" t="str">
        <f>Communes_HDF!B3175</f>
        <v>Cantigny</v>
      </c>
      <c r="C3175" s="2" t="str">
        <f t="array" ref="C3175">_xlfn.XLOOKUP(A3175, INSEE_Communes!$A$2:$A$3783, INSEE_Communes!$F$2:$F$3783, "code introuvable")</f>
        <v>non publié</v>
      </c>
    </row>
    <row r="3176">
      <c r="A3176" s="2" t="str">
        <f>Communes_HDF!A3176</f>
        <v>80171</v>
      </c>
      <c r="B3176" s="2" t="str">
        <f>Communes_HDF!B3176</f>
        <v>Caours</v>
      </c>
      <c r="C3176" s="2" t="str">
        <f t="array" ref="C3176">_xlfn.XLOOKUP(A3176, INSEE_Communes!$A$2:$A$3783, INSEE_Communes!$F$2:$F$3783, "code introuvable")</f>
        <v>non publié</v>
      </c>
    </row>
    <row r="3177">
      <c r="A3177" s="2" t="str">
        <f>Communes_HDF!A3177</f>
        <v>80172</v>
      </c>
      <c r="B3177" s="2" t="str">
        <f>Communes_HDF!B3177</f>
        <v>Cappy</v>
      </c>
      <c r="C3177" s="2" t="str">
        <f t="array" ref="C3177">_xlfn.XLOOKUP(A3177, INSEE_Communes!$A$2:$A$3783, INSEE_Communes!$F$2:$F$3783, "code introuvable")</f>
        <v>non publié</v>
      </c>
    </row>
    <row r="3178">
      <c r="A3178" s="2" t="str">
        <f>Communes_HDF!A3178</f>
        <v>80173</v>
      </c>
      <c r="B3178" s="2" t="str">
        <f>Communes_HDF!B3178</f>
        <v>Cardonnette</v>
      </c>
      <c r="C3178" s="2" t="str">
        <f t="array" ref="C3178">_xlfn.XLOOKUP(A3178, INSEE_Communes!$A$2:$A$3783, INSEE_Communes!$F$2:$F$3783, "code introuvable")</f>
        <v>non publié</v>
      </c>
    </row>
    <row r="3179">
      <c r="A3179" s="2" t="str">
        <f>Communes_HDF!A3179</f>
        <v>80505</v>
      </c>
      <c r="B3179" s="2" t="str">
        <f>Communes_HDF!B3179</f>
        <v>Carnoy-Mametz</v>
      </c>
      <c r="C3179" s="2" t="str">
        <f t="array" ref="C3179">_xlfn.XLOOKUP(A3179, INSEE_Communes!$A$2:$A$3783, INSEE_Communes!$F$2:$F$3783, "code introuvable")</f>
        <v>non publié</v>
      </c>
    </row>
    <row r="3180">
      <c r="A3180" s="2" t="str">
        <f>Communes_HDF!A3180</f>
        <v>80176</v>
      </c>
      <c r="B3180" s="2" t="str">
        <f>Communes_HDF!B3180</f>
        <v>Carrépuis</v>
      </c>
      <c r="C3180" s="2" t="str">
        <f t="array" ref="C3180">_xlfn.XLOOKUP(A3180, INSEE_Communes!$A$2:$A$3783, INSEE_Communes!$F$2:$F$3783, "code introuvable")</f>
        <v>non publié</v>
      </c>
    </row>
    <row r="3181">
      <c r="A3181" s="2" t="str">
        <f>Communes_HDF!A3181</f>
        <v>80177</v>
      </c>
      <c r="B3181" s="2" t="str">
        <f>Communes_HDF!B3181</f>
        <v>Cartigny</v>
      </c>
      <c r="C3181" s="2" t="str">
        <f t="array" ref="C3181">_xlfn.XLOOKUP(A3181, INSEE_Communes!$A$2:$A$3783, INSEE_Communes!$F$2:$F$3783, "code introuvable")</f>
        <v>non publié</v>
      </c>
    </row>
    <row r="3182">
      <c r="A3182" s="2" t="str">
        <f>Communes_HDF!A3182</f>
        <v>80179</v>
      </c>
      <c r="B3182" s="2" t="str">
        <f>Communes_HDF!B3182</f>
        <v>Caulières</v>
      </c>
      <c r="C3182" s="2" t="str">
        <f t="array" ref="C3182">_xlfn.XLOOKUP(A3182, INSEE_Communes!$A$2:$A$3783, INSEE_Communes!$F$2:$F$3783, "code introuvable")</f>
        <v>non publié</v>
      </c>
    </row>
    <row r="3183">
      <c r="A3183" s="2" t="str">
        <f>Communes_HDF!A3183</f>
        <v>80180</v>
      </c>
      <c r="B3183" s="2" t="str">
        <f>Communes_HDF!B3183</f>
        <v>Cavillon</v>
      </c>
      <c r="C3183" s="2" t="str">
        <f t="array" ref="C3183">_xlfn.XLOOKUP(A3183, INSEE_Communes!$A$2:$A$3783, INSEE_Communes!$F$2:$F$3783, "code introuvable")</f>
        <v>non publié</v>
      </c>
    </row>
    <row r="3184">
      <c r="A3184" s="2" t="str">
        <f>Communes_HDF!A3184</f>
        <v>80181</v>
      </c>
      <c r="B3184" s="2" t="str">
        <f>Communes_HDF!B3184</f>
        <v>Cayeux-en-Santerre</v>
      </c>
      <c r="C3184" s="2" t="str">
        <f t="array" ref="C3184">_xlfn.XLOOKUP(A3184, INSEE_Communes!$A$2:$A$3783, INSEE_Communes!$F$2:$F$3783, "code introuvable")</f>
        <v>non publié</v>
      </c>
    </row>
    <row r="3185">
      <c r="A3185" s="2" t="str">
        <f>Communes_HDF!A3185</f>
        <v>80182</v>
      </c>
      <c r="B3185" s="2" t="str">
        <f>Communes_HDF!B3185</f>
        <v>Cayeux-sur-Mer</v>
      </c>
      <c r="C3185" s="2">
        <f t="array" ref="C3185">_xlfn.XLOOKUP(A3185, INSEE_Communes!$A$2:$A$3783, INSEE_Communes!$F$2:$F$3783, "code introuvable")</f>
        <v>19</v>
      </c>
    </row>
    <row r="3186">
      <c r="A3186" s="2" t="str">
        <f>Communes_HDF!A3186</f>
        <v>80184</v>
      </c>
      <c r="B3186" s="2" t="str">
        <f>Communes_HDF!B3186</f>
        <v>Cerisy</v>
      </c>
      <c r="C3186" s="2" t="str">
        <f t="array" ref="C3186">_xlfn.XLOOKUP(A3186, INSEE_Communes!$A$2:$A$3783, INSEE_Communes!$F$2:$F$3783, "code introuvable")</f>
        <v>non publié</v>
      </c>
    </row>
    <row r="3187">
      <c r="A3187" s="2" t="str">
        <f>Communes_HDF!A3187</f>
        <v>80183</v>
      </c>
      <c r="B3187" s="2" t="str">
        <f>Communes_HDF!B3187</f>
        <v>Cerisy-Buleux</v>
      </c>
      <c r="C3187" s="2" t="str">
        <f t="array" ref="C3187">_xlfn.XLOOKUP(A3187, INSEE_Communes!$A$2:$A$3783, INSEE_Communes!$F$2:$F$3783, "code introuvable")</f>
        <v>non publié</v>
      </c>
    </row>
    <row r="3188">
      <c r="A3188" s="2" t="str">
        <f>Communes_HDF!A3188</f>
        <v>80185</v>
      </c>
      <c r="B3188" s="2" t="str">
        <f>Communes_HDF!B3188</f>
        <v>Champien</v>
      </c>
      <c r="C3188" s="2" t="str">
        <f t="array" ref="C3188">_xlfn.XLOOKUP(A3188, INSEE_Communes!$A$2:$A$3783, INSEE_Communes!$F$2:$F$3783, "code introuvable")</f>
        <v>non publié</v>
      </c>
    </row>
    <row r="3189">
      <c r="A3189" s="2" t="str">
        <f>Communes_HDF!A3189</f>
        <v>80186</v>
      </c>
      <c r="B3189" s="2" t="str">
        <f>Communes_HDF!B3189</f>
        <v>Chaulnes</v>
      </c>
      <c r="C3189" s="2">
        <f t="array" ref="C3189">_xlfn.XLOOKUP(A3189, INSEE_Communes!$A$2:$A$3783, INSEE_Communes!$F$2:$F$3783, "code introuvable")</f>
        <v>22</v>
      </c>
    </row>
    <row r="3190">
      <c r="A3190" s="2" t="str">
        <f>Communes_HDF!A3190</f>
        <v>80188</v>
      </c>
      <c r="B3190" s="2" t="str">
        <f>Communes_HDF!B3190</f>
        <v>Chaussoy-Epagny</v>
      </c>
      <c r="C3190" s="2" t="str">
        <f t="array" ref="C3190">_xlfn.XLOOKUP(A3190, INSEE_Communes!$A$2:$A$3783, INSEE_Communes!$F$2:$F$3783, "code introuvable")</f>
        <v>non publié</v>
      </c>
    </row>
    <row r="3191">
      <c r="A3191" s="2" t="str">
        <f>Communes_HDF!A3191</f>
        <v>80191</v>
      </c>
      <c r="B3191" s="2" t="str">
        <f>Communes_HDF!B3191</f>
        <v>Chilly</v>
      </c>
      <c r="C3191" s="2" t="str">
        <f t="array" ref="C3191">_xlfn.XLOOKUP(A3191, INSEE_Communes!$A$2:$A$3783, INSEE_Communes!$F$2:$F$3783, "code introuvable")</f>
        <v>non publié</v>
      </c>
    </row>
    <row r="3192">
      <c r="A3192" s="2" t="str">
        <f>Communes_HDF!A3192</f>
        <v>80192</v>
      </c>
      <c r="B3192" s="2" t="str">
        <f>Communes_HDF!B3192</f>
        <v>Chipilly</v>
      </c>
      <c r="C3192" s="2" t="str">
        <f t="array" ref="C3192">_xlfn.XLOOKUP(A3192, INSEE_Communes!$A$2:$A$3783, INSEE_Communes!$F$2:$F$3783, "code introuvable")</f>
        <v>non publié</v>
      </c>
    </row>
    <row r="3193">
      <c r="A3193" s="2" t="str">
        <f>Communes_HDF!A3193</f>
        <v>80193</v>
      </c>
      <c r="B3193" s="2" t="str">
        <f>Communes_HDF!B3193</f>
        <v>Chirmont</v>
      </c>
      <c r="C3193" s="2" t="str">
        <f t="array" ref="C3193">_xlfn.XLOOKUP(A3193, INSEE_Communes!$A$2:$A$3783, INSEE_Communes!$F$2:$F$3783, "code introuvable")</f>
        <v>non publié</v>
      </c>
    </row>
    <row r="3194">
      <c r="A3194" s="2" t="str">
        <f>Communes_HDF!A3194</f>
        <v>80194</v>
      </c>
      <c r="B3194" s="2" t="str">
        <f>Communes_HDF!B3194</f>
        <v>Chuignes</v>
      </c>
      <c r="C3194" s="2" t="str">
        <f t="array" ref="C3194">_xlfn.XLOOKUP(A3194, INSEE_Communes!$A$2:$A$3783, INSEE_Communes!$F$2:$F$3783, "code introuvable")</f>
        <v>non publié</v>
      </c>
    </row>
    <row r="3195">
      <c r="A3195" s="2" t="str">
        <f>Communes_HDF!A3195</f>
        <v>80195</v>
      </c>
      <c r="B3195" s="2" t="str">
        <f>Communes_HDF!B3195</f>
        <v>Chuignolles</v>
      </c>
      <c r="C3195" s="2" t="str">
        <f t="array" ref="C3195">_xlfn.XLOOKUP(A3195, INSEE_Communes!$A$2:$A$3783, INSEE_Communes!$F$2:$F$3783, "code introuvable")</f>
        <v>non publié</v>
      </c>
    </row>
    <row r="3196">
      <c r="A3196" s="2" t="str">
        <f>Communes_HDF!A3196</f>
        <v>80190</v>
      </c>
      <c r="B3196" s="2" t="str">
        <f>Communes_HDF!B3196</f>
        <v>Chépy</v>
      </c>
      <c r="C3196" s="2" t="str">
        <f t="array" ref="C3196">_xlfn.XLOOKUP(A3196, INSEE_Communes!$A$2:$A$3783, INSEE_Communes!$F$2:$F$3783, "code introuvable")</f>
        <v>non publié</v>
      </c>
    </row>
    <row r="3197">
      <c r="A3197" s="2" t="str">
        <f>Communes_HDF!A3197</f>
        <v>80196</v>
      </c>
      <c r="B3197" s="2" t="str">
        <f>Communes_HDF!B3197</f>
        <v>Citerne</v>
      </c>
      <c r="C3197" s="2" t="str">
        <f t="array" ref="C3197">_xlfn.XLOOKUP(A3197, INSEE_Communes!$A$2:$A$3783, INSEE_Communes!$F$2:$F$3783, "code introuvable")</f>
        <v>non publié</v>
      </c>
    </row>
    <row r="3198">
      <c r="A3198" s="2" t="str">
        <f>Communes_HDF!A3198</f>
        <v>80197</v>
      </c>
      <c r="B3198" s="2" t="str">
        <f>Communes_HDF!B3198</f>
        <v>Cizancourt</v>
      </c>
      <c r="C3198" s="2" t="str">
        <f t="array" ref="C3198">_xlfn.XLOOKUP(A3198, INSEE_Communes!$A$2:$A$3783, INSEE_Communes!$F$2:$F$3783, "code introuvable")</f>
        <v>non publié</v>
      </c>
    </row>
    <row r="3199">
      <c r="A3199" s="2" t="str">
        <f>Communes_HDF!A3199</f>
        <v>80198</v>
      </c>
      <c r="B3199" s="2" t="str">
        <f>Communes_HDF!B3199</f>
        <v>Clairy-Saulchoix</v>
      </c>
      <c r="C3199" s="2" t="str">
        <f t="array" ref="C3199">_xlfn.XLOOKUP(A3199, INSEE_Communes!$A$2:$A$3783, INSEE_Communes!$F$2:$F$3783, "code introuvable")</f>
        <v>non publié</v>
      </c>
    </row>
    <row r="3200">
      <c r="A3200" s="2" t="str">
        <f>Communes_HDF!A3200</f>
        <v>80199</v>
      </c>
      <c r="B3200" s="2" t="str">
        <f>Communes_HDF!B3200</f>
        <v>Cléry-sur-Somme</v>
      </c>
      <c r="C3200" s="2" t="str">
        <f t="array" ref="C3200">_xlfn.XLOOKUP(A3200, INSEE_Communes!$A$2:$A$3783, INSEE_Communes!$F$2:$F$3783, "code introuvable")</f>
        <v>non publié</v>
      </c>
    </row>
    <row r="3201">
      <c r="A3201" s="2" t="str">
        <f>Communes_HDF!A3201</f>
        <v>80200</v>
      </c>
      <c r="B3201" s="2" t="str">
        <f>Communes_HDF!B3201</f>
        <v>Cocquerel</v>
      </c>
      <c r="C3201" s="2" t="str">
        <f t="array" ref="C3201">_xlfn.XLOOKUP(A3201, INSEE_Communes!$A$2:$A$3783, INSEE_Communes!$F$2:$F$3783, "code introuvable")</f>
        <v>non publié</v>
      </c>
    </row>
    <row r="3202">
      <c r="A3202" s="2" t="str">
        <f>Communes_HDF!A3202</f>
        <v>80201</v>
      </c>
      <c r="B3202" s="2" t="str">
        <f>Communes_HDF!B3202</f>
        <v>Coigneux</v>
      </c>
      <c r="C3202" s="2" t="str">
        <f t="array" ref="C3202">_xlfn.XLOOKUP(A3202, INSEE_Communes!$A$2:$A$3783, INSEE_Communes!$F$2:$F$3783, "code introuvable")</f>
        <v>non publié</v>
      </c>
    </row>
    <row r="3203">
      <c r="A3203" s="2" t="str">
        <f>Communes_HDF!A3203</f>
        <v>80202</v>
      </c>
      <c r="B3203" s="2" t="str">
        <f>Communes_HDF!B3203</f>
        <v>Coisy</v>
      </c>
      <c r="C3203" s="2" t="str">
        <f t="array" ref="C3203">_xlfn.XLOOKUP(A3203, INSEE_Communes!$A$2:$A$3783, INSEE_Communes!$F$2:$F$3783, "code introuvable")</f>
        <v>non publié</v>
      </c>
    </row>
    <row r="3204">
      <c r="A3204" s="2" t="str">
        <f>Communes_HDF!A3204</f>
        <v>80203</v>
      </c>
      <c r="B3204" s="2" t="str">
        <f>Communes_HDF!B3204</f>
        <v>Colincamps</v>
      </c>
      <c r="C3204" s="2" t="str">
        <f t="array" ref="C3204">_xlfn.XLOOKUP(A3204, INSEE_Communes!$A$2:$A$3783, INSEE_Communes!$F$2:$F$3783, "code introuvable")</f>
        <v>non publié</v>
      </c>
    </row>
    <row r="3205">
      <c r="A3205" s="2" t="str">
        <f>Communes_HDF!A3205</f>
        <v>80204</v>
      </c>
      <c r="B3205" s="2" t="str">
        <f>Communes_HDF!B3205</f>
        <v>Combles</v>
      </c>
      <c r="C3205" s="2" t="str">
        <f t="array" ref="C3205">_xlfn.XLOOKUP(A3205, INSEE_Communes!$A$2:$A$3783, INSEE_Communes!$F$2:$F$3783, "code introuvable")</f>
        <v>non publié</v>
      </c>
    </row>
    <row r="3206">
      <c r="A3206" s="2" t="str">
        <f>Communes_HDF!A3206</f>
        <v>80205</v>
      </c>
      <c r="B3206" s="2" t="str">
        <f>Communes_HDF!B3206</f>
        <v>Condé-Folie</v>
      </c>
      <c r="C3206" s="2" t="str">
        <f t="array" ref="C3206">_xlfn.XLOOKUP(A3206, INSEE_Communes!$A$2:$A$3783, INSEE_Communes!$F$2:$F$3783, "code introuvable")</f>
        <v>non publié</v>
      </c>
    </row>
    <row r="3207">
      <c r="A3207" s="2" t="str">
        <f>Communes_HDF!A3207</f>
        <v>80206</v>
      </c>
      <c r="B3207" s="2" t="str">
        <f>Communes_HDF!B3207</f>
        <v>Contalmaison</v>
      </c>
      <c r="C3207" s="2" t="str">
        <f t="array" ref="C3207">_xlfn.XLOOKUP(A3207, INSEE_Communes!$A$2:$A$3783, INSEE_Communes!$F$2:$F$3783, "code introuvable")</f>
        <v>non publié</v>
      </c>
    </row>
    <row r="3208">
      <c r="A3208" s="2" t="str">
        <f>Communes_HDF!A3208</f>
        <v>80207</v>
      </c>
      <c r="B3208" s="2" t="str">
        <f>Communes_HDF!B3208</f>
        <v>Contay</v>
      </c>
      <c r="C3208" s="2" t="str">
        <f t="array" ref="C3208">_xlfn.XLOOKUP(A3208, INSEE_Communes!$A$2:$A$3783, INSEE_Communes!$F$2:$F$3783, "code introuvable")</f>
        <v>non publié</v>
      </c>
    </row>
    <row r="3209">
      <c r="A3209" s="2" t="str">
        <f>Communes_HDF!A3209</f>
        <v>80208</v>
      </c>
      <c r="B3209" s="2" t="str">
        <f>Communes_HDF!B3209</f>
        <v>Conteville</v>
      </c>
      <c r="C3209" s="2" t="str">
        <f t="array" ref="C3209">_xlfn.XLOOKUP(A3209, INSEE_Communes!$A$2:$A$3783, INSEE_Communes!$F$2:$F$3783, "code introuvable")</f>
        <v>non publié</v>
      </c>
    </row>
    <row r="3210">
      <c r="A3210" s="2" t="str">
        <f>Communes_HDF!A3210</f>
        <v>80210</v>
      </c>
      <c r="B3210" s="2" t="str">
        <f>Communes_HDF!B3210</f>
        <v>Contre</v>
      </c>
      <c r="C3210" s="2" t="str">
        <f t="array" ref="C3210">_xlfn.XLOOKUP(A3210, INSEE_Communes!$A$2:$A$3783, INSEE_Communes!$F$2:$F$3783, "code introuvable")</f>
        <v>non publié</v>
      </c>
    </row>
    <row r="3211">
      <c r="A3211" s="2" t="str">
        <f>Communes_HDF!A3211</f>
        <v>80211</v>
      </c>
      <c r="B3211" s="2" t="str">
        <f>Communes_HDF!B3211</f>
        <v>Conty</v>
      </c>
      <c r="C3211" s="2" t="str">
        <f t="array" ref="C3211">_xlfn.XLOOKUP(A3211, INSEE_Communes!$A$2:$A$3783, INSEE_Communes!$F$2:$F$3783, "code introuvable")</f>
        <v>non publié</v>
      </c>
    </row>
    <row r="3212">
      <c r="A3212" s="2" t="str">
        <f>Communes_HDF!A3212</f>
        <v>80212</v>
      </c>
      <c r="B3212" s="2" t="str">
        <f>Communes_HDF!B3212</f>
        <v>Corbie</v>
      </c>
      <c r="C3212" s="2">
        <f t="array" ref="C3212">_xlfn.XLOOKUP(A3212, INSEE_Communes!$A$2:$A$3783, INSEE_Communes!$F$2:$F$3783, "code introuvable")</f>
        <v>16</v>
      </c>
    </row>
    <row r="3213">
      <c r="A3213" s="2" t="str">
        <f>Communes_HDF!A3213</f>
        <v>80213</v>
      </c>
      <c r="B3213" s="2" t="str">
        <f>Communes_HDF!B3213</f>
        <v>Cottenchy</v>
      </c>
      <c r="C3213" s="2" t="str">
        <f t="array" ref="C3213">_xlfn.XLOOKUP(A3213, INSEE_Communes!$A$2:$A$3783, INSEE_Communes!$F$2:$F$3783, "code introuvable")</f>
        <v>non publié</v>
      </c>
    </row>
    <row r="3214">
      <c r="A3214" s="2" t="str">
        <f>Communes_HDF!A3214</f>
        <v>80214</v>
      </c>
      <c r="B3214" s="2" t="str">
        <f>Communes_HDF!B3214</f>
        <v>Coullemelle</v>
      </c>
      <c r="C3214" s="2" t="str">
        <f t="array" ref="C3214">_xlfn.XLOOKUP(A3214, INSEE_Communes!$A$2:$A$3783, INSEE_Communes!$F$2:$F$3783, "code introuvable")</f>
        <v>non publié</v>
      </c>
    </row>
    <row r="3215">
      <c r="A3215" s="2" t="str">
        <f>Communes_HDF!A3215</f>
        <v>80215</v>
      </c>
      <c r="B3215" s="2" t="str">
        <f>Communes_HDF!B3215</f>
        <v>Coulonvillers</v>
      </c>
      <c r="C3215" s="2" t="str">
        <f t="array" ref="C3215">_xlfn.XLOOKUP(A3215, INSEE_Communes!$A$2:$A$3783, INSEE_Communes!$F$2:$F$3783, "code introuvable")</f>
        <v>non publié</v>
      </c>
    </row>
    <row r="3216">
      <c r="A3216" s="2" t="str">
        <f>Communes_HDF!A3216</f>
        <v>80216</v>
      </c>
      <c r="B3216" s="2" t="str">
        <f>Communes_HDF!B3216</f>
        <v>Courcelette</v>
      </c>
      <c r="C3216" s="2" t="str">
        <f t="array" ref="C3216">_xlfn.XLOOKUP(A3216, INSEE_Communes!$A$2:$A$3783, INSEE_Communes!$F$2:$F$3783, "code introuvable")</f>
        <v>non publié</v>
      </c>
    </row>
    <row r="3217">
      <c r="A3217" s="2" t="str">
        <f>Communes_HDF!A3217</f>
        <v>80217</v>
      </c>
      <c r="B3217" s="2" t="str">
        <f>Communes_HDF!B3217</f>
        <v>Courcelles-au-Bois</v>
      </c>
      <c r="C3217" s="2" t="str">
        <f t="array" ref="C3217">_xlfn.XLOOKUP(A3217, INSEE_Communes!$A$2:$A$3783, INSEE_Communes!$F$2:$F$3783, "code introuvable")</f>
        <v>non publié</v>
      </c>
    </row>
    <row r="3218">
      <c r="A3218" s="2" t="str">
        <f>Communes_HDF!A3218</f>
        <v>80218</v>
      </c>
      <c r="B3218" s="2" t="str">
        <f>Communes_HDF!B3218</f>
        <v>Courcelles-sous-Moyencourt</v>
      </c>
      <c r="C3218" s="2" t="str">
        <f t="array" ref="C3218">_xlfn.XLOOKUP(A3218, INSEE_Communes!$A$2:$A$3783, INSEE_Communes!$F$2:$F$3783, "code introuvable")</f>
        <v>non publié</v>
      </c>
    </row>
    <row r="3219">
      <c r="A3219" s="2" t="str">
        <f>Communes_HDF!A3219</f>
        <v>80219</v>
      </c>
      <c r="B3219" s="2" t="str">
        <f>Communes_HDF!B3219</f>
        <v>Courcelles-sous-Thoix</v>
      </c>
      <c r="C3219" s="2" t="str">
        <f t="array" ref="C3219">_xlfn.XLOOKUP(A3219, INSEE_Communes!$A$2:$A$3783, INSEE_Communes!$F$2:$F$3783, "code introuvable")</f>
        <v>non publié</v>
      </c>
    </row>
    <row r="3220">
      <c r="A3220" s="2" t="str">
        <f>Communes_HDF!A3220</f>
        <v>80220</v>
      </c>
      <c r="B3220" s="2" t="str">
        <f>Communes_HDF!B3220</f>
        <v>Courtemanche</v>
      </c>
      <c r="C3220" s="2" t="str">
        <f t="array" ref="C3220">_xlfn.XLOOKUP(A3220, INSEE_Communes!$A$2:$A$3783, INSEE_Communes!$F$2:$F$3783, "code introuvable")</f>
        <v>non publié</v>
      </c>
    </row>
    <row r="3221">
      <c r="A3221" s="2" t="str">
        <f>Communes_HDF!A3221</f>
        <v>80221</v>
      </c>
      <c r="B3221" s="2" t="str">
        <f>Communes_HDF!B3221</f>
        <v>Cramont</v>
      </c>
      <c r="C3221" s="2" t="str">
        <f t="array" ref="C3221">_xlfn.XLOOKUP(A3221, INSEE_Communes!$A$2:$A$3783, INSEE_Communes!$F$2:$F$3783, "code introuvable")</f>
        <v>non publié</v>
      </c>
    </row>
    <row r="3222">
      <c r="A3222" s="2" t="str">
        <f>Communes_HDF!A3222</f>
        <v>80224</v>
      </c>
      <c r="B3222" s="2" t="str">
        <f>Communes_HDF!B3222</f>
        <v>Cressy-Omencourt</v>
      </c>
      <c r="C3222" s="2" t="str">
        <f t="array" ref="C3222">_xlfn.XLOOKUP(A3222, INSEE_Communes!$A$2:$A$3783, INSEE_Communes!$F$2:$F$3783, "code introuvable")</f>
        <v>non publié</v>
      </c>
    </row>
    <row r="3223">
      <c r="A3223" s="2" t="str">
        <f>Communes_HDF!A3223</f>
        <v>80225</v>
      </c>
      <c r="B3223" s="2" t="str">
        <f>Communes_HDF!B3223</f>
        <v>Creuse</v>
      </c>
      <c r="C3223" s="2" t="str">
        <f t="array" ref="C3223">_xlfn.XLOOKUP(A3223, INSEE_Communes!$A$2:$A$3783, INSEE_Communes!$F$2:$F$3783, "code introuvable")</f>
        <v>non publié</v>
      </c>
    </row>
    <row r="3224">
      <c r="A3224" s="2" t="str">
        <f>Communes_HDF!A3224</f>
        <v>80226</v>
      </c>
      <c r="B3224" s="2" t="str">
        <f>Communes_HDF!B3224</f>
        <v>Croix-Moligneaux</v>
      </c>
      <c r="C3224" s="2" t="str">
        <f t="array" ref="C3224">_xlfn.XLOOKUP(A3224, INSEE_Communes!$A$2:$A$3783, INSEE_Communes!$F$2:$F$3783, "code introuvable")</f>
        <v>non publié</v>
      </c>
    </row>
    <row r="3225">
      <c r="A3225" s="2" t="str">
        <f>Communes_HDF!A3225</f>
        <v>80227</v>
      </c>
      <c r="B3225" s="2" t="str">
        <f>Communes_HDF!B3225</f>
        <v>Croixrault</v>
      </c>
      <c r="C3225" s="2" t="str">
        <f t="array" ref="C3225">_xlfn.XLOOKUP(A3225, INSEE_Communes!$A$2:$A$3783, INSEE_Communes!$F$2:$F$3783, "code introuvable")</f>
        <v>non publié</v>
      </c>
    </row>
    <row r="3226">
      <c r="A3226" s="2" t="str">
        <f>Communes_HDF!A3226</f>
        <v>80229</v>
      </c>
      <c r="B3226" s="2" t="str">
        <f>Communes_HDF!B3226</f>
        <v>Crouy-Saint-Pierre</v>
      </c>
      <c r="C3226" s="2" t="str">
        <f t="array" ref="C3226">_xlfn.XLOOKUP(A3226, INSEE_Communes!$A$2:$A$3783, INSEE_Communes!$F$2:$F$3783, "code introuvable")</f>
        <v>non publié</v>
      </c>
    </row>
    <row r="3227">
      <c r="A3227" s="2" t="str">
        <f>Communes_HDF!A3227</f>
        <v>80222</v>
      </c>
      <c r="B3227" s="2" t="str">
        <f>Communes_HDF!B3227</f>
        <v>Crécy-en-Ponthieu</v>
      </c>
      <c r="C3227" s="2" t="str">
        <f t="array" ref="C3227">_xlfn.XLOOKUP(A3227, INSEE_Communes!$A$2:$A$3783, INSEE_Communes!$F$2:$F$3783, "code introuvable")</f>
        <v>non publié</v>
      </c>
    </row>
    <row r="3228">
      <c r="A3228" s="2" t="str">
        <f>Communes_HDF!A3228</f>
        <v>80223</v>
      </c>
      <c r="B3228" s="2" t="str">
        <f>Communes_HDF!B3228</f>
        <v>Crémery</v>
      </c>
      <c r="C3228" s="2" t="str">
        <f t="array" ref="C3228">_xlfn.XLOOKUP(A3228, INSEE_Communes!$A$2:$A$3783, INSEE_Communes!$F$2:$F$3783, "code introuvable")</f>
        <v>non publié</v>
      </c>
    </row>
    <row r="3229">
      <c r="A3229" s="2" t="str">
        <f>Communes_HDF!A3229</f>
        <v>80230</v>
      </c>
      <c r="B3229" s="2" t="str">
        <f>Communes_HDF!B3229</f>
        <v>Curchy</v>
      </c>
      <c r="C3229" s="2" t="str">
        <f t="array" ref="C3229">_xlfn.XLOOKUP(A3229, INSEE_Communes!$A$2:$A$3783, INSEE_Communes!$F$2:$F$3783, "code introuvable")</f>
        <v>non publié</v>
      </c>
    </row>
    <row r="3230">
      <c r="A3230" s="2" t="str">
        <f>Communes_HDF!A3230</f>
        <v>80231</v>
      </c>
      <c r="B3230" s="2" t="str">
        <f>Communes_HDF!B3230</f>
        <v>Curlu</v>
      </c>
      <c r="C3230" s="2" t="str">
        <f t="array" ref="C3230">_xlfn.XLOOKUP(A3230, INSEE_Communes!$A$2:$A$3783, INSEE_Communes!$F$2:$F$3783, "code introuvable")</f>
        <v>non publié</v>
      </c>
    </row>
    <row r="3231">
      <c r="A3231" s="2" t="str">
        <f>Communes_HDF!A3231</f>
        <v>80232</v>
      </c>
      <c r="B3231" s="2" t="str">
        <f>Communes_HDF!B3231</f>
        <v>Damery</v>
      </c>
      <c r="C3231" s="2" t="str">
        <f t="array" ref="C3231">_xlfn.XLOOKUP(A3231, INSEE_Communes!$A$2:$A$3783, INSEE_Communes!$F$2:$F$3783, "code introuvable")</f>
        <v>non publié</v>
      </c>
    </row>
    <row r="3232">
      <c r="A3232" s="2" t="str">
        <f>Communes_HDF!A3232</f>
        <v>80233</v>
      </c>
      <c r="B3232" s="2" t="str">
        <f>Communes_HDF!B3232</f>
        <v>Dancourt-Popincourt</v>
      </c>
      <c r="C3232" s="2" t="str">
        <f t="array" ref="C3232">_xlfn.XLOOKUP(A3232, INSEE_Communes!$A$2:$A$3783, INSEE_Communes!$F$2:$F$3783, "code introuvable")</f>
        <v>non publié</v>
      </c>
    </row>
    <row r="3233">
      <c r="A3233" s="2" t="str">
        <f>Communes_HDF!A3233</f>
        <v>80234</v>
      </c>
      <c r="B3233" s="2" t="str">
        <f>Communes_HDF!B3233</f>
        <v>Daours</v>
      </c>
      <c r="C3233" s="2" t="str">
        <f t="array" ref="C3233">_xlfn.XLOOKUP(A3233, INSEE_Communes!$A$2:$A$3783, INSEE_Communes!$F$2:$F$3783, "code introuvable")</f>
        <v>non publié</v>
      </c>
    </row>
    <row r="3234">
      <c r="A3234" s="2" t="str">
        <f>Communes_HDF!A3234</f>
        <v>80235</v>
      </c>
      <c r="B3234" s="2" t="str">
        <f>Communes_HDF!B3234</f>
        <v>Dargnies</v>
      </c>
      <c r="C3234" s="2" t="str">
        <f t="array" ref="C3234">_xlfn.XLOOKUP(A3234, INSEE_Communes!$A$2:$A$3783, INSEE_Communes!$F$2:$F$3783, "code introuvable")</f>
        <v>non publié</v>
      </c>
    </row>
    <row r="3235">
      <c r="A3235" s="2" t="str">
        <f>Communes_HDF!A3235</f>
        <v>80236</v>
      </c>
      <c r="B3235" s="2" t="str">
        <f>Communes_HDF!B3235</f>
        <v>Davenescourt</v>
      </c>
      <c r="C3235" s="2" t="str">
        <f t="array" ref="C3235">_xlfn.XLOOKUP(A3235, INSEE_Communes!$A$2:$A$3783, INSEE_Communes!$F$2:$F$3783, "code introuvable")</f>
        <v>non publié</v>
      </c>
    </row>
    <row r="3236">
      <c r="A3236" s="2" t="str">
        <f>Communes_HDF!A3236</f>
        <v>80238</v>
      </c>
      <c r="B3236" s="2" t="str">
        <f>Communes_HDF!B3236</f>
        <v>Dernancourt</v>
      </c>
      <c r="C3236" s="2" t="str">
        <f t="array" ref="C3236">_xlfn.XLOOKUP(A3236, INSEE_Communes!$A$2:$A$3783, INSEE_Communes!$F$2:$F$3783, "code introuvable")</f>
        <v>non publié</v>
      </c>
    </row>
    <row r="3237">
      <c r="A3237" s="2" t="str">
        <f>Communes_HDF!A3237</f>
        <v>80239</v>
      </c>
      <c r="B3237" s="2" t="str">
        <f>Communes_HDF!B3237</f>
        <v>Devise</v>
      </c>
      <c r="C3237" s="2" t="str">
        <f t="array" ref="C3237">_xlfn.XLOOKUP(A3237, INSEE_Communes!$A$2:$A$3783, INSEE_Communes!$F$2:$F$3783, "code introuvable")</f>
        <v>non publié</v>
      </c>
    </row>
    <row r="3238">
      <c r="A3238" s="2" t="str">
        <f>Communes_HDF!A3238</f>
        <v>80240</v>
      </c>
      <c r="B3238" s="2" t="str">
        <f>Communes_HDF!B3238</f>
        <v>Doingt</v>
      </c>
      <c r="C3238" s="2" t="str">
        <f t="array" ref="C3238">_xlfn.XLOOKUP(A3238, INSEE_Communes!$A$2:$A$3783, INSEE_Communes!$F$2:$F$3783, "code introuvable")</f>
        <v>non publié</v>
      </c>
    </row>
    <row r="3239">
      <c r="A3239" s="2" t="str">
        <f>Communes_HDF!A3239</f>
        <v>80241</v>
      </c>
      <c r="B3239" s="2" t="str">
        <f>Communes_HDF!B3239</f>
        <v>Domart-en-Ponthieu</v>
      </c>
      <c r="C3239" s="2" t="str">
        <f t="array" ref="C3239">_xlfn.XLOOKUP(A3239, INSEE_Communes!$A$2:$A$3783, INSEE_Communes!$F$2:$F$3783, "code introuvable")</f>
        <v>non publié</v>
      </c>
    </row>
    <row r="3240">
      <c r="A3240" s="2" t="str">
        <f>Communes_HDF!A3240</f>
        <v>80242</v>
      </c>
      <c r="B3240" s="2" t="str">
        <f>Communes_HDF!B3240</f>
        <v>Domart-sur-la-Luce</v>
      </c>
      <c r="C3240" s="2" t="str">
        <f t="array" ref="C3240">_xlfn.XLOOKUP(A3240, INSEE_Communes!$A$2:$A$3783, INSEE_Communes!$F$2:$F$3783, "code introuvable")</f>
        <v>non publié</v>
      </c>
    </row>
    <row r="3241">
      <c r="A3241" s="2" t="str">
        <f>Communes_HDF!A3241</f>
        <v>80243</v>
      </c>
      <c r="B3241" s="2" t="str">
        <f>Communes_HDF!B3241</f>
        <v>Domesmont</v>
      </c>
      <c r="C3241" s="2" t="str">
        <f t="array" ref="C3241">_xlfn.XLOOKUP(A3241, INSEE_Communes!$A$2:$A$3783, INSEE_Communes!$F$2:$F$3783, "code introuvable")</f>
        <v>non publié</v>
      </c>
    </row>
    <row r="3242">
      <c r="A3242" s="2" t="str">
        <f>Communes_HDF!A3242</f>
        <v>80244</v>
      </c>
      <c r="B3242" s="2" t="str">
        <f>Communes_HDF!B3242</f>
        <v>Dominois</v>
      </c>
      <c r="C3242" s="2" t="str">
        <f t="array" ref="C3242">_xlfn.XLOOKUP(A3242, INSEE_Communes!$A$2:$A$3783, INSEE_Communes!$F$2:$F$3783, "code introuvable")</f>
        <v>non publié</v>
      </c>
    </row>
    <row r="3243">
      <c r="A3243" s="2" t="str">
        <f>Communes_HDF!A3243</f>
        <v>80245</v>
      </c>
      <c r="B3243" s="2" t="str">
        <f>Communes_HDF!B3243</f>
        <v>Domléger-Longvillers</v>
      </c>
      <c r="C3243" s="2" t="str">
        <f t="array" ref="C3243">_xlfn.XLOOKUP(A3243, INSEE_Communes!$A$2:$A$3783, INSEE_Communes!$F$2:$F$3783, "code introuvable")</f>
        <v>non publié</v>
      </c>
    </row>
    <row r="3244">
      <c r="A3244" s="2" t="str">
        <f>Communes_HDF!A3244</f>
        <v>80246</v>
      </c>
      <c r="B3244" s="2" t="str">
        <f>Communes_HDF!B3244</f>
        <v>Dommartin</v>
      </c>
      <c r="C3244" s="2" t="str">
        <f t="array" ref="C3244">_xlfn.XLOOKUP(A3244, INSEE_Communes!$A$2:$A$3783, INSEE_Communes!$F$2:$F$3783, "code introuvable")</f>
        <v>non publié</v>
      </c>
    </row>
    <row r="3245">
      <c r="A3245" s="2" t="str">
        <f>Communes_HDF!A3245</f>
        <v>80247</v>
      </c>
      <c r="B3245" s="2" t="str">
        <f>Communes_HDF!B3245</f>
        <v>Dompierre-Becquincourt</v>
      </c>
      <c r="C3245" s="2" t="str">
        <f t="array" ref="C3245">_xlfn.XLOOKUP(A3245, INSEE_Communes!$A$2:$A$3783, INSEE_Communes!$F$2:$F$3783, "code introuvable")</f>
        <v>non publié</v>
      </c>
    </row>
    <row r="3246">
      <c r="A3246" s="2" t="str">
        <f>Communes_HDF!A3246</f>
        <v>80248</v>
      </c>
      <c r="B3246" s="2" t="str">
        <f>Communes_HDF!B3246</f>
        <v>Dompierre-sur-Authie</v>
      </c>
      <c r="C3246" s="2" t="str">
        <f t="array" ref="C3246">_xlfn.XLOOKUP(A3246, INSEE_Communes!$A$2:$A$3783, INSEE_Communes!$F$2:$F$3783, "code introuvable")</f>
        <v>non publié</v>
      </c>
    </row>
    <row r="3247">
      <c r="A3247" s="2" t="str">
        <f>Communes_HDF!A3247</f>
        <v>80249</v>
      </c>
      <c r="B3247" s="2" t="str">
        <f>Communes_HDF!B3247</f>
        <v>Domqueur</v>
      </c>
      <c r="C3247" s="2" t="str">
        <f t="array" ref="C3247">_xlfn.XLOOKUP(A3247, INSEE_Communes!$A$2:$A$3783, INSEE_Communes!$F$2:$F$3783, "code introuvable")</f>
        <v>non publié</v>
      </c>
    </row>
    <row r="3248">
      <c r="A3248" s="2" t="str">
        <f>Communes_HDF!A3248</f>
        <v>80250</v>
      </c>
      <c r="B3248" s="2" t="str">
        <f>Communes_HDF!B3248</f>
        <v>Domvast</v>
      </c>
      <c r="C3248" s="2" t="str">
        <f t="array" ref="C3248">_xlfn.XLOOKUP(A3248, INSEE_Communes!$A$2:$A$3783, INSEE_Communes!$F$2:$F$3783, "code introuvable")</f>
        <v>non publié</v>
      </c>
    </row>
    <row r="3249">
      <c r="A3249" s="2" t="str">
        <f>Communes_HDF!A3249</f>
        <v>80251</v>
      </c>
      <c r="B3249" s="2" t="str">
        <f>Communes_HDF!B3249</f>
        <v>Doudelainville</v>
      </c>
      <c r="C3249" s="2" t="str">
        <f t="array" ref="C3249">_xlfn.XLOOKUP(A3249, INSEE_Communes!$A$2:$A$3783, INSEE_Communes!$F$2:$F$3783, "code introuvable")</f>
        <v>non publié</v>
      </c>
    </row>
    <row r="3250">
      <c r="A3250" s="2" t="str">
        <f>Communes_HDF!A3250</f>
        <v>80252</v>
      </c>
      <c r="B3250" s="2" t="str">
        <f>Communes_HDF!B3250</f>
        <v>Douilly</v>
      </c>
      <c r="C3250" s="2" t="str">
        <f t="array" ref="C3250">_xlfn.XLOOKUP(A3250, INSEE_Communes!$A$2:$A$3783, INSEE_Communes!$F$2:$F$3783, "code introuvable")</f>
        <v>non publié</v>
      </c>
    </row>
    <row r="3251">
      <c r="A3251" s="2" t="str">
        <f>Communes_HDF!A3251</f>
        <v>80253</v>
      </c>
      <c r="B3251" s="2" t="str">
        <f>Communes_HDF!B3251</f>
        <v>Doullens</v>
      </c>
      <c r="C3251" s="2">
        <f t="array" ref="C3251">_xlfn.XLOOKUP(A3251, INSEE_Communes!$A$2:$A$3783, INSEE_Communes!$F$2:$F$3783, "code introuvable")</f>
        <v>28</v>
      </c>
    </row>
    <row r="3252">
      <c r="A3252" s="2" t="str">
        <f>Communes_HDF!A3252</f>
        <v>80256</v>
      </c>
      <c r="B3252" s="2" t="str">
        <f>Communes_HDF!B3252</f>
        <v>Dreuil-lès-Amiens</v>
      </c>
      <c r="C3252" s="2" t="str">
        <f t="array" ref="C3252">_xlfn.XLOOKUP(A3252, INSEE_Communes!$A$2:$A$3783, INSEE_Communes!$F$2:$F$3783, "code introuvable")</f>
        <v>non publié</v>
      </c>
    </row>
    <row r="3253">
      <c r="A3253" s="2" t="str">
        <f>Communes_HDF!A3253</f>
        <v>80258</v>
      </c>
      <c r="B3253" s="2" t="str">
        <f>Communes_HDF!B3253</f>
        <v>Driencourt</v>
      </c>
      <c r="C3253" s="2" t="str">
        <f t="array" ref="C3253">_xlfn.XLOOKUP(A3253, INSEE_Communes!$A$2:$A$3783, INSEE_Communes!$F$2:$F$3783, "code introuvable")</f>
        <v>non publié</v>
      </c>
    </row>
    <row r="3254">
      <c r="A3254" s="2" t="str">
        <f>Communes_HDF!A3254</f>
        <v>80259</v>
      </c>
      <c r="B3254" s="2" t="str">
        <f>Communes_HDF!B3254</f>
        <v>Dromesnil</v>
      </c>
      <c r="C3254" s="2" t="str">
        <f t="array" ref="C3254">_xlfn.XLOOKUP(A3254, INSEE_Communes!$A$2:$A$3783, INSEE_Communes!$F$2:$F$3783, "code introuvable")</f>
        <v>non publié</v>
      </c>
    </row>
    <row r="3255">
      <c r="A3255" s="2" t="str">
        <f>Communes_HDF!A3255</f>
        <v>80260</v>
      </c>
      <c r="B3255" s="2" t="str">
        <f>Communes_HDF!B3255</f>
        <v>Drucat</v>
      </c>
      <c r="C3255" s="2" t="str">
        <f t="array" ref="C3255">_xlfn.XLOOKUP(A3255, INSEE_Communes!$A$2:$A$3783, INSEE_Communes!$F$2:$F$3783, "code introuvable")</f>
        <v>non publié</v>
      </c>
    </row>
    <row r="3256">
      <c r="A3256" s="2" t="str">
        <f>Communes_HDF!A3256</f>
        <v>80261</v>
      </c>
      <c r="B3256" s="2" t="str">
        <f>Communes_HDF!B3256</f>
        <v>Dury</v>
      </c>
      <c r="C3256" s="2" t="str">
        <f t="array" ref="C3256">_xlfn.XLOOKUP(A3256, INSEE_Communes!$A$2:$A$3783, INSEE_Communes!$F$2:$F$3783, "code introuvable")</f>
        <v>non publié</v>
      </c>
    </row>
    <row r="3257">
      <c r="A3257" s="2" t="str">
        <f>Communes_HDF!A3257</f>
        <v>80237</v>
      </c>
      <c r="B3257" s="2" t="str">
        <f>Communes_HDF!B3257</f>
        <v>Démuin</v>
      </c>
      <c r="C3257" s="2" t="str">
        <f t="array" ref="C3257">_xlfn.XLOOKUP(A3257, INSEE_Communes!$A$2:$A$3783, INSEE_Communes!$F$2:$F$3783, "code introuvable")</f>
        <v>non publié</v>
      </c>
    </row>
    <row r="3258">
      <c r="A3258" s="2" t="str">
        <f>Communes_HDF!A3258</f>
        <v>80262</v>
      </c>
      <c r="B3258" s="2" t="str">
        <f>Communes_HDF!B3258</f>
        <v>Eaucourt-sur-Somme</v>
      </c>
      <c r="C3258" s="2" t="str">
        <f t="array" ref="C3258">_xlfn.XLOOKUP(A3258, INSEE_Communes!$A$2:$A$3783, INSEE_Communes!$F$2:$F$3783, "code introuvable")</f>
        <v>non publié</v>
      </c>
    </row>
    <row r="3259">
      <c r="A3259" s="2" t="str">
        <f>Communes_HDF!A3259</f>
        <v>80265</v>
      </c>
      <c r="B3259" s="2" t="str">
        <f>Communes_HDF!B3259</f>
        <v>Embreville</v>
      </c>
      <c r="C3259" s="2" t="str">
        <f t="array" ref="C3259">_xlfn.XLOOKUP(A3259, INSEE_Communes!$A$2:$A$3783, INSEE_Communes!$F$2:$F$3783, "code introuvable")</f>
        <v>non publié</v>
      </c>
    </row>
    <row r="3260">
      <c r="A3260" s="2" t="str">
        <f>Communes_HDF!A3260</f>
        <v>80266</v>
      </c>
      <c r="B3260" s="2" t="str">
        <f>Communes_HDF!B3260</f>
        <v>Englebelmer</v>
      </c>
      <c r="C3260" s="2" t="str">
        <f t="array" ref="C3260">_xlfn.XLOOKUP(A3260, INSEE_Communes!$A$2:$A$3783, INSEE_Communes!$F$2:$F$3783, "code introuvable")</f>
        <v>non publié</v>
      </c>
    </row>
    <row r="3261">
      <c r="A3261" s="2" t="str">
        <f>Communes_HDF!A3261</f>
        <v>80267</v>
      </c>
      <c r="B3261" s="2" t="str">
        <f>Communes_HDF!B3261</f>
        <v>Ennemain</v>
      </c>
      <c r="C3261" s="2" t="str">
        <f t="array" ref="C3261">_xlfn.XLOOKUP(A3261, INSEE_Communes!$A$2:$A$3783, INSEE_Communes!$F$2:$F$3783, "code introuvable")</f>
        <v>non publié</v>
      </c>
    </row>
    <row r="3262">
      <c r="A3262" s="2" t="str">
        <f>Communes_HDF!A3262</f>
        <v>80274</v>
      </c>
      <c r="B3262" s="2" t="str">
        <f>Communes_HDF!B3262</f>
        <v>Eppeville</v>
      </c>
      <c r="C3262" s="2" t="str">
        <f t="array" ref="C3262">_xlfn.XLOOKUP(A3262, INSEE_Communes!$A$2:$A$3783, INSEE_Communes!$F$2:$F$3783, "code introuvable")</f>
        <v>non publié</v>
      </c>
    </row>
    <row r="3263">
      <c r="A3263" s="2" t="str">
        <f>Communes_HDF!A3263</f>
        <v>80278</v>
      </c>
      <c r="B3263" s="2" t="str">
        <f>Communes_HDF!B3263</f>
        <v>Erches</v>
      </c>
      <c r="C3263" s="2" t="str">
        <f t="array" ref="C3263">_xlfn.XLOOKUP(A3263, INSEE_Communes!$A$2:$A$3783, INSEE_Communes!$F$2:$F$3783, "code introuvable")</f>
        <v>non publié</v>
      </c>
    </row>
    <row r="3264">
      <c r="A3264" s="2" t="str">
        <f>Communes_HDF!A3264</f>
        <v>80279</v>
      </c>
      <c r="B3264" s="2" t="str">
        <f>Communes_HDF!B3264</f>
        <v>Ercheu</v>
      </c>
      <c r="C3264" s="2" t="str">
        <f t="array" ref="C3264">_xlfn.XLOOKUP(A3264, INSEE_Communes!$A$2:$A$3783, INSEE_Communes!$F$2:$F$3783, "code introuvable")</f>
        <v>non publié</v>
      </c>
    </row>
    <row r="3265">
      <c r="A3265" s="2" t="str">
        <f>Communes_HDF!A3265</f>
        <v>80280</v>
      </c>
      <c r="B3265" s="2" t="str">
        <f>Communes_HDF!B3265</f>
        <v>Ercourt</v>
      </c>
      <c r="C3265" s="2" t="str">
        <f t="array" ref="C3265">_xlfn.XLOOKUP(A3265, INSEE_Communes!$A$2:$A$3783, INSEE_Communes!$F$2:$F$3783, "code introuvable")</f>
        <v>non publié</v>
      </c>
    </row>
    <row r="3266">
      <c r="A3266" s="2" t="str">
        <f>Communes_HDF!A3266</f>
        <v>80281</v>
      </c>
      <c r="B3266" s="2" t="str">
        <f>Communes_HDF!B3266</f>
        <v>Ergnies</v>
      </c>
      <c r="C3266" s="2" t="str">
        <f t="array" ref="C3266">_xlfn.XLOOKUP(A3266, INSEE_Communes!$A$2:$A$3783, INSEE_Communes!$F$2:$F$3783, "code introuvable")</f>
        <v>non publié</v>
      </c>
    </row>
    <row r="3267">
      <c r="A3267" s="2" t="str">
        <f>Communes_HDF!A3267</f>
        <v>80283</v>
      </c>
      <c r="B3267" s="2" t="str">
        <f>Communes_HDF!B3267</f>
        <v>Esclainvillers</v>
      </c>
      <c r="C3267" s="2" t="str">
        <f t="array" ref="C3267">_xlfn.XLOOKUP(A3267, INSEE_Communes!$A$2:$A$3783, INSEE_Communes!$F$2:$F$3783, "code introuvable")</f>
        <v>non publié</v>
      </c>
    </row>
    <row r="3268">
      <c r="A3268" s="2" t="str">
        <f>Communes_HDF!A3268</f>
        <v>80284</v>
      </c>
      <c r="B3268" s="2" t="str">
        <f>Communes_HDF!B3268</f>
        <v>Esmery-Hallon</v>
      </c>
      <c r="C3268" s="2" t="str">
        <f t="array" ref="C3268">_xlfn.XLOOKUP(A3268, INSEE_Communes!$A$2:$A$3783, INSEE_Communes!$F$2:$F$3783, "code introuvable")</f>
        <v>non publié</v>
      </c>
    </row>
    <row r="3269">
      <c r="A3269" s="2" t="str">
        <f>Communes_HDF!A3269</f>
        <v>80285</v>
      </c>
      <c r="B3269" s="2" t="str">
        <f>Communes_HDF!B3269</f>
        <v>Essertaux</v>
      </c>
      <c r="C3269" s="2" t="str">
        <f t="array" ref="C3269">_xlfn.XLOOKUP(A3269, INSEE_Communes!$A$2:$A$3783, INSEE_Communes!$F$2:$F$3783, "code introuvable")</f>
        <v>non publié</v>
      </c>
    </row>
    <row r="3270">
      <c r="A3270" s="2" t="str">
        <f>Communes_HDF!A3270</f>
        <v>80287</v>
      </c>
      <c r="B3270" s="2" t="str">
        <f>Communes_HDF!B3270</f>
        <v>Estrébœuf</v>
      </c>
      <c r="C3270" s="2" t="str">
        <f t="array" ref="C3270">_xlfn.XLOOKUP(A3270, INSEE_Communes!$A$2:$A$3783, INSEE_Communes!$F$2:$F$3783, "code introuvable")</f>
        <v>non publié</v>
      </c>
    </row>
    <row r="3271">
      <c r="A3271" s="2" t="str">
        <f>Communes_HDF!A3271</f>
        <v>80288</v>
      </c>
      <c r="B3271" s="2" t="str">
        <f>Communes_HDF!B3271</f>
        <v>Estrées-Deniécourt</v>
      </c>
      <c r="C3271" s="2" t="str">
        <f t="array" ref="C3271">_xlfn.XLOOKUP(A3271, INSEE_Communes!$A$2:$A$3783, INSEE_Communes!$F$2:$F$3783, "code introuvable")</f>
        <v>non publié</v>
      </c>
    </row>
    <row r="3272">
      <c r="A3272" s="2" t="str">
        <f>Communes_HDF!A3272</f>
        <v>80557</v>
      </c>
      <c r="B3272" s="2" t="str">
        <f>Communes_HDF!B3272</f>
        <v>Estrées-Mons</v>
      </c>
      <c r="C3272" s="2" t="str">
        <f t="array" ref="C3272">_xlfn.XLOOKUP(A3272, INSEE_Communes!$A$2:$A$3783, INSEE_Communes!$F$2:$F$3783, "code introuvable")</f>
        <v>non publié</v>
      </c>
    </row>
    <row r="3273">
      <c r="A3273" s="2" t="str">
        <f>Communes_HDF!A3273</f>
        <v>80290</v>
      </c>
      <c r="B3273" s="2" t="str">
        <f>Communes_HDF!B3273</f>
        <v>Estrées-lès-Crécy</v>
      </c>
      <c r="C3273" s="2" t="str">
        <f t="array" ref="C3273">_xlfn.XLOOKUP(A3273, INSEE_Communes!$A$2:$A$3783, INSEE_Communes!$F$2:$F$3783, "code introuvable")</f>
        <v>non publié</v>
      </c>
    </row>
    <row r="3274">
      <c r="A3274" s="2" t="str">
        <f>Communes_HDF!A3274</f>
        <v>80291</v>
      </c>
      <c r="B3274" s="2" t="str">
        <f>Communes_HDF!B3274</f>
        <v>Estrées-sur-Noye</v>
      </c>
      <c r="C3274" s="2" t="str">
        <f t="array" ref="C3274">_xlfn.XLOOKUP(A3274, INSEE_Communes!$A$2:$A$3783, INSEE_Communes!$F$2:$F$3783, "code introuvable")</f>
        <v>non publié</v>
      </c>
    </row>
    <row r="3275">
      <c r="A3275" s="2" t="str">
        <f>Communes_HDF!A3275</f>
        <v>80300</v>
      </c>
      <c r="B3275" s="2" t="str">
        <f>Communes_HDF!B3275</f>
        <v>Falvy</v>
      </c>
      <c r="C3275" s="2" t="str">
        <f t="array" ref="C3275">_xlfn.XLOOKUP(A3275, INSEE_Communes!$A$2:$A$3783, INSEE_Communes!$F$2:$F$3783, "code introuvable")</f>
        <v>non publié</v>
      </c>
    </row>
    <row r="3276">
      <c r="A3276" s="2" t="str">
        <f>Communes_HDF!A3276</f>
        <v>80301</v>
      </c>
      <c r="B3276" s="2" t="str">
        <f>Communes_HDF!B3276</f>
        <v>Famechon</v>
      </c>
      <c r="C3276" s="2" t="str">
        <f t="array" ref="C3276">_xlfn.XLOOKUP(A3276, INSEE_Communes!$A$2:$A$3783, INSEE_Communes!$F$2:$F$3783, "code introuvable")</f>
        <v>non publié</v>
      </c>
    </row>
    <row r="3277">
      <c r="A3277" s="2" t="str">
        <f>Communes_HDF!A3277</f>
        <v>80302</v>
      </c>
      <c r="B3277" s="2" t="str">
        <f>Communes_HDF!B3277</f>
        <v>Faverolles</v>
      </c>
      <c r="C3277" s="2" t="str">
        <f t="array" ref="C3277">_xlfn.XLOOKUP(A3277, INSEE_Communes!$A$2:$A$3783, INSEE_Communes!$F$2:$F$3783, "code introuvable")</f>
        <v>non publié</v>
      </c>
    </row>
    <row r="3278">
      <c r="A3278" s="2" t="str">
        <f>Communes_HDF!A3278</f>
        <v>80303</v>
      </c>
      <c r="B3278" s="2" t="str">
        <f>Communes_HDF!B3278</f>
        <v>Favières</v>
      </c>
      <c r="C3278" s="2" t="str">
        <f t="array" ref="C3278">_xlfn.XLOOKUP(A3278, INSEE_Communes!$A$2:$A$3783, INSEE_Communes!$F$2:$F$3783, "code introuvable")</f>
        <v>non publié</v>
      </c>
    </row>
    <row r="3279">
      <c r="A3279" s="2" t="str">
        <f>Communes_HDF!A3279</f>
        <v>80304</v>
      </c>
      <c r="B3279" s="2" t="str">
        <f>Communes_HDF!B3279</f>
        <v>Fay</v>
      </c>
      <c r="C3279" s="2" t="str">
        <f t="array" ref="C3279">_xlfn.XLOOKUP(A3279, INSEE_Communes!$A$2:$A$3783, INSEE_Communes!$F$2:$F$3783, "code introuvable")</f>
        <v>non publié</v>
      </c>
    </row>
    <row r="3280">
      <c r="A3280" s="2" t="str">
        <f>Communes_HDF!A3280</f>
        <v>80305</v>
      </c>
      <c r="B3280" s="2" t="str">
        <f>Communes_HDF!B3280</f>
        <v>Ferrières</v>
      </c>
      <c r="C3280" s="2" t="str">
        <f t="array" ref="C3280">_xlfn.XLOOKUP(A3280, INSEE_Communes!$A$2:$A$3783, INSEE_Communes!$F$2:$F$3783, "code introuvable")</f>
        <v>non publié</v>
      </c>
    </row>
    <row r="3281">
      <c r="A3281" s="2" t="str">
        <f>Communes_HDF!A3281</f>
        <v>80306</v>
      </c>
      <c r="B3281" s="2" t="str">
        <f>Communes_HDF!B3281</f>
        <v>Fescamps</v>
      </c>
      <c r="C3281" s="2" t="str">
        <f t="array" ref="C3281">_xlfn.XLOOKUP(A3281, INSEE_Communes!$A$2:$A$3783, INSEE_Communes!$F$2:$F$3783, "code introuvable")</f>
        <v>non publié</v>
      </c>
    </row>
    <row r="3282">
      <c r="A3282" s="2" t="str">
        <f>Communes_HDF!A3282</f>
        <v>80307</v>
      </c>
      <c r="B3282" s="2" t="str">
        <f>Communes_HDF!B3282</f>
        <v>Feuillères</v>
      </c>
      <c r="C3282" s="2" t="str">
        <f t="array" ref="C3282">_xlfn.XLOOKUP(A3282, INSEE_Communes!$A$2:$A$3783, INSEE_Communes!$F$2:$F$3783, "code introuvable")</f>
        <v>non publié</v>
      </c>
    </row>
    <row r="3283">
      <c r="A3283" s="2" t="str">
        <f>Communes_HDF!A3283</f>
        <v>80308</v>
      </c>
      <c r="B3283" s="2" t="str">
        <f>Communes_HDF!B3283</f>
        <v>Feuquières-en-Vimeu</v>
      </c>
      <c r="C3283" s="2">
        <f t="array" ref="C3283">_xlfn.XLOOKUP(A3283, INSEE_Communes!$A$2:$A$3783, INSEE_Communes!$F$2:$F$3783, "code introuvable")</f>
        <v>16</v>
      </c>
    </row>
    <row r="3284">
      <c r="A3284" s="2" t="str">
        <f>Communes_HDF!A3284</f>
        <v>80566</v>
      </c>
      <c r="B3284" s="2" t="str">
        <f>Communes_HDF!B3284</f>
        <v>Fieffes-Montrelet</v>
      </c>
      <c r="C3284" s="2" t="str">
        <f t="array" ref="C3284">_xlfn.XLOOKUP(A3284, INSEE_Communes!$A$2:$A$3783, INSEE_Communes!$F$2:$F$3783, "code introuvable")</f>
        <v>non publié</v>
      </c>
    </row>
    <row r="3285">
      <c r="A3285" s="2" t="str">
        <f>Communes_HDF!A3285</f>
        <v>80310</v>
      </c>
      <c r="B3285" s="2" t="str">
        <f>Communes_HDF!B3285</f>
        <v>Fienvillers</v>
      </c>
      <c r="C3285" s="2" t="str">
        <f t="array" ref="C3285">_xlfn.XLOOKUP(A3285, INSEE_Communes!$A$2:$A$3783, INSEE_Communes!$F$2:$F$3783, "code introuvable")</f>
        <v>non publié</v>
      </c>
    </row>
    <row r="3286">
      <c r="A3286" s="2" t="str">
        <f>Communes_HDF!A3286</f>
        <v>80311</v>
      </c>
      <c r="B3286" s="2" t="str">
        <f>Communes_HDF!B3286</f>
        <v>Fignières</v>
      </c>
      <c r="C3286" s="2" t="str">
        <f t="array" ref="C3286">_xlfn.XLOOKUP(A3286, INSEE_Communes!$A$2:$A$3783, INSEE_Communes!$F$2:$F$3783, "code introuvable")</f>
        <v>non publié</v>
      </c>
    </row>
    <row r="3287">
      <c r="A3287" s="2" t="str">
        <f>Communes_HDF!A3287</f>
        <v>80312</v>
      </c>
      <c r="B3287" s="2" t="str">
        <f>Communes_HDF!B3287</f>
        <v>Fins</v>
      </c>
      <c r="C3287" s="2" t="str">
        <f t="array" ref="C3287">_xlfn.XLOOKUP(A3287, INSEE_Communes!$A$2:$A$3783, INSEE_Communes!$F$2:$F$3783, "code introuvable")</f>
        <v>non publié</v>
      </c>
    </row>
    <row r="3288">
      <c r="A3288" s="2" t="str">
        <f>Communes_HDF!A3288</f>
        <v>80313</v>
      </c>
      <c r="B3288" s="2" t="str">
        <f>Communes_HDF!B3288</f>
        <v>Flaucourt</v>
      </c>
      <c r="C3288" s="2" t="str">
        <f t="array" ref="C3288">_xlfn.XLOOKUP(A3288, INSEE_Communes!$A$2:$A$3783, INSEE_Communes!$F$2:$F$3783, "code introuvable")</f>
        <v>non publié</v>
      </c>
    </row>
    <row r="3289">
      <c r="A3289" s="2" t="str">
        <f>Communes_HDF!A3289</f>
        <v>80314</v>
      </c>
      <c r="B3289" s="2" t="str">
        <f>Communes_HDF!B3289</f>
        <v>Flers</v>
      </c>
      <c r="C3289" s="2" t="str">
        <f t="array" ref="C3289">_xlfn.XLOOKUP(A3289, INSEE_Communes!$A$2:$A$3783, INSEE_Communes!$F$2:$F$3783, "code introuvable")</f>
        <v>non publié</v>
      </c>
    </row>
    <row r="3290">
      <c r="A3290" s="2" t="str">
        <f>Communes_HDF!A3290</f>
        <v>80315</v>
      </c>
      <c r="B3290" s="2" t="str">
        <f>Communes_HDF!B3290</f>
        <v>Flers-sur-Noye</v>
      </c>
      <c r="C3290" s="2" t="str">
        <f t="array" ref="C3290">_xlfn.XLOOKUP(A3290, INSEE_Communes!$A$2:$A$3783, INSEE_Communes!$F$2:$F$3783, "code introuvable")</f>
        <v>non publié</v>
      </c>
    </row>
    <row r="3291">
      <c r="A3291" s="2" t="str">
        <f>Communes_HDF!A3291</f>
        <v>80316</v>
      </c>
      <c r="B3291" s="2" t="str">
        <f>Communes_HDF!B3291</f>
        <v>Flesselles</v>
      </c>
      <c r="C3291" s="2" t="str">
        <f t="array" ref="C3291">_xlfn.XLOOKUP(A3291, INSEE_Communes!$A$2:$A$3783, INSEE_Communes!$F$2:$F$3783, "code introuvable")</f>
        <v>non publié</v>
      </c>
    </row>
    <row r="3292">
      <c r="A3292" s="2" t="str">
        <f>Communes_HDF!A3292</f>
        <v>80317</v>
      </c>
      <c r="B3292" s="2" t="str">
        <f>Communes_HDF!B3292</f>
        <v>Fleury</v>
      </c>
      <c r="C3292" s="2" t="str">
        <f t="array" ref="C3292">_xlfn.XLOOKUP(A3292, INSEE_Communes!$A$2:$A$3783, INSEE_Communes!$F$2:$F$3783, "code introuvable")</f>
        <v>non publié</v>
      </c>
    </row>
    <row r="3293">
      <c r="A3293" s="2" t="str">
        <f>Communes_HDF!A3293</f>
        <v>80318</v>
      </c>
      <c r="B3293" s="2" t="str">
        <f>Communes_HDF!B3293</f>
        <v>Flixecourt</v>
      </c>
      <c r="C3293" s="2">
        <f t="array" ref="C3293">_xlfn.XLOOKUP(A3293, INSEE_Communes!$A$2:$A$3783, INSEE_Communes!$F$2:$F$3783, "code introuvable")</f>
        <v>20</v>
      </c>
    </row>
    <row r="3294">
      <c r="A3294" s="2" t="str">
        <f>Communes_HDF!A3294</f>
        <v>80319</v>
      </c>
      <c r="B3294" s="2" t="str">
        <f>Communes_HDF!B3294</f>
        <v>Fluy</v>
      </c>
      <c r="C3294" s="2" t="str">
        <f t="array" ref="C3294">_xlfn.XLOOKUP(A3294, INSEE_Communes!$A$2:$A$3783, INSEE_Communes!$F$2:$F$3783, "code introuvable")</f>
        <v>non publié</v>
      </c>
    </row>
    <row r="3295">
      <c r="A3295" s="2" t="str">
        <f>Communes_HDF!A3295</f>
        <v>80320</v>
      </c>
      <c r="B3295" s="2" t="str">
        <f>Communes_HDF!B3295</f>
        <v>Folies</v>
      </c>
      <c r="C3295" s="2" t="str">
        <f t="array" ref="C3295">_xlfn.XLOOKUP(A3295, INSEE_Communes!$A$2:$A$3783, INSEE_Communes!$F$2:$F$3783, "code introuvable")</f>
        <v>non publié</v>
      </c>
    </row>
    <row r="3296">
      <c r="A3296" s="2" t="str">
        <f>Communes_HDF!A3296</f>
        <v>80321</v>
      </c>
      <c r="B3296" s="2" t="str">
        <f>Communes_HDF!B3296</f>
        <v>Folleville</v>
      </c>
      <c r="C3296" s="2" t="str">
        <f t="array" ref="C3296">_xlfn.XLOOKUP(A3296, INSEE_Communes!$A$2:$A$3783, INSEE_Communes!$F$2:$F$3783, "code introuvable")</f>
        <v>non publié</v>
      </c>
    </row>
    <row r="3297">
      <c r="A3297" s="2" t="str">
        <f>Communes_HDF!A3297</f>
        <v>80322</v>
      </c>
      <c r="B3297" s="2" t="str">
        <f>Communes_HDF!B3297</f>
        <v>Fonches-Fonchette</v>
      </c>
      <c r="C3297" s="2" t="str">
        <f t="array" ref="C3297">_xlfn.XLOOKUP(A3297, INSEE_Communes!$A$2:$A$3783, INSEE_Communes!$F$2:$F$3783, "code introuvable")</f>
        <v>non publié</v>
      </c>
    </row>
    <row r="3298">
      <c r="A3298" s="2" t="str">
        <f>Communes_HDF!A3298</f>
        <v>80324</v>
      </c>
      <c r="B3298" s="2" t="str">
        <f>Communes_HDF!B3298</f>
        <v>Fontaine-le-Sec</v>
      </c>
      <c r="C3298" s="2" t="str">
        <f t="array" ref="C3298">_xlfn.XLOOKUP(A3298, INSEE_Communes!$A$2:$A$3783, INSEE_Communes!$F$2:$F$3783, "code introuvable")</f>
        <v>non publié</v>
      </c>
    </row>
    <row r="3299">
      <c r="A3299" s="2" t="str">
        <f>Communes_HDF!A3299</f>
        <v>80325</v>
      </c>
      <c r="B3299" s="2" t="str">
        <f>Communes_HDF!B3299</f>
        <v>Fontaine-lès-Cappy</v>
      </c>
      <c r="C3299" s="2" t="str">
        <f t="array" ref="C3299">_xlfn.XLOOKUP(A3299, INSEE_Communes!$A$2:$A$3783, INSEE_Communes!$F$2:$F$3783, "code introuvable")</f>
        <v>non publié</v>
      </c>
    </row>
    <row r="3300">
      <c r="A3300" s="2" t="str">
        <f>Communes_HDF!A3300</f>
        <v>80326</v>
      </c>
      <c r="B3300" s="2" t="str">
        <f>Communes_HDF!B3300</f>
        <v>Fontaine-sous-Montdidier</v>
      </c>
      <c r="C3300" s="2" t="str">
        <f t="array" ref="C3300">_xlfn.XLOOKUP(A3300, INSEE_Communes!$A$2:$A$3783, INSEE_Communes!$F$2:$F$3783, "code introuvable")</f>
        <v>non publié</v>
      </c>
    </row>
    <row r="3301">
      <c r="A3301" s="2" t="str">
        <f>Communes_HDF!A3301</f>
        <v>80327</v>
      </c>
      <c r="B3301" s="2" t="str">
        <f>Communes_HDF!B3301</f>
        <v>Fontaine-sur-Maye</v>
      </c>
      <c r="C3301" s="2" t="str">
        <f t="array" ref="C3301">_xlfn.XLOOKUP(A3301, INSEE_Communes!$A$2:$A$3783, INSEE_Communes!$F$2:$F$3783, "code introuvable")</f>
        <v>non publié</v>
      </c>
    </row>
    <row r="3302">
      <c r="A3302" s="2" t="str">
        <f>Communes_HDF!A3302</f>
        <v>80328</v>
      </c>
      <c r="B3302" s="2" t="str">
        <f>Communes_HDF!B3302</f>
        <v>Fontaine-sur-Somme</v>
      </c>
      <c r="C3302" s="2" t="str">
        <f t="array" ref="C3302">_xlfn.XLOOKUP(A3302, INSEE_Communes!$A$2:$A$3783, INSEE_Communes!$F$2:$F$3783, "code introuvable")</f>
        <v>non publié</v>
      </c>
    </row>
    <row r="3303">
      <c r="A3303" s="2" t="str">
        <f>Communes_HDF!A3303</f>
        <v>80329</v>
      </c>
      <c r="B3303" s="2" t="str">
        <f>Communes_HDF!B3303</f>
        <v>Forceville</v>
      </c>
      <c r="C3303" s="2" t="str">
        <f t="array" ref="C3303">_xlfn.XLOOKUP(A3303, INSEE_Communes!$A$2:$A$3783, INSEE_Communes!$F$2:$F$3783, "code introuvable")</f>
        <v>non publié</v>
      </c>
    </row>
    <row r="3304">
      <c r="A3304" s="2" t="str">
        <f>Communes_HDF!A3304</f>
        <v>80330</v>
      </c>
      <c r="B3304" s="2" t="str">
        <f>Communes_HDF!B3304</f>
        <v>Forceville-en-Vimeu</v>
      </c>
      <c r="C3304" s="2" t="str">
        <f t="array" ref="C3304">_xlfn.XLOOKUP(A3304, INSEE_Communes!$A$2:$A$3783, INSEE_Communes!$F$2:$F$3783, "code introuvable")</f>
        <v>non publié</v>
      </c>
    </row>
    <row r="3305">
      <c r="A3305" s="2" t="str">
        <f>Communes_HDF!A3305</f>
        <v>80332</v>
      </c>
      <c r="B3305" s="2" t="str">
        <f>Communes_HDF!B3305</f>
        <v>Forest-Montiers</v>
      </c>
      <c r="C3305" s="2" t="str">
        <f t="array" ref="C3305">_xlfn.XLOOKUP(A3305, INSEE_Communes!$A$2:$A$3783, INSEE_Communes!$F$2:$F$3783, "code introuvable")</f>
        <v>non publié</v>
      </c>
    </row>
    <row r="3306">
      <c r="A3306" s="2" t="str">
        <f>Communes_HDF!A3306</f>
        <v>80331</v>
      </c>
      <c r="B3306" s="2" t="str">
        <f>Communes_HDF!B3306</f>
        <v>Forest-l'Abbaye</v>
      </c>
      <c r="C3306" s="2" t="str">
        <f t="array" ref="C3306">_xlfn.XLOOKUP(A3306, INSEE_Communes!$A$2:$A$3783, INSEE_Communes!$F$2:$F$3783, "code introuvable")</f>
        <v>non publié</v>
      </c>
    </row>
    <row r="3307">
      <c r="A3307" s="2" t="str">
        <f>Communes_HDF!A3307</f>
        <v>80333</v>
      </c>
      <c r="B3307" s="2" t="str">
        <f>Communes_HDF!B3307</f>
        <v>Fort-Mahon-Plage</v>
      </c>
      <c r="C3307" s="2" t="str">
        <f t="array" ref="C3307">_xlfn.XLOOKUP(A3307, INSEE_Communes!$A$2:$A$3783, INSEE_Communes!$F$2:$F$3783, "code introuvable")</f>
        <v>non publié</v>
      </c>
    </row>
    <row r="3308">
      <c r="A3308" s="2" t="str">
        <f>Communes_HDF!A3308</f>
        <v>80334</v>
      </c>
      <c r="B3308" s="2" t="str">
        <f>Communes_HDF!B3308</f>
        <v>Fossemanant</v>
      </c>
      <c r="C3308" s="2" t="str">
        <f t="array" ref="C3308">_xlfn.XLOOKUP(A3308, INSEE_Communes!$A$2:$A$3783, INSEE_Communes!$F$2:$F$3783, "code introuvable")</f>
        <v>non publié</v>
      </c>
    </row>
    <row r="3309">
      <c r="A3309" s="2" t="str">
        <f>Communes_HDF!A3309</f>
        <v>80336</v>
      </c>
      <c r="B3309" s="2" t="str">
        <f>Communes_HDF!B3309</f>
        <v>Foucaucourt-Hors-Nesle</v>
      </c>
      <c r="C3309" s="2" t="str">
        <f t="array" ref="C3309">_xlfn.XLOOKUP(A3309, INSEE_Communes!$A$2:$A$3783, INSEE_Communes!$F$2:$F$3783, "code introuvable")</f>
        <v>non publié</v>
      </c>
    </row>
    <row r="3310">
      <c r="A3310" s="2" t="str">
        <f>Communes_HDF!A3310</f>
        <v>80335</v>
      </c>
      <c r="B3310" s="2" t="str">
        <f>Communes_HDF!B3310</f>
        <v>Foucaucourt-en-Santerre</v>
      </c>
      <c r="C3310" s="2" t="str">
        <f t="array" ref="C3310">_xlfn.XLOOKUP(A3310, INSEE_Communes!$A$2:$A$3783, INSEE_Communes!$F$2:$F$3783, "code introuvable")</f>
        <v>non publié</v>
      </c>
    </row>
    <row r="3311">
      <c r="A3311" s="2" t="str">
        <f>Communes_HDF!A3311</f>
        <v>80337</v>
      </c>
      <c r="B3311" s="2" t="str">
        <f>Communes_HDF!B3311</f>
        <v>Fouencamps</v>
      </c>
      <c r="C3311" s="2" t="str">
        <f t="array" ref="C3311">_xlfn.XLOOKUP(A3311, INSEE_Communes!$A$2:$A$3783, INSEE_Communes!$F$2:$F$3783, "code introuvable")</f>
        <v>non publié</v>
      </c>
    </row>
    <row r="3312">
      <c r="A3312" s="2" t="str">
        <f>Communes_HDF!A3312</f>
        <v>80338</v>
      </c>
      <c r="B3312" s="2" t="str">
        <f>Communes_HDF!B3312</f>
        <v>Fouilloy</v>
      </c>
      <c r="C3312" s="2" t="str">
        <f t="array" ref="C3312">_xlfn.XLOOKUP(A3312, INSEE_Communes!$A$2:$A$3783, INSEE_Communes!$F$2:$F$3783, "code introuvable")</f>
        <v>non publié</v>
      </c>
    </row>
    <row r="3313">
      <c r="A3313" s="2" t="str">
        <f>Communes_HDF!A3313</f>
        <v>80339</v>
      </c>
      <c r="B3313" s="2" t="str">
        <f>Communes_HDF!B3313</f>
        <v>Fouquescourt</v>
      </c>
      <c r="C3313" s="2" t="str">
        <f t="array" ref="C3313">_xlfn.XLOOKUP(A3313, INSEE_Communes!$A$2:$A$3783, INSEE_Communes!$F$2:$F$3783, "code introuvable")</f>
        <v>non publié</v>
      </c>
    </row>
    <row r="3314">
      <c r="A3314" s="2" t="str">
        <f>Communes_HDF!A3314</f>
        <v>80340</v>
      </c>
      <c r="B3314" s="2" t="str">
        <f>Communes_HDF!B3314</f>
        <v>Fourcigny</v>
      </c>
      <c r="C3314" s="2" t="str">
        <f t="array" ref="C3314">_xlfn.XLOOKUP(A3314, INSEE_Communes!$A$2:$A$3783, INSEE_Communes!$F$2:$F$3783, "code introuvable")</f>
        <v>non publié</v>
      </c>
    </row>
    <row r="3315">
      <c r="A3315" s="2" t="str">
        <f>Communes_HDF!A3315</f>
        <v>80341</v>
      </c>
      <c r="B3315" s="2" t="str">
        <f>Communes_HDF!B3315</f>
        <v>Fourdrinoy</v>
      </c>
      <c r="C3315" s="2" t="str">
        <f t="array" ref="C3315">_xlfn.XLOOKUP(A3315, INSEE_Communes!$A$2:$A$3783, INSEE_Communes!$F$2:$F$3783, "code introuvable")</f>
        <v>non publié</v>
      </c>
    </row>
    <row r="3316">
      <c r="A3316" s="2" t="str">
        <f>Communes_HDF!A3316</f>
        <v>80342</v>
      </c>
      <c r="B3316" s="2" t="str">
        <f>Communes_HDF!B3316</f>
        <v>Framerville-Rainecourt</v>
      </c>
      <c r="C3316" s="2" t="str">
        <f t="array" ref="C3316">_xlfn.XLOOKUP(A3316, INSEE_Communes!$A$2:$A$3783, INSEE_Communes!$F$2:$F$3783, "code introuvable")</f>
        <v>non publié</v>
      </c>
    </row>
    <row r="3317">
      <c r="A3317" s="2" t="str">
        <f>Communes_HDF!A3317</f>
        <v>80343</v>
      </c>
      <c r="B3317" s="2" t="str">
        <f>Communes_HDF!B3317</f>
        <v>Framicourt</v>
      </c>
      <c r="C3317" s="2" t="str">
        <f t="array" ref="C3317">_xlfn.XLOOKUP(A3317, INSEE_Communes!$A$2:$A$3783, INSEE_Communes!$F$2:$F$3783, "code introuvable")</f>
        <v>non publié</v>
      </c>
    </row>
    <row r="3318">
      <c r="A3318" s="2" t="str">
        <f>Communes_HDF!A3318</f>
        <v>80344</v>
      </c>
      <c r="B3318" s="2" t="str">
        <f>Communes_HDF!B3318</f>
        <v>Francières</v>
      </c>
      <c r="C3318" s="2" t="str">
        <f t="array" ref="C3318">_xlfn.XLOOKUP(A3318, INSEE_Communes!$A$2:$A$3783, INSEE_Communes!$F$2:$F$3783, "code introuvable")</f>
        <v>non publié</v>
      </c>
    </row>
    <row r="3319">
      <c r="A3319" s="2" t="str">
        <f>Communes_HDF!A3319</f>
        <v>80345</v>
      </c>
      <c r="B3319" s="2" t="str">
        <f>Communes_HDF!B3319</f>
        <v>Franleu</v>
      </c>
      <c r="C3319" s="2" t="str">
        <f t="array" ref="C3319">_xlfn.XLOOKUP(A3319, INSEE_Communes!$A$2:$A$3783, INSEE_Communes!$F$2:$F$3783, "code introuvable")</f>
        <v>non publié</v>
      </c>
    </row>
    <row r="3320">
      <c r="A3320" s="2" t="str">
        <f>Communes_HDF!A3320</f>
        <v>80346</v>
      </c>
      <c r="B3320" s="2" t="str">
        <f>Communes_HDF!B3320</f>
        <v>Franqueville</v>
      </c>
      <c r="C3320" s="2" t="str">
        <f t="array" ref="C3320">_xlfn.XLOOKUP(A3320, INSEE_Communes!$A$2:$A$3783, INSEE_Communes!$F$2:$F$3783, "code introuvable")</f>
        <v>non publié</v>
      </c>
    </row>
    <row r="3321">
      <c r="A3321" s="2" t="str">
        <f>Communes_HDF!A3321</f>
        <v>80347</v>
      </c>
      <c r="B3321" s="2" t="str">
        <f>Communes_HDF!B3321</f>
        <v>Fransart</v>
      </c>
      <c r="C3321" s="2" t="str">
        <f t="array" ref="C3321">_xlfn.XLOOKUP(A3321, INSEE_Communes!$A$2:$A$3783, INSEE_Communes!$F$2:$F$3783, "code introuvable")</f>
        <v>non publié</v>
      </c>
    </row>
    <row r="3322">
      <c r="A3322" s="2" t="str">
        <f>Communes_HDF!A3322</f>
        <v>80348</v>
      </c>
      <c r="B3322" s="2" t="str">
        <f>Communes_HDF!B3322</f>
        <v>Fransu</v>
      </c>
      <c r="C3322" s="2" t="str">
        <f t="array" ref="C3322">_xlfn.XLOOKUP(A3322, INSEE_Communes!$A$2:$A$3783, INSEE_Communes!$F$2:$F$3783, "code introuvable")</f>
        <v>non publié</v>
      </c>
    </row>
    <row r="3323">
      <c r="A3323" s="2" t="str">
        <f>Communes_HDF!A3323</f>
        <v>80349</v>
      </c>
      <c r="B3323" s="2" t="str">
        <f>Communes_HDF!B3323</f>
        <v>Fransures</v>
      </c>
      <c r="C3323" s="2" t="str">
        <f t="array" ref="C3323">_xlfn.XLOOKUP(A3323, INSEE_Communes!$A$2:$A$3783, INSEE_Communes!$F$2:$F$3783, "code introuvable")</f>
        <v>non publié</v>
      </c>
    </row>
    <row r="3324">
      <c r="A3324" s="2" t="str">
        <f>Communes_HDF!A3324</f>
        <v>80350</v>
      </c>
      <c r="B3324" s="2" t="str">
        <f>Communes_HDF!B3324</f>
        <v>Franvillers</v>
      </c>
      <c r="C3324" s="2" t="str">
        <f t="array" ref="C3324">_xlfn.XLOOKUP(A3324, INSEE_Communes!$A$2:$A$3783, INSEE_Communes!$F$2:$F$3783, "code introuvable")</f>
        <v>non publié</v>
      </c>
    </row>
    <row r="3325">
      <c r="A3325" s="2" t="str">
        <f>Communes_HDF!A3325</f>
        <v>80353</v>
      </c>
      <c r="B3325" s="2" t="str">
        <f>Communes_HDF!B3325</f>
        <v>Fresnes-Mazancourt</v>
      </c>
      <c r="C3325" s="2" t="str">
        <f t="array" ref="C3325">_xlfn.XLOOKUP(A3325, INSEE_Communes!$A$2:$A$3783, INSEE_Communes!$F$2:$F$3783, "code introuvable")</f>
        <v>non publié</v>
      </c>
    </row>
    <row r="3326">
      <c r="A3326" s="2" t="str">
        <f>Communes_HDF!A3326</f>
        <v>80354</v>
      </c>
      <c r="B3326" s="2" t="str">
        <f>Communes_HDF!B3326</f>
        <v>Fresnes-Tilloloy</v>
      </c>
      <c r="C3326" s="2" t="str">
        <f t="array" ref="C3326">_xlfn.XLOOKUP(A3326, INSEE_Communes!$A$2:$A$3783, INSEE_Communes!$F$2:$F$3783, "code introuvable")</f>
        <v>non publié</v>
      </c>
    </row>
    <row r="3327">
      <c r="A3327" s="2" t="str">
        <f>Communes_HDF!A3327</f>
        <v>80355</v>
      </c>
      <c r="B3327" s="2" t="str">
        <f>Communes_HDF!B3327</f>
        <v>Fresneville</v>
      </c>
      <c r="C3327" s="2" t="str">
        <f t="array" ref="C3327">_xlfn.XLOOKUP(A3327, INSEE_Communes!$A$2:$A$3783, INSEE_Communes!$F$2:$F$3783, "code introuvable")</f>
        <v>non publié</v>
      </c>
    </row>
    <row r="3328">
      <c r="A3328" s="2" t="str">
        <f>Communes_HDF!A3328</f>
        <v>80356</v>
      </c>
      <c r="B3328" s="2" t="str">
        <f>Communes_HDF!B3328</f>
        <v>Fresnoy-Andainville</v>
      </c>
      <c r="C3328" s="2" t="str">
        <f t="array" ref="C3328">_xlfn.XLOOKUP(A3328, INSEE_Communes!$A$2:$A$3783, INSEE_Communes!$F$2:$F$3783, "code introuvable")</f>
        <v>non publié</v>
      </c>
    </row>
    <row r="3329">
      <c r="A3329" s="2" t="str">
        <f>Communes_HDF!A3329</f>
        <v>80357</v>
      </c>
      <c r="B3329" s="2" t="str">
        <f>Communes_HDF!B3329</f>
        <v>Fresnoy-au-Val</v>
      </c>
      <c r="C3329" s="2" t="str">
        <f t="array" ref="C3329">_xlfn.XLOOKUP(A3329, INSEE_Communes!$A$2:$A$3783, INSEE_Communes!$F$2:$F$3783, "code introuvable")</f>
        <v>non publié</v>
      </c>
    </row>
    <row r="3330">
      <c r="A3330" s="2" t="str">
        <f>Communes_HDF!A3330</f>
        <v>80358</v>
      </c>
      <c r="B3330" s="2" t="str">
        <f>Communes_HDF!B3330</f>
        <v>Fresnoy-en-Chaussée</v>
      </c>
      <c r="C3330" s="2" t="str">
        <f t="array" ref="C3330">_xlfn.XLOOKUP(A3330, INSEE_Communes!$A$2:$A$3783, INSEE_Communes!$F$2:$F$3783, "code introuvable")</f>
        <v>non publié</v>
      </c>
    </row>
    <row r="3331">
      <c r="A3331" s="2" t="str">
        <f>Communes_HDF!A3331</f>
        <v>80359</v>
      </c>
      <c r="B3331" s="2" t="str">
        <f>Communes_HDF!B3331</f>
        <v>Fresnoy-lès-Roye</v>
      </c>
      <c r="C3331" s="2" t="str">
        <f t="array" ref="C3331">_xlfn.XLOOKUP(A3331, INSEE_Communes!$A$2:$A$3783, INSEE_Communes!$F$2:$F$3783, "code introuvable")</f>
        <v>non publié</v>
      </c>
    </row>
    <row r="3332">
      <c r="A3332" s="2" t="str">
        <f>Communes_HDF!A3332</f>
        <v>80360</v>
      </c>
      <c r="B3332" s="2" t="str">
        <f>Communes_HDF!B3332</f>
        <v>Fressenneville</v>
      </c>
      <c r="C3332" s="2" t="str">
        <f t="array" ref="C3332">_xlfn.XLOOKUP(A3332, INSEE_Communes!$A$2:$A$3783, INSEE_Communes!$F$2:$F$3783, "code introuvable")</f>
        <v>non publié</v>
      </c>
    </row>
    <row r="3333">
      <c r="A3333" s="2" t="str">
        <f>Communes_HDF!A3333</f>
        <v>80361</v>
      </c>
      <c r="B3333" s="2" t="str">
        <f>Communes_HDF!B3333</f>
        <v>Frettecuisse</v>
      </c>
      <c r="C3333" s="2" t="str">
        <f t="array" ref="C3333">_xlfn.XLOOKUP(A3333, INSEE_Communes!$A$2:$A$3783, INSEE_Communes!$F$2:$F$3783, "code introuvable")</f>
        <v>non publié</v>
      </c>
    </row>
    <row r="3334">
      <c r="A3334" s="2" t="str">
        <f>Communes_HDF!A3334</f>
        <v>80362</v>
      </c>
      <c r="B3334" s="2" t="str">
        <f>Communes_HDF!B3334</f>
        <v>Frettemeule</v>
      </c>
      <c r="C3334" s="2" t="str">
        <f t="array" ref="C3334">_xlfn.XLOOKUP(A3334, INSEE_Communes!$A$2:$A$3783, INSEE_Communes!$F$2:$F$3783, "code introuvable")</f>
        <v>non publié</v>
      </c>
    </row>
    <row r="3335">
      <c r="A3335" s="2" t="str">
        <f>Communes_HDF!A3335</f>
        <v>80364</v>
      </c>
      <c r="B3335" s="2" t="str">
        <f>Communes_HDF!B3335</f>
        <v>Friaucourt</v>
      </c>
      <c r="C3335" s="2" t="str">
        <f t="array" ref="C3335">_xlfn.XLOOKUP(A3335, INSEE_Communes!$A$2:$A$3783, INSEE_Communes!$F$2:$F$3783, "code introuvable")</f>
        <v>non publié</v>
      </c>
    </row>
    <row r="3336">
      <c r="A3336" s="2" t="str">
        <f>Communes_HDF!A3336</f>
        <v>80365</v>
      </c>
      <c r="B3336" s="2" t="str">
        <f>Communes_HDF!B3336</f>
        <v>Fricamps</v>
      </c>
      <c r="C3336" s="2" t="str">
        <f t="array" ref="C3336">_xlfn.XLOOKUP(A3336, INSEE_Communes!$A$2:$A$3783, INSEE_Communes!$F$2:$F$3783, "code introuvable")</f>
        <v>non publié</v>
      </c>
    </row>
    <row r="3337">
      <c r="A3337" s="2" t="str">
        <f>Communes_HDF!A3337</f>
        <v>80366</v>
      </c>
      <c r="B3337" s="2" t="str">
        <f>Communes_HDF!B3337</f>
        <v>Fricourt</v>
      </c>
      <c r="C3337" s="2" t="str">
        <f t="array" ref="C3337">_xlfn.XLOOKUP(A3337, INSEE_Communes!$A$2:$A$3783, INSEE_Communes!$F$2:$F$3783, "code introuvable")</f>
        <v>non publié</v>
      </c>
    </row>
    <row r="3338">
      <c r="A3338" s="2" t="str">
        <f>Communes_HDF!A3338</f>
        <v>80367</v>
      </c>
      <c r="B3338" s="2" t="str">
        <f>Communes_HDF!B3338</f>
        <v>Frise</v>
      </c>
      <c r="C3338" s="2" t="str">
        <f t="array" ref="C3338">_xlfn.XLOOKUP(A3338, INSEE_Communes!$A$2:$A$3783, INSEE_Communes!$F$2:$F$3783, "code introuvable")</f>
        <v>non publié</v>
      </c>
    </row>
    <row r="3339">
      <c r="A3339" s="2" t="str">
        <f>Communes_HDF!A3339</f>
        <v>80368</v>
      </c>
      <c r="B3339" s="2" t="str">
        <f>Communes_HDF!B3339</f>
        <v>Friville-Escarbotin</v>
      </c>
      <c r="C3339" s="2">
        <f t="array" ref="C3339">_xlfn.XLOOKUP(A3339, INSEE_Communes!$A$2:$A$3783, INSEE_Communes!$F$2:$F$3783, "code introuvable")</f>
        <v>18</v>
      </c>
    </row>
    <row r="3340">
      <c r="A3340" s="2" t="str">
        <f>Communes_HDF!A3340</f>
        <v>80369</v>
      </c>
      <c r="B3340" s="2" t="str">
        <f>Communes_HDF!B3340</f>
        <v>Frohen-sur-Authie</v>
      </c>
      <c r="C3340" s="2" t="str">
        <f t="array" ref="C3340">_xlfn.XLOOKUP(A3340, INSEE_Communes!$A$2:$A$3783, INSEE_Communes!$F$2:$F$3783, "code introuvable")</f>
        <v>non publié</v>
      </c>
    </row>
    <row r="3341">
      <c r="A3341" s="2" t="str">
        <f>Communes_HDF!A3341</f>
        <v>80371</v>
      </c>
      <c r="B3341" s="2" t="str">
        <f>Communes_HDF!B3341</f>
        <v>Froyelles</v>
      </c>
      <c r="C3341" s="2" t="str">
        <f t="array" ref="C3341">_xlfn.XLOOKUP(A3341, INSEE_Communes!$A$2:$A$3783, INSEE_Communes!$F$2:$F$3783, "code introuvable")</f>
        <v>non publié</v>
      </c>
    </row>
    <row r="3342">
      <c r="A3342" s="2" t="str">
        <f>Communes_HDF!A3342</f>
        <v>80372</v>
      </c>
      <c r="B3342" s="2" t="str">
        <f>Communes_HDF!B3342</f>
        <v>Frucourt</v>
      </c>
      <c r="C3342" s="2" t="str">
        <f t="array" ref="C3342">_xlfn.XLOOKUP(A3342, INSEE_Communes!$A$2:$A$3783, INSEE_Communes!$F$2:$F$3783, "code introuvable")</f>
        <v>non publié</v>
      </c>
    </row>
    <row r="3343">
      <c r="A3343" s="2" t="str">
        <f>Communes_HDF!A3343</f>
        <v>80351</v>
      </c>
      <c r="B3343" s="2" t="str">
        <f>Communes_HDF!B3343</f>
        <v>Fréchencourt</v>
      </c>
      <c r="C3343" s="2" t="str">
        <f t="array" ref="C3343">_xlfn.XLOOKUP(A3343, INSEE_Communes!$A$2:$A$3783, INSEE_Communes!$F$2:$F$3783, "code introuvable")</f>
        <v>non publié</v>
      </c>
    </row>
    <row r="3344">
      <c r="A3344" s="2" t="str">
        <f>Communes_HDF!A3344</f>
        <v>80352</v>
      </c>
      <c r="B3344" s="2" t="str">
        <f>Communes_HDF!B3344</f>
        <v>Frémontiers</v>
      </c>
      <c r="C3344" s="2" t="str">
        <f t="array" ref="C3344">_xlfn.XLOOKUP(A3344, INSEE_Communes!$A$2:$A$3783, INSEE_Communes!$F$2:$F$3783, "code introuvable")</f>
        <v>non publié</v>
      </c>
    </row>
    <row r="3345">
      <c r="A3345" s="2" t="str">
        <f>Communes_HDF!A3345</f>
        <v>80373</v>
      </c>
      <c r="B3345" s="2" t="str">
        <f>Communes_HDF!B3345</f>
        <v>Gamaches</v>
      </c>
      <c r="C3345" s="2">
        <f t="array" ref="C3345">_xlfn.XLOOKUP(A3345, INSEE_Communes!$A$2:$A$3783, INSEE_Communes!$F$2:$F$3783, "code introuvable")</f>
        <v>23</v>
      </c>
    </row>
    <row r="3346">
      <c r="A3346" s="2" t="str">
        <f>Communes_HDF!A3346</f>
        <v>80374</v>
      </c>
      <c r="B3346" s="2" t="str">
        <f>Communes_HDF!B3346</f>
        <v>Gapennes</v>
      </c>
      <c r="C3346" s="2" t="str">
        <f t="array" ref="C3346">_xlfn.XLOOKUP(A3346, INSEE_Communes!$A$2:$A$3783, INSEE_Communes!$F$2:$F$3783, "code introuvable")</f>
        <v>non publié</v>
      </c>
    </row>
    <row r="3347">
      <c r="A3347" s="2" t="str">
        <f>Communes_HDF!A3347</f>
        <v>80375</v>
      </c>
      <c r="B3347" s="2" t="str">
        <f>Communes_HDF!B3347</f>
        <v>Gauville</v>
      </c>
      <c r="C3347" s="2" t="str">
        <f t="array" ref="C3347">_xlfn.XLOOKUP(A3347, INSEE_Communes!$A$2:$A$3783, INSEE_Communes!$F$2:$F$3783, "code introuvable")</f>
        <v>non publié</v>
      </c>
    </row>
    <row r="3348">
      <c r="A3348" s="2" t="str">
        <f>Communes_HDF!A3348</f>
        <v>80376</v>
      </c>
      <c r="B3348" s="2" t="str">
        <f>Communes_HDF!B3348</f>
        <v>Gentelles</v>
      </c>
      <c r="C3348" s="2" t="str">
        <f t="array" ref="C3348">_xlfn.XLOOKUP(A3348, INSEE_Communes!$A$2:$A$3783, INSEE_Communes!$F$2:$F$3783, "code introuvable")</f>
        <v>non publié</v>
      </c>
    </row>
    <row r="3349">
      <c r="A3349" s="2" t="str">
        <f>Communes_HDF!A3349</f>
        <v>80378</v>
      </c>
      <c r="B3349" s="2" t="str">
        <f>Communes_HDF!B3349</f>
        <v>Ginchy</v>
      </c>
      <c r="C3349" s="2" t="str">
        <f t="array" ref="C3349">_xlfn.XLOOKUP(A3349, INSEE_Communes!$A$2:$A$3783, INSEE_Communes!$F$2:$F$3783, "code introuvable")</f>
        <v>non publié</v>
      </c>
    </row>
    <row r="3350">
      <c r="A3350" s="2" t="str">
        <f>Communes_HDF!A3350</f>
        <v>80379</v>
      </c>
      <c r="B3350" s="2" t="str">
        <f>Communes_HDF!B3350</f>
        <v>Glisy</v>
      </c>
      <c r="C3350" s="2" t="str">
        <f t="array" ref="C3350">_xlfn.XLOOKUP(A3350, INSEE_Communes!$A$2:$A$3783, INSEE_Communes!$F$2:$F$3783, "code introuvable")</f>
        <v>non publié</v>
      </c>
    </row>
    <row r="3351">
      <c r="A3351" s="2" t="str">
        <f>Communes_HDF!A3351</f>
        <v>80380</v>
      </c>
      <c r="B3351" s="2" t="str">
        <f>Communes_HDF!B3351</f>
        <v>Gorenflos</v>
      </c>
      <c r="C3351" s="2" t="str">
        <f t="array" ref="C3351">_xlfn.XLOOKUP(A3351, INSEE_Communes!$A$2:$A$3783, INSEE_Communes!$F$2:$F$3783, "code introuvable")</f>
        <v>non publié</v>
      </c>
    </row>
    <row r="3352">
      <c r="A3352" s="2" t="str">
        <f>Communes_HDF!A3352</f>
        <v>80381</v>
      </c>
      <c r="B3352" s="2" t="str">
        <f>Communes_HDF!B3352</f>
        <v>Gorges</v>
      </c>
      <c r="C3352" s="2" t="str">
        <f t="array" ref="C3352">_xlfn.XLOOKUP(A3352, INSEE_Communes!$A$2:$A$3783, INSEE_Communes!$F$2:$F$3783, "code introuvable")</f>
        <v>non publié</v>
      </c>
    </row>
    <row r="3353">
      <c r="A3353" s="2" t="str">
        <f>Communes_HDF!A3353</f>
        <v>80383</v>
      </c>
      <c r="B3353" s="2" t="str">
        <f>Communes_HDF!B3353</f>
        <v>Goyencourt</v>
      </c>
      <c r="C3353" s="2" t="str">
        <f t="array" ref="C3353">_xlfn.XLOOKUP(A3353, INSEE_Communes!$A$2:$A$3783, INSEE_Communes!$F$2:$F$3783, "code introuvable")</f>
        <v>non publié</v>
      </c>
    </row>
    <row r="3354">
      <c r="A3354" s="2" t="str">
        <f>Communes_HDF!A3354</f>
        <v>80385</v>
      </c>
      <c r="B3354" s="2" t="str">
        <f>Communes_HDF!B3354</f>
        <v>Grand-Laviers</v>
      </c>
      <c r="C3354" s="2" t="str">
        <f t="array" ref="C3354">_xlfn.XLOOKUP(A3354, INSEE_Communes!$A$2:$A$3783, INSEE_Communes!$F$2:$F$3783, "code introuvable")</f>
        <v>non publié</v>
      </c>
    </row>
    <row r="3355">
      <c r="A3355" s="2" t="str">
        <f>Communes_HDF!A3355</f>
        <v>80384</v>
      </c>
      <c r="B3355" s="2" t="str">
        <f>Communes_HDF!B3355</f>
        <v>Grandcourt</v>
      </c>
      <c r="C3355" s="2" t="str">
        <f t="array" ref="C3355">_xlfn.XLOOKUP(A3355, INSEE_Communes!$A$2:$A$3783, INSEE_Communes!$F$2:$F$3783, "code introuvable")</f>
        <v>non publié</v>
      </c>
    </row>
    <row r="3356">
      <c r="A3356" s="2" t="str">
        <f>Communes_HDF!A3356</f>
        <v>80386</v>
      </c>
      <c r="B3356" s="2" t="str">
        <f>Communes_HDF!B3356</f>
        <v>Gratibus</v>
      </c>
      <c r="C3356" s="2" t="str">
        <f t="array" ref="C3356">_xlfn.XLOOKUP(A3356, INSEE_Communes!$A$2:$A$3783, INSEE_Communes!$F$2:$F$3783, "code introuvable")</f>
        <v>non publié</v>
      </c>
    </row>
    <row r="3357">
      <c r="A3357" s="2" t="str">
        <f>Communes_HDF!A3357</f>
        <v>80387</v>
      </c>
      <c r="B3357" s="2" t="str">
        <f>Communes_HDF!B3357</f>
        <v>Grattepanche</v>
      </c>
      <c r="C3357" s="2" t="str">
        <f t="array" ref="C3357">_xlfn.XLOOKUP(A3357, INSEE_Communes!$A$2:$A$3783, INSEE_Communes!$F$2:$F$3783, "code introuvable")</f>
        <v>non publié</v>
      </c>
    </row>
    <row r="3358">
      <c r="A3358" s="2" t="str">
        <f>Communes_HDF!A3358</f>
        <v>80390</v>
      </c>
      <c r="B3358" s="2" t="str">
        <f>Communes_HDF!B3358</f>
        <v>Grivesnes</v>
      </c>
      <c r="C3358" s="2" t="str">
        <f t="array" ref="C3358">_xlfn.XLOOKUP(A3358, INSEE_Communes!$A$2:$A$3783, INSEE_Communes!$F$2:$F$3783, "code introuvable")</f>
        <v>non publié</v>
      </c>
    </row>
    <row r="3359">
      <c r="A3359" s="2" t="str">
        <f>Communes_HDF!A3359</f>
        <v>80391</v>
      </c>
      <c r="B3359" s="2" t="str">
        <f>Communes_HDF!B3359</f>
        <v>Grivillers</v>
      </c>
      <c r="C3359" s="2" t="str">
        <f t="array" ref="C3359">_xlfn.XLOOKUP(A3359, INSEE_Communes!$A$2:$A$3783, INSEE_Communes!$F$2:$F$3783, "code introuvable")</f>
        <v>non publié</v>
      </c>
    </row>
    <row r="3360">
      <c r="A3360" s="2" t="str">
        <f>Communes_HDF!A3360</f>
        <v>80392</v>
      </c>
      <c r="B3360" s="2" t="str">
        <f>Communes_HDF!B3360</f>
        <v>Grouches-Luchuel</v>
      </c>
      <c r="C3360" s="2" t="str">
        <f t="array" ref="C3360">_xlfn.XLOOKUP(A3360, INSEE_Communes!$A$2:$A$3783, INSEE_Communes!$F$2:$F$3783, "code introuvable")</f>
        <v>non publié</v>
      </c>
    </row>
    <row r="3361">
      <c r="A3361" s="2" t="str">
        <f>Communes_HDF!A3361</f>
        <v>80393</v>
      </c>
      <c r="B3361" s="2" t="str">
        <f>Communes_HDF!B3361</f>
        <v>Gruny</v>
      </c>
      <c r="C3361" s="2" t="str">
        <f t="array" ref="C3361">_xlfn.XLOOKUP(A3361, INSEE_Communes!$A$2:$A$3783, INSEE_Communes!$F$2:$F$3783, "code introuvable")</f>
        <v>non publié</v>
      </c>
    </row>
    <row r="3362">
      <c r="A3362" s="2" t="str">
        <f>Communes_HDF!A3362</f>
        <v>80388</v>
      </c>
      <c r="B3362" s="2" t="str">
        <f>Communes_HDF!B3362</f>
        <v>Grébault-Mesnil</v>
      </c>
      <c r="C3362" s="2" t="str">
        <f t="array" ref="C3362">_xlfn.XLOOKUP(A3362, INSEE_Communes!$A$2:$A$3783, INSEE_Communes!$F$2:$F$3783, "code introuvable")</f>
        <v>non publié</v>
      </c>
    </row>
    <row r="3363">
      <c r="A3363" s="2" t="str">
        <f>Communes_HDF!A3363</f>
        <v>80395</v>
      </c>
      <c r="B3363" s="2" t="str">
        <f>Communes_HDF!B3363</f>
        <v>Guerbigny</v>
      </c>
      <c r="C3363" s="2" t="str">
        <f t="array" ref="C3363">_xlfn.XLOOKUP(A3363, INSEE_Communes!$A$2:$A$3783, INSEE_Communes!$F$2:$F$3783, "code introuvable")</f>
        <v>non publié</v>
      </c>
    </row>
    <row r="3364">
      <c r="A3364" s="2" t="str">
        <f>Communes_HDF!A3364</f>
        <v>80396</v>
      </c>
      <c r="B3364" s="2" t="str">
        <f>Communes_HDF!B3364</f>
        <v>Gueschart</v>
      </c>
      <c r="C3364" s="2" t="str">
        <f t="array" ref="C3364">_xlfn.XLOOKUP(A3364, INSEE_Communes!$A$2:$A$3783, INSEE_Communes!$F$2:$F$3783, "code introuvable")</f>
        <v>non publié</v>
      </c>
    </row>
    <row r="3365">
      <c r="A3365" s="2" t="str">
        <f>Communes_HDF!A3365</f>
        <v>80397</v>
      </c>
      <c r="B3365" s="2" t="str">
        <f>Communes_HDF!B3365</f>
        <v>Gueudecourt</v>
      </c>
      <c r="C3365" s="2" t="str">
        <f t="array" ref="C3365">_xlfn.XLOOKUP(A3365, INSEE_Communes!$A$2:$A$3783, INSEE_Communes!$F$2:$F$3783, "code introuvable")</f>
        <v>non publié</v>
      </c>
    </row>
    <row r="3366">
      <c r="A3366" s="2" t="str">
        <f>Communes_HDF!A3366</f>
        <v>80399</v>
      </c>
      <c r="B3366" s="2" t="str">
        <f>Communes_HDF!B3366</f>
        <v>Guignemicourt</v>
      </c>
      <c r="C3366" s="2" t="str">
        <f t="array" ref="C3366">_xlfn.XLOOKUP(A3366, INSEE_Communes!$A$2:$A$3783, INSEE_Communes!$F$2:$F$3783, "code introuvable")</f>
        <v>non publié</v>
      </c>
    </row>
    <row r="3367">
      <c r="A3367" s="2" t="str">
        <f>Communes_HDF!A3367</f>
        <v>80400</v>
      </c>
      <c r="B3367" s="2" t="str">
        <f>Communes_HDF!B3367</f>
        <v>Guillaucourt</v>
      </c>
      <c r="C3367" s="2" t="str">
        <f t="array" ref="C3367">_xlfn.XLOOKUP(A3367, INSEE_Communes!$A$2:$A$3783, INSEE_Communes!$F$2:$F$3783, "code introuvable")</f>
        <v>non publié</v>
      </c>
    </row>
    <row r="3368">
      <c r="A3368" s="2" t="str">
        <f>Communes_HDF!A3368</f>
        <v>80401</v>
      </c>
      <c r="B3368" s="2" t="str">
        <f>Communes_HDF!B3368</f>
        <v>Guillemont</v>
      </c>
      <c r="C3368" s="2" t="str">
        <f t="array" ref="C3368">_xlfn.XLOOKUP(A3368, INSEE_Communes!$A$2:$A$3783, INSEE_Communes!$F$2:$F$3783, "code introuvable")</f>
        <v>non publié</v>
      </c>
    </row>
    <row r="3369">
      <c r="A3369" s="2" t="str">
        <f>Communes_HDF!A3369</f>
        <v>80402</v>
      </c>
      <c r="B3369" s="2" t="str">
        <f>Communes_HDF!B3369</f>
        <v>Guizancourt</v>
      </c>
      <c r="C3369" s="2" t="str">
        <f t="array" ref="C3369">_xlfn.XLOOKUP(A3369, INSEE_Communes!$A$2:$A$3783, INSEE_Communes!$F$2:$F$3783, "code introuvable")</f>
        <v>non publié</v>
      </c>
    </row>
    <row r="3370">
      <c r="A3370" s="2" t="str">
        <f>Communes_HDF!A3370</f>
        <v>80404</v>
      </c>
      <c r="B3370" s="2" t="str">
        <f>Communes_HDF!B3370</f>
        <v>Guyencourt-Saulcourt</v>
      </c>
      <c r="C3370" s="2" t="str">
        <f t="array" ref="C3370">_xlfn.XLOOKUP(A3370, INSEE_Communes!$A$2:$A$3783, INSEE_Communes!$F$2:$F$3783, "code introuvable")</f>
        <v>non publié</v>
      </c>
    </row>
    <row r="3371">
      <c r="A3371" s="2" t="str">
        <f>Communes_HDF!A3371</f>
        <v>80403</v>
      </c>
      <c r="B3371" s="2" t="str">
        <f>Communes_HDF!B3371</f>
        <v>Guyencourt-sur-Noye</v>
      </c>
      <c r="C3371" s="2" t="str">
        <f t="array" ref="C3371">_xlfn.XLOOKUP(A3371, INSEE_Communes!$A$2:$A$3783, INSEE_Communes!$F$2:$F$3783, "code introuvable")</f>
        <v>non publié</v>
      </c>
    </row>
    <row r="3372">
      <c r="A3372" s="2" t="str">
        <f>Communes_HDF!A3372</f>
        <v>80377</v>
      </c>
      <c r="B3372" s="2" t="str">
        <f>Communes_HDF!B3372</f>
        <v>Gézaincourt</v>
      </c>
      <c r="C3372" s="2" t="str">
        <f t="array" ref="C3372">_xlfn.XLOOKUP(A3372, INSEE_Communes!$A$2:$A$3783, INSEE_Communes!$F$2:$F$3783, "code introuvable")</f>
        <v>non publié</v>
      </c>
    </row>
    <row r="3373">
      <c r="A3373" s="2" t="str">
        <f>Communes_HDF!A3373</f>
        <v>80405</v>
      </c>
      <c r="B3373" s="2" t="str">
        <f>Communes_HDF!B3373</f>
        <v>Hailles</v>
      </c>
      <c r="C3373" s="2" t="str">
        <f t="array" ref="C3373">_xlfn.XLOOKUP(A3373, INSEE_Communes!$A$2:$A$3783, INSEE_Communes!$F$2:$F$3783, "code introuvable")</f>
        <v>non publié</v>
      </c>
    </row>
    <row r="3374">
      <c r="A3374" s="2" t="str">
        <f>Communes_HDF!A3374</f>
        <v>80406</v>
      </c>
      <c r="B3374" s="2" t="str">
        <f>Communes_HDF!B3374</f>
        <v>Hallencourt</v>
      </c>
      <c r="C3374" s="2" t="str">
        <f t="array" ref="C3374">_xlfn.XLOOKUP(A3374, INSEE_Communes!$A$2:$A$3783, INSEE_Communes!$F$2:$F$3783, "code introuvable")</f>
        <v>non publié</v>
      </c>
    </row>
    <row r="3375">
      <c r="A3375" s="2" t="str">
        <f>Communes_HDF!A3375</f>
        <v>80407</v>
      </c>
      <c r="B3375" s="2" t="str">
        <f>Communes_HDF!B3375</f>
        <v>Hallivillers</v>
      </c>
      <c r="C3375" s="2" t="str">
        <f t="array" ref="C3375">_xlfn.XLOOKUP(A3375, INSEE_Communes!$A$2:$A$3783, INSEE_Communes!$F$2:$F$3783, "code introuvable")</f>
        <v>non publié</v>
      </c>
    </row>
    <row r="3376">
      <c r="A3376" s="2" t="str">
        <f>Communes_HDF!A3376</f>
        <v>80408</v>
      </c>
      <c r="B3376" s="2" t="str">
        <f>Communes_HDF!B3376</f>
        <v>Halloy-lès-Pernois</v>
      </c>
      <c r="C3376" s="2" t="str">
        <f t="array" ref="C3376">_xlfn.XLOOKUP(A3376, INSEE_Communes!$A$2:$A$3783, INSEE_Communes!$F$2:$F$3783, "code introuvable")</f>
        <v>non publié</v>
      </c>
    </row>
    <row r="3377">
      <c r="A3377" s="2" t="str">
        <f>Communes_HDF!A3377</f>
        <v>80409</v>
      </c>
      <c r="B3377" s="2" t="str">
        <f>Communes_HDF!B3377</f>
        <v>Hallu</v>
      </c>
      <c r="C3377" s="2" t="str">
        <f t="array" ref="C3377">_xlfn.XLOOKUP(A3377, INSEE_Communes!$A$2:$A$3783, INSEE_Communes!$F$2:$F$3783, "code introuvable")</f>
        <v>non publié</v>
      </c>
    </row>
    <row r="3378">
      <c r="A3378" s="2" t="str">
        <f>Communes_HDF!A3378</f>
        <v>80410</v>
      </c>
      <c r="B3378" s="2" t="str">
        <f>Communes_HDF!B3378</f>
        <v>Ham</v>
      </c>
      <c r="C3378" s="2">
        <f t="array" ref="C3378">_xlfn.XLOOKUP(A3378, INSEE_Communes!$A$2:$A$3783, INSEE_Communes!$F$2:$F$3783, "code introuvable")</f>
        <v>32</v>
      </c>
    </row>
    <row r="3379">
      <c r="A3379" s="2" t="str">
        <f>Communes_HDF!A3379</f>
        <v>80412</v>
      </c>
      <c r="B3379" s="2" t="str">
        <f>Communes_HDF!B3379</f>
        <v>Hamelet</v>
      </c>
      <c r="C3379" s="2" t="str">
        <f t="array" ref="C3379">_xlfn.XLOOKUP(A3379, INSEE_Communes!$A$2:$A$3783, INSEE_Communes!$F$2:$F$3783, "code introuvable")</f>
        <v>non publié</v>
      </c>
    </row>
    <row r="3380">
      <c r="A3380" s="2" t="str">
        <f>Communes_HDF!A3380</f>
        <v>80413</v>
      </c>
      <c r="B3380" s="2" t="str">
        <f>Communes_HDF!B3380</f>
        <v>Hancourt</v>
      </c>
      <c r="C3380" s="2" t="str">
        <f t="array" ref="C3380">_xlfn.XLOOKUP(A3380, INSEE_Communes!$A$2:$A$3783, INSEE_Communes!$F$2:$F$3783, "code introuvable")</f>
        <v>non publié</v>
      </c>
    </row>
    <row r="3381">
      <c r="A3381" s="2" t="str">
        <f>Communes_HDF!A3381</f>
        <v>80414</v>
      </c>
      <c r="B3381" s="2" t="str">
        <f>Communes_HDF!B3381</f>
        <v>Hangard</v>
      </c>
      <c r="C3381" s="2" t="str">
        <f t="array" ref="C3381">_xlfn.XLOOKUP(A3381, INSEE_Communes!$A$2:$A$3783, INSEE_Communes!$F$2:$F$3783, "code introuvable")</f>
        <v>non publié</v>
      </c>
    </row>
    <row r="3382">
      <c r="A3382" s="2" t="str">
        <f>Communes_HDF!A3382</f>
        <v>80415</v>
      </c>
      <c r="B3382" s="2" t="str">
        <f>Communes_HDF!B3382</f>
        <v>Hangest-en-Santerre</v>
      </c>
      <c r="C3382" s="2" t="str">
        <f t="array" ref="C3382">_xlfn.XLOOKUP(A3382, INSEE_Communes!$A$2:$A$3783, INSEE_Communes!$F$2:$F$3783, "code introuvable")</f>
        <v>non publié</v>
      </c>
    </row>
    <row r="3383">
      <c r="A3383" s="2" t="str">
        <f>Communes_HDF!A3383</f>
        <v>80416</v>
      </c>
      <c r="B3383" s="2" t="str">
        <f>Communes_HDF!B3383</f>
        <v>Hangest-sur-Somme</v>
      </c>
      <c r="C3383" s="2" t="str">
        <f t="array" ref="C3383">_xlfn.XLOOKUP(A3383, INSEE_Communes!$A$2:$A$3783, INSEE_Communes!$F$2:$F$3783, "code introuvable")</f>
        <v>non publié</v>
      </c>
    </row>
    <row r="3384">
      <c r="A3384" s="2" t="str">
        <f>Communes_HDF!A3384</f>
        <v>80417</v>
      </c>
      <c r="B3384" s="2" t="str">
        <f>Communes_HDF!B3384</f>
        <v>Harbonnières</v>
      </c>
      <c r="C3384" s="2" t="str">
        <f t="array" ref="C3384">_xlfn.XLOOKUP(A3384, INSEE_Communes!$A$2:$A$3783, INSEE_Communes!$F$2:$F$3783, "code introuvable")</f>
        <v>non publié</v>
      </c>
    </row>
    <row r="3385">
      <c r="A3385" s="2" t="str">
        <f>Communes_HDF!A3385</f>
        <v>80418</v>
      </c>
      <c r="B3385" s="2" t="str">
        <f>Communes_HDF!B3385</f>
        <v>Hardecourt-aux-Bois</v>
      </c>
      <c r="C3385" s="2" t="str">
        <f t="array" ref="C3385">_xlfn.XLOOKUP(A3385, INSEE_Communes!$A$2:$A$3783, INSEE_Communes!$F$2:$F$3783, "code introuvable")</f>
        <v>non publié</v>
      </c>
    </row>
    <row r="3386">
      <c r="A3386" s="2" t="str">
        <f>Communes_HDF!A3386</f>
        <v>80420</v>
      </c>
      <c r="B3386" s="2" t="str">
        <f>Communes_HDF!B3386</f>
        <v>Harponville</v>
      </c>
      <c r="C3386" s="2" t="str">
        <f t="array" ref="C3386">_xlfn.XLOOKUP(A3386, INSEE_Communes!$A$2:$A$3783, INSEE_Communes!$F$2:$F$3783, "code introuvable")</f>
        <v>non publié</v>
      </c>
    </row>
    <row r="3387">
      <c r="A3387" s="2" t="str">
        <f>Communes_HDF!A3387</f>
        <v>80421</v>
      </c>
      <c r="B3387" s="2" t="str">
        <f>Communes_HDF!B3387</f>
        <v>Hattencourt</v>
      </c>
      <c r="C3387" s="2" t="str">
        <f t="array" ref="C3387">_xlfn.XLOOKUP(A3387, INSEE_Communes!$A$2:$A$3783, INSEE_Communes!$F$2:$F$3783, "code introuvable")</f>
        <v>non publié</v>
      </c>
    </row>
    <row r="3388">
      <c r="A3388" s="2" t="str">
        <f>Communes_HDF!A3388</f>
        <v>80422</v>
      </c>
      <c r="B3388" s="2" t="str">
        <f>Communes_HDF!B3388</f>
        <v>Hautvillers-Ouville</v>
      </c>
      <c r="C3388" s="2" t="str">
        <f t="array" ref="C3388">_xlfn.XLOOKUP(A3388, INSEE_Communes!$A$2:$A$3783, INSEE_Communes!$F$2:$F$3783, "code introuvable")</f>
        <v>non publié</v>
      </c>
    </row>
    <row r="3389">
      <c r="A3389" s="2" t="str">
        <f>Communes_HDF!A3389</f>
        <v>80423</v>
      </c>
      <c r="B3389" s="2" t="str">
        <f>Communes_HDF!B3389</f>
        <v>Havernas</v>
      </c>
      <c r="C3389" s="2" t="str">
        <f t="array" ref="C3389">_xlfn.XLOOKUP(A3389, INSEE_Communes!$A$2:$A$3783, INSEE_Communes!$F$2:$F$3783, "code introuvable")</f>
        <v>non publié</v>
      </c>
    </row>
    <row r="3390">
      <c r="A3390" s="2" t="str">
        <f>Communes_HDF!A3390</f>
        <v>80426</v>
      </c>
      <c r="B3390" s="2" t="str">
        <f>Communes_HDF!B3390</f>
        <v>Heilly</v>
      </c>
      <c r="C3390" s="2" t="str">
        <f t="array" ref="C3390">_xlfn.XLOOKUP(A3390, INSEE_Communes!$A$2:$A$3783, INSEE_Communes!$F$2:$F$3783, "code introuvable")</f>
        <v>non publié</v>
      </c>
    </row>
    <row r="3391">
      <c r="A3391" s="2" t="str">
        <f>Communes_HDF!A3391</f>
        <v>80427</v>
      </c>
      <c r="B3391" s="2" t="str">
        <f>Communes_HDF!B3391</f>
        <v>Hem-Hardinval</v>
      </c>
      <c r="C3391" s="2" t="str">
        <f t="array" ref="C3391">_xlfn.XLOOKUP(A3391, INSEE_Communes!$A$2:$A$3783, INSEE_Communes!$F$2:$F$3783, "code introuvable")</f>
        <v>non publié</v>
      </c>
    </row>
    <row r="3392">
      <c r="A3392" s="2" t="str">
        <f>Communes_HDF!A3392</f>
        <v>80428</v>
      </c>
      <c r="B3392" s="2" t="str">
        <f>Communes_HDF!B3392</f>
        <v>Hem-Monacu</v>
      </c>
      <c r="C3392" s="2" t="str">
        <f t="array" ref="C3392">_xlfn.XLOOKUP(A3392, INSEE_Communes!$A$2:$A$3783, INSEE_Communes!$F$2:$F$3783, "code introuvable")</f>
        <v>non publié</v>
      </c>
    </row>
    <row r="3393">
      <c r="A3393" s="2" t="str">
        <f>Communes_HDF!A3393</f>
        <v>80430</v>
      </c>
      <c r="B3393" s="2" t="str">
        <f>Communes_HDF!B3393</f>
        <v>Herbécourt</v>
      </c>
      <c r="C3393" s="2" t="str">
        <f t="array" ref="C3393">_xlfn.XLOOKUP(A3393, INSEE_Communes!$A$2:$A$3783, INSEE_Communes!$F$2:$F$3783, "code introuvable")</f>
        <v>non publié</v>
      </c>
    </row>
    <row r="3394">
      <c r="A3394" s="2" t="str">
        <f>Communes_HDF!A3394</f>
        <v>80432</v>
      </c>
      <c r="B3394" s="2" t="str">
        <f>Communes_HDF!B3394</f>
        <v>Herleville</v>
      </c>
      <c r="C3394" s="2" t="str">
        <f t="array" ref="C3394">_xlfn.XLOOKUP(A3394, INSEE_Communes!$A$2:$A$3783, INSEE_Communes!$F$2:$F$3783, "code introuvable")</f>
        <v>non publié</v>
      </c>
    </row>
    <row r="3395">
      <c r="A3395" s="2" t="str">
        <f>Communes_HDF!A3395</f>
        <v>80433</v>
      </c>
      <c r="B3395" s="2" t="str">
        <f>Communes_HDF!B3395</f>
        <v>Herly</v>
      </c>
      <c r="C3395" s="2" t="str">
        <f t="array" ref="C3395">_xlfn.XLOOKUP(A3395, INSEE_Communes!$A$2:$A$3783, INSEE_Communes!$F$2:$F$3783, "code introuvable")</f>
        <v>non publié</v>
      </c>
    </row>
    <row r="3396">
      <c r="A3396" s="2" t="str">
        <f>Communes_HDF!A3396</f>
        <v>80434</v>
      </c>
      <c r="B3396" s="2" t="str">
        <f>Communes_HDF!B3396</f>
        <v>Hervilly</v>
      </c>
      <c r="C3396" s="2" t="str">
        <f t="array" ref="C3396">_xlfn.XLOOKUP(A3396, INSEE_Communes!$A$2:$A$3783, INSEE_Communes!$F$2:$F$3783, "code introuvable")</f>
        <v>non publié</v>
      </c>
    </row>
    <row r="3397">
      <c r="A3397" s="2" t="str">
        <f>Communes_HDF!A3397</f>
        <v>80435</v>
      </c>
      <c r="B3397" s="2" t="str">
        <f>Communes_HDF!B3397</f>
        <v>Hesbécourt</v>
      </c>
      <c r="C3397" s="2" t="str">
        <f t="array" ref="C3397">_xlfn.XLOOKUP(A3397, INSEE_Communes!$A$2:$A$3783, INSEE_Communes!$F$2:$F$3783, "code introuvable")</f>
        <v>non publié</v>
      </c>
    </row>
    <row r="3398">
      <c r="A3398" s="2" t="str">
        <f>Communes_HDF!A3398</f>
        <v>80436</v>
      </c>
      <c r="B3398" s="2" t="str">
        <f>Communes_HDF!B3398</f>
        <v>Hescamps</v>
      </c>
      <c r="C3398" s="2" t="str">
        <f t="array" ref="C3398">_xlfn.XLOOKUP(A3398, INSEE_Communes!$A$2:$A$3783, INSEE_Communes!$F$2:$F$3783, "code introuvable")</f>
        <v>non publié</v>
      </c>
    </row>
    <row r="3399">
      <c r="A3399" s="2" t="str">
        <f>Communes_HDF!A3399</f>
        <v>80437</v>
      </c>
      <c r="B3399" s="2" t="str">
        <f>Communes_HDF!B3399</f>
        <v>Heucourt-Croquoison</v>
      </c>
      <c r="C3399" s="2" t="str">
        <f t="array" ref="C3399">_xlfn.XLOOKUP(A3399, INSEE_Communes!$A$2:$A$3783, INSEE_Communes!$F$2:$F$3783, "code introuvable")</f>
        <v>non publié</v>
      </c>
    </row>
    <row r="3400">
      <c r="A3400" s="2" t="str">
        <f>Communes_HDF!A3400</f>
        <v>80438</v>
      </c>
      <c r="B3400" s="2" t="str">
        <f>Communes_HDF!B3400</f>
        <v>Heudicourt</v>
      </c>
      <c r="C3400" s="2" t="str">
        <f t="array" ref="C3400">_xlfn.XLOOKUP(A3400, INSEE_Communes!$A$2:$A$3783, INSEE_Communes!$F$2:$F$3783, "code introuvable")</f>
        <v>non publié</v>
      </c>
    </row>
    <row r="3401">
      <c r="A3401" s="2" t="str">
        <f>Communes_HDF!A3401</f>
        <v>80439</v>
      </c>
      <c r="B3401" s="2" t="str">
        <f>Communes_HDF!B3401</f>
        <v>Heuzecourt</v>
      </c>
      <c r="C3401" s="2" t="str">
        <f t="array" ref="C3401">_xlfn.XLOOKUP(A3401, INSEE_Communes!$A$2:$A$3783, INSEE_Communes!$F$2:$F$3783, "code introuvable")</f>
        <v>non publié</v>
      </c>
    </row>
    <row r="3402">
      <c r="A3402" s="2" t="str">
        <f>Communes_HDF!A3402</f>
        <v>80440</v>
      </c>
      <c r="B3402" s="2" t="str">
        <f>Communes_HDF!B3402</f>
        <v>Hiermont</v>
      </c>
      <c r="C3402" s="2" t="str">
        <f t="array" ref="C3402">_xlfn.XLOOKUP(A3402, INSEE_Communes!$A$2:$A$3783, INSEE_Communes!$F$2:$F$3783, "code introuvable")</f>
        <v>non publié</v>
      </c>
    </row>
    <row r="3403">
      <c r="A3403" s="2" t="str">
        <f>Communes_HDF!A3403</f>
        <v>80442</v>
      </c>
      <c r="B3403" s="2" t="str">
        <f>Communes_HDF!B3403</f>
        <v>Hombleux</v>
      </c>
      <c r="C3403" s="2" t="str">
        <f t="array" ref="C3403">_xlfn.XLOOKUP(A3403, INSEE_Communes!$A$2:$A$3783, INSEE_Communes!$F$2:$F$3783, "code introuvable")</f>
        <v>non publié</v>
      </c>
    </row>
    <row r="3404">
      <c r="A3404" s="2" t="str">
        <f>Communes_HDF!A3404</f>
        <v>80443</v>
      </c>
      <c r="B3404" s="2" t="str">
        <f>Communes_HDF!B3404</f>
        <v>Hornoy-le-Bourg</v>
      </c>
      <c r="C3404" s="2" t="str">
        <f t="array" ref="C3404">_xlfn.XLOOKUP(A3404, INSEE_Communes!$A$2:$A$3783, INSEE_Communes!$F$2:$F$3783, "code introuvable")</f>
        <v>non publié</v>
      </c>
    </row>
    <row r="3405">
      <c r="A3405" s="2" t="str">
        <f>Communes_HDF!A3405</f>
        <v>80444</v>
      </c>
      <c r="B3405" s="2" t="str">
        <f>Communes_HDF!B3405</f>
        <v>Huchenneville</v>
      </c>
      <c r="C3405" s="2" t="str">
        <f t="array" ref="C3405">_xlfn.XLOOKUP(A3405, INSEE_Communes!$A$2:$A$3783, INSEE_Communes!$F$2:$F$3783, "code introuvable")</f>
        <v>non publié</v>
      </c>
    </row>
    <row r="3406">
      <c r="A3406" s="2" t="str">
        <f>Communes_HDF!A3406</f>
        <v>80445</v>
      </c>
      <c r="B3406" s="2" t="str">
        <f>Communes_HDF!B3406</f>
        <v>Humbercourt</v>
      </c>
      <c r="C3406" s="2" t="str">
        <f t="array" ref="C3406">_xlfn.XLOOKUP(A3406, INSEE_Communes!$A$2:$A$3783, INSEE_Communes!$F$2:$F$3783, "code introuvable")</f>
        <v>non publié</v>
      </c>
    </row>
    <row r="3407">
      <c r="A3407" s="2" t="str">
        <f>Communes_HDF!A3407</f>
        <v>80446</v>
      </c>
      <c r="B3407" s="2" t="str">
        <f>Communes_HDF!B3407</f>
        <v>Huppy</v>
      </c>
      <c r="C3407" s="2" t="str">
        <f t="array" ref="C3407">_xlfn.XLOOKUP(A3407, INSEE_Communes!$A$2:$A$3783, INSEE_Communes!$F$2:$F$3783, "code introuvable")</f>
        <v>non publié</v>
      </c>
    </row>
    <row r="3408">
      <c r="A3408" s="2" t="str">
        <f>Communes_HDF!A3408</f>
        <v>80621</v>
      </c>
      <c r="B3408" s="2" t="str">
        <f>Communes_HDF!B3408</f>
        <v>Hypercourt</v>
      </c>
      <c r="C3408" s="2" t="str">
        <f t="array" ref="C3408">_xlfn.XLOOKUP(A3408, INSEE_Communes!$A$2:$A$3783, INSEE_Communes!$F$2:$F$3783, "code introuvable")</f>
        <v>non publié</v>
      </c>
    </row>
    <row r="3409">
      <c r="A3409" s="2" t="str">
        <f>Communes_HDF!A3409</f>
        <v>80424</v>
      </c>
      <c r="B3409" s="2" t="str">
        <f>Communes_HDF!B3409</f>
        <v>Hébécourt</v>
      </c>
      <c r="C3409" s="2" t="str">
        <f t="array" ref="C3409">_xlfn.XLOOKUP(A3409, INSEE_Communes!$A$2:$A$3783, INSEE_Communes!$F$2:$F$3783, "code introuvable")</f>
        <v>non publié</v>
      </c>
    </row>
    <row r="3410">
      <c r="A3410" s="2" t="str">
        <f>Communes_HDF!A3410</f>
        <v>80425</v>
      </c>
      <c r="B3410" s="2" t="str">
        <f>Communes_HDF!B3410</f>
        <v>Hédauville</v>
      </c>
      <c r="C3410" s="2" t="str">
        <f t="array" ref="C3410">_xlfn.XLOOKUP(A3410, INSEE_Communes!$A$2:$A$3783, INSEE_Communes!$F$2:$F$3783, "code introuvable")</f>
        <v>non publié</v>
      </c>
    </row>
    <row r="3411">
      <c r="A3411" s="2" t="str">
        <f>Communes_HDF!A3411</f>
        <v>80429</v>
      </c>
      <c r="B3411" s="2" t="str">
        <f>Communes_HDF!B3411</f>
        <v>Hénencourt</v>
      </c>
      <c r="C3411" s="2" t="str">
        <f t="array" ref="C3411">_xlfn.XLOOKUP(A3411, INSEE_Communes!$A$2:$A$3783, INSEE_Communes!$F$2:$F$3783, "code introuvable")</f>
        <v>non publié</v>
      </c>
    </row>
    <row r="3412">
      <c r="A3412" s="2" t="str">
        <f>Communes_HDF!A3412</f>
        <v>80431</v>
      </c>
      <c r="B3412" s="2" t="str">
        <f>Communes_HDF!B3412</f>
        <v>Hérissart</v>
      </c>
      <c r="C3412" s="2" t="str">
        <f t="array" ref="C3412">_xlfn.XLOOKUP(A3412, INSEE_Communes!$A$2:$A$3783, INSEE_Communes!$F$2:$F$3783, "code introuvable")</f>
        <v>non publié</v>
      </c>
    </row>
    <row r="3413">
      <c r="A3413" s="2" t="str">
        <f>Communes_HDF!A3413</f>
        <v>80449</v>
      </c>
      <c r="B3413" s="2" t="str">
        <f>Communes_HDF!B3413</f>
        <v>Ignaucourt</v>
      </c>
      <c r="C3413" s="2" t="str">
        <f t="array" ref="C3413">_xlfn.XLOOKUP(A3413, INSEE_Communes!$A$2:$A$3783, INSEE_Communes!$F$2:$F$3783, "code introuvable")</f>
        <v>non publié</v>
      </c>
    </row>
    <row r="3414">
      <c r="A3414" s="2" t="str">
        <f>Communes_HDF!A3414</f>
        <v>80450</v>
      </c>
      <c r="B3414" s="2" t="str">
        <f>Communes_HDF!B3414</f>
        <v>Inval-Boiron</v>
      </c>
      <c r="C3414" s="2" t="str">
        <f t="array" ref="C3414">_xlfn.XLOOKUP(A3414, INSEE_Communes!$A$2:$A$3783, INSEE_Communes!$F$2:$F$3783, "code introuvable")</f>
        <v>non publié</v>
      </c>
    </row>
    <row r="3415">
      <c r="A3415" s="2" t="str">
        <f>Communes_HDF!A3415</f>
        <v>80451</v>
      </c>
      <c r="B3415" s="2" t="str">
        <f>Communes_HDF!B3415</f>
        <v>Irles</v>
      </c>
      <c r="C3415" s="2" t="str">
        <f t="array" ref="C3415">_xlfn.XLOOKUP(A3415, INSEE_Communes!$A$2:$A$3783, INSEE_Communes!$F$2:$F$3783, "code introuvable")</f>
        <v>non publié</v>
      </c>
    </row>
    <row r="3416">
      <c r="A3416" s="2" t="str">
        <f>Communes_HDF!A3416</f>
        <v>80452</v>
      </c>
      <c r="B3416" s="2" t="str">
        <f>Communes_HDF!B3416</f>
        <v>Jumel</v>
      </c>
      <c r="C3416" s="2" t="str">
        <f t="array" ref="C3416">_xlfn.XLOOKUP(A3416, INSEE_Communes!$A$2:$A$3783, INSEE_Communes!$F$2:$F$3783, "code introuvable")</f>
        <v>non publié</v>
      </c>
    </row>
    <row r="3417">
      <c r="A3417" s="2" t="str">
        <f>Communes_HDF!A3417</f>
        <v>80263</v>
      </c>
      <c r="B3417" s="2" t="str">
        <f>Communes_HDF!B3417</f>
        <v>L'Échelle-Saint-Aurin</v>
      </c>
      <c r="C3417" s="2" t="str">
        <f t="array" ref="C3417">_xlfn.XLOOKUP(A3417, INSEE_Communes!$A$2:$A$3783, INSEE_Communes!$F$2:$F$3783, "code introuvable")</f>
        <v>non publié</v>
      </c>
    </row>
    <row r="3418">
      <c r="A3418" s="2" t="str">
        <f>Communes_HDF!A3418</f>
        <v>80296</v>
      </c>
      <c r="B3418" s="2" t="str">
        <f>Communes_HDF!B3418</f>
        <v>L'Étoile</v>
      </c>
      <c r="C3418" s="2" t="str">
        <f t="array" ref="C3418">_xlfn.XLOOKUP(A3418, INSEE_Communes!$A$2:$A$3783, INSEE_Communes!$F$2:$F$3783, "code introuvable")</f>
        <v>non publié</v>
      </c>
    </row>
    <row r="3419">
      <c r="A3419" s="2" t="str">
        <f>Communes_HDF!A3419</f>
        <v>80187</v>
      </c>
      <c r="B3419" s="2" t="str">
        <f>Communes_HDF!B3419</f>
        <v>La Chaussée-Tirancourt</v>
      </c>
      <c r="C3419" s="2" t="str">
        <f t="array" ref="C3419">_xlfn.XLOOKUP(A3419, INSEE_Communes!$A$2:$A$3783, INSEE_Communes!$F$2:$F$3783, "code introuvable")</f>
        <v>non publié</v>
      </c>
    </row>
    <row r="3420">
      <c r="A3420" s="2" t="str">
        <f>Communes_HDF!A3420</f>
        <v>80189</v>
      </c>
      <c r="B3420" s="2" t="str">
        <f>Communes_HDF!B3420</f>
        <v>La Chavatte</v>
      </c>
      <c r="C3420" s="2" t="str">
        <f t="array" ref="C3420">_xlfn.XLOOKUP(A3420, INSEE_Communes!$A$2:$A$3783, INSEE_Communes!$F$2:$F$3783, "code introuvable")</f>
        <v>non publié</v>
      </c>
    </row>
    <row r="3421">
      <c r="A3421" s="2" t="str">
        <f>Communes_HDF!A3421</f>
        <v>80299</v>
      </c>
      <c r="B3421" s="2" t="str">
        <f>Communes_HDF!B3421</f>
        <v>La Faloise</v>
      </c>
      <c r="C3421" s="2" t="str">
        <f t="array" ref="C3421">_xlfn.XLOOKUP(A3421, INSEE_Communes!$A$2:$A$3783, INSEE_Communes!$F$2:$F$3783, "code introuvable")</f>
        <v>non publié</v>
      </c>
    </row>
    <row r="3422">
      <c r="A3422" s="2" t="str">
        <f>Communes_HDF!A3422</f>
        <v>80595</v>
      </c>
      <c r="B3422" s="2" t="str">
        <f>Communes_HDF!B3422</f>
        <v>La Neuville-Sire-Bernard</v>
      </c>
      <c r="C3422" s="2" t="str">
        <f t="array" ref="C3422">_xlfn.XLOOKUP(A3422, INSEE_Communes!$A$2:$A$3783, INSEE_Communes!$F$2:$F$3783, "code introuvable")</f>
        <v>non publié</v>
      </c>
    </row>
    <row r="3423">
      <c r="A3423" s="2" t="str">
        <f>Communes_HDF!A3423</f>
        <v>80593</v>
      </c>
      <c r="B3423" s="2" t="str">
        <f>Communes_HDF!B3423</f>
        <v>La Neuville-lès-Bray</v>
      </c>
      <c r="C3423" s="2" t="str">
        <f t="array" ref="C3423">_xlfn.XLOOKUP(A3423, INSEE_Communes!$A$2:$A$3783, INSEE_Communes!$F$2:$F$3783, "code introuvable")</f>
        <v>non publié</v>
      </c>
    </row>
    <row r="3424">
      <c r="A3424" s="2" t="str">
        <f>Communes_HDF!A3424</f>
        <v>80792</v>
      </c>
      <c r="B3424" s="2" t="str">
        <f>Communes_HDF!B3424</f>
        <v>La Vicogne</v>
      </c>
      <c r="C3424" s="2" t="str">
        <f t="array" ref="C3424">_xlfn.XLOOKUP(A3424, INSEE_Communes!$A$2:$A$3783, INSEE_Communes!$F$2:$F$3783, "code introuvable")</f>
        <v>non publié</v>
      </c>
    </row>
    <row r="3425">
      <c r="A3425" s="2" t="str">
        <f>Communes_HDF!A3425</f>
        <v>80453</v>
      </c>
      <c r="B3425" s="2" t="str">
        <f>Communes_HDF!B3425</f>
        <v>Laboissière-en-Santerre</v>
      </c>
      <c r="C3425" s="2" t="str">
        <f t="array" ref="C3425">_xlfn.XLOOKUP(A3425, INSEE_Communes!$A$2:$A$3783, INSEE_Communes!$F$2:$F$3783, "code introuvable")</f>
        <v>non publié</v>
      </c>
    </row>
    <row r="3426">
      <c r="A3426" s="2" t="str">
        <f>Communes_HDF!A3426</f>
        <v>80455</v>
      </c>
      <c r="B3426" s="2" t="str">
        <f>Communes_HDF!B3426</f>
        <v>Lachapelle</v>
      </c>
      <c r="C3426" s="2" t="str">
        <f t="array" ref="C3426">_xlfn.XLOOKUP(A3426, INSEE_Communes!$A$2:$A$3783, INSEE_Communes!$F$2:$F$3783, "code introuvable")</f>
        <v>non publié</v>
      </c>
    </row>
    <row r="3427">
      <c r="A3427" s="2" t="str">
        <f>Communes_HDF!A3427</f>
        <v>80456</v>
      </c>
      <c r="B3427" s="2" t="str">
        <f>Communes_HDF!B3427</f>
        <v>Lafresguimont-Saint-Martin</v>
      </c>
      <c r="C3427" s="2" t="str">
        <f t="array" ref="C3427">_xlfn.XLOOKUP(A3427, INSEE_Communes!$A$2:$A$3783, INSEE_Communes!$F$2:$F$3783, "code introuvable")</f>
        <v>non publié</v>
      </c>
    </row>
    <row r="3428">
      <c r="A3428" s="2" t="str">
        <f>Communes_HDF!A3428</f>
        <v>80458</v>
      </c>
      <c r="B3428" s="2" t="str">
        <f>Communes_HDF!B3428</f>
        <v>Lahoussoye</v>
      </c>
      <c r="C3428" s="2" t="str">
        <f t="array" ref="C3428">_xlfn.XLOOKUP(A3428, INSEE_Communes!$A$2:$A$3783, INSEE_Communes!$F$2:$F$3783, "code introuvable")</f>
        <v>non publié</v>
      </c>
    </row>
    <row r="3429">
      <c r="A3429" s="2" t="str">
        <f>Communes_HDF!A3429</f>
        <v>80459</v>
      </c>
      <c r="B3429" s="2" t="str">
        <f>Communes_HDF!B3429</f>
        <v>Laleu</v>
      </c>
      <c r="C3429" s="2" t="str">
        <f t="array" ref="C3429">_xlfn.XLOOKUP(A3429, INSEE_Communes!$A$2:$A$3783, INSEE_Communes!$F$2:$F$3783, "code introuvable")</f>
        <v>non publié</v>
      </c>
    </row>
    <row r="3430">
      <c r="A3430" s="2" t="str">
        <f>Communes_HDF!A3430</f>
        <v>80460</v>
      </c>
      <c r="B3430" s="2" t="str">
        <f>Communes_HDF!B3430</f>
        <v>Lamaronde</v>
      </c>
      <c r="C3430" s="2" t="str">
        <f t="array" ref="C3430">_xlfn.XLOOKUP(A3430, INSEE_Communes!$A$2:$A$3783, INSEE_Communes!$F$2:$F$3783, "code introuvable")</f>
        <v>non publié</v>
      </c>
    </row>
    <row r="3431">
      <c r="A3431" s="2" t="str">
        <f>Communes_HDF!A3431</f>
        <v>80461</v>
      </c>
      <c r="B3431" s="2" t="str">
        <f>Communes_HDF!B3431</f>
        <v>Lamotte-Brebière</v>
      </c>
      <c r="C3431" s="2" t="str">
        <f t="array" ref="C3431">_xlfn.XLOOKUP(A3431, INSEE_Communes!$A$2:$A$3783, INSEE_Communes!$F$2:$F$3783, "code introuvable")</f>
        <v>non publié</v>
      </c>
    </row>
    <row r="3432">
      <c r="A3432" s="2" t="str">
        <f>Communes_HDF!A3432</f>
        <v>80462</v>
      </c>
      <c r="B3432" s="2" t="str">
        <f>Communes_HDF!B3432</f>
        <v>Lamotte-Buleux</v>
      </c>
      <c r="C3432" s="2" t="str">
        <f t="array" ref="C3432">_xlfn.XLOOKUP(A3432, INSEE_Communes!$A$2:$A$3783, INSEE_Communes!$F$2:$F$3783, "code introuvable")</f>
        <v>non publié</v>
      </c>
    </row>
    <row r="3433">
      <c r="A3433" s="2" t="str">
        <f>Communes_HDF!A3433</f>
        <v>80463</v>
      </c>
      <c r="B3433" s="2" t="str">
        <f>Communes_HDF!B3433</f>
        <v>Lamotte-Warfusée</v>
      </c>
      <c r="C3433" s="2" t="str">
        <f t="array" ref="C3433">_xlfn.XLOOKUP(A3433, INSEE_Communes!$A$2:$A$3783, INSEE_Communes!$F$2:$F$3783, "code introuvable")</f>
        <v>non publié</v>
      </c>
    </row>
    <row r="3434">
      <c r="A3434" s="2" t="str">
        <f>Communes_HDF!A3434</f>
        <v>80466</v>
      </c>
      <c r="B3434" s="2" t="str">
        <f>Communes_HDF!B3434</f>
        <v>Lanches-Saint-Hilaire</v>
      </c>
      <c r="C3434" s="2" t="str">
        <f t="array" ref="C3434">_xlfn.XLOOKUP(A3434, INSEE_Communes!$A$2:$A$3783, INSEE_Communes!$F$2:$F$3783, "code introuvable")</f>
        <v>non publié</v>
      </c>
    </row>
    <row r="3435">
      <c r="A3435" s="2" t="str">
        <f>Communes_HDF!A3435</f>
        <v>80464</v>
      </c>
      <c r="B3435" s="2" t="str">
        <f>Communes_HDF!B3435</f>
        <v>Lanchères</v>
      </c>
      <c r="C3435" s="2" t="str">
        <f t="array" ref="C3435">_xlfn.XLOOKUP(A3435, INSEE_Communes!$A$2:$A$3783, INSEE_Communes!$F$2:$F$3783, "code introuvable")</f>
        <v>non publié</v>
      </c>
    </row>
    <row r="3436">
      <c r="A3436" s="2" t="str">
        <f>Communes_HDF!A3436</f>
        <v>80465</v>
      </c>
      <c r="B3436" s="2" t="str">
        <f>Communes_HDF!B3436</f>
        <v>Languevoisin-Quiquery</v>
      </c>
      <c r="C3436" s="2" t="str">
        <f t="array" ref="C3436">_xlfn.XLOOKUP(A3436, INSEE_Communes!$A$2:$A$3783, INSEE_Communes!$F$2:$F$3783, "code introuvable")</f>
        <v>non publié</v>
      </c>
    </row>
    <row r="3437">
      <c r="A3437" s="2" t="str">
        <f>Communes_HDF!A3437</f>
        <v>80467</v>
      </c>
      <c r="B3437" s="2" t="str">
        <f>Communes_HDF!B3437</f>
        <v>Laucourt</v>
      </c>
      <c r="C3437" s="2" t="str">
        <f t="array" ref="C3437">_xlfn.XLOOKUP(A3437, INSEE_Communes!$A$2:$A$3783, INSEE_Communes!$F$2:$F$3783, "code introuvable")</f>
        <v>non publié</v>
      </c>
    </row>
    <row r="3438">
      <c r="A3438" s="2" t="str">
        <f>Communes_HDF!A3438</f>
        <v>80468</v>
      </c>
      <c r="B3438" s="2" t="str">
        <f>Communes_HDF!B3438</f>
        <v>Laviéville</v>
      </c>
      <c r="C3438" s="2" t="str">
        <f t="array" ref="C3438">_xlfn.XLOOKUP(A3438, INSEE_Communes!$A$2:$A$3783, INSEE_Communes!$F$2:$F$3783, "code introuvable")</f>
        <v>non publié</v>
      </c>
    </row>
    <row r="3439">
      <c r="A3439" s="2" t="str">
        <f>Communes_HDF!A3439</f>
        <v>80469</v>
      </c>
      <c r="B3439" s="2" t="str">
        <f>Communes_HDF!B3439</f>
        <v>Lawarde-Mauger-l'Hortoy</v>
      </c>
      <c r="C3439" s="2" t="str">
        <f t="array" ref="C3439">_xlfn.XLOOKUP(A3439, INSEE_Communes!$A$2:$A$3783, INSEE_Communes!$F$2:$F$3783, "code introuvable")</f>
        <v>non publié</v>
      </c>
    </row>
    <row r="3440">
      <c r="A3440" s="2" t="str">
        <f>Communes_HDF!A3440</f>
        <v>80109</v>
      </c>
      <c r="B3440" s="2" t="str">
        <f>Communes_HDF!B3440</f>
        <v>Le Boisle</v>
      </c>
      <c r="C3440" s="2" t="str">
        <f t="array" ref="C3440">_xlfn.XLOOKUP(A3440, INSEE_Communes!$A$2:$A$3783, INSEE_Communes!$F$2:$F$3783, "code introuvable")</f>
        <v>non publié</v>
      </c>
    </row>
    <row r="3441">
      <c r="A3441" s="2" t="str">
        <f>Communes_HDF!A3441</f>
        <v>80174</v>
      </c>
      <c r="B3441" s="2" t="str">
        <f>Communes_HDF!B3441</f>
        <v>Le Cardonnois</v>
      </c>
      <c r="C3441" s="2" t="str">
        <f t="array" ref="C3441">_xlfn.XLOOKUP(A3441, INSEE_Communes!$A$2:$A$3783, INSEE_Communes!$F$2:$F$3783, "code introuvable")</f>
        <v>non publié</v>
      </c>
    </row>
    <row r="3442">
      <c r="A3442" s="2" t="str">
        <f>Communes_HDF!A3442</f>
        <v>80228</v>
      </c>
      <c r="B3442" s="2" t="str">
        <f>Communes_HDF!B3442</f>
        <v>Le Crotoy</v>
      </c>
      <c r="C3442" s="2" t="str">
        <f t="array" ref="C3442">_xlfn.XLOOKUP(A3442, INSEE_Communes!$A$2:$A$3783, INSEE_Communes!$F$2:$F$3783, "code introuvable")</f>
        <v>non publié</v>
      </c>
    </row>
    <row r="3443">
      <c r="A3443" s="2" t="str">
        <f>Communes_HDF!A3443</f>
        <v>80411</v>
      </c>
      <c r="B3443" s="2" t="str">
        <f>Communes_HDF!B3443</f>
        <v>Le Hamel</v>
      </c>
      <c r="C3443" s="2" t="str">
        <f t="array" ref="C3443">_xlfn.XLOOKUP(A3443, INSEE_Communes!$A$2:$A$3783, INSEE_Communes!$F$2:$F$3783, "code introuvable")</f>
        <v>non publié</v>
      </c>
    </row>
    <row r="3444">
      <c r="A3444" s="2" t="str">
        <f>Communes_HDF!A3444</f>
        <v>80522</v>
      </c>
      <c r="B3444" s="2" t="str">
        <f>Communes_HDF!B3444</f>
        <v>Le Mazis</v>
      </c>
      <c r="C3444" s="2" t="str">
        <f t="array" ref="C3444">_xlfn.XLOOKUP(A3444, INSEE_Communes!$A$2:$A$3783, INSEE_Communes!$F$2:$F$3783, "code introuvable")</f>
        <v>non publié</v>
      </c>
    </row>
    <row r="3445">
      <c r="A3445" s="2" t="str">
        <f>Communes_HDF!A3445</f>
        <v>80526</v>
      </c>
      <c r="B3445" s="2" t="str">
        <f>Communes_HDF!B3445</f>
        <v>Le Meillard</v>
      </c>
      <c r="C3445" s="2" t="str">
        <f t="array" ref="C3445">_xlfn.XLOOKUP(A3445, INSEE_Communes!$A$2:$A$3783, INSEE_Communes!$F$2:$F$3783, "code introuvable")</f>
        <v>non publié</v>
      </c>
    </row>
    <row r="3446">
      <c r="A3446" s="2" t="str">
        <f>Communes_HDF!A3446</f>
        <v>80535</v>
      </c>
      <c r="B3446" s="2" t="str">
        <f>Communes_HDF!B3446</f>
        <v>Le Mesge</v>
      </c>
      <c r="C3446" s="2" t="str">
        <f t="array" ref="C3446">_xlfn.XLOOKUP(A3446, INSEE_Communes!$A$2:$A$3783, INSEE_Communes!$F$2:$F$3783, "code introuvable")</f>
        <v>non publié</v>
      </c>
    </row>
    <row r="3447">
      <c r="A3447" s="2" t="str">
        <f>Communes_HDF!A3447</f>
        <v>80628</v>
      </c>
      <c r="B3447" s="2" t="str">
        <f>Communes_HDF!B3447</f>
        <v>Le Plessier-Rozainvillers</v>
      </c>
      <c r="C3447" s="2" t="str">
        <f t="array" ref="C3447">_xlfn.XLOOKUP(A3447, INSEE_Communes!$A$2:$A$3783, INSEE_Communes!$F$2:$F$3783, "code introuvable")</f>
        <v>non publié</v>
      </c>
    </row>
    <row r="3448">
      <c r="A3448" s="2" t="str">
        <f>Communes_HDF!A3448</f>
        <v>80651</v>
      </c>
      <c r="B3448" s="2" t="str">
        <f>Communes_HDF!B3448</f>
        <v>Le Quesne</v>
      </c>
      <c r="C3448" s="2" t="str">
        <f t="array" ref="C3448">_xlfn.XLOOKUP(A3448, INSEE_Communes!$A$2:$A$3783, INSEE_Communes!$F$2:$F$3783, "code introuvable")</f>
        <v>non publié</v>
      </c>
    </row>
    <row r="3449">
      <c r="A3449" s="2" t="str">
        <f>Communes_HDF!A3449</f>
        <v>80652</v>
      </c>
      <c r="B3449" s="2" t="str">
        <f>Communes_HDF!B3449</f>
        <v>Le Quesnel</v>
      </c>
      <c r="C3449" s="2" t="str">
        <f t="array" ref="C3449">_xlfn.XLOOKUP(A3449, INSEE_Communes!$A$2:$A$3783, INSEE_Communes!$F$2:$F$3783, "code introuvable")</f>
        <v>non publié</v>
      </c>
    </row>
    <row r="3450">
      <c r="A3450" s="2" t="str">
        <f>Communes_HDF!A3450</f>
        <v>80763</v>
      </c>
      <c r="B3450" s="2" t="str">
        <f>Communes_HDF!B3450</f>
        <v>Le Titre</v>
      </c>
      <c r="C3450" s="2" t="str">
        <f t="array" ref="C3450">_xlfn.XLOOKUP(A3450, INSEE_Communes!$A$2:$A$3783, INSEE_Communes!$F$2:$F$3783, "code introuvable")</f>
        <v>non publié</v>
      </c>
    </row>
    <row r="3451">
      <c r="A3451" s="2" t="str">
        <f>Communes_HDF!A3451</f>
        <v>80767</v>
      </c>
      <c r="B3451" s="2" t="str">
        <f>Communes_HDF!B3451</f>
        <v>Le Translay</v>
      </c>
      <c r="C3451" s="2" t="str">
        <f t="array" ref="C3451">_xlfn.XLOOKUP(A3451, INSEE_Communes!$A$2:$A$3783, INSEE_Communes!$F$2:$F$3783, "code introuvable")</f>
        <v>non publié</v>
      </c>
    </row>
    <row r="3452">
      <c r="A3452" s="2" t="str">
        <f>Communes_HDF!A3452</f>
        <v>80472</v>
      </c>
      <c r="B3452" s="2" t="str">
        <f>Communes_HDF!B3452</f>
        <v>Lesbœufs</v>
      </c>
      <c r="C3452" s="2" t="str">
        <f t="array" ref="C3452">_xlfn.XLOOKUP(A3452, INSEE_Communes!$A$2:$A$3783, INSEE_Communes!$F$2:$F$3783, "code introuvable")</f>
        <v>non publié</v>
      </c>
    </row>
    <row r="3453">
      <c r="A3453" s="2" t="str">
        <f>Communes_HDF!A3453</f>
        <v>80473</v>
      </c>
      <c r="B3453" s="2" t="str">
        <f>Communes_HDF!B3453</f>
        <v>Liancourt-Fosse</v>
      </c>
      <c r="C3453" s="2" t="str">
        <f t="array" ref="C3453">_xlfn.XLOOKUP(A3453, INSEE_Communes!$A$2:$A$3783, INSEE_Communes!$F$2:$F$3783, "code introuvable")</f>
        <v>non publié</v>
      </c>
    </row>
    <row r="3454">
      <c r="A3454" s="2" t="str">
        <f>Communes_HDF!A3454</f>
        <v>80474</v>
      </c>
      <c r="B3454" s="2" t="str">
        <f>Communes_HDF!B3454</f>
        <v>Licourt</v>
      </c>
      <c r="C3454" s="2" t="str">
        <f t="array" ref="C3454">_xlfn.XLOOKUP(A3454, INSEE_Communes!$A$2:$A$3783, INSEE_Communes!$F$2:$F$3783, "code introuvable")</f>
        <v>non publié</v>
      </c>
    </row>
    <row r="3455">
      <c r="A3455" s="2" t="str">
        <f>Communes_HDF!A3455</f>
        <v>80476</v>
      </c>
      <c r="B3455" s="2" t="str">
        <f>Communes_HDF!B3455</f>
        <v>Liercourt</v>
      </c>
      <c r="C3455" s="2" t="str">
        <f t="array" ref="C3455">_xlfn.XLOOKUP(A3455, INSEE_Communes!$A$2:$A$3783, INSEE_Communes!$F$2:$F$3783, "code introuvable")</f>
        <v>non publié</v>
      </c>
    </row>
    <row r="3456">
      <c r="A3456" s="2" t="str">
        <f>Communes_HDF!A3456</f>
        <v>80477</v>
      </c>
      <c r="B3456" s="2" t="str">
        <f>Communes_HDF!B3456</f>
        <v>Ligescourt</v>
      </c>
      <c r="C3456" s="2" t="str">
        <f t="array" ref="C3456">_xlfn.XLOOKUP(A3456, INSEE_Communes!$A$2:$A$3783, INSEE_Communes!$F$2:$F$3783, "code introuvable")</f>
        <v>non publié</v>
      </c>
    </row>
    <row r="3457">
      <c r="A3457" s="2" t="str">
        <f>Communes_HDF!A3457</f>
        <v>80478</v>
      </c>
      <c r="B3457" s="2" t="str">
        <f>Communes_HDF!B3457</f>
        <v>Lignières</v>
      </c>
      <c r="C3457" s="2" t="str">
        <f t="array" ref="C3457">_xlfn.XLOOKUP(A3457, INSEE_Communes!$A$2:$A$3783, INSEE_Communes!$F$2:$F$3783, "code introuvable")</f>
        <v>non publié</v>
      </c>
    </row>
    <row r="3458">
      <c r="A3458" s="2" t="str">
        <f>Communes_HDF!A3458</f>
        <v>80479</v>
      </c>
      <c r="B3458" s="2" t="str">
        <f>Communes_HDF!B3458</f>
        <v>Lignières-Châtelain</v>
      </c>
      <c r="C3458" s="2" t="str">
        <f t="array" ref="C3458">_xlfn.XLOOKUP(A3458, INSEE_Communes!$A$2:$A$3783, INSEE_Communes!$F$2:$F$3783, "code introuvable")</f>
        <v>non publié</v>
      </c>
    </row>
    <row r="3459">
      <c r="A3459" s="2" t="str">
        <f>Communes_HDF!A3459</f>
        <v>80480</v>
      </c>
      <c r="B3459" s="2" t="str">
        <f>Communes_HDF!B3459</f>
        <v>Lignières-en-Vimeu</v>
      </c>
      <c r="C3459" s="2" t="str">
        <f t="array" ref="C3459">_xlfn.XLOOKUP(A3459, INSEE_Communes!$A$2:$A$3783, INSEE_Communes!$F$2:$F$3783, "code introuvable")</f>
        <v>non publié</v>
      </c>
    </row>
    <row r="3460">
      <c r="A3460" s="2" t="str">
        <f>Communes_HDF!A3460</f>
        <v>80481</v>
      </c>
      <c r="B3460" s="2" t="str">
        <f>Communes_HDF!B3460</f>
        <v>Lihons</v>
      </c>
      <c r="C3460" s="2" t="str">
        <f t="array" ref="C3460">_xlfn.XLOOKUP(A3460, INSEE_Communes!$A$2:$A$3783, INSEE_Communes!$F$2:$F$3783, "code introuvable")</f>
        <v>non publié</v>
      </c>
    </row>
    <row r="3461">
      <c r="A3461" s="2" t="str">
        <f>Communes_HDF!A3461</f>
        <v>80482</v>
      </c>
      <c r="B3461" s="2" t="str">
        <f>Communes_HDF!B3461</f>
        <v>Limeux</v>
      </c>
      <c r="C3461" s="2" t="str">
        <f t="array" ref="C3461">_xlfn.XLOOKUP(A3461, INSEE_Communes!$A$2:$A$3783, INSEE_Communes!$F$2:$F$3783, "code introuvable")</f>
        <v>non publié</v>
      </c>
    </row>
    <row r="3462">
      <c r="A3462" s="2" t="str">
        <f>Communes_HDF!A3462</f>
        <v>80484</v>
      </c>
      <c r="B3462" s="2" t="str">
        <f>Communes_HDF!B3462</f>
        <v>Liomer</v>
      </c>
      <c r="C3462" s="2" t="str">
        <f t="array" ref="C3462">_xlfn.XLOOKUP(A3462, INSEE_Communes!$A$2:$A$3783, INSEE_Communes!$F$2:$F$3783, "code introuvable")</f>
        <v>non publié</v>
      </c>
    </row>
    <row r="3463">
      <c r="A3463" s="2" t="str">
        <f>Communes_HDF!A3463</f>
        <v>80475</v>
      </c>
      <c r="B3463" s="2" t="str">
        <f>Communes_HDF!B3463</f>
        <v>Liéramont</v>
      </c>
      <c r="C3463" s="2" t="str">
        <f t="array" ref="C3463">_xlfn.XLOOKUP(A3463, INSEE_Communes!$A$2:$A$3783, INSEE_Communes!$F$2:$F$3783, "code introuvable")</f>
        <v>non publié</v>
      </c>
    </row>
    <row r="3464">
      <c r="A3464" s="2" t="str">
        <f>Communes_HDF!A3464</f>
        <v>80486</v>
      </c>
      <c r="B3464" s="2" t="str">
        <f>Communes_HDF!B3464</f>
        <v>Long</v>
      </c>
      <c r="C3464" s="2" t="str">
        <f t="array" ref="C3464">_xlfn.XLOOKUP(A3464, INSEE_Communes!$A$2:$A$3783, INSEE_Communes!$F$2:$F$3783, "code introuvable")</f>
        <v>non publié</v>
      </c>
    </row>
    <row r="3465">
      <c r="A3465" s="2" t="str">
        <f>Communes_HDF!A3465</f>
        <v>80487</v>
      </c>
      <c r="B3465" s="2" t="str">
        <f>Communes_HDF!B3465</f>
        <v>Longavesnes</v>
      </c>
      <c r="C3465" s="2" t="str">
        <f t="array" ref="C3465">_xlfn.XLOOKUP(A3465, INSEE_Communes!$A$2:$A$3783, INSEE_Communes!$F$2:$F$3783, "code introuvable")</f>
        <v>non publié</v>
      </c>
    </row>
    <row r="3466">
      <c r="A3466" s="2" t="str">
        <f>Communes_HDF!A3466</f>
        <v>80488</v>
      </c>
      <c r="B3466" s="2" t="str">
        <f>Communes_HDF!B3466</f>
        <v>Longpré-les-Corps-Saints</v>
      </c>
      <c r="C3466" s="2" t="str">
        <f t="array" ref="C3466">_xlfn.XLOOKUP(A3466, INSEE_Communes!$A$2:$A$3783, INSEE_Communes!$F$2:$F$3783, "code introuvable")</f>
        <v>non publié</v>
      </c>
    </row>
    <row r="3467">
      <c r="A3467" s="2" t="str">
        <f>Communes_HDF!A3467</f>
        <v>80489</v>
      </c>
      <c r="B3467" s="2" t="str">
        <f>Communes_HDF!B3467</f>
        <v>Longueau</v>
      </c>
      <c r="C3467" s="2">
        <f t="array" ref="C3467">_xlfn.XLOOKUP(A3467, INSEE_Communes!$A$2:$A$3783, INSEE_Communes!$F$2:$F$3783, "code introuvable")</f>
        <v>15</v>
      </c>
    </row>
    <row r="3468">
      <c r="A3468" s="2" t="str">
        <f>Communes_HDF!A3468</f>
        <v>80490</v>
      </c>
      <c r="B3468" s="2" t="str">
        <f>Communes_HDF!B3468</f>
        <v>Longueval</v>
      </c>
      <c r="C3468" s="2" t="str">
        <f t="array" ref="C3468">_xlfn.XLOOKUP(A3468, INSEE_Communes!$A$2:$A$3783, INSEE_Communes!$F$2:$F$3783, "code introuvable")</f>
        <v>non publié</v>
      </c>
    </row>
    <row r="3469">
      <c r="A3469" s="2" t="str">
        <f>Communes_HDF!A3469</f>
        <v>80491</v>
      </c>
      <c r="B3469" s="2" t="str">
        <f>Communes_HDF!B3469</f>
        <v>Longuevillette</v>
      </c>
      <c r="C3469" s="2" t="str">
        <f t="array" ref="C3469">_xlfn.XLOOKUP(A3469, INSEE_Communes!$A$2:$A$3783, INSEE_Communes!$F$2:$F$3783, "code introuvable")</f>
        <v>non publié</v>
      </c>
    </row>
    <row r="3470">
      <c r="A3470" s="2" t="str">
        <f>Communes_HDF!A3470</f>
        <v>80493</v>
      </c>
      <c r="B3470" s="2" t="str">
        <f>Communes_HDF!B3470</f>
        <v>Louvencourt</v>
      </c>
      <c r="C3470" s="2" t="str">
        <f t="array" ref="C3470">_xlfn.XLOOKUP(A3470, INSEE_Communes!$A$2:$A$3783, INSEE_Communes!$F$2:$F$3783, "code introuvable")</f>
        <v>non publié</v>
      </c>
    </row>
    <row r="3471">
      <c r="A3471" s="2" t="str">
        <f>Communes_HDF!A3471</f>
        <v>80494</v>
      </c>
      <c r="B3471" s="2" t="str">
        <f>Communes_HDF!B3471</f>
        <v>Louvrechy</v>
      </c>
      <c r="C3471" s="2" t="str">
        <f t="array" ref="C3471">_xlfn.XLOOKUP(A3471, INSEE_Communes!$A$2:$A$3783, INSEE_Communes!$F$2:$F$3783, "code introuvable")</f>
        <v>non publié</v>
      </c>
    </row>
    <row r="3472">
      <c r="A3472" s="2" t="str">
        <f>Communes_HDF!A3472</f>
        <v>80495</v>
      </c>
      <c r="B3472" s="2" t="str">
        <f>Communes_HDF!B3472</f>
        <v>Lucheux</v>
      </c>
      <c r="C3472" s="2" t="str">
        <f t="array" ref="C3472">_xlfn.XLOOKUP(A3472, INSEE_Communes!$A$2:$A$3783, INSEE_Communes!$F$2:$F$3783, "code introuvable")</f>
        <v>non publié</v>
      </c>
    </row>
    <row r="3473">
      <c r="A3473" s="2" t="str">
        <f>Communes_HDF!A3473</f>
        <v>80470</v>
      </c>
      <c r="B3473" s="2" t="str">
        <f>Communes_HDF!B3473</f>
        <v>Léalvillers</v>
      </c>
      <c r="C3473" s="2" t="str">
        <f t="array" ref="C3473">_xlfn.XLOOKUP(A3473, INSEE_Communes!$A$2:$A$3783, INSEE_Communes!$F$2:$F$3783, "code introuvable")</f>
        <v>non publié</v>
      </c>
    </row>
    <row r="3474">
      <c r="A3474" s="2" t="str">
        <f>Communes_HDF!A3474</f>
        <v>80496</v>
      </c>
      <c r="B3474" s="2" t="str">
        <f>Communes_HDF!B3474</f>
        <v>Machiel</v>
      </c>
      <c r="C3474" s="2" t="str">
        <f t="array" ref="C3474">_xlfn.XLOOKUP(A3474, INSEE_Communes!$A$2:$A$3783, INSEE_Communes!$F$2:$F$3783, "code introuvable")</f>
        <v>non publié</v>
      </c>
    </row>
    <row r="3475">
      <c r="A3475" s="2" t="str">
        <f>Communes_HDF!A3475</f>
        <v>80497</v>
      </c>
      <c r="B3475" s="2" t="str">
        <f>Communes_HDF!B3475</f>
        <v>Machy</v>
      </c>
      <c r="C3475" s="2" t="str">
        <f t="array" ref="C3475">_xlfn.XLOOKUP(A3475, INSEE_Communes!$A$2:$A$3783, INSEE_Communes!$F$2:$F$3783, "code introuvable")</f>
        <v>non publié</v>
      </c>
    </row>
    <row r="3476">
      <c r="A3476" s="2" t="str">
        <f>Communes_HDF!A3476</f>
        <v>80498</v>
      </c>
      <c r="B3476" s="2" t="str">
        <f>Communes_HDF!B3476</f>
        <v>Mailly-Maillet</v>
      </c>
      <c r="C3476" s="2" t="str">
        <f t="array" ref="C3476">_xlfn.XLOOKUP(A3476, INSEE_Communes!$A$2:$A$3783, INSEE_Communes!$F$2:$F$3783, "code introuvable")</f>
        <v>non publié</v>
      </c>
    </row>
    <row r="3477">
      <c r="A3477" s="2" t="str">
        <f>Communes_HDF!A3477</f>
        <v>80499</v>
      </c>
      <c r="B3477" s="2" t="str">
        <f>Communes_HDF!B3477</f>
        <v>Mailly-Raineval</v>
      </c>
      <c r="C3477" s="2" t="str">
        <f t="array" ref="C3477">_xlfn.XLOOKUP(A3477, INSEE_Communes!$A$2:$A$3783, INSEE_Communes!$F$2:$F$3783, "code introuvable")</f>
        <v>non publié</v>
      </c>
    </row>
    <row r="3478">
      <c r="A3478" s="2" t="str">
        <f>Communes_HDF!A3478</f>
        <v>80500</v>
      </c>
      <c r="B3478" s="2" t="str">
        <f>Communes_HDF!B3478</f>
        <v>Maisnières</v>
      </c>
      <c r="C3478" s="2" t="str">
        <f t="array" ref="C3478">_xlfn.XLOOKUP(A3478, INSEE_Communes!$A$2:$A$3783, INSEE_Communes!$F$2:$F$3783, "code introuvable")</f>
        <v>non publié</v>
      </c>
    </row>
    <row r="3479">
      <c r="A3479" s="2" t="str">
        <f>Communes_HDF!A3479</f>
        <v>80501</v>
      </c>
      <c r="B3479" s="2" t="str">
        <f>Communes_HDF!B3479</f>
        <v>Maison-Ponthieu</v>
      </c>
      <c r="C3479" s="2" t="str">
        <f t="array" ref="C3479">_xlfn.XLOOKUP(A3479, INSEE_Communes!$A$2:$A$3783, INSEE_Communes!$F$2:$F$3783, "code introuvable")</f>
        <v>non publié</v>
      </c>
    </row>
    <row r="3480">
      <c r="A3480" s="2" t="str">
        <f>Communes_HDF!A3480</f>
        <v>80502</v>
      </c>
      <c r="B3480" s="2" t="str">
        <f>Communes_HDF!B3480</f>
        <v>Maison-Roland</v>
      </c>
      <c r="C3480" s="2" t="str">
        <f t="array" ref="C3480">_xlfn.XLOOKUP(A3480, INSEE_Communes!$A$2:$A$3783, INSEE_Communes!$F$2:$F$3783, "code introuvable")</f>
        <v>non publié</v>
      </c>
    </row>
    <row r="3481">
      <c r="A3481" s="2" t="str">
        <f>Communes_HDF!A3481</f>
        <v>80503</v>
      </c>
      <c r="B3481" s="2" t="str">
        <f>Communes_HDF!B3481</f>
        <v>Maizicourt</v>
      </c>
      <c r="C3481" s="2" t="str">
        <f t="array" ref="C3481">_xlfn.XLOOKUP(A3481, INSEE_Communes!$A$2:$A$3783, INSEE_Communes!$F$2:$F$3783, "code introuvable")</f>
        <v>non publié</v>
      </c>
    </row>
    <row r="3482">
      <c r="A3482" s="2" t="str">
        <f>Communes_HDF!A3482</f>
        <v>80504</v>
      </c>
      <c r="B3482" s="2" t="str">
        <f>Communes_HDF!B3482</f>
        <v>Malpart</v>
      </c>
      <c r="C3482" s="2" t="str">
        <f t="array" ref="C3482">_xlfn.XLOOKUP(A3482, INSEE_Communes!$A$2:$A$3783, INSEE_Communes!$F$2:$F$3783, "code introuvable")</f>
        <v>non publié</v>
      </c>
    </row>
    <row r="3483">
      <c r="A3483" s="2" t="str">
        <f>Communes_HDF!A3483</f>
        <v>80507</v>
      </c>
      <c r="B3483" s="2" t="str">
        <f>Communes_HDF!B3483</f>
        <v>Marcelcave</v>
      </c>
      <c r="C3483" s="2" t="str">
        <f t="array" ref="C3483">_xlfn.XLOOKUP(A3483, INSEE_Communes!$A$2:$A$3783, INSEE_Communes!$F$2:$F$3783, "code introuvable")</f>
        <v>non publié</v>
      </c>
    </row>
    <row r="3484">
      <c r="A3484" s="2" t="str">
        <f>Communes_HDF!A3484</f>
        <v>80508</v>
      </c>
      <c r="B3484" s="2" t="str">
        <f>Communes_HDF!B3484</f>
        <v>Marché-Allouarde</v>
      </c>
      <c r="C3484" s="2" t="str">
        <f t="array" ref="C3484">_xlfn.XLOOKUP(A3484, INSEE_Communes!$A$2:$A$3783, INSEE_Communes!$F$2:$F$3783, "code introuvable")</f>
        <v>non publié</v>
      </c>
    </row>
    <row r="3485">
      <c r="A3485" s="2" t="str">
        <f>Communes_HDF!A3485</f>
        <v>80509</v>
      </c>
      <c r="B3485" s="2" t="str">
        <f>Communes_HDF!B3485</f>
        <v>Marchélepot-Misery</v>
      </c>
      <c r="C3485" s="2" t="str">
        <f t="array" ref="C3485">_xlfn.XLOOKUP(A3485, INSEE_Communes!$A$2:$A$3783, INSEE_Communes!$F$2:$F$3783, "code introuvable")</f>
        <v>non publié</v>
      </c>
    </row>
    <row r="3486">
      <c r="A3486" s="2" t="str">
        <f>Communes_HDF!A3486</f>
        <v>80511</v>
      </c>
      <c r="B3486" s="2" t="str">
        <f>Communes_HDF!B3486</f>
        <v>Marestmontiers</v>
      </c>
      <c r="C3486" s="2" t="str">
        <f t="array" ref="C3486">_xlfn.XLOOKUP(A3486, INSEE_Communes!$A$2:$A$3783, INSEE_Communes!$F$2:$F$3783, "code introuvable")</f>
        <v>non publié</v>
      </c>
    </row>
    <row r="3487">
      <c r="A3487" s="2" t="str">
        <f>Communes_HDF!A3487</f>
        <v>80512</v>
      </c>
      <c r="B3487" s="2" t="str">
        <f>Communes_HDF!B3487</f>
        <v>Mareuil-Caubert</v>
      </c>
      <c r="C3487" s="2" t="str">
        <f t="array" ref="C3487">_xlfn.XLOOKUP(A3487, INSEE_Communes!$A$2:$A$3783, INSEE_Communes!$F$2:$F$3783, "code introuvable")</f>
        <v>non publié</v>
      </c>
    </row>
    <row r="3488">
      <c r="A3488" s="2" t="str">
        <f>Communes_HDF!A3488</f>
        <v>80513</v>
      </c>
      <c r="B3488" s="2" t="str">
        <f>Communes_HDF!B3488</f>
        <v>Maricourt</v>
      </c>
      <c r="C3488" s="2" t="str">
        <f t="array" ref="C3488">_xlfn.XLOOKUP(A3488, INSEE_Communes!$A$2:$A$3783, INSEE_Communes!$F$2:$F$3783, "code introuvable")</f>
        <v>non publié</v>
      </c>
    </row>
    <row r="3489">
      <c r="A3489" s="2" t="str">
        <f>Communes_HDF!A3489</f>
        <v>80514</v>
      </c>
      <c r="B3489" s="2" t="str">
        <f>Communes_HDF!B3489</f>
        <v>Marieux</v>
      </c>
      <c r="C3489" s="2" t="str">
        <f t="array" ref="C3489">_xlfn.XLOOKUP(A3489, INSEE_Communes!$A$2:$A$3783, INSEE_Communes!$F$2:$F$3783, "code introuvable")</f>
        <v>non publié</v>
      </c>
    </row>
    <row r="3490">
      <c r="A3490" s="2" t="str">
        <f>Communes_HDF!A3490</f>
        <v>80515</v>
      </c>
      <c r="B3490" s="2" t="str">
        <f>Communes_HDF!B3490</f>
        <v>Marlers</v>
      </c>
      <c r="C3490" s="2" t="str">
        <f t="array" ref="C3490">_xlfn.XLOOKUP(A3490, INSEE_Communes!$A$2:$A$3783, INSEE_Communes!$F$2:$F$3783, "code introuvable")</f>
        <v>non publié</v>
      </c>
    </row>
    <row r="3491">
      <c r="A3491" s="2" t="str">
        <f>Communes_HDF!A3491</f>
        <v>80516</v>
      </c>
      <c r="B3491" s="2" t="str">
        <f>Communes_HDF!B3491</f>
        <v>Marquaix</v>
      </c>
      <c r="C3491" s="2" t="str">
        <f t="array" ref="C3491">_xlfn.XLOOKUP(A3491, INSEE_Communes!$A$2:$A$3783, INSEE_Communes!$F$2:$F$3783, "code introuvable")</f>
        <v>non publié</v>
      </c>
    </row>
    <row r="3492">
      <c r="A3492" s="2" t="str">
        <f>Communes_HDF!A3492</f>
        <v>80517</v>
      </c>
      <c r="B3492" s="2" t="str">
        <f>Communes_HDF!B3492</f>
        <v>Marquivillers</v>
      </c>
      <c r="C3492" s="2" t="str">
        <f t="array" ref="C3492">_xlfn.XLOOKUP(A3492, INSEE_Communes!$A$2:$A$3783, INSEE_Communes!$F$2:$F$3783, "code introuvable")</f>
        <v>non publié</v>
      </c>
    </row>
    <row r="3493">
      <c r="A3493" s="2" t="str">
        <f>Communes_HDF!A3493</f>
        <v>80518</v>
      </c>
      <c r="B3493" s="2" t="str">
        <f>Communes_HDF!B3493</f>
        <v>Martainneville</v>
      </c>
      <c r="C3493" s="2" t="str">
        <f t="array" ref="C3493">_xlfn.XLOOKUP(A3493, INSEE_Communes!$A$2:$A$3783, INSEE_Communes!$F$2:$F$3783, "code introuvable")</f>
        <v>non publié</v>
      </c>
    </row>
    <row r="3494">
      <c r="A3494" s="2" t="str">
        <f>Communes_HDF!A3494</f>
        <v>80519</v>
      </c>
      <c r="B3494" s="2" t="str">
        <f>Communes_HDF!B3494</f>
        <v>Matigny</v>
      </c>
      <c r="C3494" s="2" t="str">
        <f t="array" ref="C3494">_xlfn.XLOOKUP(A3494, INSEE_Communes!$A$2:$A$3783, INSEE_Communes!$F$2:$F$3783, "code introuvable")</f>
        <v>non publié</v>
      </c>
    </row>
    <row r="3495">
      <c r="A3495" s="2" t="str">
        <f>Communes_HDF!A3495</f>
        <v>80520</v>
      </c>
      <c r="B3495" s="2" t="str">
        <f>Communes_HDF!B3495</f>
        <v>Maucourt</v>
      </c>
      <c r="C3495" s="2" t="str">
        <f t="array" ref="C3495">_xlfn.XLOOKUP(A3495, INSEE_Communes!$A$2:$A$3783, INSEE_Communes!$F$2:$F$3783, "code introuvable")</f>
        <v>non publié</v>
      </c>
    </row>
    <row r="3496">
      <c r="A3496" s="2" t="str">
        <f>Communes_HDF!A3496</f>
        <v>80521</v>
      </c>
      <c r="B3496" s="2" t="str">
        <f>Communes_HDF!B3496</f>
        <v>Maurepas</v>
      </c>
      <c r="C3496" s="2" t="str">
        <f t="array" ref="C3496">_xlfn.XLOOKUP(A3496, INSEE_Communes!$A$2:$A$3783, INSEE_Communes!$F$2:$F$3783, "code introuvable")</f>
        <v>non publié</v>
      </c>
    </row>
    <row r="3497">
      <c r="A3497" s="2" t="str">
        <f>Communes_HDF!A3497</f>
        <v>80525</v>
      </c>
      <c r="B3497" s="2" t="str">
        <f>Communes_HDF!B3497</f>
        <v>Meigneux</v>
      </c>
      <c r="C3497" s="2" t="str">
        <f t="array" ref="C3497">_xlfn.XLOOKUP(A3497, INSEE_Communes!$A$2:$A$3783, INSEE_Communes!$F$2:$F$3783, "code introuvable")</f>
        <v>non publié</v>
      </c>
    </row>
    <row r="3498">
      <c r="A3498" s="2" t="str">
        <f>Communes_HDF!A3498</f>
        <v>80533</v>
      </c>
      <c r="B3498" s="2" t="str">
        <f>Communes_HDF!B3498</f>
        <v>Mers-les-Bains</v>
      </c>
      <c r="C3498" s="2">
        <f t="array" ref="C3498">_xlfn.XLOOKUP(A3498, INSEE_Communes!$A$2:$A$3783, INSEE_Communes!$F$2:$F$3783, "code introuvable")</f>
        <v>22</v>
      </c>
    </row>
    <row r="3499">
      <c r="A3499" s="2" t="str">
        <f>Communes_HDF!A3499</f>
        <v>80536</v>
      </c>
      <c r="B3499" s="2" t="str">
        <f>Communes_HDF!B3499</f>
        <v>Mesnil-Bruntel</v>
      </c>
      <c r="C3499" s="2" t="str">
        <f t="array" ref="C3499">_xlfn.XLOOKUP(A3499, INSEE_Communes!$A$2:$A$3783, INSEE_Communes!$F$2:$F$3783, "code introuvable")</f>
        <v>non publié</v>
      </c>
    </row>
    <row r="3500">
      <c r="A3500" s="2" t="str">
        <f>Communes_HDF!A3500</f>
        <v>80537</v>
      </c>
      <c r="B3500" s="2" t="str">
        <f>Communes_HDF!B3500</f>
        <v>Mesnil-Domqueur</v>
      </c>
      <c r="C3500" s="2" t="str">
        <f t="array" ref="C3500">_xlfn.XLOOKUP(A3500, INSEE_Communes!$A$2:$A$3783, INSEE_Communes!$F$2:$F$3783, "code introuvable")</f>
        <v>non publié</v>
      </c>
    </row>
    <row r="3501">
      <c r="A3501" s="2" t="str">
        <f>Communes_HDF!A3501</f>
        <v>80540</v>
      </c>
      <c r="B3501" s="2" t="str">
        <f>Communes_HDF!B3501</f>
        <v>Mesnil-Martinsart</v>
      </c>
      <c r="C3501" s="2" t="str">
        <f t="array" ref="C3501">_xlfn.XLOOKUP(A3501, INSEE_Communes!$A$2:$A$3783, INSEE_Communes!$F$2:$F$3783, "code introuvable")</f>
        <v>non publié</v>
      </c>
    </row>
    <row r="3502">
      <c r="A3502" s="2" t="str">
        <f>Communes_HDF!A3502</f>
        <v>80541</v>
      </c>
      <c r="B3502" s="2" t="str">
        <f>Communes_HDF!B3502</f>
        <v>Mesnil-Saint-Georges</v>
      </c>
      <c r="C3502" s="2" t="str">
        <f t="array" ref="C3502">_xlfn.XLOOKUP(A3502, INSEE_Communes!$A$2:$A$3783, INSEE_Communes!$F$2:$F$3783, "code introuvable")</f>
        <v>non publié</v>
      </c>
    </row>
    <row r="3503">
      <c r="A3503" s="2" t="str">
        <f>Communes_HDF!A3503</f>
        <v>80542</v>
      </c>
      <c r="B3503" s="2" t="str">
        <f>Communes_HDF!B3503</f>
        <v>Mesnil-Saint-Nicaise</v>
      </c>
      <c r="C3503" s="2" t="str">
        <f t="array" ref="C3503">_xlfn.XLOOKUP(A3503, INSEE_Communes!$A$2:$A$3783, INSEE_Communes!$F$2:$F$3783, "code introuvable")</f>
        <v>non publié</v>
      </c>
    </row>
    <row r="3504">
      <c r="A3504" s="2" t="str">
        <f>Communes_HDF!A3504</f>
        <v>80538</v>
      </c>
      <c r="B3504" s="2" t="str">
        <f>Communes_HDF!B3504</f>
        <v>Mesnil-en-Arrouaise</v>
      </c>
      <c r="C3504" s="2" t="str">
        <f t="array" ref="C3504">_xlfn.XLOOKUP(A3504, INSEE_Communes!$A$2:$A$3783, INSEE_Communes!$F$2:$F$3783, "code introuvable")</f>
        <v>non publié</v>
      </c>
    </row>
    <row r="3505">
      <c r="A3505" s="2" t="str">
        <f>Communes_HDF!A3505</f>
        <v>80546</v>
      </c>
      <c r="B3505" s="2" t="str">
        <f>Communes_HDF!B3505</f>
        <v>Miannay</v>
      </c>
      <c r="C3505" s="2" t="str">
        <f t="array" ref="C3505">_xlfn.XLOOKUP(A3505, INSEE_Communes!$A$2:$A$3783, INSEE_Communes!$F$2:$F$3783, "code introuvable")</f>
        <v>non publié</v>
      </c>
    </row>
    <row r="3506">
      <c r="A3506" s="2" t="str">
        <f>Communes_HDF!A3506</f>
        <v>80547</v>
      </c>
      <c r="B3506" s="2" t="str">
        <f>Communes_HDF!B3506</f>
        <v>Millencourt</v>
      </c>
      <c r="C3506" s="2" t="str">
        <f t="array" ref="C3506">_xlfn.XLOOKUP(A3506, INSEE_Communes!$A$2:$A$3783, INSEE_Communes!$F$2:$F$3783, "code introuvable")</f>
        <v>non publié</v>
      </c>
    </row>
    <row r="3507">
      <c r="A3507" s="2" t="str">
        <f>Communes_HDF!A3507</f>
        <v>80548</v>
      </c>
      <c r="B3507" s="2" t="str">
        <f>Communes_HDF!B3507</f>
        <v>Millencourt-en-Ponthieu</v>
      </c>
      <c r="C3507" s="2" t="str">
        <f t="array" ref="C3507">_xlfn.XLOOKUP(A3507, INSEE_Communes!$A$2:$A$3783, INSEE_Communes!$F$2:$F$3783, "code introuvable")</f>
        <v>non publié</v>
      </c>
    </row>
    <row r="3508">
      <c r="A3508" s="2" t="str">
        <f>Communes_HDF!A3508</f>
        <v>80549</v>
      </c>
      <c r="B3508" s="2" t="str">
        <f>Communes_HDF!B3508</f>
        <v>Miraumont</v>
      </c>
      <c r="C3508" s="2" t="str">
        <f t="array" ref="C3508">_xlfn.XLOOKUP(A3508, INSEE_Communes!$A$2:$A$3783, INSEE_Communes!$F$2:$F$3783, "code introuvable")</f>
        <v>non publié</v>
      </c>
    </row>
    <row r="3509">
      <c r="A3509" s="2" t="str">
        <f>Communes_HDF!A3509</f>
        <v>80550</v>
      </c>
      <c r="B3509" s="2" t="str">
        <f>Communes_HDF!B3509</f>
        <v>Mirvaux</v>
      </c>
      <c r="C3509" s="2" t="str">
        <f t="array" ref="C3509">_xlfn.XLOOKUP(A3509, INSEE_Communes!$A$2:$A$3783, INSEE_Communes!$F$2:$F$3783, "code introuvable")</f>
        <v>non publié</v>
      </c>
    </row>
    <row r="3510">
      <c r="A3510" s="2" t="str">
        <f>Communes_HDF!A3510</f>
        <v>80552</v>
      </c>
      <c r="B3510" s="2" t="str">
        <f>Communes_HDF!B3510</f>
        <v>Moislains</v>
      </c>
      <c r="C3510" s="2" t="str">
        <f t="array" ref="C3510">_xlfn.XLOOKUP(A3510, INSEE_Communes!$A$2:$A$3783, INSEE_Communes!$F$2:$F$3783, "code introuvable")</f>
        <v>non publié</v>
      </c>
    </row>
    <row r="3511">
      <c r="A3511" s="2" t="str">
        <f>Communes_HDF!A3511</f>
        <v>80554</v>
      </c>
      <c r="B3511" s="2" t="str">
        <f>Communes_HDF!B3511</f>
        <v>Molliens-Dreuil</v>
      </c>
      <c r="C3511" s="2" t="str">
        <f t="array" ref="C3511">_xlfn.XLOOKUP(A3511, INSEE_Communes!$A$2:$A$3783, INSEE_Communes!$F$2:$F$3783, "code introuvable")</f>
        <v>non publié</v>
      </c>
    </row>
    <row r="3512">
      <c r="A3512" s="2" t="str">
        <f>Communes_HDF!A3512</f>
        <v>80553</v>
      </c>
      <c r="B3512" s="2" t="str">
        <f>Communes_HDF!B3512</f>
        <v>Molliens-au-Bois</v>
      </c>
      <c r="C3512" s="2" t="str">
        <f t="array" ref="C3512">_xlfn.XLOOKUP(A3512, INSEE_Communes!$A$2:$A$3783, INSEE_Communes!$F$2:$F$3783, "code introuvable")</f>
        <v>non publié</v>
      </c>
    </row>
    <row r="3513">
      <c r="A3513" s="2" t="str">
        <f>Communes_HDF!A3513</f>
        <v>80555</v>
      </c>
      <c r="B3513" s="2" t="str">
        <f>Communes_HDF!B3513</f>
        <v>Monchy-Lagache</v>
      </c>
      <c r="C3513" s="2" t="str">
        <f t="array" ref="C3513">_xlfn.XLOOKUP(A3513, INSEE_Communes!$A$2:$A$3783, INSEE_Communes!$F$2:$F$3783, "code introuvable")</f>
        <v>non publié</v>
      </c>
    </row>
    <row r="3514">
      <c r="A3514" s="2" t="str">
        <f>Communes_HDF!A3514</f>
        <v>80556</v>
      </c>
      <c r="B3514" s="2" t="str">
        <f>Communes_HDF!B3514</f>
        <v>Mons-Boubert</v>
      </c>
      <c r="C3514" s="2" t="str">
        <f t="array" ref="C3514">_xlfn.XLOOKUP(A3514, INSEE_Communes!$A$2:$A$3783, INSEE_Communes!$F$2:$F$3783, "code introuvable")</f>
        <v>non publié</v>
      </c>
    </row>
    <row r="3515">
      <c r="A3515" s="2" t="str">
        <f>Communes_HDF!A3515</f>
        <v>80558</v>
      </c>
      <c r="B3515" s="2" t="str">
        <f>Communes_HDF!B3515</f>
        <v>Monsures</v>
      </c>
      <c r="C3515" s="2" t="str">
        <f t="array" ref="C3515">_xlfn.XLOOKUP(A3515, INSEE_Communes!$A$2:$A$3783, INSEE_Communes!$F$2:$F$3783, "code introuvable")</f>
        <v>non publié</v>
      </c>
    </row>
    <row r="3516">
      <c r="A3516" s="2" t="str">
        <f>Communes_HDF!A3516</f>
        <v>80559</v>
      </c>
      <c r="B3516" s="2" t="str">
        <f>Communes_HDF!B3516</f>
        <v>Montagne-Fayel</v>
      </c>
      <c r="C3516" s="2" t="str">
        <f t="array" ref="C3516">_xlfn.XLOOKUP(A3516, INSEE_Communes!$A$2:$A$3783, INSEE_Communes!$F$2:$F$3783, "code introuvable")</f>
        <v>non publié</v>
      </c>
    </row>
    <row r="3517">
      <c r="A3517" s="2" t="str">
        <f>Communes_HDF!A3517</f>
        <v>80560</v>
      </c>
      <c r="B3517" s="2" t="str">
        <f>Communes_HDF!B3517</f>
        <v>Montauban-de-Picardie</v>
      </c>
      <c r="C3517" s="2" t="str">
        <f t="array" ref="C3517">_xlfn.XLOOKUP(A3517, INSEE_Communes!$A$2:$A$3783, INSEE_Communes!$F$2:$F$3783, "code introuvable")</f>
        <v>non publié</v>
      </c>
    </row>
    <row r="3518">
      <c r="A3518" s="2" t="str">
        <f>Communes_HDF!A3518</f>
        <v>80561</v>
      </c>
      <c r="B3518" s="2" t="str">
        <f>Communes_HDF!B3518</f>
        <v>Montdidier</v>
      </c>
      <c r="C3518" s="2">
        <f t="array" ref="C3518">_xlfn.XLOOKUP(A3518, INSEE_Communes!$A$2:$A$3783, INSEE_Communes!$F$2:$F$3783, "code introuvable")</f>
        <v>23</v>
      </c>
    </row>
    <row r="3519">
      <c r="A3519" s="2" t="str">
        <f>Communes_HDF!A3519</f>
        <v>80563</v>
      </c>
      <c r="B3519" s="2" t="str">
        <f>Communes_HDF!B3519</f>
        <v>Montigny-les-Jongleurs</v>
      </c>
      <c r="C3519" s="2" t="str">
        <f t="array" ref="C3519">_xlfn.XLOOKUP(A3519, INSEE_Communes!$A$2:$A$3783, INSEE_Communes!$F$2:$F$3783, "code introuvable")</f>
        <v>non publié</v>
      </c>
    </row>
    <row r="3520">
      <c r="A3520" s="2" t="str">
        <f>Communes_HDF!A3520</f>
        <v>80562</v>
      </c>
      <c r="B3520" s="2" t="str">
        <f>Communes_HDF!B3520</f>
        <v>Montigny-sur-l'Hallue</v>
      </c>
      <c r="C3520" s="2" t="str">
        <f t="array" ref="C3520">_xlfn.XLOOKUP(A3520, INSEE_Communes!$A$2:$A$3783, INSEE_Communes!$F$2:$F$3783, "code introuvable")</f>
        <v>non publié</v>
      </c>
    </row>
    <row r="3521">
      <c r="A3521" s="2" t="str">
        <f>Communes_HDF!A3521</f>
        <v>80565</v>
      </c>
      <c r="B3521" s="2" t="str">
        <f>Communes_HDF!B3521</f>
        <v>Montonvillers</v>
      </c>
      <c r="C3521" s="2" t="str">
        <f t="array" ref="C3521">_xlfn.XLOOKUP(A3521, INSEE_Communes!$A$2:$A$3783, INSEE_Communes!$F$2:$F$3783, "code introuvable")</f>
        <v>non publié</v>
      </c>
    </row>
    <row r="3522">
      <c r="A3522" s="2" t="str">
        <f>Communes_HDF!A3522</f>
        <v>80568</v>
      </c>
      <c r="B3522" s="2" t="str">
        <f>Communes_HDF!B3522</f>
        <v>Morchain</v>
      </c>
      <c r="C3522" s="2" t="str">
        <f t="array" ref="C3522">_xlfn.XLOOKUP(A3522, INSEE_Communes!$A$2:$A$3783, INSEE_Communes!$F$2:$F$3783, "code introuvable")</f>
        <v>non publié</v>
      </c>
    </row>
    <row r="3523">
      <c r="A3523" s="2" t="str">
        <f>Communes_HDF!A3523</f>
        <v>80569</v>
      </c>
      <c r="B3523" s="2" t="str">
        <f>Communes_HDF!B3523</f>
        <v>Morcourt</v>
      </c>
      <c r="C3523" s="2" t="str">
        <f t="array" ref="C3523">_xlfn.XLOOKUP(A3523, INSEE_Communes!$A$2:$A$3783, INSEE_Communes!$F$2:$F$3783, "code introuvable")</f>
        <v>non publié</v>
      </c>
    </row>
    <row r="3524">
      <c r="A3524" s="2" t="str">
        <f>Communes_HDF!A3524</f>
        <v>80570</v>
      </c>
      <c r="B3524" s="2" t="str">
        <f>Communes_HDF!B3524</f>
        <v>Moreuil</v>
      </c>
      <c r="C3524" s="2">
        <f t="array" ref="C3524">_xlfn.XLOOKUP(A3524, INSEE_Communes!$A$2:$A$3783, INSEE_Communes!$F$2:$F$3783, "code introuvable")</f>
        <v>15</v>
      </c>
    </row>
    <row r="3525">
      <c r="A3525" s="2" t="str">
        <f>Communes_HDF!A3525</f>
        <v>80571</v>
      </c>
      <c r="B3525" s="2" t="str">
        <f>Communes_HDF!B3525</f>
        <v>Morisel</v>
      </c>
      <c r="C3525" s="2" t="str">
        <f t="array" ref="C3525">_xlfn.XLOOKUP(A3525, INSEE_Communes!$A$2:$A$3783, INSEE_Communes!$F$2:$F$3783, "code introuvable")</f>
        <v>non publié</v>
      </c>
    </row>
    <row r="3526">
      <c r="A3526" s="2" t="str">
        <f>Communes_HDF!A3526</f>
        <v>80572</v>
      </c>
      <c r="B3526" s="2" t="str">
        <f>Communes_HDF!B3526</f>
        <v>Morlancourt</v>
      </c>
      <c r="C3526" s="2" t="str">
        <f t="array" ref="C3526">_xlfn.XLOOKUP(A3526, INSEE_Communes!$A$2:$A$3783, INSEE_Communes!$F$2:$F$3783, "code introuvable")</f>
        <v>non publié</v>
      </c>
    </row>
    <row r="3527">
      <c r="A3527" s="2" t="str">
        <f>Communes_HDF!A3527</f>
        <v>80573</v>
      </c>
      <c r="B3527" s="2" t="str">
        <f>Communes_HDF!B3527</f>
        <v>Morvillers-Saint-Saturnin</v>
      </c>
      <c r="C3527" s="2" t="str">
        <f t="array" ref="C3527">_xlfn.XLOOKUP(A3527, INSEE_Communes!$A$2:$A$3783, INSEE_Communes!$F$2:$F$3783, "code introuvable")</f>
        <v>non publié</v>
      </c>
    </row>
    <row r="3528">
      <c r="A3528" s="2" t="str">
        <f>Communes_HDF!A3528</f>
        <v>80574</v>
      </c>
      <c r="B3528" s="2" t="str">
        <f>Communes_HDF!B3528</f>
        <v>Mouflers</v>
      </c>
      <c r="C3528" s="2" t="str">
        <f t="array" ref="C3528">_xlfn.XLOOKUP(A3528, INSEE_Communes!$A$2:$A$3783, INSEE_Communes!$F$2:$F$3783, "code introuvable")</f>
        <v>non publié</v>
      </c>
    </row>
    <row r="3529">
      <c r="A3529" s="2" t="str">
        <f>Communes_HDF!A3529</f>
        <v>80575</v>
      </c>
      <c r="B3529" s="2" t="str">
        <f>Communes_HDF!B3529</f>
        <v>Mouflières</v>
      </c>
      <c r="C3529" s="2" t="str">
        <f t="array" ref="C3529">_xlfn.XLOOKUP(A3529, INSEE_Communes!$A$2:$A$3783, INSEE_Communes!$F$2:$F$3783, "code introuvable")</f>
        <v>non publié</v>
      </c>
    </row>
    <row r="3530">
      <c r="A3530" s="2" t="str">
        <f>Communes_HDF!A3530</f>
        <v>80576</v>
      </c>
      <c r="B3530" s="2" t="str">
        <f>Communes_HDF!B3530</f>
        <v>Moyencourt</v>
      </c>
      <c r="C3530" s="2" t="str">
        <f t="array" ref="C3530">_xlfn.XLOOKUP(A3530, INSEE_Communes!$A$2:$A$3783, INSEE_Communes!$F$2:$F$3783, "code introuvable")</f>
        <v>non publié</v>
      </c>
    </row>
    <row r="3531">
      <c r="A3531" s="2" t="str">
        <f>Communes_HDF!A3531</f>
        <v>80577</v>
      </c>
      <c r="B3531" s="2" t="str">
        <f>Communes_HDF!B3531</f>
        <v>Moyencourt-lès-Poix</v>
      </c>
      <c r="C3531" s="2" t="str">
        <f t="array" ref="C3531">_xlfn.XLOOKUP(A3531, INSEE_Communes!$A$2:$A$3783, INSEE_Communes!$F$2:$F$3783, "code introuvable")</f>
        <v>non publié</v>
      </c>
    </row>
    <row r="3532">
      <c r="A3532" s="2" t="str">
        <f>Communes_HDF!A3532</f>
        <v>80578</v>
      </c>
      <c r="B3532" s="2" t="str">
        <f>Communes_HDF!B3532</f>
        <v>Moyenneville</v>
      </c>
      <c r="C3532" s="2" t="str">
        <f t="array" ref="C3532">_xlfn.XLOOKUP(A3532, INSEE_Communes!$A$2:$A$3783, INSEE_Communes!$F$2:$F$3783, "code introuvable")</f>
        <v>non publié</v>
      </c>
    </row>
    <row r="3533">
      <c r="A3533" s="2" t="str">
        <f>Communes_HDF!A3533</f>
        <v>80579</v>
      </c>
      <c r="B3533" s="2" t="str">
        <f>Communes_HDF!B3533</f>
        <v>Muille-Villette</v>
      </c>
      <c r="C3533" s="2" t="str">
        <f t="array" ref="C3533">_xlfn.XLOOKUP(A3533, INSEE_Communes!$A$2:$A$3783, INSEE_Communes!$F$2:$F$3783, "code introuvable")</f>
        <v>non publié</v>
      </c>
    </row>
    <row r="3534">
      <c r="A3534" s="2" t="str">
        <f>Communes_HDF!A3534</f>
        <v>80523</v>
      </c>
      <c r="B3534" s="2" t="str">
        <f>Communes_HDF!B3534</f>
        <v>Méaulte</v>
      </c>
      <c r="C3534" s="2" t="str">
        <f t="array" ref="C3534">_xlfn.XLOOKUP(A3534, INSEE_Communes!$A$2:$A$3783, INSEE_Communes!$F$2:$F$3783, "code introuvable")</f>
        <v>non publié</v>
      </c>
    </row>
    <row r="3535">
      <c r="A3535" s="2" t="str">
        <f>Communes_HDF!A3535</f>
        <v>80524</v>
      </c>
      <c r="B3535" s="2" t="str">
        <f>Communes_HDF!B3535</f>
        <v>Méharicourt</v>
      </c>
      <c r="C3535" s="2" t="str">
        <f t="array" ref="C3535">_xlfn.XLOOKUP(A3535, INSEE_Communes!$A$2:$A$3783, INSEE_Communes!$F$2:$F$3783, "code introuvable")</f>
        <v>non publié</v>
      </c>
    </row>
    <row r="3536">
      <c r="A3536" s="2" t="str">
        <f>Communes_HDF!A3536</f>
        <v>80527</v>
      </c>
      <c r="B3536" s="2" t="str">
        <f>Communes_HDF!B3536</f>
        <v>Méneslies</v>
      </c>
      <c r="C3536" s="2" t="str">
        <f t="array" ref="C3536">_xlfn.XLOOKUP(A3536, INSEE_Communes!$A$2:$A$3783, INSEE_Communes!$F$2:$F$3783, "code introuvable")</f>
        <v>non publié</v>
      </c>
    </row>
    <row r="3537">
      <c r="A3537" s="2" t="str">
        <f>Communes_HDF!A3537</f>
        <v>80531</v>
      </c>
      <c r="B3537" s="2" t="str">
        <f>Communes_HDF!B3537</f>
        <v>Méricourt-en-Vimeu</v>
      </c>
      <c r="C3537" s="2" t="str">
        <f t="array" ref="C3537">_xlfn.XLOOKUP(A3537, INSEE_Communes!$A$2:$A$3783, INSEE_Communes!$F$2:$F$3783, "code introuvable")</f>
        <v>non publié</v>
      </c>
    </row>
    <row r="3538">
      <c r="A3538" s="2" t="str">
        <f>Communes_HDF!A3538</f>
        <v>80530</v>
      </c>
      <c r="B3538" s="2" t="str">
        <f>Communes_HDF!B3538</f>
        <v>Méricourt-l'Abbé</v>
      </c>
      <c r="C3538" s="2" t="str">
        <f t="array" ref="C3538">_xlfn.XLOOKUP(A3538, INSEE_Communes!$A$2:$A$3783, INSEE_Communes!$F$2:$F$3783, "code introuvable")</f>
        <v>non publié</v>
      </c>
    </row>
    <row r="3539">
      <c r="A3539" s="2" t="str">
        <f>Communes_HDF!A3539</f>
        <v>80528</v>
      </c>
      <c r="B3539" s="2" t="str">
        <f>Communes_HDF!B3539</f>
        <v>Méréaucourt</v>
      </c>
      <c r="C3539" s="2" t="str">
        <f t="array" ref="C3539">_xlfn.XLOOKUP(A3539, INSEE_Communes!$A$2:$A$3783, INSEE_Communes!$F$2:$F$3783, "code introuvable")</f>
        <v>non publié</v>
      </c>
    </row>
    <row r="3540">
      <c r="A3540" s="2" t="str">
        <f>Communes_HDF!A3540</f>
        <v>80529</v>
      </c>
      <c r="B3540" s="2" t="str">
        <f>Communes_HDF!B3540</f>
        <v>Mérélessart</v>
      </c>
      <c r="C3540" s="2" t="str">
        <f t="array" ref="C3540">_xlfn.XLOOKUP(A3540, INSEE_Communes!$A$2:$A$3783, INSEE_Communes!$F$2:$F$3783, "code introuvable")</f>
        <v>non publié</v>
      </c>
    </row>
    <row r="3541">
      <c r="A3541" s="2" t="str">
        <f>Communes_HDF!A3541</f>
        <v>80543</v>
      </c>
      <c r="B3541" s="2" t="str">
        <f>Communes_HDF!B3541</f>
        <v>Métigny</v>
      </c>
      <c r="C3541" s="2" t="str">
        <f t="array" ref="C3541">_xlfn.XLOOKUP(A3541, INSEE_Communes!$A$2:$A$3783, INSEE_Communes!$F$2:$F$3783, "code introuvable")</f>
        <v>non publié</v>
      </c>
    </row>
    <row r="3542">
      <c r="A3542" s="2" t="str">
        <f>Communes_HDF!A3542</f>
        <v>80544</v>
      </c>
      <c r="B3542" s="2" t="str">
        <f>Communes_HDF!B3542</f>
        <v>Mézerolles</v>
      </c>
      <c r="C3542" s="2" t="str">
        <f t="array" ref="C3542">_xlfn.XLOOKUP(A3542, INSEE_Communes!$A$2:$A$3783, INSEE_Communes!$F$2:$F$3783, "code introuvable")</f>
        <v>non publié</v>
      </c>
    </row>
    <row r="3543">
      <c r="A3543" s="2" t="str">
        <f>Communes_HDF!A3543</f>
        <v>80545</v>
      </c>
      <c r="B3543" s="2" t="str">
        <f>Communes_HDF!B3543</f>
        <v>Mézières-en-Santerre</v>
      </c>
      <c r="C3543" s="2" t="str">
        <f t="array" ref="C3543">_xlfn.XLOOKUP(A3543, INSEE_Communes!$A$2:$A$3783, INSEE_Communes!$F$2:$F$3783, "code introuvable")</f>
        <v>non publié</v>
      </c>
    </row>
    <row r="3544">
      <c r="A3544" s="2" t="str">
        <f>Communes_HDF!A3544</f>
        <v>80580</v>
      </c>
      <c r="B3544" s="2" t="str">
        <f>Communes_HDF!B3544</f>
        <v>Nampont</v>
      </c>
      <c r="C3544" s="2" t="str">
        <f t="array" ref="C3544">_xlfn.XLOOKUP(A3544, INSEE_Communes!$A$2:$A$3783, INSEE_Communes!$F$2:$F$3783, "code introuvable")</f>
        <v>non publié</v>
      </c>
    </row>
    <row r="3545">
      <c r="A3545" s="2" t="str">
        <f>Communes_HDF!A3545</f>
        <v>80582</v>
      </c>
      <c r="B3545" s="2" t="str">
        <f>Communes_HDF!B3545</f>
        <v>Namps-Maisnil</v>
      </c>
      <c r="C3545" s="2" t="str">
        <f t="array" ref="C3545">_xlfn.XLOOKUP(A3545, INSEE_Communes!$A$2:$A$3783, INSEE_Communes!$F$2:$F$3783, "code introuvable")</f>
        <v>non publié</v>
      </c>
    </row>
    <row r="3546">
      <c r="A3546" s="2" t="str">
        <f>Communes_HDF!A3546</f>
        <v>80583</v>
      </c>
      <c r="B3546" s="2" t="str">
        <f>Communes_HDF!B3546</f>
        <v>Nampty</v>
      </c>
      <c r="C3546" s="2" t="str">
        <f t="array" ref="C3546">_xlfn.XLOOKUP(A3546, INSEE_Communes!$A$2:$A$3783, INSEE_Communes!$F$2:$F$3783, "code introuvable")</f>
        <v>non publié</v>
      </c>
    </row>
    <row r="3547">
      <c r="A3547" s="2" t="str">
        <f>Communes_HDF!A3547</f>
        <v>80584</v>
      </c>
      <c r="B3547" s="2" t="str">
        <f>Communes_HDF!B3547</f>
        <v>Naours</v>
      </c>
      <c r="C3547" s="2" t="str">
        <f t="array" ref="C3547">_xlfn.XLOOKUP(A3547, INSEE_Communes!$A$2:$A$3783, INSEE_Communes!$F$2:$F$3783, "code introuvable")</f>
        <v>non publié</v>
      </c>
    </row>
    <row r="3548">
      <c r="A3548" s="2" t="str">
        <f>Communes_HDF!A3548</f>
        <v>80585</v>
      </c>
      <c r="B3548" s="2" t="str">
        <f>Communes_HDF!B3548</f>
        <v>Nesle</v>
      </c>
      <c r="C3548" s="2">
        <f t="array" ref="C3548">_xlfn.XLOOKUP(A3548, INSEE_Communes!$A$2:$A$3783, INSEE_Communes!$F$2:$F$3783, "code introuvable")</f>
        <v>21</v>
      </c>
    </row>
    <row r="3549">
      <c r="A3549" s="2" t="str">
        <f>Communes_HDF!A3549</f>
        <v>80586</v>
      </c>
      <c r="B3549" s="2" t="str">
        <f>Communes_HDF!B3549</f>
        <v>Nesle-l'Hôpital</v>
      </c>
      <c r="C3549" s="2" t="str">
        <f t="array" ref="C3549">_xlfn.XLOOKUP(A3549, INSEE_Communes!$A$2:$A$3783, INSEE_Communes!$F$2:$F$3783, "code introuvable")</f>
        <v>non publié</v>
      </c>
    </row>
    <row r="3550">
      <c r="A3550" s="2" t="str">
        <f>Communes_HDF!A3550</f>
        <v>80587</v>
      </c>
      <c r="B3550" s="2" t="str">
        <f>Communes_HDF!B3550</f>
        <v>Neslette</v>
      </c>
      <c r="C3550" s="2" t="str">
        <f t="array" ref="C3550">_xlfn.XLOOKUP(A3550, INSEE_Communes!$A$2:$A$3783, INSEE_Communes!$F$2:$F$3783, "code introuvable")</f>
        <v>non publié</v>
      </c>
    </row>
    <row r="3551">
      <c r="A3551" s="2" t="str">
        <f>Communes_HDF!A3551</f>
        <v>80588</v>
      </c>
      <c r="B3551" s="2" t="str">
        <f>Communes_HDF!B3551</f>
        <v>Neufmoulin</v>
      </c>
      <c r="C3551" s="2" t="str">
        <f t="array" ref="C3551">_xlfn.XLOOKUP(A3551, INSEE_Communes!$A$2:$A$3783, INSEE_Communes!$F$2:$F$3783, "code introuvable")</f>
        <v>non publié</v>
      </c>
    </row>
    <row r="3552">
      <c r="A3552" s="2" t="str">
        <f>Communes_HDF!A3552</f>
        <v>80590</v>
      </c>
      <c r="B3552" s="2" t="str">
        <f>Communes_HDF!B3552</f>
        <v>Neuilly-l'Hôpital</v>
      </c>
      <c r="C3552" s="2" t="str">
        <f t="array" ref="C3552">_xlfn.XLOOKUP(A3552, INSEE_Communes!$A$2:$A$3783, INSEE_Communes!$F$2:$F$3783, "code introuvable")</f>
        <v>non publié</v>
      </c>
    </row>
    <row r="3553">
      <c r="A3553" s="2" t="str">
        <f>Communes_HDF!A3553</f>
        <v>80589</v>
      </c>
      <c r="B3553" s="2" t="str">
        <f>Communes_HDF!B3553</f>
        <v>Neuilly-le-Dien</v>
      </c>
      <c r="C3553" s="2" t="str">
        <f t="array" ref="C3553">_xlfn.XLOOKUP(A3553, INSEE_Communes!$A$2:$A$3783, INSEE_Communes!$F$2:$F$3783, "code introuvable")</f>
        <v>non publié</v>
      </c>
    </row>
    <row r="3554">
      <c r="A3554" s="2" t="str">
        <f>Communes_HDF!A3554</f>
        <v>80592</v>
      </c>
      <c r="B3554" s="2" t="str">
        <f>Communes_HDF!B3554</f>
        <v>Neuville-Coppegueule</v>
      </c>
      <c r="C3554" s="2" t="str">
        <f t="array" ref="C3554">_xlfn.XLOOKUP(A3554, INSEE_Communes!$A$2:$A$3783, INSEE_Communes!$F$2:$F$3783, "code introuvable")</f>
        <v>non publié</v>
      </c>
    </row>
    <row r="3555">
      <c r="A3555" s="2" t="str">
        <f>Communes_HDF!A3555</f>
        <v>80591</v>
      </c>
      <c r="B3555" s="2" t="str">
        <f>Communes_HDF!B3555</f>
        <v>Neuville-au-Bois</v>
      </c>
      <c r="C3555" s="2" t="str">
        <f t="array" ref="C3555">_xlfn.XLOOKUP(A3555, INSEE_Communes!$A$2:$A$3783, INSEE_Communes!$F$2:$F$3783, "code introuvable")</f>
        <v>non publié</v>
      </c>
    </row>
    <row r="3556">
      <c r="A3556" s="2" t="str">
        <f>Communes_HDF!A3556</f>
        <v>80596</v>
      </c>
      <c r="B3556" s="2" t="str">
        <f>Communes_HDF!B3556</f>
        <v>Neuvillette</v>
      </c>
      <c r="C3556" s="2" t="str">
        <f t="array" ref="C3556">_xlfn.XLOOKUP(A3556, INSEE_Communes!$A$2:$A$3783, INSEE_Communes!$F$2:$F$3783, "code introuvable")</f>
        <v>non publié</v>
      </c>
    </row>
    <row r="3557">
      <c r="A3557" s="2" t="str">
        <f>Communes_HDF!A3557</f>
        <v>80597</v>
      </c>
      <c r="B3557" s="2" t="str">
        <f>Communes_HDF!B3557</f>
        <v>Nibas</v>
      </c>
      <c r="C3557" s="2" t="str">
        <f t="array" ref="C3557">_xlfn.XLOOKUP(A3557, INSEE_Communes!$A$2:$A$3783, INSEE_Communes!$F$2:$F$3783, "code introuvable")</f>
        <v>non publié</v>
      </c>
    </row>
    <row r="3558">
      <c r="A3558" s="2" t="str">
        <f>Communes_HDF!A3558</f>
        <v>80598</v>
      </c>
      <c r="B3558" s="2" t="str">
        <f>Communes_HDF!B3558</f>
        <v>Nouvion</v>
      </c>
      <c r="C3558" s="2" t="str">
        <f t="array" ref="C3558">_xlfn.XLOOKUP(A3558, INSEE_Communes!$A$2:$A$3783, INSEE_Communes!$F$2:$F$3783, "code introuvable")</f>
        <v>non publié</v>
      </c>
    </row>
    <row r="3559">
      <c r="A3559" s="2" t="str">
        <f>Communes_HDF!A3559</f>
        <v>80599</v>
      </c>
      <c r="B3559" s="2" t="str">
        <f>Communes_HDF!B3559</f>
        <v>Noyelles-en-Chaussée</v>
      </c>
      <c r="C3559" s="2" t="str">
        <f t="array" ref="C3559">_xlfn.XLOOKUP(A3559, INSEE_Communes!$A$2:$A$3783, INSEE_Communes!$F$2:$F$3783, "code introuvable")</f>
        <v>non publié</v>
      </c>
    </row>
    <row r="3560">
      <c r="A3560" s="2" t="str">
        <f>Communes_HDF!A3560</f>
        <v>80600</v>
      </c>
      <c r="B3560" s="2" t="str">
        <f>Communes_HDF!B3560</f>
        <v>Noyelles-sur-Mer</v>
      </c>
      <c r="C3560" s="2" t="str">
        <f t="array" ref="C3560">_xlfn.XLOOKUP(A3560, INSEE_Communes!$A$2:$A$3783, INSEE_Communes!$F$2:$F$3783, "code introuvable")</f>
        <v>non publié</v>
      </c>
    </row>
    <row r="3561">
      <c r="A3561" s="2" t="str">
        <f>Communes_HDF!A3561</f>
        <v>80601</v>
      </c>
      <c r="B3561" s="2" t="str">
        <f>Communes_HDF!B3561</f>
        <v>Nurlu</v>
      </c>
      <c r="C3561" s="2" t="str">
        <f t="array" ref="C3561">_xlfn.XLOOKUP(A3561, INSEE_Communes!$A$2:$A$3783, INSEE_Communes!$F$2:$F$3783, "code introuvable")</f>
        <v>non publié</v>
      </c>
    </row>
    <row r="3562">
      <c r="A3562" s="2" t="str">
        <f>Communes_HDF!A3562</f>
        <v>80602</v>
      </c>
      <c r="B3562" s="2" t="str">
        <f>Communes_HDF!B3562</f>
        <v>Occoches</v>
      </c>
      <c r="C3562" s="2" t="str">
        <f t="array" ref="C3562">_xlfn.XLOOKUP(A3562, INSEE_Communes!$A$2:$A$3783, INSEE_Communes!$F$2:$F$3783, "code introuvable")</f>
        <v>non publié</v>
      </c>
    </row>
    <row r="3563">
      <c r="A3563" s="2" t="str">
        <f>Communes_HDF!A3563</f>
        <v>80603</v>
      </c>
      <c r="B3563" s="2" t="str">
        <f>Communes_HDF!B3563</f>
        <v>Ochancourt</v>
      </c>
      <c r="C3563" s="2" t="str">
        <f t="array" ref="C3563">_xlfn.XLOOKUP(A3563, INSEE_Communes!$A$2:$A$3783, INSEE_Communes!$F$2:$F$3783, "code introuvable")</f>
        <v>non publié</v>
      </c>
    </row>
    <row r="3564">
      <c r="A3564" s="2" t="str">
        <f>Communes_HDF!A3564</f>
        <v>80604</v>
      </c>
      <c r="B3564" s="2" t="str">
        <f>Communes_HDF!B3564</f>
        <v>Offignies</v>
      </c>
      <c r="C3564" s="2" t="str">
        <f t="array" ref="C3564">_xlfn.XLOOKUP(A3564, INSEE_Communes!$A$2:$A$3783, INSEE_Communes!$F$2:$F$3783, "code introuvable")</f>
        <v>non publié</v>
      </c>
    </row>
    <row r="3565">
      <c r="A3565" s="2" t="str">
        <f>Communes_HDF!A3565</f>
        <v>80605</v>
      </c>
      <c r="B3565" s="2" t="str">
        <f>Communes_HDF!B3565</f>
        <v>Offoy</v>
      </c>
      <c r="C3565" s="2" t="str">
        <f t="array" ref="C3565">_xlfn.XLOOKUP(A3565, INSEE_Communes!$A$2:$A$3783, INSEE_Communes!$F$2:$F$3783, "code introuvable")</f>
        <v>non publié</v>
      </c>
    </row>
    <row r="3566">
      <c r="A3566" s="2" t="str">
        <f>Communes_HDF!A3566</f>
        <v>80606</v>
      </c>
      <c r="B3566" s="2" t="str">
        <f>Communes_HDF!B3566</f>
        <v>Oisemont</v>
      </c>
      <c r="C3566" s="2" t="str">
        <f t="array" ref="C3566">_xlfn.XLOOKUP(A3566, INSEE_Communes!$A$2:$A$3783, INSEE_Communes!$F$2:$F$3783, "code introuvable")</f>
        <v>non publié</v>
      </c>
    </row>
    <row r="3567">
      <c r="A3567" s="2" t="str">
        <f>Communes_HDF!A3567</f>
        <v>80607</v>
      </c>
      <c r="B3567" s="2" t="str">
        <f>Communes_HDF!B3567</f>
        <v>Oissy</v>
      </c>
      <c r="C3567" s="2" t="str">
        <f t="array" ref="C3567">_xlfn.XLOOKUP(A3567, INSEE_Communes!$A$2:$A$3783, INSEE_Communes!$F$2:$F$3783, "code introuvable")</f>
        <v>non publié</v>
      </c>
    </row>
    <row r="3568">
      <c r="A3568" s="2" t="str">
        <f>Communes_HDF!A3568</f>
        <v>80609</v>
      </c>
      <c r="B3568" s="2" t="str">
        <f>Communes_HDF!B3568</f>
        <v>Oneux</v>
      </c>
      <c r="C3568" s="2" t="str">
        <f t="array" ref="C3568">_xlfn.XLOOKUP(A3568, INSEE_Communes!$A$2:$A$3783, INSEE_Communes!$F$2:$F$3783, "code introuvable")</f>
        <v>non publié</v>
      </c>
    </row>
    <row r="3569">
      <c r="A3569" s="2" t="str">
        <f>Communes_HDF!A3569</f>
        <v>80611</v>
      </c>
      <c r="B3569" s="2" t="str">
        <f>Communes_HDF!B3569</f>
        <v>Oresmaux</v>
      </c>
      <c r="C3569" s="2" t="str">
        <f t="array" ref="C3569">_xlfn.XLOOKUP(A3569, INSEE_Communes!$A$2:$A$3783, INSEE_Communes!$F$2:$F$3783, "code introuvable")</f>
        <v>non publié</v>
      </c>
    </row>
    <row r="3570">
      <c r="A3570" s="2" t="str">
        <f>Communes_HDF!A3570</f>
        <v>80613</v>
      </c>
      <c r="B3570" s="2" t="str">
        <f>Communes_HDF!B3570</f>
        <v>Oust-Marest</v>
      </c>
      <c r="C3570" s="2" t="str">
        <f t="array" ref="C3570">_xlfn.XLOOKUP(A3570, INSEE_Communes!$A$2:$A$3783, INSEE_Communes!$F$2:$F$3783, "code introuvable")</f>
        <v>non publié</v>
      </c>
    </row>
    <row r="3571">
      <c r="A3571" s="2" t="str">
        <f>Communes_HDF!A3571</f>
        <v>80614</v>
      </c>
      <c r="B3571" s="2" t="str">
        <f>Communes_HDF!B3571</f>
        <v>Outrebois</v>
      </c>
      <c r="C3571" s="2" t="str">
        <f t="array" ref="C3571">_xlfn.XLOOKUP(A3571, INSEE_Communes!$A$2:$A$3783, INSEE_Communes!$F$2:$F$3783, "code introuvable")</f>
        <v>non publié</v>
      </c>
    </row>
    <row r="3572">
      <c r="A3572" s="2" t="str">
        <f>Communes_HDF!A3572</f>
        <v>80615</v>
      </c>
      <c r="B3572" s="2" t="str">
        <f>Communes_HDF!B3572</f>
        <v>Ovillers-la-Boisselle</v>
      </c>
      <c r="C3572" s="2" t="str">
        <f t="array" ref="C3572">_xlfn.XLOOKUP(A3572, INSEE_Communes!$A$2:$A$3783, INSEE_Communes!$F$2:$F$3783, "code introuvable")</f>
        <v>non publié</v>
      </c>
    </row>
    <row r="3573">
      <c r="A3573" s="2" t="str">
        <f>Communes_HDF!A3573</f>
        <v>80616</v>
      </c>
      <c r="B3573" s="2" t="str">
        <f>Communes_HDF!B3573</f>
        <v>Pargny</v>
      </c>
      <c r="C3573" s="2" t="str">
        <f t="array" ref="C3573">_xlfn.XLOOKUP(A3573, INSEE_Communes!$A$2:$A$3783, INSEE_Communes!$F$2:$F$3783, "code introuvable")</f>
        <v>non publié</v>
      </c>
    </row>
    <row r="3574">
      <c r="A3574" s="2" t="str">
        <f>Communes_HDF!A3574</f>
        <v>80617</v>
      </c>
      <c r="B3574" s="2" t="str">
        <f>Communes_HDF!B3574</f>
        <v>Parvillers-le-Quesnoy</v>
      </c>
      <c r="C3574" s="2" t="str">
        <f t="array" ref="C3574">_xlfn.XLOOKUP(A3574, INSEE_Communes!$A$2:$A$3783, INSEE_Communes!$F$2:$F$3783, "code introuvable")</f>
        <v>non publié</v>
      </c>
    </row>
    <row r="3575">
      <c r="A3575" s="2" t="str">
        <f>Communes_HDF!A3575</f>
        <v>80618</v>
      </c>
      <c r="B3575" s="2" t="str">
        <f>Communes_HDF!B3575</f>
        <v>Pendé</v>
      </c>
      <c r="C3575" s="2" t="str">
        <f t="array" ref="C3575">_xlfn.XLOOKUP(A3575, INSEE_Communes!$A$2:$A$3783, INSEE_Communes!$F$2:$F$3783, "code introuvable")</f>
        <v>non publié</v>
      </c>
    </row>
    <row r="3576">
      <c r="A3576" s="2" t="str">
        <f>Communes_HDF!A3576</f>
        <v>80619</v>
      </c>
      <c r="B3576" s="2" t="str">
        <f>Communes_HDF!B3576</f>
        <v>Pernois</v>
      </c>
      <c r="C3576" s="2" t="str">
        <f t="array" ref="C3576">_xlfn.XLOOKUP(A3576, INSEE_Communes!$A$2:$A$3783, INSEE_Communes!$F$2:$F$3783, "code introuvable")</f>
        <v>non publié</v>
      </c>
    </row>
    <row r="3577">
      <c r="A3577" s="2" t="str">
        <f>Communes_HDF!A3577</f>
        <v>80622</v>
      </c>
      <c r="B3577" s="2" t="str">
        <f>Communes_HDF!B3577</f>
        <v>Picquigny</v>
      </c>
      <c r="C3577" s="2" t="str">
        <f t="array" ref="C3577">_xlfn.XLOOKUP(A3577, INSEE_Communes!$A$2:$A$3783, INSEE_Communes!$F$2:$F$3783, "code introuvable")</f>
        <v>non publié</v>
      </c>
    </row>
    <row r="3578">
      <c r="A3578" s="2" t="str">
        <f>Communes_HDF!A3578</f>
        <v>80623</v>
      </c>
      <c r="B3578" s="2" t="str">
        <f>Communes_HDF!B3578</f>
        <v>Piennes-Onvillers</v>
      </c>
      <c r="C3578" s="2" t="str">
        <f t="array" ref="C3578">_xlfn.XLOOKUP(A3578, INSEE_Communes!$A$2:$A$3783, INSEE_Communes!$F$2:$F$3783, "code introuvable")</f>
        <v>non publié</v>
      </c>
    </row>
    <row r="3579">
      <c r="A3579" s="2" t="str">
        <f>Communes_HDF!A3579</f>
        <v>80624</v>
      </c>
      <c r="B3579" s="2" t="str">
        <f>Communes_HDF!B3579</f>
        <v>Pierregot</v>
      </c>
      <c r="C3579" s="2" t="str">
        <f t="array" ref="C3579">_xlfn.XLOOKUP(A3579, INSEE_Communes!$A$2:$A$3783, INSEE_Communes!$F$2:$F$3783, "code introuvable")</f>
        <v>non publié</v>
      </c>
    </row>
    <row r="3580">
      <c r="A3580" s="2" t="str">
        <f>Communes_HDF!A3580</f>
        <v>80626</v>
      </c>
      <c r="B3580" s="2" t="str">
        <f>Communes_HDF!B3580</f>
        <v>Pissy</v>
      </c>
      <c r="C3580" s="2" t="str">
        <f t="array" ref="C3580">_xlfn.XLOOKUP(A3580, INSEE_Communes!$A$2:$A$3783, INSEE_Communes!$F$2:$F$3783, "code introuvable")</f>
        <v>non publié</v>
      </c>
    </row>
    <row r="3581">
      <c r="A3581" s="2" t="str">
        <f>Communes_HDF!A3581</f>
        <v>80627</v>
      </c>
      <c r="B3581" s="2" t="str">
        <f>Communes_HDF!B3581</f>
        <v>Plachy-Buyon</v>
      </c>
      <c r="C3581" s="2" t="str">
        <f t="array" ref="C3581">_xlfn.XLOOKUP(A3581, INSEE_Communes!$A$2:$A$3783, INSEE_Communes!$F$2:$F$3783, "code introuvable")</f>
        <v>non publié</v>
      </c>
    </row>
    <row r="3582">
      <c r="A3582" s="2" t="str">
        <f>Communes_HDF!A3582</f>
        <v>80630</v>
      </c>
      <c r="B3582" s="2" t="str">
        <f>Communes_HDF!B3582</f>
        <v>Poix-de-Picardie</v>
      </c>
      <c r="C3582" s="2">
        <f t="array" ref="C3582">_xlfn.XLOOKUP(A3582, INSEE_Communes!$A$2:$A$3783, INSEE_Communes!$F$2:$F$3783, "code introuvable")</f>
        <v>18</v>
      </c>
    </row>
    <row r="3583">
      <c r="A3583" s="2" t="str">
        <f>Communes_HDF!A3583</f>
        <v>80631</v>
      </c>
      <c r="B3583" s="2" t="str">
        <f>Communes_HDF!B3583</f>
        <v>Ponches-Estruval</v>
      </c>
      <c r="C3583" s="2" t="str">
        <f t="array" ref="C3583">_xlfn.XLOOKUP(A3583, INSEE_Communes!$A$2:$A$3783, INSEE_Communes!$F$2:$F$3783, "code introuvable")</f>
        <v>non publié</v>
      </c>
    </row>
    <row r="3584">
      <c r="A3584" s="2" t="str">
        <f>Communes_HDF!A3584</f>
        <v>80634</v>
      </c>
      <c r="B3584" s="2" t="str">
        <f>Communes_HDF!B3584</f>
        <v>Pont-Noyelles</v>
      </c>
      <c r="C3584" s="2" t="str">
        <f t="array" ref="C3584">_xlfn.XLOOKUP(A3584, INSEE_Communes!$A$2:$A$3783, INSEE_Communes!$F$2:$F$3783, "code introuvable")</f>
        <v>non publié</v>
      </c>
    </row>
    <row r="3585">
      <c r="A3585" s="2" t="str">
        <f>Communes_HDF!A3585</f>
        <v>80635</v>
      </c>
      <c r="B3585" s="2" t="str">
        <f>Communes_HDF!B3585</f>
        <v>Pont-Remy</v>
      </c>
      <c r="C3585" s="2" t="str">
        <f t="array" ref="C3585">_xlfn.XLOOKUP(A3585, INSEE_Communes!$A$2:$A$3783, INSEE_Communes!$F$2:$F$3783, "code introuvable")</f>
        <v>non publié</v>
      </c>
    </row>
    <row r="3586">
      <c r="A3586" s="2" t="str">
        <f>Communes_HDF!A3586</f>
        <v>80632</v>
      </c>
      <c r="B3586" s="2" t="str">
        <f>Communes_HDF!B3586</f>
        <v>Pont-de-Metz</v>
      </c>
      <c r="C3586" s="2">
        <f t="array" ref="C3586">_xlfn.XLOOKUP(A3586, INSEE_Communes!$A$2:$A$3783, INSEE_Communes!$F$2:$F$3783, "code introuvable")</f>
        <v>13</v>
      </c>
    </row>
    <row r="3587">
      <c r="A3587" s="2" t="str">
        <f>Communes_HDF!A3587</f>
        <v>80633</v>
      </c>
      <c r="B3587" s="2" t="str">
        <f>Communes_HDF!B3587</f>
        <v>Ponthoile</v>
      </c>
      <c r="C3587" s="2" t="str">
        <f t="array" ref="C3587">_xlfn.XLOOKUP(A3587, INSEE_Communes!$A$2:$A$3783, INSEE_Communes!$F$2:$F$3783, "code introuvable")</f>
        <v>non publié</v>
      </c>
    </row>
    <row r="3588">
      <c r="A3588" s="2" t="str">
        <f>Communes_HDF!A3588</f>
        <v>80637</v>
      </c>
      <c r="B3588" s="2" t="str">
        <f>Communes_HDF!B3588</f>
        <v>Port-le-Grand</v>
      </c>
      <c r="C3588" s="2" t="str">
        <f t="array" ref="C3588">_xlfn.XLOOKUP(A3588, INSEE_Communes!$A$2:$A$3783, INSEE_Communes!$F$2:$F$3783, "code introuvable")</f>
        <v>non publié</v>
      </c>
    </row>
    <row r="3589">
      <c r="A3589" s="2" t="str">
        <f>Communes_HDF!A3589</f>
        <v>80638</v>
      </c>
      <c r="B3589" s="2" t="str">
        <f>Communes_HDF!B3589</f>
        <v>Potte</v>
      </c>
      <c r="C3589" s="2" t="str">
        <f t="array" ref="C3589">_xlfn.XLOOKUP(A3589, INSEE_Communes!$A$2:$A$3783, INSEE_Communes!$F$2:$F$3783, "code introuvable")</f>
        <v>non publié</v>
      </c>
    </row>
    <row r="3590">
      <c r="A3590" s="2" t="str">
        <f>Communes_HDF!A3590</f>
        <v>80639</v>
      </c>
      <c r="B3590" s="2" t="str">
        <f>Communes_HDF!B3590</f>
        <v>Poulainville</v>
      </c>
      <c r="C3590" s="2" t="str">
        <f t="array" ref="C3590">_xlfn.XLOOKUP(A3590, INSEE_Communes!$A$2:$A$3783, INSEE_Communes!$F$2:$F$3783, "code introuvable")</f>
        <v>non publié</v>
      </c>
    </row>
    <row r="3591">
      <c r="A3591" s="2" t="str">
        <f>Communes_HDF!A3591</f>
        <v>80640</v>
      </c>
      <c r="B3591" s="2" t="str">
        <f>Communes_HDF!B3591</f>
        <v>Pozières</v>
      </c>
      <c r="C3591" s="2" t="str">
        <f t="array" ref="C3591">_xlfn.XLOOKUP(A3591, INSEE_Communes!$A$2:$A$3783, INSEE_Communes!$F$2:$F$3783, "code introuvable")</f>
        <v>non publié</v>
      </c>
    </row>
    <row r="3592">
      <c r="A3592" s="2" t="str">
        <f>Communes_HDF!A3592</f>
        <v>80642</v>
      </c>
      <c r="B3592" s="2" t="str">
        <f>Communes_HDF!B3592</f>
        <v>Prouville</v>
      </c>
      <c r="C3592" s="2" t="str">
        <f t="array" ref="C3592">_xlfn.XLOOKUP(A3592, INSEE_Communes!$A$2:$A$3783, INSEE_Communes!$F$2:$F$3783, "code introuvable")</f>
        <v>non publié</v>
      </c>
    </row>
    <row r="3593">
      <c r="A3593" s="2" t="str">
        <f>Communes_HDF!A3593</f>
        <v>80643</v>
      </c>
      <c r="B3593" s="2" t="str">
        <f>Communes_HDF!B3593</f>
        <v>Prouzel</v>
      </c>
      <c r="C3593" s="2" t="str">
        <f t="array" ref="C3593">_xlfn.XLOOKUP(A3593, INSEE_Communes!$A$2:$A$3783, INSEE_Communes!$F$2:$F$3783, "code introuvable")</f>
        <v>non publié</v>
      </c>
    </row>
    <row r="3594">
      <c r="A3594" s="2" t="str">
        <f>Communes_HDF!A3594</f>
        <v>80644</v>
      </c>
      <c r="B3594" s="2" t="str">
        <f>Communes_HDF!B3594</f>
        <v>Proyart</v>
      </c>
      <c r="C3594" s="2" t="str">
        <f t="array" ref="C3594">_xlfn.XLOOKUP(A3594, INSEE_Communes!$A$2:$A$3783, INSEE_Communes!$F$2:$F$3783, "code introuvable")</f>
        <v>non publié</v>
      </c>
    </row>
    <row r="3595">
      <c r="A3595" s="2" t="str">
        <f>Communes_HDF!A3595</f>
        <v>80645</v>
      </c>
      <c r="B3595" s="2" t="str">
        <f>Communes_HDF!B3595</f>
        <v>Puchevillers</v>
      </c>
      <c r="C3595" s="2" t="str">
        <f t="array" ref="C3595">_xlfn.XLOOKUP(A3595, INSEE_Communes!$A$2:$A$3783, INSEE_Communes!$F$2:$F$3783, "code introuvable")</f>
        <v>non publié</v>
      </c>
    </row>
    <row r="3596">
      <c r="A3596" s="2" t="str">
        <f>Communes_HDF!A3596</f>
        <v>80646</v>
      </c>
      <c r="B3596" s="2" t="str">
        <f>Communes_HDF!B3596</f>
        <v>Punchy</v>
      </c>
      <c r="C3596" s="2" t="str">
        <f t="array" ref="C3596">_xlfn.XLOOKUP(A3596, INSEE_Communes!$A$2:$A$3783, INSEE_Communes!$F$2:$F$3783, "code introuvable")</f>
        <v>non publié</v>
      </c>
    </row>
    <row r="3597">
      <c r="A3597" s="2" t="str">
        <f>Communes_HDF!A3597</f>
        <v>80647</v>
      </c>
      <c r="B3597" s="2" t="str">
        <f>Communes_HDF!B3597</f>
        <v>Puzeaux</v>
      </c>
      <c r="C3597" s="2" t="str">
        <f t="array" ref="C3597">_xlfn.XLOOKUP(A3597, INSEE_Communes!$A$2:$A$3783, INSEE_Communes!$F$2:$F$3783, "code introuvable")</f>
        <v>non publié</v>
      </c>
    </row>
    <row r="3598">
      <c r="A3598" s="2" t="str">
        <f>Communes_HDF!A3598</f>
        <v>80648</v>
      </c>
      <c r="B3598" s="2" t="str">
        <f>Communes_HDF!B3598</f>
        <v>Pys</v>
      </c>
      <c r="C3598" s="2" t="str">
        <f t="array" ref="C3598">_xlfn.XLOOKUP(A3598, INSEE_Communes!$A$2:$A$3783, INSEE_Communes!$F$2:$F$3783, "code introuvable")</f>
        <v>non publié</v>
      </c>
    </row>
    <row r="3599">
      <c r="A3599" s="2" t="str">
        <f>Communes_HDF!A3599</f>
        <v>80620</v>
      </c>
      <c r="B3599" s="2" t="str">
        <f>Communes_HDF!B3599</f>
        <v>Péronne</v>
      </c>
      <c r="C3599" s="2">
        <f t="array" ref="C3599">_xlfn.XLOOKUP(A3599, INSEE_Communes!$A$2:$A$3783, INSEE_Communes!$F$2:$F$3783, "code introuvable")</f>
        <v>27</v>
      </c>
    </row>
    <row r="3600">
      <c r="A3600" s="2" t="str">
        <f>Communes_HDF!A3600</f>
        <v>80629</v>
      </c>
      <c r="B3600" s="2" t="str">
        <f>Communes_HDF!B3600</f>
        <v>Pœuilly</v>
      </c>
      <c r="C3600" s="2" t="str">
        <f t="array" ref="C3600">_xlfn.XLOOKUP(A3600, INSEE_Communes!$A$2:$A$3783, INSEE_Communes!$F$2:$F$3783, "code introuvable")</f>
        <v>non publié</v>
      </c>
    </row>
    <row r="3601">
      <c r="A3601" s="2" t="str">
        <f>Communes_HDF!A3601</f>
        <v>80649</v>
      </c>
      <c r="B3601" s="2" t="str">
        <f>Communes_HDF!B3601</f>
        <v>Quend</v>
      </c>
      <c r="C3601" s="2" t="str">
        <f t="array" ref="C3601">_xlfn.XLOOKUP(A3601, INSEE_Communes!$A$2:$A$3783, INSEE_Communes!$F$2:$F$3783, "code introuvable")</f>
        <v>non publié</v>
      </c>
    </row>
    <row r="3602">
      <c r="A3602" s="2" t="str">
        <f>Communes_HDF!A3602</f>
        <v>80650</v>
      </c>
      <c r="B3602" s="2" t="str">
        <f>Communes_HDF!B3602</f>
        <v>Querrieu</v>
      </c>
      <c r="C3602" s="2" t="str">
        <f t="array" ref="C3602">_xlfn.XLOOKUP(A3602, INSEE_Communes!$A$2:$A$3783, INSEE_Communes!$F$2:$F$3783, "code introuvable")</f>
        <v>non publié</v>
      </c>
    </row>
    <row r="3603">
      <c r="A3603" s="2" t="str">
        <f>Communes_HDF!A3603</f>
        <v>80654</v>
      </c>
      <c r="B3603" s="2" t="str">
        <f>Communes_HDF!B3603</f>
        <v>Quesnoy-le-Montant</v>
      </c>
      <c r="C3603" s="2" t="str">
        <f t="array" ref="C3603">_xlfn.XLOOKUP(A3603, INSEE_Communes!$A$2:$A$3783, INSEE_Communes!$F$2:$F$3783, "code introuvable")</f>
        <v>non publié</v>
      </c>
    </row>
    <row r="3604">
      <c r="A3604" s="2" t="str">
        <f>Communes_HDF!A3604</f>
        <v>80655</v>
      </c>
      <c r="B3604" s="2" t="str">
        <f>Communes_HDF!B3604</f>
        <v>Quesnoy-sur-Airaines</v>
      </c>
      <c r="C3604" s="2" t="str">
        <f t="array" ref="C3604">_xlfn.XLOOKUP(A3604, INSEE_Communes!$A$2:$A$3783, INSEE_Communes!$F$2:$F$3783, "code introuvable")</f>
        <v>non publié</v>
      </c>
    </row>
    <row r="3605">
      <c r="A3605" s="2" t="str">
        <f>Communes_HDF!A3605</f>
        <v>80656</v>
      </c>
      <c r="B3605" s="2" t="str">
        <f>Communes_HDF!B3605</f>
        <v>Quevauvillers</v>
      </c>
      <c r="C3605" s="2" t="str">
        <f t="array" ref="C3605">_xlfn.XLOOKUP(A3605, INSEE_Communes!$A$2:$A$3783, INSEE_Communes!$F$2:$F$3783, "code introuvable")</f>
        <v>non publié</v>
      </c>
    </row>
    <row r="3606">
      <c r="A3606" s="2" t="str">
        <f>Communes_HDF!A3606</f>
        <v>80657</v>
      </c>
      <c r="B3606" s="2" t="str">
        <f>Communes_HDF!B3606</f>
        <v>Quiry-le-Sec</v>
      </c>
      <c r="C3606" s="2" t="str">
        <f t="array" ref="C3606">_xlfn.XLOOKUP(A3606, INSEE_Communes!$A$2:$A$3783, INSEE_Communes!$F$2:$F$3783, "code introuvable")</f>
        <v>non publié</v>
      </c>
    </row>
    <row r="3607">
      <c r="A3607" s="2" t="str">
        <f>Communes_HDF!A3607</f>
        <v>80658</v>
      </c>
      <c r="B3607" s="2" t="str">
        <f>Communes_HDF!B3607</f>
        <v>Quivières</v>
      </c>
      <c r="C3607" s="2" t="str">
        <f t="array" ref="C3607">_xlfn.XLOOKUP(A3607, INSEE_Communes!$A$2:$A$3783, INSEE_Communes!$F$2:$F$3783, "code introuvable")</f>
        <v>non publié</v>
      </c>
    </row>
    <row r="3608">
      <c r="A3608" s="2" t="str">
        <f>Communes_HDF!A3608</f>
        <v>80659</v>
      </c>
      <c r="B3608" s="2" t="str">
        <f>Communes_HDF!B3608</f>
        <v>Raincheval</v>
      </c>
      <c r="C3608" s="2" t="str">
        <f t="array" ref="C3608">_xlfn.XLOOKUP(A3608, INSEE_Communes!$A$2:$A$3783, INSEE_Communes!$F$2:$F$3783, "code introuvable")</f>
        <v>non publié</v>
      </c>
    </row>
    <row r="3609">
      <c r="A3609" s="2" t="str">
        <f>Communes_HDF!A3609</f>
        <v>80661</v>
      </c>
      <c r="B3609" s="2" t="str">
        <f>Communes_HDF!B3609</f>
        <v>Rainneville</v>
      </c>
      <c r="C3609" s="2" t="str">
        <f t="array" ref="C3609">_xlfn.XLOOKUP(A3609, INSEE_Communes!$A$2:$A$3783, INSEE_Communes!$F$2:$F$3783, "code introuvable")</f>
        <v>non publié</v>
      </c>
    </row>
    <row r="3610">
      <c r="A3610" s="2" t="str">
        <f>Communes_HDF!A3610</f>
        <v>80662</v>
      </c>
      <c r="B3610" s="2" t="str">
        <f>Communes_HDF!B3610</f>
        <v>Ramburelles</v>
      </c>
      <c r="C3610" s="2" t="str">
        <f t="array" ref="C3610">_xlfn.XLOOKUP(A3610, INSEE_Communes!$A$2:$A$3783, INSEE_Communes!$F$2:$F$3783, "code introuvable")</f>
        <v>non publié</v>
      </c>
    </row>
    <row r="3611">
      <c r="A3611" s="2" t="str">
        <f>Communes_HDF!A3611</f>
        <v>80663</v>
      </c>
      <c r="B3611" s="2" t="str">
        <f>Communes_HDF!B3611</f>
        <v>Rambures</v>
      </c>
      <c r="C3611" s="2" t="str">
        <f t="array" ref="C3611">_xlfn.XLOOKUP(A3611, INSEE_Communes!$A$2:$A$3783, INSEE_Communes!$F$2:$F$3783, "code introuvable")</f>
        <v>non publié</v>
      </c>
    </row>
    <row r="3612">
      <c r="A3612" s="2" t="str">
        <f>Communes_HDF!A3612</f>
        <v>80664</v>
      </c>
      <c r="B3612" s="2" t="str">
        <f>Communes_HDF!B3612</f>
        <v>Rancourt</v>
      </c>
      <c r="C3612" s="2" t="str">
        <f t="array" ref="C3612">_xlfn.XLOOKUP(A3612, INSEE_Communes!$A$2:$A$3783, INSEE_Communes!$F$2:$F$3783, "code introuvable")</f>
        <v>non publié</v>
      </c>
    </row>
    <row r="3613">
      <c r="A3613" s="2" t="str">
        <f>Communes_HDF!A3613</f>
        <v>80665</v>
      </c>
      <c r="B3613" s="2" t="str">
        <f>Communes_HDF!B3613</f>
        <v>Regnière-Écluse</v>
      </c>
      <c r="C3613" s="2" t="str">
        <f t="array" ref="C3613">_xlfn.XLOOKUP(A3613, INSEE_Communes!$A$2:$A$3783, INSEE_Communes!$F$2:$F$3783, "code introuvable")</f>
        <v>non publié</v>
      </c>
    </row>
    <row r="3614">
      <c r="A3614" s="2" t="str">
        <f>Communes_HDF!A3614</f>
        <v>80666</v>
      </c>
      <c r="B3614" s="2" t="str">
        <f>Communes_HDF!B3614</f>
        <v>Remaisnil</v>
      </c>
      <c r="C3614" s="2" t="str">
        <f t="array" ref="C3614">_xlfn.XLOOKUP(A3614, INSEE_Communes!$A$2:$A$3783, INSEE_Communes!$F$2:$F$3783, "code introuvable")</f>
        <v>non publié</v>
      </c>
    </row>
    <row r="3615">
      <c r="A3615" s="2" t="str">
        <f>Communes_HDF!A3615</f>
        <v>80667</v>
      </c>
      <c r="B3615" s="2" t="str">
        <f>Communes_HDF!B3615</f>
        <v>Remaugies</v>
      </c>
      <c r="C3615" s="2" t="str">
        <f t="array" ref="C3615">_xlfn.XLOOKUP(A3615, INSEE_Communes!$A$2:$A$3783, INSEE_Communes!$F$2:$F$3783, "code introuvable")</f>
        <v>non publié</v>
      </c>
    </row>
    <row r="3616">
      <c r="A3616" s="2" t="str">
        <f>Communes_HDF!A3616</f>
        <v>80668</v>
      </c>
      <c r="B3616" s="2" t="str">
        <f>Communes_HDF!B3616</f>
        <v>Remiencourt</v>
      </c>
      <c r="C3616" s="2" t="str">
        <f t="array" ref="C3616">_xlfn.XLOOKUP(A3616, INSEE_Communes!$A$2:$A$3783, INSEE_Communes!$F$2:$F$3783, "code introuvable")</f>
        <v>non publié</v>
      </c>
    </row>
    <row r="3617">
      <c r="A3617" s="2" t="str">
        <f>Communes_HDF!A3617</f>
        <v>80669</v>
      </c>
      <c r="B3617" s="2" t="str">
        <f>Communes_HDF!B3617</f>
        <v>Rethonvillers</v>
      </c>
      <c r="C3617" s="2" t="str">
        <f t="array" ref="C3617">_xlfn.XLOOKUP(A3617, INSEE_Communes!$A$2:$A$3783, INSEE_Communes!$F$2:$F$3783, "code introuvable")</f>
        <v>non publié</v>
      </c>
    </row>
    <row r="3618">
      <c r="A3618" s="2" t="str">
        <f>Communes_HDF!A3618</f>
        <v>80670</v>
      </c>
      <c r="B3618" s="2" t="str">
        <f>Communes_HDF!B3618</f>
        <v>Revelles</v>
      </c>
      <c r="C3618" s="2" t="str">
        <f t="array" ref="C3618">_xlfn.XLOOKUP(A3618, INSEE_Communes!$A$2:$A$3783, INSEE_Communes!$F$2:$F$3783, "code introuvable")</f>
        <v>non publié</v>
      </c>
    </row>
    <row r="3619">
      <c r="A3619" s="2" t="str">
        <f>Communes_HDF!A3619</f>
        <v>80671</v>
      </c>
      <c r="B3619" s="2" t="str">
        <f>Communes_HDF!B3619</f>
        <v>Ribeaucourt</v>
      </c>
      <c r="C3619" s="2" t="str">
        <f t="array" ref="C3619">_xlfn.XLOOKUP(A3619, INSEE_Communes!$A$2:$A$3783, INSEE_Communes!$F$2:$F$3783, "code introuvable")</f>
        <v>non publié</v>
      </c>
    </row>
    <row r="3620">
      <c r="A3620" s="2" t="str">
        <f>Communes_HDF!A3620</f>
        <v>80672</v>
      </c>
      <c r="B3620" s="2" t="str">
        <f>Communes_HDF!B3620</f>
        <v>Ribemont-sur-Ancre</v>
      </c>
      <c r="C3620" s="2" t="str">
        <f t="array" ref="C3620">_xlfn.XLOOKUP(A3620, INSEE_Communes!$A$2:$A$3783, INSEE_Communes!$F$2:$F$3783, "code introuvable")</f>
        <v>non publié</v>
      </c>
    </row>
    <row r="3621">
      <c r="A3621" s="2" t="str">
        <f>Communes_HDF!A3621</f>
        <v>80673</v>
      </c>
      <c r="B3621" s="2" t="str">
        <f>Communes_HDF!B3621</f>
        <v>Riencourt</v>
      </c>
      <c r="C3621" s="2" t="str">
        <f t="array" ref="C3621">_xlfn.XLOOKUP(A3621, INSEE_Communes!$A$2:$A$3783, INSEE_Communes!$F$2:$F$3783, "code introuvable")</f>
        <v>non publié</v>
      </c>
    </row>
    <row r="3622">
      <c r="A3622" s="2" t="str">
        <f>Communes_HDF!A3622</f>
        <v>80674</v>
      </c>
      <c r="B3622" s="2" t="str">
        <f>Communes_HDF!B3622</f>
        <v>Rivery</v>
      </c>
      <c r="C3622" s="2">
        <f t="array" ref="C3622">_xlfn.XLOOKUP(A3622, INSEE_Communes!$A$2:$A$3783, INSEE_Communes!$F$2:$F$3783, "code introuvable")</f>
        <v>15</v>
      </c>
    </row>
    <row r="3623">
      <c r="A3623" s="2" t="str">
        <f>Communes_HDF!A3623</f>
        <v>80675</v>
      </c>
      <c r="B3623" s="2" t="str">
        <f>Communes_HDF!B3623</f>
        <v>Rogy</v>
      </c>
      <c r="C3623" s="2" t="str">
        <f t="array" ref="C3623">_xlfn.XLOOKUP(A3623, INSEE_Communes!$A$2:$A$3783, INSEE_Communes!$F$2:$F$3783, "code introuvable")</f>
        <v>non publié</v>
      </c>
    </row>
    <row r="3624">
      <c r="A3624" s="2" t="str">
        <f>Communes_HDF!A3624</f>
        <v>80676</v>
      </c>
      <c r="B3624" s="2" t="str">
        <f>Communes_HDF!B3624</f>
        <v>Roiglise</v>
      </c>
      <c r="C3624" s="2" t="str">
        <f t="array" ref="C3624">_xlfn.XLOOKUP(A3624, INSEE_Communes!$A$2:$A$3783, INSEE_Communes!$F$2:$F$3783, "code introuvable")</f>
        <v>non publié</v>
      </c>
    </row>
    <row r="3625">
      <c r="A3625" s="2" t="str">
        <f>Communes_HDF!A3625</f>
        <v>80677</v>
      </c>
      <c r="B3625" s="2" t="str">
        <f>Communes_HDF!B3625</f>
        <v>Roisel</v>
      </c>
      <c r="C3625" s="2" t="str">
        <f t="array" ref="C3625">_xlfn.XLOOKUP(A3625, INSEE_Communes!$A$2:$A$3783, INSEE_Communes!$F$2:$F$3783, "code introuvable")</f>
        <v>non publié</v>
      </c>
    </row>
    <row r="3626">
      <c r="A3626" s="2" t="str">
        <f>Communes_HDF!A3626</f>
        <v>80678</v>
      </c>
      <c r="B3626" s="2" t="str">
        <f>Communes_HDF!B3626</f>
        <v>Rollot</v>
      </c>
      <c r="C3626" s="2" t="str">
        <f t="array" ref="C3626">_xlfn.XLOOKUP(A3626, INSEE_Communes!$A$2:$A$3783, INSEE_Communes!$F$2:$F$3783, "code introuvable")</f>
        <v>non publié</v>
      </c>
    </row>
    <row r="3627">
      <c r="A3627" s="2" t="str">
        <f>Communes_HDF!A3627</f>
        <v>80679</v>
      </c>
      <c r="B3627" s="2" t="str">
        <f>Communes_HDF!B3627</f>
        <v>Ronssoy</v>
      </c>
      <c r="C3627" s="2" t="str">
        <f t="array" ref="C3627">_xlfn.XLOOKUP(A3627, INSEE_Communes!$A$2:$A$3783, INSEE_Communes!$F$2:$F$3783, "code introuvable")</f>
        <v>non publié</v>
      </c>
    </row>
    <row r="3628">
      <c r="A3628" s="2" t="str">
        <f>Communes_HDF!A3628</f>
        <v>80680</v>
      </c>
      <c r="B3628" s="2" t="str">
        <f>Communes_HDF!B3628</f>
        <v>Rosières-en-Santerre</v>
      </c>
      <c r="C3628" s="2">
        <f t="array" ref="C3628">_xlfn.XLOOKUP(A3628, INSEE_Communes!$A$2:$A$3783, INSEE_Communes!$F$2:$F$3783, "code introuvable")</f>
        <v>21</v>
      </c>
    </row>
    <row r="3629">
      <c r="A3629" s="2" t="str">
        <f>Communes_HDF!A3629</f>
        <v>80681</v>
      </c>
      <c r="B3629" s="2" t="str">
        <f>Communes_HDF!B3629</f>
        <v>Rouvrel</v>
      </c>
      <c r="C3629" s="2" t="str">
        <f t="array" ref="C3629">_xlfn.XLOOKUP(A3629, INSEE_Communes!$A$2:$A$3783, INSEE_Communes!$F$2:$F$3783, "code introuvable")</f>
        <v>non publié</v>
      </c>
    </row>
    <row r="3630">
      <c r="A3630" s="2" t="str">
        <f>Communes_HDF!A3630</f>
        <v>80682</v>
      </c>
      <c r="B3630" s="2" t="str">
        <f>Communes_HDF!B3630</f>
        <v>Rouvroy-en-Santerre</v>
      </c>
      <c r="C3630" s="2" t="str">
        <f t="array" ref="C3630">_xlfn.XLOOKUP(A3630, INSEE_Communes!$A$2:$A$3783, INSEE_Communes!$F$2:$F$3783, "code introuvable")</f>
        <v>non publié</v>
      </c>
    </row>
    <row r="3631">
      <c r="A3631" s="2" t="str">
        <f>Communes_HDF!A3631</f>
        <v>80683</v>
      </c>
      <c r="B3631" s="2" t="str">
        <f>Communes_HDF!B3631</f>
        <v>Rouy-le-Grand</v>
      </c>
      <c r="C3631" s="2" t="str">
        <f t="array" ref="C3631">_xlfn.XLOOKUP(A3631, INSEE_Communes!$A$2:$A$3783, INSEE_Communes!$F$2:$F$3783, "code introuvable")</f>
        <v>non publié</v>
      </c>
    </row>
    <row r="3632">
      <c r="A3632" s="2" t="str">
        <f>Communes_HDF!A3632</f>
        <v>80684</v>
      </c>
      <c r="B3632" s="2" t="str">
        <f>Communes_HDF!B3632</f>
        <v>Rouy-le-Petit</v>
      </c>
      <c r="C3632" s="2" t="str">
        <f t="array" ref="C3632">_xlfn.XLOOKUP(A3632, INSEE_Communes!$A$2:$A$3783, INSEE_Communes!$F$2:$F$3783, "code introuvable")</f>
        <v>non publié</v>
      </c>
    </row>
    <row r="3633">
      <c r="A3633" s="2" t="str">
        <f>Communes_HDF!A3633</f>
        <v>80685</v>
      </c>
      <c r="B3633" s="2" t="str">
        <f>Communes_HDF!B3633</f>
        <v>Roye</v>
      </c>
      <c r="C3633" s="2">
        <f t="array" ref="C3633">_xlfn.XLOOKUP(A3633, INSEE_Communes!$A$2:$A$3783, INSEE_Communes!$F$2:$F$3783, "code introuvable")</f>
        <v>27</v>
      </c>
    </row>
    <row r="3634">
      <c r="A3634" s="2" t="str">
        <f>Communes_HDF!A3634</f>
        <v>80686</v>
      </c>
      <c r="B3634" s="2" t="str">
        <f>Communes_HDF!B3634</f>
        <v>Rubempré</v>
      </c>
      <c r="C3634" s="2" t="str">
        <f t="array" ref="C3634">_xlfn.XLOOKUP(A3634, INSEE_Communes!$A$2:$A$3783, INSEE_Communes!$F$2:$F$3783, "code introuvable")</f>
        <v>non publié</v>
      </c>
    </row>
    <row r="3635">
      <c r="A3635" s="2" t="str">
        <f>Communes_HDF!A3635</f>
        <v>80687</v>
      </c>
      <c r="B3635" s="2" t="str">
        <f>Communes_HDF!B3635</f>
        <v>Rubescourt</v>
      </c>
      <c r="C3635" s="2" t="str">
        <f t="array" ref="C3635">_xlfn.XLOOKUP(A3635, INSEE_Communes!$A$2:$A$3783, INSEE_Communes!$F$2:$F$3783, "code introuvable")</f>
        <v>non publié</v>
      </c>
    </row>
    <row r="3636">
      <c r="A3636" s="2" t="str">
        <f>Communes_HDF!A3636</f>
        <v>80688</v>
      </c>
      <c r="B3636" s="2" t="str">
        <f>Communes_HDF!B3636</f>
        <v>Rue</v>
      </c>
      <c r="C3636" s="2">
        <f t="array" ref="C3636">_xlfn.XLOOKUP(A3636, INSEE_Communes!$A$2:$A$3783, INSEE_Communes!$F$2:$F$3783, "code introuvable")</f>
        <v>17</v>
      </c>
    </row>
    <row r="3637">
      <c r="A3637" s="2" t="str">
        <f>Communes_HDF!A3637</f>
        <v>80690</v>
      </c>
      <c r="B3637" s="2" t="str">
        <f>Communes_HDF!B3637</f>
        <v>Rumigny</v>
      </c>
      <c r="C3637" s="2" t="str">
        <f t="array" ref="C3637">_xlfn.XLOOKUP(A3637, INSEE_Communes!$A$2:$A$3783, INSEE_Communes!$F$2:$F$3783, "code introuvable")</f>
        <v>non publié</v>
      </c>
    </row>
    <row r="3638">
      <c r="A3638" s="2" t="str">
        <f>Communes_HDF!A3638</f>
        <v>80691</v>
      </c>
      <c r="B3638" s="2" t="str">
        <f>Communes_HDF!B3638</f>
        <v>Saigneville</v>
      </c>
      <c r="C3638" s="2" t="str">
        <f t="array" ref="C3638">_xlfn.XLOOKUP(A3638, INSEE_Communes!$A$2:$A$3783, INSEE_Communes!$F$2:$F$3783, "code introuvable")</f>
        <v>non publié</v>
      </c>
    </row>
    <row r="3639">
      <c r="A3639" s="2" t="str">
        <f>Communes_HDF!A3639</f>
        <v>80692</v>
      </c>
      <c r="B3639" s="2" t="str">
        <f>Communes_HDF!B3639</f>
        <v>Sailly-Flibeaucourt</v>
      </c>
      <c r="C3639" s="2" t="str">
        <f t="array" ref="C3639">_xlfn.XLOOKUP(A3639, INSEE_Communes!$A$2:$A$3783, INSEE_Communes!$F$2:$F$3783, "code introuvable")</f>
        <v>non publié</v>
      </c>
    </row>
    <row r="3640">
      <c r="A3640" s="2" t="str">
        <f>Communes_HDF!A3640</f>
        <v>80693</v>
      </c>
      <c r="B3640" s="2" t="str">
        <f>Communes_HDF!B3640</f>
        <v>Sailly-Laurette</v>
      </c>
      <c r="C3640" s="2" t="str">
        <f t="array" ref="C3640">_xlfn.XLOOKUP(A3640, INSEE_Communes!$A$2:$A$3783, INSEE_Communes!$F$2:$F$3783, "code introuvable")</f>
        <v>non publié</v>
      </c>
    </row>
    <row r="3641">
      <c r="A3641" s="2" t="str">
        <f>Communes_HDF!A3641</f>
        <v>80695</v>
      </c>
      <c r="B3641" s="2" t="str">
        <f>Communes_HDF!B3641</f>
        <v>Sailly-Saillisel</v>
      </c>
      <c r="C3641" s="2" t="str">
        <f t="array" ref="C3641">_xlfn.XLOOKUP(A3641, INSEE_Communes!$A$2:$A$3783, INSEE_Communes!$F$2:$F$3783, "code introuvable")</f>
        <v>non publié</v>
      </c>
    </row>
    <row r="3642">
      <c r="A3642" s="2" t="str">
        <f>Communes_HDF!A3642</f>
        <v>80694</v>
      </c>
      <c r="B3642" s="2" t="str">
        <f>Communes_HDF!B3642</f>
        <v>Sailly-le-Sec</v>
      </c>
      <c r="C3642" s="2" t="str">
        <f t="array" ref="C3642">_xlfn.XLOOKUP(A3642, INSEE_Communes!$A$2:$A$3783, INSEE_Communes!$F$2:$F$3783, "code introuvable")</f>
        <v>non publié</v>
      </c>
    </row>
    <row r="3643">
      <c r="A3643" s="2" t="str">
        <f>Communes_HDF!A3643</f>
        <v>80696</v>
      </c>
      <c r="B3643" s="2" t="str">
        <f>Communes_HDF!B3643</f>
        <v>Sains-en-Amiénois</v>
      </c>
      <c r="C3643" s="2" t="str">
        <f t="array" ref="C3643">_xlfn.XLOOKUP(A3643, INSEE_Communes!$A$2:$A$3783, INSEE_Communes!$F$2:$F$3783, "code introuvable")</f>
        <v>non publié</v>
      </c>
    </row>
    <row r="3644">
      <c r="A3644" s="2" t="str">
        <f>Communes_HDF!A3644</f>
        <v>80697</v>
      </c>
      <c r="B3644" s="2" t="str">
        <f>Communes_HDF!B3644</f>
        <v>Saint-Acheul</v>
      </c>
      <c r="C3644" s="2" t="str">
        <f t="array" ref="C3644">_xlfn.XLOOKUP(A3644, INSEE_Communes!$A$2:$A$3783, INSEE_Communes!$F$2:$F$3783, "code introuvable")</f>
        <v>non publié</v>
      </c>
    </row>
    <row r="3645">
      <c r="A3645" s="2" t="str">
        <f>Communes_HDF!A3645</f>
        <v>80698</v>
      </c>
      <c r="B3645" s="2" t="str">
        <f>Communes_HDF!B3645</f>
        <v>Saint-Aubin-Montenoy</v>
      </c>
      <c r="C3645" s="2" t="str">
        <f t="array" ref="C3645">_xlfn.XLOOKUP(A3645, INSEE_Communes!$A$2:$A$3783, INSEE_Communes!$F$2:$F$3783, "code introuvable")</f>
        <v>non publié</v>
      </c>
    </row>
    <row r="3646">
      <c r="A3646" s="2" t="str">
        <f>Communes_HDF!A3646</f>
        <v>80699</v>
      </c>
      <c r="B3646" s="2" t="str">
        <f>Communes_HDF!B3646</f>
        <v>Saint-Aubin-Rivière</v>
      </c>
      <c r="C3646" s="2" t="str">
        <f t="array" ref="C3646">_xlfn.XLOOKUP(A3646, INSEE_Communes!$A$2:$A$3783, INSEE_Communes!$F$2:$F$3783, "code introuvable")</f>
        <v>non publié</v>
      </c>
    </row>
    <row r="3647">
      <c r="A3647" s="2" t="str">
        <f>Communes_HDF!A3647</f>
        <v>80700</v>
      </c>
      <c r="B3647" s="2" t="str">
        <f>Communes_HDF!B3647</f>
        <v>Saint-Blimont</v>
      </c>
      <c r="C3647" s="2" t="str">
        <f t="array" ref="C3647">_xlfn.XLOOKUP(A3647, INSEE_Communes!$A$2:$A$3783, INSEE_Communes!$F$2:$F$3783, "code introuvable")</f>
        <v>non publié</v>
      </c>
    </row>
    <row r="3648">
      <c r="A3648" s="2" t="str">
        <f>Communes_HDF!A3648</f>
        <v>80701</v>
      </c>
      <c r="B3648" s="2" t="str">
        <f>Communes_HDF!B3648</f>
        <v>Saint-Christ-Briost</v>
      </c>
      <c r="C3648" s="2" t="str">
        <f t="array" ref="C3648">_xlfn.XLOOKUP(A3648, INSEE_Communes!$A$2:$A$3783, INSEE_Communes!$F$2:$F$3783, "code introuvable")</f>
        <v>non publié</v>
      </c>
    </row>
    <row r="3649">
      <c r="A3649" s="2" t="str">
        <f>Communes_HDF!A3649</f>
        <v>80702</v>
      </c>
      <c r="B3649" s="2" t="str">
        <f>Communes_HDF!B3649</f>
        <v>Saint-Fuscien</v>
      </c>
      <c r="C3649" s="2" t="str">
        <f t="array" ref="C3649">_xlfn.XLOOKUP(A3649, INSEE_Communes!$A$2:$A$3783, INSEE_Communes!$F$2:$F$3783, "code introuvable")</f>
        <v>non publié</v>
      </c>
    </row>
    <row r="3650">
      <c r="A3650" s="2" t="str">
        <f>Communes_HDF!A3650</f>
        <v>80703</v>
      </c>
      <c r="B3650" s="2" t="str">
        <f>Communes_HDF!B3650</f>
        <v>Saint-Germain-sur-Bresle</v>
      </c>
      <c r="C3650" s="2" t="str">
        <f t="array" ref="C3650">_xlfn.XLOOKUP(A3650, INSEE_Communes!$A$2:$A$3783, INSEE_Communes!$F$2:$F$3783, "code introuvable")</f>
        <v>non publié</v>
      </c>
    </row>
    <row r="3651">
      <c r="A3651" s="2" t="str">
        <f>Communes_HDF!A3651</f>
        <v>80704</v>
      </c>
      <c r="B3651" s="2" t="str">
        <f>Communes_HDF!B3651</f>
        <v>Saint-Gratien</v>
      </c>
      <c r="C3651" s="2" t="str">
        <f t="array" ref="C3651">_xlfn.XLOOKUP(A3651, INSEE_Communes!$A$2:$A$3783, INSEE_Communes!$F$2:$F$3783, "code introuvable")</f>
        <v>non publié</v>
      </c>
    </row>
    <row r="3652">
      <c r="A3652" s="2" t="str">
        <f>Communes_HDF!A3652</f>
        <v>80705</v>
      </c>
      <c r="B3652" s="2" t="str">
        <f>Communes_HDF!B3652</f>
        <v>Saint-Léger-lès-Authie</v>
      </c>
      <c r="C3652" s="2" t="str">
        <f t="array" ref="C3652">_xlfn.XLOOKUP(A3652, INSEE_Communes!$A$2:$A$3783, INSEE_Communes!$F$2:$F$3783, "code introuvable")</f>
        <v>non publié</v>
      </c>
    </row>
    <row r="3653">
      <c r="A3653" s="2" t="str">
        <f>Communes_HDF!A3653</f>
        <v>80706</v>
      </c>
      <c r="B3653" s="2" t="str">
        <f>Communes_HDF!B3653</f>
        <v>Saint-Léger-lès-Domart</v>
      </c>
      <c r="C3653" s="2" t="str">
        <f t="array" ref="C3653">_xlfn.XLOOKUP(A3653, INSEE_Communes!$A$2:$A$3783, INSEE_Communes!$F$2:$F$3783, "code introuvable")</f>
        <v>non publié</v>
      </c>
    </row>
    <row r="3654">
      <c r="A3654" s="2" t="str">
        <f>Communes_HDF!A3654</f>
        <v>80707</v>
      </c>
      <c r="B3654" s="2" t="str">
        <f>Communes_HDF!B3654</f>
        <v>Saint-Léger-sur-Bresle</v>
      </c>
      <c r="C3654" s="2" t="str">
        <f t="array" ref="C3654">_xlfn.XLOOKUP(A3654, INSEE_Communes!$A$2:$A$3783, INSEE_Communes!$F$2:$F$3783, "code introuvable")</f>
        <v>non publié</v>
      </c>
    </row>
    <row r="3655">
      <c r="A3655" s="2" t="str">
        <f>Communes_HDF!A3655</f>
        <v>80708</v>
      </c>
      <c r="B3655" s="2" t="str">
        <f>Communes_HDF!B3655</f>
        <v>Saint-Mard</v>
      </c>
      <c r="C3655" s="2" t="str">
        <f t="array" ref="C3655">_xlfn.XLOOKUP(A3655, INSEE_Communes!$A$2:$A$3783, INSEE_Communes!$F$2:$F$3783, "code introuvable")</f>
        <v>non publié</v>
      </c>
    </row>
    <row r="3656">
      <c r="A3656" s="2" t="str">
        <f>Communes_HDF!A3656</f>
        <v>80709</v>
      </c>
      <c r="B3656" s="2" t="str">
        <f>Communes_HDF!B3656</f>
        <v>Saint-Maulvis</v>
      </c>
      <c r="C3656" s="2" t="str">
        <f t="array" ref="C3656">_xlfn.XLOOKUP(A3656, INSEE_Communes!$A$2:$A$3783, INSEE_Communes!$F$2:$F$3783, "code introuvable")</f>
        <v>non publié</v>
      </c>
    </row>
    <row r="3657">
      <c r="A3657" s="2" t="str">
        <f>Communes_HDF!A3657</f>
        <v>80710</v>
      </c>
      <c r="B3657" s="2" t="str">
        <f>Communes_HDF!B3657</f>
        <v>Saint-Maxent</v>
      </c>
      <c r="C3657" s="2" t="str">
        <f t="array" ref="C3657">_xlfn.XLOOKUP(A3657, INSEE_Communes!$A$2:$A$3783, INSEE_Communes!$F$2:$F$3783, "code introuvable")</f>
        <v>non publié</v>
      </c>
    </row>
    <row r="3658">
      <c r="A3658" s="2" t="str">
        <f>Communes_HDF!A3658</f>
        <v>80711</v>
      </c>
      <c r="B3658" s="2" t="str">
        <f>Communes_HDF!B3658</f>
        <v>Saint-Ouen</v>
      </c>
      <c r="C3658" s="2" t="str">
        <f t="array" ref="C3658">_xlfn.XLOOKUP(A3658, INSEE_Communes!$A$2:$A$3783, INSEE_Communes!$F$2:$F$3783, "code introuvable")</f>
        <v>non publié</v>
      </c>
    </row>
    <row r="3659">
      <c r="A3659" s="2" t="str">
        <f>Communes_HDF!A3659</f>
        <v>80713</v>
      </c>
      <c r="B3659" s="2" t="str">
        <f>Communes_HDF!B3659</f>
        <v>Saint-Quentin-en-Tourmont</v>
      </c>
      <c r="C3659" s="2" t="str">
        <f t="array" ref="C3659">_xlfn.XLOOKUP(A3659, INSEE_Communes!$A$2:$A$3783, INSEE_Communes!$F$2:$F$3783, "code introuvable")</f>
        <v>non publié</v>
      </c>
    </row>
    <row r="3660">
      <c r="A3660" s="2" t="str">
        <f>Communes_HDF!A3660</f>
        <v>80714</v>
      </c>
      <c r="B3660" s="2" t="str">
        <f>Communes_HDF!B3660</f>
        <v>Saint-Quentin-la-Motte-Croix-au-Bailly</v>
      </c>
      <c r="C3660" s="2" t="str">
        <f t="array" ref="C3660">_xlfn.XLOOKUP(A3660, INSEE_Communes!$A$2:$A$3783, INSEE_Communes!$F$2:$F$3783, "code introuvable")</f>
        <v>non publié</v>
      </c>
    </row>
    <row r="3661">
      <c r="A3661" s="2" t="str">
        <f>Communes_HDF!A3661</f>
        <v>80716</v>
      </c>
      <c r="B3661" s="2" t="str">
        <f>Communes_HDF!B3661</f>
        <v>Saint-Riquier</v>
      </c>
      <c r="C3661" s="2" t="str">
        <f t="array" ref="C3661">_xlfn.XLOOKUP(A3661, INSEE_Communes!$A$2:$A$3783, INSEE_Communes!$F$2:$F$3783, "code introuvable")</f>
        <v>non publié</v>
      </c>
    </row>
    <row r="3662">
      <c r="A3662" s="2" t="str">
        <f>Communes_HDF!A3662</f>
        <v>80717</v>
      </c>
      <c r="B3662" s="2" t="str">
        <f>Communes_HDF!B3662</f>
        <v>Saint-Sauflieu</v>
      </c>
      <c r="C3662" s="2" t="str">
        <f t="array" ref="C3662">_xlfn.XLOOKUP(A3662, INSEE_Communes!$A$2:$A$3783, INSEE_Communes!$F$2:$F$3783, "code introuvable")</f>
        <v>non publié</v>
      </c>
    </row>
    <row r="3663">
      <c r="A3663" s="2" t="str">
        <f>Communes_HDF!A3663</f>
        <v>80718</v>
      </c>
      <c r="B3663" s="2" t="str">
        <f>Communes_HDF!B3663</f>
        <v>Saint-Sauveur</v>
      </c>
      <c r="C3663" s="2" t="str">
        <f t="array" ref="C3663">_xlfn.XLOOKUP(A3663, INSEE_Communes!$A$2:$A$3783, INSEE_Communes!$F$2:$F$3783, "code introuvable")</f>
        <v>non publié</v>
      </c>
    </row>
    <row r="3664">
      <c r="A3664" s="2" t="str">
        <f>Communes_HDF!A3664</f>
        <v>80722</v>
      </c>
      <c r="B3664" s="2" t="str">
        <f>Communes_HDF!B3664</f>
        <v>Saint-Vaast-en-Chaussée</v>
      </c>
      <c r="C3664" s="2" t="str">
        <f t="array" ref="C3664">_xlfn.XLOOKUP(A3664, INSEE_Communes!$A$2:$A$3783, INSEE_Communes!$F$2:$F$3783, "code introuvable")</f>
        <v>non publié</v>
      </c>
    </row>
    <row r="3665">
      <c r="A3665" s="2" t="str">
        <f>Communes_HDF!A3665</f>
        <v>80721</v>
      </c>
      <c r="B3665" s="2" t="str">
        <f>Communes_HDF!B3665</f>
        <v>Saint-Valery-sur-Somme</v>
      </c>
      <c r="C3665" s="2" t="str">
        <f t="array" ref="C3665">_xlfn.XLOOKUP(A3665, INSEE_Communes!$A$2:$A$3783, INSEE_Communes!$F$2:$F$3783, "code introuvable")</f>
        <v>non publié</v>
      </c>
    </row>
    <row r="3666">
      <c r="A3666" s="2" t="str">
        <f>Communes_HDF!A3666</f>
        <v>80719</v>
      </c>
      <c r="B3666" s="2" t="str">
        <f>Communes_HDF!B3666</f>
        <v>Sainte-Segrée</v>
      </c>
      <c r="C3666" s="2" t="str">
        <f t="array" ref="C3666">_xlfn.XLOOKUP(A3666, INSEE_Communes!$A$2:$A$3783, INSEE_Communes!$F$2:$F$3783, "code introuvable")</f>
        <v>non publié</v>
      </c>
    </row>
    <row r="3667">
      <c r="A3667" s="2" t="str">
        <f>Communes_HDF!A3667</f>
        <v>80723</v>
      </c>
      <c r="B3667" s="2" t="str">
        <f>Communes_HDF!B3667</f>
        <v>Saisseval</v>
      </c>
      <c r="C3667" s="2" t="str">
        <f t="array" ref="C3667">_xlfn.XLOOKUP(A3667, INSEE_Communes!$A$2:$A$3783, INSEE_Communes!$F$2:$F$3783, "code introuvable")</f>
        <v>non publié</v>
      </c>
    </row>
    <row r="3668">
      <c r="A3668" s="2" t="str">
        <f>Communes_HDF!A3668</f>
        <v>80724</v>
      </c>
      <c r="B3668" s="2" t="str">
        <f>Communes_HDF!B3668</f>
        <v>Saleux</v>
      </c>
      <c r="C3668" s="2">
        <f t="array" ref="C3668">_xlfn.XLOOKUP(A3668, INSEE_Communes!$A$2:$A$3783, INSEE_Communes!$F$2:$F$3783, "code introuvable")</f>
        <v>11</v>
      </c>
    </row>
    <row r="3669">
      <c r="A3669" s="2" t="str">
        <f>Communes_HDF!A3669</f>
        <v>80725</v>
      </c>
      <c r="B3669" s="2" t="str">
        <f>Communes_HDF!B3669</f>
        <v>Salouël</v>
      </c>
      <c r="C3669" s="2">
        <f t="array" ref="C3669">_xlfn.XLOOKUP(A3669, INSEE_Communes!$A$2:$A$3783, INSEE_Communes!$F$2:$F$3783, "code introuvable")</f>
        <v>9</v>
      </c>
    </row>
    <row r="3670">
      <c r="A3670" s="2" t="str">
        <f>Communes_HDF!A3670</f>
        <v>80726</v>
      </c>
      <c r="B3670" s="2" t="str">
        <f>Communes_HDF!B3670</f>
        <v>Sancourt</v>
      </c>
      <c r="C3670" s="2" t="str">
        <f t="array" ref="C3670">_xlfn.XLOOKUP(A3670, INSEE_Communes!$A$2:$A$3783, INSEE_Communes!$F$2:$F$3783, "code introuvable")</f>
        <v>non publié</v>
      </c>
    </row>
    <row r="3671">
      <c r="A3671" s="2" t="str">
        <f>Communes_HDF!A3671</f>
        <v>80728</v>
      </c>
      <c r="B3671" s="2" t="str">
        <f>Communes_HDF!B3671</f>
        <v>Saulchoy-sous-Poix</v>
      </c>
      <c r="C3671" s="2" t="str">
        <f t="array" ref="C3671">_xlfn.XLOOKUP(A3671, INSEE_Communes!$A$2:$A$3783, INSEE_Communes!$F$2:$F$3783, "code introuvable")</f>
        <v>non publié</v>
      </c>
    </row>
    <row r="3672">
      <c r="A3672" s="2" t="str">
        <f>Communes_HDF!A3672</f>
        <v>80729</v>
      </c>
      <c r="B3672" s="2" t="str">
        <f>Communes_HDF!B3672</f>
        <v>Sauvillers-Mongival</v>
      </c>
      <c r="C3672" s="2" t="str">
        <f t="array" ref="C3672">_xlfn.XLOOKUP(A3672, INSEE_Communes!$A$2:$A$3783, INSEE_Communes!$F$2:$F$3783, "code introuvable")</f>
        <v>non publié</v>
      </c>
    </row>
    <row r="3673">
      <c r="A3673" s="2" t="str">
        <f>Communes_HDF!A3673</f>
        <v>80730</v>
      </c>
      <c r="B3673" s="2" t="str">
        <f>Communes_HDF!B3673</f>
        <v>Saveuse</v>
      </c>
      <c r="C3673" s="2" t="str">
        <f t="array" ref="C3673">_xlfn.XLOOKUP(A3673, INSEE_Communes!$A$2:$A$3783, INSEE_Communes!$F$2:$F$3783, "code introuvable")</f>
        <v>non publié</v>
      </c>
    </row>
    <row r="3674">
      <c r="A3674" s="2" t="str">
        <f>Communes_HDF!A3674</f>
        <v>80732</v>
      </c>
      <c r="B3674" s="2" t="str">
        <f>Communes_HDF!B3674</f>
        <v>Senarpont</v>
      </c>
      <c r="C3674" s="2" t="str">
        <f t="array" ref="C3674">_xlfn.XLOOKUP(A3674, INSEE_Communes!$A$2:$A$3783, INSEE_Communes!$F$2:$F$3783, "code introuvable")</f>
        <v>non publié</v>
      </c>
    </row>
    <row r="3675">
      <c r="A3675" s="2" t="str">
        <f>Communes_HDF!A3675</f>
        <v>80733</v>
      </c>
      <c r="B3675" s="2" t="str">
        <f>Communes_HDF!B3675</f>
        <v>Senlis-le-Sec</v>
      </c>
      <c r="C3675" s="2" t="str">
        <f t="array" ref="C3675">_xlfn.XLOOKUP(A3675, INSEE_Communes!$A$2:$A$3783, INSEE_Communes!$F$2:$F$3783, "code introuvable")</f>
        <v>non publié</v>
      </c>
    </row>
    <row r="3676">
      <c r="A3676" s="2" t="str">
        <f>Communes_HDF!A3676</f>
        <v>80734</v>
      </c>
      <c r="B3676" s="2" t="str">
        <f>Communes_HDF!B3676</f>
        <v>Sentelie</v>
      </c>
      <c r="C3676" s="2" t="str">
        <f t="array" ref="C3676">_xlfn.XLOOKUP(A3676, INSEE_Communes!$A$2:$A$3783, INSEE_Communes!$F$2:$F$3783, "code introuvable")</f>
        <v>non publié</v>
      </c>
    </row>
    <row r="3677">
      <c r="A3677" s="2" t="str">
        <f>Communes_HDF!A3677</f>
        <v>80735</v>
      </c>
      <c r="B3677" s="2" t="str">
        <f>Communes_HDF!B3677</f>
        <v>Seux</v>
      </c>
      <c r="C3677" s="2" t="str">
        <f t="array" ref="C3677">_xlfn.XLOOKUP(A3677, INSEE_Communes!$A$2:$A$3783, INSEE_Communes!$F$2:$F$3783, "code introuvable")</f>
        <v>non publié</v>
      </c>
    </row>
    <row r="3678">
      <c r="A3678" s="2" t="str">
        <f>Communes_HDF!A3678</f>
        <v>80737</v>
      </c>
      <c r="B3678" s="2" t="str">
        <f>Communes_HDF!B3678</f>
        <v>Sorel</v>
      </c>
      <c r="C3678" s="2" t="str">
        <f t="array" ref="C3678">_xlfn.XLOOKUP(A3678, INSEE_Communes!$A$2:$A$3783, INSEE_Communes!$F$2:$F$3783, "code introuvable")</f>
        <v>non publié</v>
      </c>
    </row>
    <row r="3679">
      <c r="A3679" s="2" t="str">
        <f>Communes_HDF!A3679</f>
        <v>80736</v>
      </c>
      <c r="B3679" s="2" t="str">
        <f>Communes_HDF!B3679</f>
        <v>Sorel-en-Vimeu</v>
      </c>
      <c r="C3679" s="2" t="str">
        <f t="array" ref="C3679">_xlfn.XLOOKUP(A3679, INSEE_Communes!$A$2:$A$3783, INSEE_Communes!$F$2:$F$3783, "code introuvable")</f>
        <v>non publié</v>
      </c>
    </row>
    <row r="3680">
      <c r="A3680" s="2" t="str">
        <f>Communes_HDF!A3680</f>
        <v>80738</v>
      </c>
      <c r="B3680" s="2" t="str">
        <f>Communes_HDF!B3680</f>
        <v>Soues</v>
      </c>
      <c r="C3680" s="2" t="str">
        <f t="array" ref="C3680">_xlfn.XLOOKUP(A3680, INSEE_Communes!$A$2:$A$3783, INSEE_Communes!$F$2:$F$3783, "code introuvable")</f>
        <v>non publié</v>
      </c>
    </row>
    <row r="3681">
      <c r="A3681" s="2" t="str">
        <f>Communes_HDF!A3681</f>
        <v>80740</v>
      </c>
      <c r="B3681" s="2" t="str">
        <f>Communes_HDF!B3681</f>
        <v>Sourdon</v>
      </c>
      <c r="C3681" s="2" t="str">
        <f t="array" ref="C3681">_xlfn.XLOOKUP(A3681, INSEE_Communes!$A$2:$A$3783, INSEE_Communes!$F$2:$F$3783, "code introuvable")</f>
        <v>non publié</v>
      </c>
    </row>
    <row r="3682">
      <c r="A3682" s="2" t="str">
        <f>Communes_HDF!A3682</f>
        <v>80741</v>
      </c>
      <c r="B3682" s="2" t="str">
        <f>Communes_HDF!B3682</f>
        <v>Soyécourt</v>
      </c>
      <c r="C3682" s="2" t="str">
        <f t="array" ref="C3682">_xlfn.XLOOKUP(A3682, INSEE_Communes!$A$2:$A$3783, INSEE_Communes!$F$2:$F$3783, "code introuvable")</f>
        <v>non publié</v>
      </c>
    </row>
    <row r="3683">
      <c r="A3683" s="2" t="str">
        <f>Communes_HDF!A3683</f>
        <v>80742</v>
      </c>
      <c r="B3683" s="2" t="str">
        <f>Communes_HDF!B3683</f>
        <v>Surcamps</v>
      </c>
      <c r="C3683" s="2" t="str">
        <f t="array" ref="C3683">_xlfn.XLOOKUP(A3683, INSEE_Communes!$A$2:$A$3783, INSEE_Communes!$F$2:$F$3783, "code introuvable")</f>
        <v>non publié</v>
      </c>
    </row>
    <row r="3684">
      <c r="A3684" s="2" t="str">
        <f>Communes_HDF!A3684</f>
        <v>80743</v>
      </c>
      <c r="B3684" s="2" t="str">
        <f>Communes_HDF!B3684</f>
        <v>Suzanne</v>
      </c>
      <c r="C3684" s="2" t="str">
        <f t="array" ref="C3684">_xlfn.XLOOKUP(A3684, INSEE_Communes!$A$2:$A$3783, INSEE_Communes!$F$2:$F$3783, "code introuvable")</f>
        <v>non publié</v>
      </c>
    </row>
    <row r="3685">
      <c r="A3685" s="2" t="str">
        <f>Communes_HDF!A3685</f>
        <v>80744</v>
      </c>
      <c r="B3685" s="2" t="str">
        <f>Communes_HDF!B3685</f>
        <v>Tailly</v>
      </c>
      <c r="C3685" s="2" t="str">
        <f t="array" ref="C3685">_xlfn.XLOOKUP(A3685, INSEE_Communes!$A$2:$A$3783, INSEE_Communes!$F$2:$F$3783, "code introuvable")</f>
        <v>non publié</v>
      </c>
    </row>
    <row r="3686">
      <c r="A3686" s="2" t="str">
        <f>Communes_HDF!A3686</f>
        <v>80746</v>
      </c>
      <c r="B3686" s="2" t="str">
        <f>Communes_HDF!B3686</f>
        <v>Talmas</v>
      </c>
      <c r="C3686" s="2" t="str">
        <f t="array" ref="C3686">_xlfn.XLOOKUP(A3686, INSEE_Communes!$A$2:$A$3783, INSEE_Communes!$F$2:$F$3783, "code introuvable")</f>
        <v>non publié</v>
      </c>
    </row>
    <row r="3687">
      <c r="A3687" s="2" t="str">
        <f>Communes_HDF!A3687</f>
        <v>80747</v>
      </c>
      <c r="B3687" s="2" t="str">
        <f>Communes_HDF!B3687</f>
        <v>Templeux-la-Fosse</v>
      </c>
      <c r="C3687" s="2" t="str">
        <f t="array" ref="C3687">_xlfn.XLOOKUP(A3687, INSEE_Communes!$A$2:$A$3783, INSEE_Communes!$F$2:$F$3783, "code introuvable")</f>
        <v>non publié</v>
      </c>
    </row>
    <row r="3688">
      <c r="A3688" s="2" t="str">
        <f>Communes_HDF!A3688</f>
        <v>80748</v>
      </c>
      <c r="B3688" s="2" t="str">
        <f>Communes_HDF!B3688</f>
        <v>Templeux-le-Guérard</v>
      </c>
      <c r="C3688" s="2" t="str">
        <f t="array" ref="C3688">_xlfn.XLOOKUP(A3688, INSEE_Communes!$A$2:$A$3783, INSEE_Communes!$F$2:$F$3783, "code introuvable")</f>
        <v>non publié</v>
      </c>
    </row>
    <row r="3689">
      <c r="A3689" s="2" t="str">
        <f>Communes_HDF!A3689</f>
        <v>80749</v>
      </c>
      <c r="B3689" s="2" t="str">
        <f>Communes_HDF!B3689</f>
        <v>Terramesnil</v>
      </c>
      <c r="C3689" s="2" t="str">
        <f t="array" ref="C3689">_xlfn.XLOOKUP(A3689, INSEE_Communes!$A$2:$A$3783, INSEE_Communes!$F$2:$F$3783, "code introuvable")</f>
        <v>non publié</v>
      </c>
    </row>
    <row r="3690">
      <c r="A3690" s="2" t="str">
        <f>Communes_HDF!A3690</f>
        <v>80750</v>
      </c>
      <c r="B3690" s="2" t="str">
        <f>Communes_HDF!B3690</f>
        <v>Tertry</v>
      </c>
      <c r="C3690" s="2" t="str">
        <f t="array" ref="C3690">_xlfn.XLOOKUP(A3690, INSEE_Communes!$A$2:$A$3783, INSEE_Communes!$F$2:$F$3783, "code introuvable")</f>
        <v>non publié</v>
      </c>
    </row>
    <row r="3691">
      <c r="A3691" s="2" t="str">
        <f>Communes_HDF!A3691</f>
        <v>80751</v>
      </c>
      <c r="B3691" s="2" t="str">
        <f>Communes_HDF!B3691</f>
        <v>Thennes</v>
      </c>
      <c r="C3691" s="2" t="str">
        <f t="array" ref="C3691">_xlfn.XLOOKUP(A3691, INSEE_Communes!$A$2:$A$3783, INSEE_Communes!$F$2:$F$3783, "code introuvable")</f>
        <v>non publié</v>
      </c>
    </row>
    <row r="3692">
      <c r="A3692" s="2" t="str">
        <f>Communes_HDF!A3692</f>
        <v>80753</v>
      </c>
      <c r="B3692" s="2" t="str">
        <f>Communes_HDF!B3692</f>
        <v>Thiepval</v>
      </c>
      <c r="C3692" s="2" t="str">
        <f t="array" ref="C3692">_xlfn.XLOOKUP(A3692, INSEE_Communes!$A$2:$A$3783, INSEE_Communes!$F$2:$F$3783, "code introuvable")</f>
        <v>non publié</v>
      </c>
    </row>
    <row r="3693">
      <c r="A3693" s="2" t="str">
        <f>Communes_HDF!A3693</f>
        <v>80754</v>
      </c>
      <c r="B3693" s="2" t="str">
        <f>Communes_HDF!B3693</f>
        <v>Thieulloy-l'Abbaye</v>
      </c>
      <c r="C3693" s="2" t="str">
        <f t="array" ref="C3693">_xlfn.XLOOKUP(A3693, INSEE_Communes!$A$2:$A$3783, INSEE_Communes!$F$2:$F$3783, "code introuvable")</f>
        <v>non publié</v>
      </c>
    </row>
    <row r="3694">
      <c r="A3694" s="2" t="str">
        <f>Communes_HDF!A3694</f>
        <v>80755</v>
      </c>
      <c r="B3694" s="2" t="str">
        <f>Communes_HDF!B3694</f>
        <v>Thieulloy-la-Ville</v>
      </c>
      <c r="C3694" s="2" t="str">
        <f t="array" ref="C3694">_xlfn.XLOOKUP(A3694, INSEE_Communes!$A$2:$A$3783, INSEE_Communes!$F$2:$F$3783, "code introuvable")</f>
        <v>non publié</v>
      </c>
    </row>
    <row r="3695">
      <c r="A3695" s="2" t="str">
        <f>Communes_HDF!A3695</f>
        <v>80756</v>
      </c>
      <c r="B3695" s="2" t="str">
        <f>Communes_HDF!B3695</f>
        <v>Thièvres</v>
      </c>
      <c r="C3695" s="2" t="str">
        <f t="array" ref="C3695">_xlfn.XLOOKUP(A3695, INSEE_Communes!$A$2:$A$3783, INSEE_Communes!$F$2:$F$3783, "code introuvable")</f>
        <v>non publié</v>
      </c>
    </row>
    <row r="3696">
      <c r="A3696" s="2" t="str">
        <f>Communes_HDF!A3696</f>
        <v>80757</v>
      </c>
      <c r="B3696" s="2" t="str">
        <f>Communes_HDF!B3696</f>
        <v>Thoix</v>
      </c>
      <c r="C3696" s="2" t="str">
        <f t="array" ref="C3696">_xlfn.XLOOKUP(A3696, INSEE_Communes!$A$2:$A$3783, INSEE_Communes!$F$2:$F$3783, "code introuvable")</f>
        <v>non publié</v>
      </c>
    </row>
    <row r="3697">
      <c r="A3697" s="2" t="str">
        <f>Communes_HDF!A3697</f>
        <v>80758</v>
      </c>
      <c r="B3697" s="2" t="str">
        <f>Communes_HDF!B3697</f>
        <v>Thory</v>
      </c>
      <c r="C3697" s="2" t="str">
        <f t="array" ref="C3697">_xlfn.XLOOKUP(A3697, INSEE_Communes!$A$2:$A$3783, INSEE_Communes!$F$2:$F$3783, "code introuvable")</f>
        <v>non publié</v>
      </c>
    </row>
    <row r="3698">
      <c r="A3698" s="2" t="str">
        <f>Communes_HDF!A3698</f>
        <v>80752</v>
      </c>
      <c r="B3698" s="2" t="str">
        <f>Communes_HDF!B3698</f>
        <v>Thézy-Glimont</v>
      </c>
      <c r="C3698" s="2" t="str">
        <f t="array" ref="C3698">_xlfn.XLOOKUP(A3698, INSEE_Communes!$A$2:$A$3783, INSEE_Communes!$F$2:$F$3783, "code introuvable")</f>
        <v>non publié</v>
      </c>
    </row>
    <row r="3699">
      <c r="A3699" s="2" t="str">
        <f>Communes_HDF!A3699</f>
        <v>80759</v>
      </c>
      <c r="B3699" s="2" t="str">
        <f>Communes_HDF!B3699</f>
        <v>Tilloloy</v>
      </c>
      <c r="C3699" s="2" t="str">
        <f t="array" ref="C3699">_xlfn.XLOOKUP(A3699, INSEE_Communes!$A$2:$A$3783, INSEE_Communes!$F$2:$F$3783, "code introuvable")</f>
        <v>non publié</v>
      </c>
    </row>
    <row r="3700">
      <c r="A3700" s="2" t="str">
        <f>Communes_HDF!A3700</f>
        <v>80760</v>
      </c>
      <c r="B3700" s="2" t="str">
        <f>Communes_HDF!B3700</f>
        <v>Tilloy-Floriville</v>
      </c>
      <c r="C3700" s="2" t="str">
        <f t="array" ref="C3700">_xlfn.XLOOKUP(A3700, INSEE_Communes!$A$2:$A$3783, INSEE_Communes!$F$2:$F$3783, "code introuvable")</f>
        <v>non publié</v>
      </c>
    </row>
    <row r="3701">
      <c r="A3701" s="2" t="str">
        <f>Communes_HDF!A3701</f>
        <v>80762</v>
      </c>
      <c r="B3701" s="2" t="str">
        <f>Communes_HDF!B3701</f>
        <v>Tincourt-Boucly</v>
      </c>
      <c r="C3701" s="2" t="str">
        <f t="array" ref="C3701">_xlfn.XLOOKUP(A3701, INSEE_Communes!$A$2:$A$3783, INSEE_Communes!$F$2:$F$3783, "code introuvable")</f>
        <v>non publié</v>
      </c>
    </row>
    <row r="3702">
      <c r="A3702" s="2" t="str">
        <f>Communes_HDF!A3702</f>
        <v>80765</v>
      </c>
      <c r="B3702" s="2" t="str">
        <f>Communes_HDF!B3702</f>
        <v>Tours-en-Vimeu</v>
      </c>
      <c r="C3702" s="2" t="str">
        <f t="array" ref="C3702">_xlfn.XLOOKUP(A3702, INSEE_Communes!$A$2:$A$3783, INSEE_Communes!$F$2:$F$3783, "code introuvable")</f>
        <v>non publié</v>
      </c>
    </row>
    <row r="3703">
      <c r="A3703" s="2" t="str">
        <f>Communes_HDF!A3703</f>
        <v>80766</v>
      </c>
      <c r="B3703" s="2" t="str">
        <f>Communes_HDF!B3703</f>
        <v>Toutencourt</v>
      </c>
      <c r="C3703" s="2" t="str">
        <f t="array" ref="C3703">_xlfn.XLOOKUP(A3703, INSEE_Communes!$A$2:$A$3783, INSEE_Communes!$F$2:$F$3783, "code introuvable")</f>
        <v>non publié</v>
      </c>
    </row>
    <row r="3704">
      <c r="A3704" s="2" t="str">
        <f>Communes_HDF!A3704</f>
        <v>80769</v>
      </c>
      <c r="B3704" s="2" t="str">
        <f>Communes_HDF!B3704</f>
        <v>Treux</v>
      </c>
      <c r="C3704" s="2" t="str">
        <f t="array" ref="C3704">_xlfn.XLOOKUP(A3704, INSEE_Communes!$A$2:$A$3783, INSEE_Communes!$F$2:$F$3783, "code introuvable")</f>
        <v>non publié</v>
      </c>
    </row>
    <row r="3705">
      <c r="A3705" s="2" t="str">
        <f>Communes_HDF!A3705</f>
        <v>80625</v>
      </c>
      <c r="B3705" s="2" t="str">
        <f>Communes_HDF!B3705</f>
        <v>Trois-Rivières</v>
      </c>
      <c r="C3705" s="2" t="str">
        <f t="array" ref="C3705">_xlfn.XLOOKUP(A3705, INSEE_Communes!$A$2:$A$3783, INSEE_Communes!$F$2:$F$3783, "code introuvable")</f>
        <v>non publié</v>
      </c>
    </row>
    <row r="3706">
      <c r="A3706" s="2" t="str">
        <f>Communes_HDF!A3706</f>
        <v>80770</v>
      </c>
      <c r="B3706" s="2" t="str">
        <f>Communes_HDF!B3706</f>
        <v>Tully</v>
      </c>
      <c r="C3706" s="2" t="str">
        <f t="array" ref="C3706">_xlfn.XLOOKUP(A3706, INSEE_Communes!$A$2:$A$3783, INSEE_Communes!$F$2:$F$3783, "code introuvable")</f>
        <v>non publié</v>
      </c>
    </row>
    <row r="3707">
      <c r="A3707" s="2" t="str">
        <f>Communes_HDF!A3707</f>
        <v>80764</v>
      </c>
      <c r="B3707" s="2" t="str">
        <f>Communes_HDF!B3707</f>
        <v>Tœufles</v>
      </c>
      <c r="C3707" s="2" t="str">
        <f t="array" ref="C3707">_xlfn.XLOOKUP(A3707, INSEE_Communes!$A$2:$A$3783, INSEE_Communes!$F$2:$F$3783, "code introuvable")</f>
        <v>non publié</v>
      </c>
    </row>
    <row r="3708">
      <c r="A3708" s="2" t="str">
        <f>Communes_HDF!A3708</f>
        <v>80771</v>
      </c>
      <c r="B3708" s="2" t="str">
        <f>Communes_HDF!B3708</f>
        <v>Ugny-l'Équipée</v>
      </c>
      <c r="C3708" s="2" t="str">
        <f t="array" ref="C3708">_xlfn.XLOOKUP(A3708, INSEE_Communes!$A$2:$A$3783, INSEE_Communes!$F$2:$F$3783, "code introuvable")</f>
        <v>non publié</v>
      </c>
    </row>
    <row r="3709">
      <c r="A3709" s="2" t="str">
        <f>Communes_HDF!A3709</f>
        <v>80773</v>
      </c>
      <c r="B3709" s="2" t="str">
        <f>Communes_HDF!B3709</f>
        <v>Vadencourt</v>
      </c>
      <c r="C3709" s="2" t="str">
        <f t="array" ref="C3709">_xlfn.XLOOKUP(A3709, INSEE_Communes!$A$2:$A$3783, INSEE_Communes!$F$2:$F$3783, "code introuvable")</f>
        <v>non publié</v>
      </c>
    </row>
    <row r="3710">
      <c r="A3710" s="2" t="str">
        <f>Communes_HDF!A3710</f>
        <v>80774</v>
      </c>
      <c r="B3710" s="2" t="str">
        <f>Communes_HDF!B3710</f>
        <v>Vaire-sous-Corbie</v>
      </c>
      <c r="C3710" s="2" t="str">
        <f t="array" ref="C3710">_xlfn.XLOOKUP(A3710, INSEE_Communes!$A$2:$A$3783, INSEE_Communes!$F$2:$F$3783, "code introuvable")</f>
        <v>non publié</v>
      </c>
    </row>
    <row r="3711">
      <c r="A3711" s="2" t="str">
        <f>Communes_HDF!A3711</f>
        <v>80775</v>
      </c>
      <c r="B3711" s="2" t="str">
        <f>Communes_HDF!B3711</f>
        <v>Valines</v>
      </c>
      <c r="C3711" s="2" t="str">
        <f t="array" ref="C3711">_xlfn.XLOOKUP(A3711, INSEE_Communes!$A$2:$A$3783, INSEE_Communes!$F$2:$F$3783, "code introuvable")</f>
        <v>non publié</v>
      </c>
    </row>
    <row r="3712">
      <c r="A3712" s="2" t="str">
        <f>Communes_HDF!A3712</f>
        <v>80776</v>
      </c>
      <c r="B3712" s="2" t="str">
        <f>Communes_HDF!B3712</f>
        <v>Varennes</v>
      </c>
      <c r="C3712" s="2" t="str">
        <f t="array" ref="C3712">_xlfn.XLOOKUP(A3712, INSEE_Communes!$A$2:$A$3783, INSEE_Communes!$F$2:$F$3783, "code introuvable")</f>
        <v>non publié</v>
      </c>
    </row>
    <row r="3713">
      <c r="A3713" s="2" t="str">
        <f>Communes_HDF!A3713</f>
        <v>80779</v>
      </c>
      <c r="B3713" s="2" t="str">
        <f>Communes_HDF!B3713</f>
        <v>Vauchelles-les-Quesnoy</v>
      </c>
      <c r="C3713" s="2" t="str">
        <f t="array" ref="C3713">_xlfn.XLOOKUP(A3713, INSEE_Communes!$A$2:$A$3783, INSEE_Communes!$F$2:$F$3783, "code introuvable")</f>
        <v>non publié</v>
      </c>
    </row>
    <row r="3714">
      <c r="A3714" s="2" t="str">
        <f>Communes_HDF!A3714</f>
        <v>80777</v>
      </c>
      <c r="B3714" s="2" t="str">
        <f>Communes_HDF!B3714</f>
        <v>Vauchelles-lès-Authie</v>
      </c>
      <c r="C3714" s="2" t="str">
        <f t="array" ref="C3714">_xlfn.XLOOKUP(A3714, INSEE_Communes!$A$2:$A$3783, INSEE_Communes!$F$2:$F$3783, "code introuvable")</f>
        <v>non publié</v>
      </c>
    </row>
    <row r="3715">
      <c r="A3715" s="2" t="str">
        <f>Communes_HDF!A3715</f>
        <v>80778</v>
      </c>
      <c r="B3715" s="2" t="str">
        <f>Communes_HDF!B3715</f>
        <v>Vauchelles-lès-Domart</v>
      </c>
      <c r="C3715" s="2" t="str">
        <f t="array" ref="C3715">_xlfn.XLOOKUP(A3715, INSEE_Communes!$A$2:$A$3783, INSEE_Communes!$F$2:$F$3783, "code introuvable")</f>
        <v>non publié</v>
      </c>
    </row>
    <row r="3716">
      <c r="A3716" s="2" t="str">
        <f>Communes_HDF!A3716</f>
        <v>80780</v>
      </c>
      <c r="B3716" s="2" t="str">
        <f>Communes_HDF!B3716</f>
        <v>Vaudricourt</v>
      </c>
      <c r="C3716" s="2" t="str">
        <f t="array" ref="C3716">_xlfn.XLOOKUP(A3716, INSEE_Communes!$A$2:$A$3783, INSEE_Communes!$F$2:$F$3783, "code introuvable")</f>
        <v>non publié</v>
      </c>
    </row>
    <row r="3717">
      <c r="A3717" s="2" t="str">
        <f>Communes_HDF!A3717</f>
        <v>80781</v>
      </c>
      <c r="B3717" s="2" t="str">
        <f>Communes_HDF!B3717</f>
        <v>Vauvillers</v>
      </c>
      <c r="C3717" s="2" t="str">
        <f t="array" ref="C3717">_xlfn.XLOOKUP(A3717, INSEE_Communes!$A$2:$A$3783, INSEE_Communes!$F$2:$F$3783, "code introuvable")</f>
        <v>non publié</v>
      </c>
    </row>
    <row r="3718">
      <c r="A3718" s="2" t="str">
        <f>Communes_HDF!A3718</f>
        <v>80783</v>
      </c>
      <c r="B3718" s="2" t="str">
        <f>Communes_HDF!B3718</f>
        <v>Vaux-Marquenneville</v>
      </c>
      <c r="C3718" s="2" t="str">
        <f t="array" ref="C3718">_xlfn.XLOOKUP(A3718, INSEE_Communes!$A$2:$A$3783, INSEE_Communes!$F$2:$F$3783, "code introuvable")</f>
        <v>non publié</v>
      </c>
    </row>
    <row r="3719">
      <c r="A3719" s="2" t="str">
        <f>Communes_HDF!A3719</f>
        <v>80782</v>
      </c>
      <c r="B3719" s="2" t="str">
        <f>Communes_HDF!B3719</f>
        <v>Vaux-en-Amiénois</v>
      </c>
      <c r="C3719" s="2" t="str">
        <f t="array" ref="C3719">_xlfn.XLOOKUP(A3719, INSEE_Communes!$A$2:$A$3783, INSEE_Communes!$F$2:$F$3783, "code introuvable")</f>
        <v>non publié</v>
      </c>
    </row>
    <row r="3720">
      <c r="A3720" s="2" t="str">
        <f>Communes_HDF!A3720</f>
        <v>80784</v>
      </c>
      <c r="B3720" s="2" t="str">
        <f>Communes_HDF!B3720</f>
        <v>Vaux-sur-Somme</v>
      </c>
      <c r="C3720" s="2" t="str">
        <f t="array" ref="C3720">_xlfn.XLOOKUP(A3720, INSEE_Communes!$A$2:$A$3783, INSEE_Communes!$F$2:$F$3783, "code introuvable")</f>
        <v>non publié</v>
      </c>
    </row>
    <row r="3721">
      <c r="A3721" s="2" t="str">
        <f>Communes_HDF!A3721</f>
        <v>80785</v>
      </c>
      <c r="B3721" s="2" t="str">
        <f>Communes_HDF!B3721</f>
        <v>Vecquemont</v>
      </c>
      <c r="C3721" s="2" t="str">
        <f t="array" ref="C3721">_xlfn.XLOOKUP(A3721, INSEE_Communes!$A$2:$A$3783, INSEE_Communes!$F$2:$F$3783, "code introuvable")</f>
        <v>non publié</v>
      </c>
    </row>
    <row r="3722">
      <c r="A3722" s="2" t="str">
        <f>Communes_HDF!A3722</f>
        <v>80786</v>
      </c>
      <c r="B3722" s="2" t="str">
        <f>Communes_HDF!B3722</f>
        <v>Velennes</v>
      </c>
      <c r="C3722" s="2" t="str">
        <f t="array" ref="C3722">_xlfn.XLOOKUP(A3722, INSEE_Communes!$A$2:$A$3783, INSEE_Communes!$F$2:$F$3783, "code introuvable")</f>
        <v>non publié</v>
      </c>
    </row>
    <row r="3723">
      <c r="A3723" s="2" t="str">
        <f>Communes_HDF!A3723</f>
        <v>80787</v>
      </c>
      <c r="B3723" s="2" t="str">
        <f>Communes_HDF!B3723</f>
        <v>Vercourt</v>
      </c>
      <c r="C3723" s="2" t="str">
        <f t="array" ref="C3723">_xlfn.XLOOKUP(A3723, INSEE_Communes!$A$2:$A$3783, INSEE_Communes!$F$2:$F$3783, "code introuvable")</f>
        <v>non publié</v>
      </c>
    </row>
    <row r="3724">
      <c r="A3724" s="2" t="str">
        <f>Communes_HDF!A3724</f>
        <v>80788</v>
      </c>
      <c r="B3724" s="2" t="str">
        <f>Communes_HDF!B3724</f>
        <v>Vergies</v>
      </c>
      <c r="C3724" s="2" t="str">
        <f t="array" ref="C3724">_xlfn.XLOOKUP(A3724, INSEE_Communes!$A$2:$A$3783, INSEE_Communes!$F$2:$F$3783, "code introuvable")</f>
        <v>non publié</v>
      </c>
    </row>
    <row r="3725">
      <c r="A3725" s="2" t="str">
        <f>Communes_HDF!A3725</f>
        <v>80789</v>
      </c>
      <c r="B3725" s="2" t="str">
        <f>Communes_HDF!B3725</f>
        <v>Vermandovillers</v>
      </c>
      <c r="C3725" s="2" t="str">
        <f t="array" ref="C3725">_xlfn.XLOOKUP(A3725, INSEE_Communes!$A$2:$A$3783, INSEE_Communes!$F$2:$F$3783, "code introuvable")</f>
        <v>non publié</v>
      </c>
    </row>
    <row r="3726">
      <c r="A3726" s="2" t="str">
        <f>Communes_HDF!A3726</f>
        <v>80790</v>
      </c>
      <c r="B3726" s="2" t="str">
        <f>Communes_HDF!B3726</f>
        <v>Verpillières</v>
      </c>
      <c r="C3726" s="2" t="str">
        <f t="array" ref="C3726">_xlfn.XLOOKUP(A3726, INSEE_Communes!$A$2:$A$3783, INSEE_Communes!$F$2:$F$3783, "code introuvable")</f>
        <v>non publié</v>
      </c>
    </row>
    <row r="3727">
      <c r="A3727" s="2" t="str">
        <f>Communes_HDF!A3727</f>
        <v>80791</v>
      </c>
      <c r="B3727" s="2" t="str">
        <f>Communes_HDF!B3727</f>
        <v>Vers-sur-Selle</v>
      </c>
      <c r="C3727" s="2" t="str">
        <f t="array" ref="C3727">_xlfn.XLOOKUP(A3727, INSEE_Communes!$A$2:$A$3783, INSEE_Communes!$F$2:$F$3783, "code introuvable")</f>
        <v>non publié</v>
      </c>
    </row>
    <row r="3728">
      <c r="A3728" s="2" t="str">
        <f>Communes_HDF!A3728</f>
        <v>80793</v>
      </c>
      <c r="B3728" s="2" t="str">
        <f>Communes_HDF!B3728</f>
        <v>Vignacourt</v>
      </c>
      <c r="C3728" s="2">
        <f t="array" ref="C3728">_xlfn.XLOOKUP(A3728, INSEE_Communes!$A$2:$A$3783, INSEE_Communes!$F$2:$F$3783, "code introuvable")</f>
        <v>8</v>
      </c>
    </row>
    <row r="3729">
      <c r="A3729" s="2" t="str">
        <f>Communes_HDF!A3729</f>
        <v>80795</v>
      </c>
      <c r="B3729" s="2" t="str">
        <f>Communes_HDF!B3729</f>
        <v>Ville-le-Marclet</v>
      </c>
      <c r="C3729" s="2" t="str">
        <f t="array" ref="C3729">_xlfn.XLOOKUP(A3729, INSEE_Communes!$A$2:$A$3783, INSEE_Communes!$F$2:$F$3783, "code introuvable")</f>
        <v>non publié</v>
      </c>
    </row>
    <row r="3730">
      <c r="A3730" s="2" t="str">
        <f>Communes_HDF!A3730</f>
        <v>80807</v>
      </c>
      <c r="B3730" s="2" t="str">
        <f>Communes_HDF!B3730</f>
        <v>Ville-sur-Ancre</v>
      </c>
      <c r="C3730" s="2" t="str">
        <f t="array" ref="C3730">_xlfn.XLOOKUP(A3730, INSEE_Communes!$A$2:$A$3783, INSEE_Communes!$F$2:$F$3783, "code introuvable")</f>
        <v>non publié</v>
      </c>
    </row>
    <row r="3731">
      <c r="A3731" s="2" t="str">
        <f>Communes_HDF!A3731</f>
        <v>80794</v>
      </c>
      <c r="B3731" s="2" t="str">
        <f>Communes_HDF!B3731</f>
        <v>Villecourt</v>
      </c>
      <c r="C3731" s="2" t="str">
        <f t="array" ref="C3731">_xlfn.XLOOKUP(A3731, INSEE_Communes!$A$2:$A$3783, INSEE_Communes!$F$2:$F$3783, "code introuvable")</f>
        <v>non publié</v>
      </c>
    </row>
    <row r="3732">
      <c r="A3732" s="2" t="str">
        <f>Communes_HDF!A3732</f>
        <v>80796</v>
      </c>
      <c r="B3732" s="2" t="str">
        <f>Communes_HDF!B3732</f>
        <v>Villeroy</v>
      </c>
      <c r="C3732" s="2" t="str">
        <f t="array" ref="C3732">_xlfn.XLOOKUP(A3732, INSEE_Communes!$A$2:$A$3783, INSEE_Communes!$F$2:$F$3783, "code introuvable")</f>
        <v>non publié</v>
      </c>
    </row>
    <row r="3733">
      <c r="A3733" s="2" t="str">
        <f>Communes_HDF!A3733</f>
        <v>80798</v>
      </c>
      <c r="B3733" s="2" t="str">
        <f>Communes_HDF!B3733</f>
        <v>Villers-Bocage</v>
      </c>
      <c r="C3733" s="2" t="str">
        <f t="array" ref="C3733">_xlfn.XLOOKUP(A3733, INSEE_Communes!$A$2:$A$3783, INSEE_Communes!$F$2:$F$3783, "code introuvable")</f>
        <v>non publié</v>
      </c>
    </row>
    <row r="3734">
      <c r="A3734" s="2" t="str">
        <f>Communes_HDF!A3734</f>
        <v>80799</v>
      </c>
      <c r="B3734" s="2" t="str">
        <f>Communes_HDF!B3734</f>
        <v>Villers-Bretonneux</v>
      </c>
      <c r="C3734" s="2">
        <f t="array" ref="C3734">_xlfn.XLOOKUP(A3734, INSEE_Communes!$A$2:$A$3783, INSEE_Communes!$F$2:$F$3783, "code introuvable")</f>
        <v>8</v>
      </c>
    </row>
    <row r="3735">
      <c r="A3735" s="2" t="str">
        <f>Communes_HDF!A3735</f>
        <v>80800</v>
      </c>
      <c r="B3735" s="2" t="str">
        <f>Communes_HDF!B3735</f>
        <v>Villers-Campsart</v>
      </c>
      <c r="C3735" s="2" t="str">
        <f t="array" ref="C3735">_xlfn.XLOOKUP(A3735, INSEE_Communes!$A$2:$A$3783, INSEE_Communes!$F$2:$F$3783, "code introuvable")</f>
        <v>non publié</v>
      </c>
    </row>
    <row r="3736">
      <c r="A3736" s="2" t="str">
        <f>Communes_HDF!A3736</f>
        <v>80801</v>
      </c>
      <c r="B3736" s="2" t="str">
        <f>Communes_HDF!B3736</f>
        <v>Villers-Carbonnel</v>
      </c>
      <c r="C3736" s="2" t="str">
        <f t="array" ref="C3736">_xlfn.XLOOKUP(A3736, INSEE_Communes!$A$2:$A$3783, INSEE_Communes!$F$2:$F$3783, "code introuvable")</f>
        <v>non publié</v>
      </c>
    </row>
    <row r="3737">
      <c r="A3737" s="2" t="str">
        <f>Communes_HDF!A3737</f>
        <v>80802</v>
      </c>
      <c r="B3737" s="2" t="str">
        <f>Communes_HDF!B3737</f>
        <v>Villers-Faucon</v>
      </c>
      <c r="C3737" s="2" t="str">
        <f t="array" ref="C3737">_xlfn.XLOOKUP(A3737, INSEE_Communes!$A$2:$A$3783, INSEE_Communes!$F$2:$F$3783, "code introuvable")</f>
        <v>non publié</v>
      </c>
    </row>
    <row r="3738">
      <c r="A3738" s="2" t="str">
        <f>Communes_HDF!A3738</f>
        <v>80805</v>
      </c>
      <c r="B3738" s="2" t="str">
        <f>Communes_HDF!B3738</f>
        <v>Villers-Tournelle</v>
      </c>
      <c r="C3738" s="2" t="str">
        <f t="array" ref="C3738">_xlfn.XLOOKUP(A3738, INSEE_Communes!$A$2:$A$3783, INSEE_Communes!$F$2:$F$3783, "code introuvable")</f>
        <v>non publié</v>
      </c>
    </row>
    <row r="3739">
      <c r="A3739" s="2" t="str">
        <f>Communes_HDF!A3739</f>
        <v>80797</v>
      </c>
      <c r="B3739" s="2" t="str">
        <f>Communes_HDF!B3739</f>
        <v>Villers-aux-Érables</v>
      </c>
      <c r="C3739" s="2" t="str">
        <f t="array" ref="C3739">_xlfn.XLOOKUP(A3739, INSEE_Communes!$A$2:$A$3783, INSEE_Communes!$F$2:$F$3783, "code introuvable")</f>
        <v>non publié</v>
      </c>
    </row>
    <row r="3740">
      <c r="A3740" s="2" t="str">
        <f>Communes_HDF!A3740</f>
        <v>80803</v>
      </c>
      <c r="B3740" s="2" t="str">
        <f>Communes_HDF!B3740</f>
        <v>Villers-lès-Roye</v>
      </c>
      <c r="C3740" s="2" t="str">
        <f t="array" ref="C3740">_xlfn.XLOOKUP(A3740, INSEE_Communes!$A$2:$A$3783, INSEE_Communes!$F$2:$F$3783, "code introuvable")</f>
        <v>non publié</v>
      </c>
    </row>
    <row r="3741">
      <c r="A3741" s="2" t="str">
        <f>Communes_HDF!A3741</f>
        <v>80804</v>
      </c>
      <c r="B3741" s="2" t="str">
        <f>Communes_HDF!B3741</f>
        <v>Villers-sous-Ailly</v>
      </c>
      <c r="C3741" s="2" t="str">
        <f t="array" ref="C3741">_xlfn.XLOOKUP(A3741, INSEE_Communes!$A$2:$A$3783, INSEE_Communes!$F$2:$F$3783, "code introuvable")</f>
        <v>non publié</v>
      </c>
    </row>
    <row r="3742">
      <c r="A3742" s="2" t="str">
        <f>Communes_HDF!A3742</f>
        <v>80806</v>
      </c>
      <c r="B3742" s="2" t="str">
        <f>Communes_HDF!B3742</f>
        <v>Villers-sur-Authie</v>
      </c>
      <c r="C3742" s="2" t="str">
        <f t="array" ref="C3742">_xlfn.XLOOKUP(A3742, INSEE_Communes!$A$2:$A$3783, INSEE_Communes!$F$2:$F$3783, "code introuvable")</f>
        <v>non publié</v>
      </c>
    </row>
    <row r="3743">
      <c r="A3743" s="2" t="str">
        <f>Communes_HDF!A3743</f>
        <v>80808</v>
      </c>
      <c r="B3743" s="2" t="str">
        <f>Communes_HDF!B3743</f>
        <v>Vironchaux</v>
      </c>
      <c r="C3743" s="2" t="str">
        <f t="array" ref="C3743">_xlfn.XLOOKUP(A3743, INSEE_Communes!$A$2:$A$3783, INSEE_Communes!$F$2:$F$3783, "code introuvable")</f>
        <v>non publié</v>
      </c>
    </row>
    <row r="3744">
      <c r="A3744" s="2" t="str">
        <f>Communes_HDF!A3744</f>
        <v>80809</v>
      </c>
      <c r="B3744" s="2" t="str">
        <f>Communes_HDF!B3744</f>
        <v>Vismes</v>
      </c>
      <c r="C3744" s="2" t="str">
        <f t="array" ref="C3744">_xlfn.XLOOKUP(A3744, INSEE_Communes!$A$2:$A$3783, INSEE_Communes!$F$2:$F$3783, "code introuvable")</f>
        <v>non publié</v>
      </c>
    </row>
    <row r="3745">
      <c r="A3745" s="2" t="str">
        <f>Communes_HDF!A3745</f>
        <v>80810</v>
      </c>
      <c r="B3745" s="2" t="str">
        <f>Communes_HDF!B3745</f>
        <v>Vitz-sur-Authie</v>
      </c>
      <c r="C3745" s="2" t="str">
        <f t="array" ref="C3745">_xlfn.XLOOKUP(A3745, INSEE_Communes!$A$2:$A$3783, INSEE_Communes!$F$2:$F$3783, "code introuvable")</f>
        <v>non publié</v>
      </c>
    </row>
    <row r="3746">
      <c r="A3746" s="2" t="str">
        <f>Communes_HDF!A3746</f>
        <v>80811</v>
      </c>
      <c r="B3746" s="2" t="str">
        <f>Communes_HDF!B3746</f>
        <v>Voyennes</v>
      </c>
      <c r="C3746" s="2" t="str">
        <f t="array" ref="C3746">_xlfn.XLOOKUP(A3746, INSEE_Communes!$A$2:$A$3783, INSEE_Communes!$F$2:$F$3783, "code introuvable")</f>
        <v>non publié</v>
      </c>
    </row>
    <row r="3747">
      <c r="A3747" s="2" t="str">
        <f>Communes_HDF!A3747</f>
        <v>80812</v>
      </c>
      <c r="B3747" s="2" t="str">
        <f>Communes_HDF!B3747</f>
        <v>Vraignes-en-Vermandois</v>
      </c>
      <c r="C3747" s="2" t="str">
        <f t="array" ref="C3747">_xlfn.XLOOKUP(A3747, INSEE_Communes!$A$2:$A$3783, INSEE_Communes!$F$2:$F$3783, "code introuvable")</f>
        <v>non publié</v>
      </c>
    </row>
    <row r="3748">
      <c r="A3748" s="2" t="str">
        <f>Communes_HDF!A3748</f>
        <v>80813</v>
      </c>
      <c r="B3748" s="2" t="str">
        <f>Communes_HDF!B3748</f>
        <v>Vraignes-lès-Hornoy</v>
      </c>
      <c r="C3748" s="2" t="str">
        <f t="array" ref="C3748">_xlfn.XLOOKUP(A3748, INSEE_Communes!$A$2:$A$3783, INSEE_Communes!$F$2:$F$3783, "code introuvable")</f>
        <v>non publié</v>
      </c>
    </row>
    <row r="3749">
      <c r="A3749" s="2" t="str">
        <f>Communes_HDF!A3749</f>
        <v>80815</v>
      </c>
      <c r="B3749" s="2" t="str">
        <f>Communes_HDF!B3749</f>
        <v>Vron</v>
      </c>
      <c r="C3749" s="2" t="str">
        <f t="array" ref="C3749">_xlfn.XLOOKUP(A3749, INSEE_Communes!$A$2:$A$3783, INSEE_Communes!$F$2:$F$3783, "code introuvable")</f>
        <v>non publié</v>
      </c>
    </row>
    <row r="3750">
      <c r="A3750" s="2" t="str">
        <f>Communes_HDF!A3750</f>
        <v>80814</v>
      </c>
      <c r="B3750" s="2" t="str">
        <f>Communes_HDF!B3750</f>
        <v>Vrély</v>
      </c>
      <c r="C3750" s="2" t="str">
        <f t="array" ref="C3750">_xlfn.XLOOKUP(A3750, INSEE_Communes!$A$2:$A$3783, INSEE_Communes!$F$2:$F$3783, "code introuvable")</f>
        <v>non publié</v>
      </c>
    </row>
    <row r="3751">
      <c r="A3751" s="2" t="str">
        <f>Communes_HDF!A3751</f>
        <v>80819</v>
      </c>
      <c r="B3751" s="2" t="str">
        <f>Communes_HDF!B3751</f>
        <v>Wargnies</v>
      </c>
      <c r="C3751" s="2" t="str">
        <f t="array" ref="C3751">_xlfn.XLOOKUP(A3751, INSEE_Communes!$A$2:$A$3783, INSEE_Communes!$F$2:$F$3783, "code introuvable")</f>
        <v>non publié</v>
      </c>
    </row>
    <row r="3752">
      <c r="A3752" s="2" t="str">
        <f>Communes_HDF!A3752</f>
        <v>80820</v>
      </c>
      <c r="B3752" s="2" t="str">
        <f>Communes_HDF!B3752</f>
        <v>Warloy-Baillon</v>
      </c>
      <c r="C3752" s="2" t="str">
        <f t="array" ref="C3752">_xlfn.XLOOKUP(A3752, INSEE_Communes!$A$2:$A$3783, INSEE_Communes!$F$2:$F$3783, "code introuvable")</f>
        <v>non publié</v>
      </c>
    </row>
    <row r="3753">
      <c r="A3753" s="2" t="str">
        <f>Communes_HDF!A3753</f>
        <v>80821</v>
      </c>
      <c r="B3753" s="2" t="str">
        <f>Communes_HDF!B3753</f>
        <v>Warlus</v>
      </c>
      <c r="C3753" s="2" t="str">
        <f t="array" ref="C3753">_xlfn.XLOOKUP(A3753, INSEE_Communes!$A$2:$A$3783, INSEE_Communes!$F$2:$F$3783, "code introuvable")</f>
        <v>non publié</v>
      </c>
    </row>
    <row r="3754">
      <c r="A3754" s="2" t="str">
        <f>Communes_HDF!A3754</f>
        <v>80822</v>
      </c>
      <c r="B3754" s="2" t="str">
        <f>Communes_HDF!B3754</f>
        <v>Warsy</v>
      </c>
      <c r="C3754" s="2" t="str">
        <f t="array" ref="C3754">_xlfn.XLOOKUP(A3754, INSEE_Communes!$A$2:$A$3783, INSEE_Communes!$F$2:$F$3783, "code introuvable")</f>
        <v>non publié</v>
      </c>
    </row>
    <row r="3755">
      <c r="A3755" s="2" t="str">
        <f>Communes_HDF!A3755</f>
        <v>80823</v>
      </c>
      <c r="B3755" s="2" t="str">
        <f>Communes_HDF!B3755</f>
        <v>Warvillers</v>
      </c>
      <c r="C3755" s="2" t="str">
        <f t="array" ref="C3755">_xlfn.XLOOKUP(A3755, INSEE_Communes!$A$2:$A$3783, INSEE_Communes!$F$2:$F$3783, "code introuvable")</f>
        <v>non publié</v>
      </c>
    </row>
    <row r="3756">
      <c r="A3756" s="2" t="str">
        <f>Communes_HDF!A3756</f>
        <v>80824</v>
      </c>
      <c r="B3756" s="2" t="str">
        <f>Communes_HDF!B3756</f>
        <v>Wiencourt-l'Équipée</v>
      </c>
      <c r="C3756" s="2" t="str">
        <f t="array" ref="C3756">_xlfn.XLOOKUP(A3756, INSEE_Communes!$A$2:$A$3783, INSEE_Communes!$F$2:$F$3783, "code introuvable")</f>
        <v>non publié</v>
      </c>
    </row>
    <row r="3757">
      <c r="A3757" s="2" t="str">
        <f>Communes_HDF!A3757</f>
        <v>80825</v>
      </c>
      <c r="B3757" s="2" t="str">
        <f>Communes_HDF!B3757</f>
        <v>Wiry-au-Mont</v>
      </c>
      <c r="C3757" s="2" t="str">
        <f t="array" ref="C3757">_xlfn.XLOOKUP(A3757, INSEE_Communes!$A$2:$A$3783, INSEE_Communes!$F$2:$F$3783, "code introuvable")</f>
        <v>non publié</v>
      </c>
    </row>
    <row r="3758">
      <c r="A3758" s="2" t="str">
        <f>Communes_HDF!A3758</f>
        <v>80826</v>
      </c>
      <c r="B3758" s="2" t="str">
        <f>Communes_HDF!B3758</f>
        <v>Woignarue</v>
      </c>
      <c r="C3758" s="2" t="str">
        <f t="array" ref="C3758">_xlfn.XLOOKUP(A3758, INSEE_Communes!$A$2:$A$3783, INSEE_Communes!$F$2:$F$3783, "code introuvable")</f>
        <v>non publié</v>
      </c>
    </row>
    <row r="3759">
      <c r="A3759" s="2" t="str">
        <f>Communes_HDF!A3759</f>
        <v>80827</v>
      </c>
      <c r="B3759" s="2" t="str">
        <f>Communes_HDF!B3759</f>
        <v>Woincourt</v>
      </c>
      <c r="C3759" s="2" t="str">
        <f t="array" ref="C3759">_xlfn.XLOOKUP(A3759, INSEE_Communes!$A$2:$A$3783, INSEE_Communes!$F$2:$F$3783, "code introuvable")</f>
        <v>non publié</v>
      </c>
    </row>
    <row r="3760">
      <c r="A3760" s="2" t="str">
        <f>Communes_HDF!A3760</f>
        <v>80828</v>
      </c>
      <c r="B3760" s="2" t="str">
        <f>Communes_HDF!B3760</f>
        <v>Woirel</v>
      </c>
      <c r="C3760" s="2" t="str">
        <f t="array" ref="C3760">_xlfn.XLOOKUP(A3760, INSEE_Communes!$A$2:$A$3783, INSEE_Communes!$F$2:$F$3783, "code introuvable")</f>
        <v>non publié</v>
      </c>
    </row>
    <row r="3761">
      <c r="A3761" s="2" t="str">
        <f>Communes_HDF!A3761</f>
        <v>80829</v>
      </c>
      <c r="B3761" s="2" t="str">
        <f>Communes_HDF!B3761</f>
        <v>Y</v>
      </c>
      <c r="C3761" s="2" t="str">
        <f t="array" ref="C3761">_xlfn.XLOOKUP(A3761, INSEE_Communes!$A$2:$A$3783, INSEE_Communes!$F$2:$F$3783, "code introuvable")</f>
        <v>non publié</v>
      </c>
    </row>
    <row r="3762">
      <c r="A3762" s="2" t="str">
        <f>Communes_HDF!A3762</f>
        <v>80836</v>
      </c>
      <c r="B3762" s="2" t="str">
        <f>Communes_HDF!B3762</f>
        <v>Yonval</v>
      </c>
      <c r="C3762" s="2" t="str">
        <f t="array" ref="C3762">_xlfn.XLOOKUP(A3762, INSEE_Communes!$A$2:$A$3783, INSEE_Communes!$F$2:$F$3783, "code introuvable")</f>
        <v>non publié</v>
      </c>
    </row>
    <row r="3763">
      <c r="A3763" s="2" t="str">
        <f>Communes_HDF!A3763</f>
        <v>80832</v>
      </c>
      <c r="B3763" s="2" t="str">
        <f>Communes_HDF!B3763</f>
        <v>Yvrench</v>
      </c>
      <c r="C3763" s="2" t="str">
        <f t="array" ref="C3763">_xlfn.XLOOKUP(A3763, INSEE_Communes!$A$2:$A$3783, INSEE_Communes!$F$2:$F$3783, "code introuvable")</f>
        <v>non publié</v>
      </c>
    </row>
    <row r="3764">
      <c r="A3764" s="2" t="str">
        <f>Communes_HDF!A3764</f>
        <v>80833</v>
      </c>
      <c r="B3764" s="2" t="str">
        <f>Communes_HDF!B3764</f>
        <v>Yvrencheux</v>
      </c>
      <c r="C3764" s="2" t="str">
        <f t="array" ref="C3764">_xlfn.XLOOKUP(A3764, INSEE_Communes!$A$2:$A$3783, INSEE_Communes!$F$2:$F$3783, "code introuvable")</f>
        <v>non publié</v>
      </c>
    </row>
    <row r="3765">
      <c r="A3765" s="2" t="str">
        <f>Communes_HDF!A3765</f>
        <v>80834</v>
      </c>
      <c r="B3765" s="2" t="str">
        <f>Communes_HDF!B3765</f>
        <v>Yzengremer</v>
      </c>
      <c r="C3765" s="2" t="str">
        <f t="array" ref="C3765">_xlfn.XLOOKUP(A3765, INSEE_Communes!$A$2:$A$3783, INSEE_Communes!$F$2:$F$3783, "code introuvable")</f>
        <v>non publié</v>
      </c>
    </row>
    <row r="3766">
      <c r="A3766" s="2" t="str">
        <f>Communes_HDF!A3766</f>
        <v>80835</v>
      </c>
      <c r="B3766" s="2" t="str">
        <f>Communes_HDF!B3766</f>
        <v>Yzeux</v>
      </c>
      <c r="C3766" s="2" t="str">
        <f t="array" ref="C3766">_xlfn.XLOOKUP(A3766, INSEE_Communes!$A$2:$A$3783, INSEE_Communes!$F$2:$F$3783, "code introuvable")</f>
        <v>non publié</v>
      </c>
    </row>
    <row r="3767">
      <c r="A3767" s="2" t="str">
        <f>Communes_HDF!A3767</f>
        <v>80264</v>
      </c>
      <c r="B3767" s="2" t="str">
        <f>Communes_HDF!B3767</f>
        <v>Éclusier-Vaux</v>
      </c>
      <c r="C3767" s="2" t="str">
        <f t="array" ref="C3767">_xlfn.XLOOKUP(A3767, INSEE_Communes!$A$2:$A$3783, INSEE_Communes!$F$2:$F$3783, "code introuvable")</f>
        <v>non publié</v>
      </c>
    </row>
    <row r="3768">
      <c r="A3768" s="2" t="str">
        <f>Communes_HDF!A3768</f>
        <v>80268</v>
      </c>
      <c r="B3768" s="2" t="str">
        <f>Communes_HDF!B3768</f>
        <v>Épagne-Épagnette</v>
      </c>
      <c r="C3768" s="2" t="str">
        <f t="array" ref="C3768">_xlfn.XLOOKUP(A3768, INSEE_Communes!$A$2:$A$3783, INSEE_Communes!$F$2:$F$3783, "code introuvable")</f>
        <v>non publié</v>
      </c>
    </row>
    <row r="3769">
      <c r="A3769" s="2" t="str">
        <f>Communes_HDF!A3769</f>
        <v>80269</v>
      </c>
      <c r="B3769" s="2" t="str">
        <f>Communes_HDF!B3769</f>
        <v>Épaumesnil</v>
      </c>
      <c r="C3769" s="2" t="str">
        <f t="array" ref="C3769">_xlfn.XLOOKUP(A3769, INSEE_Communes!$A$2:$A$3783, INSEE_Communes!$F$2:$F$3783, "code introuvable")</f>
        <v>non publié</v>
      </c>
    </row>
    <row r="3770">
      <c r="A3770" s="2" t="str">
        <f>Communes_HDF!A3770</f>
        <v>80271</v>
      </c>
      <c r="B3770" s="2" t="str">
        <f>Communes_HDF!B3770</f>
        <v>Épehy</v>
      </c>
      <c r="C3770" s="2" t="str">
        <f t="array" ref="C3770">_xlfn.XLOOKUP(A3770, INSEE_Communes!$A$2:$A$3783, INSEE_Communes!$F$2:$F$3783, "code introuvable")</f>
        <v>non publié</v>
      </c>
    </row>
    <row r="3771">
      <c r="A3771" s="2" t="str">
        <f>Communes_HDF!A3771</f>
        <v>80273</v>
      </c>
      <c r="B3771" s="2" t="str">
        <f>Communes_HDF!B3771</f>
        <v>Éplessier</v>
      </c>
      <c r="C3771" s="2" t="str">
        <f t="array" ref="C3771">_xlfn.XLOOKUP(A3771, INSEE_Communes!$A$2:$A$3783, INSEE_Communes!$F$2:$F$3783, "code introuvable")</f>
        <v>non publié</v>
      </c>
    </row>
    <row r="3772">
      <c r="A3772" s="2" t="str">
        <f>Communes_HDF!A3772</f>
        <v>80270</v>
      </c>
      <c r="B3772" s="2" t="str">
        <f>Communes_HDF!B3772</f>
        <v>Épécamps</v>
      </c>
      <c r="C3772" s="2" t="str">
        <f t="array" ref="C3772">_xlfn.XLOOKUP(A3772, INSEE_Communes!$A$2:$A$3783, INSEE_Communes!$F$2:$F$3783, "code introuvable")</f>
        <v>non publié</v>
      </c>
    </row>
    <row r="3773">
      <c r="A3773" s="2" t="str">
        <f>Communes_HDF!A3773</f>
        <v>80272</v>
      </c>
      <c r="B3773" s="2" t="str">
        <f>Communes_HDF!B3773</f>
        <v>Épénancourt</v>
      </c>
      <c r="C3773" s="2" t="str">
        <f t="array" ref="C3773">_xlfn.XLOOKUP(A3773, INSEE_Communes!$A$2:$A$3783, INSEE_Communes!$F$2:$F$3783, "code introuvable")</f>
        <v>non publié</v>
      </c>
    </row>
    <row r="3774">
      <c r="A3774" s="2" t="str">
        <f>Communes_HDF!A3774</f>
        <v>80275</v>
      </c>
      <c r="B3774" s="2" t="str">
        <f>Communes_HDF!B3774</f>
        <v>Équancourt</v>
      </c>
      <c r="C3774" s="2" t="str">
        <f t="array" ref="C3774">_xlfn.XLOOKUP(A3774, INSEE_Communes!$A$2:$A$3783, INSEE_Communes!$F$2:$F$3783, "code introuvable")</f>
        <v>non publié</v>
      </c>
    </row>
    <row r="3775">
      <c r="A3775" s="2" t="str">
        <f>Communes_HDF!A3775</f>
        <v>80276</v>
      </c>
      <c r="B3775" s="2" t="str">
        <f>Communes_HDF!B3775</f>
        <v>Équennes-Éramecourt</v>
      </c>
      <c r="C3775" s="2" t="str">
        <f t="array" ref="C3775">_xlfn.XLOOKUP(A3775, INSEE_Communes!$A$2:$A$3783, INSEE_Communes!$F$2:$F$3783, "code introuvable")</f>
        <v>non publié</v>
      </c>
    </row>
    <row r="3776">
      <c r="A3776" s="2" t="str">
        <f>Communes_HDF!A3776</f>
        <v>80282</v>
      </c>
      <c r="B3776" s="2" t="str">
        <f>Communes_HDF!B3776</f>
        <v>Érondelle</v>
      </c>
      <c r="C3776" s="2" t="str">
        <f t="array" ref="C3776">_xlfn.XLOOKUP(A3776, INSEE_Communes!$A$2:$A$3783, INSEE_Communes!$F$2:$F$3783, "code introuvable")</f>
        <v>non publié</v>
      </c>
    </row>
    <row r="3777">
      <c r="A3777" s="2" t="str">
        <f>Communes_HDF!A3777</f>
        <v>80292</v>
      </c>
      <c r="B3777" s="2" t="str">
        <f>Communes_HDF!B3777</f>
        <v>Étalon</v>
      </c>
      <c r="C3777" s="2" t="str">
        <f t="array" ref="C3777">_xlfn.XLOOKUP(A3777, INSEE_Communes!$A$2:$A$3783, INSEE_Communes!$F$2:$F$3783, "code introuvable")</f>
        <v>non publié</v>
      </c>
    </row>
    <row r="3778">
      <c r="A3778" s="2" t="str">
        <f>Communes_HDF!A3778</f>
        <v>80293</v>
      </c>
      <c r="B3778" s="2" t="str">
        <f>Communes_HDF!B3778</f>
        <v>Ételfay</v>
      </c>
      <c r="C3778" s="2" t="str">
        <f t="array" ref="C3778">_xlfn.XLOOKUP(A3778, INSEE_Communes!$A$2:$A$3783, INSEE_Communes!$F$2:$F$3783, "code introuvable")</f>
        <v>non publié</v>
      </c>
    </row>
    <row r="3779">
      <c r="A3779" s="2" t="str">
        <f>Communes_HDF!A3779</f>
        <v>80294</v>
      </c>
      <c r="B3779" s="2" t="str">
        <f>Communes_HDF!B3779</f>
        <v>Éterpigny</v>
      </c>
      <c r="C3779" s="2" t="str">
        <f t="array" ref="C3779">_xlfn.XLOOKUP(A3779, INSEE_Communes!$A$2:$A$3783, INSEE_Communes!$F$2:$F$3783, "code introuvable")</f>
        <v>non publié</v>
      </c>
    </row>
    <row r="3780">
      <c r="A3780" s="2" t="str">
        <f>Communes_HDF!A3780</f>
        <v>80295</v>
      </c>
      <c r="B3780" s="2" t="str">
        <f>Communes_HDF!B3780</f>
        <v>Étinehem-Méricourt</v>
      </c>
      <c r="C3780" s="2" t="str">
        <f t="array" ref="C3780">_xlfn.XLOOKUP(A3780, INSEE_Communes!$A$2:$A$3783, INSEE_Communes!$F$2:$F$3783, "code introuvable")</f>
        <v>non publié</v>
      </c>
    </row>
    <row r="3781">
      <c r="A3781" s="2" t="str">
        <f>Communes_HDF!A3781</f>
        <v>80298</v>
      </c>
      <c r="B3781" s="2" t="str">
        <f>Communes_HDF!B3781</f>
        <v>Étricourt-Manancourt</v>
      </c>
      <c r="C3781" s="2" t="str">
        <f t="array" ref="C3781">_xlfn.XLOOKUP(A3781, INSEE_Communes!$A$2:$A$3783, INSEE_Communes!$F$2:$F$3783, "code introuvable")</f>
        <v>non publié</v>
      </c>
    </row>
    <row r="3782">
      <c r="A3782" s="2" t="str">
        <f>Communes_HDF!A3782</f>
        <v>80297</v>
      </c>
      <c r="B3782" s="2" t="str">
        <f>Communes_HDF!B3782</f>
        <v>Étréjust</v>
      </c>
      <c r="C3782" s="2" t="str">
        <f t="array" ref="C3782">_xlfn.XLOOKUP(A3782, INSEE_Communes!$A$2:$A$3783, INSEE_Communes!$F$2:$F$3783, "code introuvable")</f>
        <v>non publié</v>
      </c>
    </row>
    <row r="3783">
      <c r="A3783" s="2" t="str">
        <f>Communes_HDF!A3783</f>
        <v>80485</v>
      </c>
      <c r="B3783" s="2" t="str">
        <f>Communes_HDF!B3783</f>
        <v>Ô-de-Selle</v>
      </c>
      <c r="C3783" s="2" t="str">
        <f t="array" ref="C3783">_xlfn.XLOOKUP(A3783, INSEE_Communes!$A$2:$A$3783, INSEE_Communes!$F$2:$F$3783, "code introuvable")</f>
        <v>non publié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2" max="2" width="47.75"/>
    <col customWidth="1" min="3" max="3" width="18.25"/>
    <col customWidth="1" min="4" max="4" width="13.75"/>
    <col customWidth="1" min="5" max="5" width="16.63"/>
    <col customWidth="1" min="6" max="6" width="16.75"/>
    <col customWidth="1" min="7" max="7" width="21.25"/>
    <col customWidth="1" min="8" max="8" width="33.75"/>
    <col customWidth="1" min="9" max="9" width="36.25"/>
  </cols>
  <sheetData>
    <row r="1">
      <c r="A1" s="7" t="s">
        <v>8</v>
      </c>
      <c r="B1" s="7" t="s">
        <v>4316</v>
      </c>
      <c r="C1" s="7" t="s">
        <v>5402</v>
      </c>
      <c r="D1" s="7" t="s">
        <v>5403</v>
      </c>
      <c r="E1" s="8" t="s">
        <v>5406</v>
      </c>
      <c r="F1" s="7" t="s">
        <v>5409</v>
      </c>
      <c r="G1" s="7" t="s">
        <v>5410</v>
      </c>
      <c r="H1" s="9" t="s">
        <v>5411</v>
      </c>
      <c r="I1" s="7" t="s">
        <v>5412</v>
      </c>
      <c r="J1" s="2" t="s">
        <v>5413</v>
      </c>
      <c r="K1" s="2" t="s">
        <v>5413</v>
      </c>
      <c r="L1" s="2" t="s">
        <v>5413</v>
      </c>
      <c r="M1" s="2" t="s">
        <v>5413</v>
      </c>
      <c r="N1" s="2" t="s">
        <v>5413</v>
      </c>
      <c r="O1" s="2" t="s">
        <v>5413</v>
      </c>
      <c r="P1" s="2" t="s">
        <v>5413</v>
      </c>
      <c r="Q1" s="2" t="s">
        <v>5413</v>
      </c>
      <c r="R1" s="2" t="s">
        <v>5413</v>
      </c>
      <c r="S1" s="2" t="s">
        <v>5413</v>
      </c>
      <c r="T1" s="2" t="s">
        <v>5413</v>
      </c>
      <c r="U1" s="2" t="s">
        <v>5413</v>
      </c>
      <c r="V1" s="2" t="s">
        <v>5413</v>
      </c>
      <c r="W1" s="2" t="s">
        <v>5413</v>
      </c>
      <c r="X1" s="2" t="s">
        <v>5413</v>
      </c>
      <c r="Y1" s="2" t="s">
        <v>5413</v>
      </c>
    </row>
    <row r="2">
      <c r="A2" s="10" t="str">
        <f>INSEE_EPCI!A2</f>
        <v>248000531</v>
      </c>
      <c r="B2" s="2" t="str">
        <f>INSEE_EPCI!B2</f>
        <v>CA Amiens Métropole</v>
      </c>
      <c r="C2" s="11">
        <f t="array" ref="C2">_xlfn.XLOOKUP(A2 ,INSEE_EPCI!A:A , INSEE_EPCI!F:F) </f>
        <v>23.5</v>
      </c>
      <c r="D2" s="2">
        <f>COUNTIF(Communes_HDF!D:D, B2)</f>
        <v>39</v>
      </c>
      <c r="E2" s="12">
        <f>SUMIF(Communes_HDF!D:D, B2, Communes_HDF!G:G)</f>
        <v>351.47</v>
      </c>
      <c r="F2" s="6">
        <f t="array" ref="F2">_xlfn.XLOOKUP(A2 ,INSEE_EPCI!A:A , INSEE_EPCI!D:D) </f>
        <v>184392</v>
      </c>
      <c r="G2" s="2">
        <f t="array" ref="G2">_xlfn.XLOOKUP(A2 ,INSEE_EPCI!A:A , INSEE_EPCI!E:E) </f>
        <v>23640</v>
      </c>
      <c r="H2" s="13">
        <f>(INSEE_EPCI!D2-INSEE_EPCI!C2)/INSEE_EPCI!D2</f>
        <v>0.01939346609</v>
      </c>
      <c r="I2" s="12">
        <f t="shared" ref="I2:I93" si="1">(C2*F2)/100</f>
        <v>43332.12</v>
      </c>
    </row>
    <row r="3">
      <c r="A3" s="10" t="str">
        <f>INSEE_EPCI!A3</f>
        <v>200071785</v>
      </c>
      <c r="B3" s="2" t="str">
        <f>INSEE_EPCI!B3</f>
        <v>CA Chauny Tergnier La Fère</v>
      </c>
      <c r="C3" s="11">
        <f t="array" ref="C3">_xlfn.XLOOKUP(A3 ,INSEE_EPCI!A:A , INSEE_EPCI!F:F) </f>
        <v>21.6</v>
      </c>
      <c r="D3" s="2">
        <f>COUNTIF(Communes_HDF!D:D, B3)</f>
        <v>48</v>
      </c>
      <c r="E3" s="12">
        <f>SUMIF(Communes_HDF!D:D, B3, Communes_HDF!G:G)</f>
        <v>385.08</v>
      </c>
      <c r="F3" s="6">
        <f t="array" ref="F3">_xlfn.XLOOKUP(A3 ,INSEE_EPCI!A:A , INSEE_EPCI!D:D) </f>
        <v>54027</v>
      </c>
      <c r="G3" s="2">
        <f t="array" ref="G3">_xlfn.XLOOKUP(A3 ,INSEE_EPCI!A:A , INSEE_EPCI!E:E) </f>
        <v>22590</v>
      </c>
      <c r="H3" s="13">
        <f>(INSEE_EPCI!D3-INSEE_EPCI!C3)/INSEE_EPCI!D3</f>
        <v>-0.02670886779</v>
      </c>
      <c r="I3" s="12">
        <f t="shared" si="1"/>
        <v>11669.832</v>
      </c>
    </row>
    <row r="4">
      <c r="A4" s="10" t="str">
        <f>INSEE_EPCI!A4</f>
        <v>245901152</v>
      </c>
      <c r="B4" s="2" t="str">
        <f>INSEE_EPCI!B4</f>
        <v>CA Coeur d'Ostrevent</v>
      </c>
      <c r="C4" s="11">
        <f t="array" ref="C4">_xlfn.XLOOKUP(A4 ,INSEE_EPCI!A:A , INSEE_EPCI!F:F) </f>
        <v>21.1</v>
      </c>
      <c r="D4" s="2">
        <f>COUNTIF(Communes_HDF!D:D, B4)</f>
        <v>20</v>
      </c>
      <c r="E4" s="12">
        <f>SUMIF(Communes_HDF!D:D, B4, Communes_HDF!G:G)</f>
        <v>138.3</v>
      </c>
      <c r="F4" s="6">
        <f t="array" ref="F4">_xlfn.XLOOKUP(A4 ,INSEE_EPCI!A:A , INSEE_EPCI!D:D) </f>
        <v>69764</v>
      </c>
      <c r="G4" s="2">
        <f t="array" ref="G4">_xlfn.XLOOKUP(A4 ,INSEE_EPCI!A:A , INSEE_EPCI!E:E) </f>
        <v>22340</v>
      </c>
      <c r="H4" s="13">
        <f>(INSEE_EPCI!D4-INSEE_EPCI!C4)/INSEE_EPCI!D4</f>
        <v>-0.01710051029</v>
      </c>
      <c r="I4" s="12">
        <f t="shared" si="1"/>
        <v>14720.204</v>
      </c>
    </row>
    <row r="5">
      <c r="A5" s="10" t="str">
        <f>INSEE_EPCI!A5</f>
        <v>200040947</v>
      </c>
      <c r="B5" s="2" t="str">
        <f>INSEE_EPCI!B5</f>
        <v>CA Coeur de Flandre</v>
      </c>
      <c r="C5" s="11">
        <f t="array" ref="C5">_xlfn.XLOOKUP(A5 ,INSEE_EPCI!A:A , INSEE_EPCI!F:F) </f>
        <v>11.1</v>
      </c>
      <c r="D5" s="2">
        <f>COUNTIF(Communes_HDF!D:D, B5)</f>
        <v>50</v>
      </c>
      <c r="E5" s="12">
        <f>SUMIF(Communes_HDF!D:D, B5, Communes_HDF!G:G)</f>
        <v>633.92</v>
      </c>
      <c r="F5" s="6">
        <f t="array" ref="F5">_xlfn.XLOOKUP(A5 ,INSEE_EPCI!A:A , INSEE_EPCI!D:D) </f>
        <v>102743</v>
      </c>
      <c r="G5" s="2">
        <f t="array" ref="G5">_xlfn.XLOOKUP(A5 ,INSEE_EPCI!A:A , INSEE_EPCI!E:E) </f>
        <v>25990</v>
      </c>
      <c r="H5" s="13">
        <f>(INSEE_EPCI!D5-INSEE_EPCI!C5)/INSEE_EPCI!D5</f>
        <v>0.004584253915</v>
      </c>
      <c r="I5" s="12">
        <f t="shared" si="1"/>
        <v>11404.473</v>
      </c>
    </row>
    <row r="6">
      <c r="A6" s="10" t="str">
        <f>INSEE_EPCI!A6</f>
        <v>200068047</v>
      </c>
      <c r="B6" s="2" t="str">
        <f>INSEE_EPCI!B6</f>
        <v>CA Creil Sud Oise</v>
      </c>
      <c r="C6" s="11">
        <f t="array" ref="C6">_xlfn.XLOOKUP(A6 ,INSEE_EPCI!A:A , INSEE_EPCI!F:F) </f>
        <v>33.5</v>
      </c>
      <c r="D6" s="2">
        <f>COUNTIF(Communes_HDF!D:D, B6)</f>
        <v>11</v>
      </c>
      <c r="E6" s="12">
        <f>SUMIF(Communes_HDF!D:D, B6, Communes_HDF!G:G)</f>
        <v>83.61</v>
      </c>
      <c r="F6" s="6">
        <f t="array" ref="F6">_xlfn.XLOOKUP(A6 ,INSEE_EPCI!A:A , INSEE_EPCI!D:D) </f>
        <v>90234</v>
      </c>
      <c r="G6" s="2">
        <f t="array" ref="G6">_xlfn.XLOOKUP(A6 ,INSEE_EPCI!A:A , INSEE_EPCI!E:E) </f>
        <v>19250</v>
      </c>
      <c r="H6" s="13">
        <f>(INSEE_EPCI!D6-INSEE_EPCI!C6)/INSEE_EPCI!D6</f>
        <v>0.04124830995</v>
      </c>
      <c r="I6" s="12">
        <f t="shared" si="1"/>
        <v>30228.39</v>
      </c>
    </row>
    <row r="7">
      <c r="A7" s="10" t="str">
        <f>INSEE_EPCI!A7</f>
        <v>200044618</v>
      </c>
      <c r="B7" s="2" t="str">
        <f>INSEE_EPCI!B7</f>
        <v>CA Douaisis Agglo</v>
      </c>
      <c r="C7" s="11">
        <f t="array" ref="C7">_xlfn.XLOOKUP(A7 ,INSEE_EPCI!A:A , INSEE_EPCI!F:F) </f>
        <v>22.4</v>
      </c>
      <c r="D7" s="2">
        <f>COUNTIF(Communes_HDF!D:D, B7)</f>
        <v>35</v>
      </c>
      <c r="E7" s="12">
        <f>SUMIF(Communes_HDF!D:D, B7, Communes_HDF!G:G)</f>
        <v>235.58</v>
      </c>
      <c r="F7" s="6">
        <f t="array" ref="F7">_xlfn.XLOOKUP(A7 ,INSEE_EPCI!A:A , INSEE_EPCI!D:D) </f>
        <v>149282</v>
      </c>
      <c r="G7" s="2">
        <f t="array" ref="G7">_xlfn.XLOOKUP(A7 ,INSEE_EPCI!A:A , INSEE_EPCI!E:E) </f>
        <v>22540</v>
      </c>
      <c r="H7" s="13">
        <f>(INSEE_EPCI!D7-INSEE_EPCI!C7)/INSEE_EPCI!D7</f>
        <v>0.0001607695502</v>
      </c>
      <c r="I7" s="12">
        <f t="shared" si="1"/>
        <v>33439.168</v>
      </c>
    </row>
    <row r="8">
      <c r="A8" s="10" t="str">
        <f>INSEE_EPCI!A8</f>
        <v>200090751</v>
      </c>
      <c r="B8" s="2" t="str">
        <f>INSEE_EPCI!B8</f>
        <v>CA Grand Calais Terres et Mers</v>
      </c>
      <c r="C8" s="11">
        <f t="array" ref="C8">_xlfn.XLOOKUP(A8 ,INSEE_EPCI!A:A , INSEE_EPCI!F:F) </f>
        <v>23</v>
      </c>
      <c r="D8" s="2">
        <f>COUNTIF(Communes_HDF!D:D, B8)</f>
        <v>14</v>
      </c>
      <c r="E8" s="12">
        <f>SUMIF(Communes_HDF!D:D, B8, Communes_HDF!G:G)</f>
        <v>188.92</v>
      </c>
      <c r="F8" s="6">
        <f t="array" ref="F8">_xlfn.XLOOKUP(A8 ,INSEE_EPCI!A:A , INSEE_EPCI!D:D) </f>
        <v>98895</v>
      </c>
      <c r="G8" s="2">
        <f t="array" ref="G8">_xlfn.XLOOKUP(A8 ,INSEE_EPCI!A:A , INSEE_EPCI!E:E) </f>
        <v>22150</v>
      </c>
      <c r="H8" s="13">
        <f>(INSEE_EPCI!D8-INSEE_EPCI!C8)/INSEE_EPCI!D8</f>
        <v>-0.06445219677</v>
      </c>
      <c r="I8" s="12">
        <f t="shared" si="1"/>
        <v>22745.85</v>
      </c>
    </row>
    <row r="9">
      <c r="A9" s="10" t="str">
        <f>INSEE_EPCI!A9</f>
        <v>240200477</v>
      </c>
      <c r="B9" s="2" t="str">
        <f>INSEE_EPCI!B9</f>
        <v>CA GrandSoissons Agglomération</v>
      </c>
      <c r="C9" s="11">
        <f t="array" ref="C9">_xlfn.XLOOKUP(A9 ,INSEE_EPCI!A:A , INSEE_EPCI!F:F) </f>
        <v>23.9</v>
      </c>
      <c r="D9" s="2">
        <f>COUNTIF(Communes_HDF!D:D, B9)</f>
        <v>27</v>
      </c>
      <c r="E9" s="12">
        <f>SUMIF(Communes_HDF!D:D, B9, Communes_HDF!G:G)</f>
        <v>181</v>
      </c>
      <c r="F9" s="6">
        <f t="array" ref="F9">_xlfn.XLOOKUP(A9 ,INSEE_EPCI!A:A , INSEE_EPCI!D:D) </f>
        <v>51809</v>
      </c>
      <c r="G9" s="2">
        <f t="array" ref="G9">_xlfn.XLOOKUP(A9 ,INSEE_EPCI!A:A , INSEE_EPCI!E:E) </f>
        <v>22560</v>
      </c>
      <c r="H9" s="13">
        <f>(INSEE_EPCI!D9-INSEE_EPCI!C9)/INSEE_EPCI!D9</f>
        <v>-0.01001756452</v>
      </c>
      <c r="I9" s="12">
        <f t="shared" si="1"/>
        <v>12382.351</v>
      </c>
    </row>
    <row r="10">
      <c r="A10" s="10" t="str">
        <f>INSEE_EPCI!A10</f>
        <v>200043396</v>
      </c>
      <c r="B10" s="2" t="str">
        <f>INSEE_EPCI!B10</f>
        <v>CA Maubeuge Val de Sambre</v>
      </c>
      <c r="C10" s="11">
        <f t="array" ref="C10">_xlfn.XLOOKUP(A10 ,INSEE_EPCI!A:A , INSEE_EPCI!F:F) </f>
        <v>28.6</v>
      </c>
      <c r="D10" s="2">
        <f>COUNTIF(Communes_HDF!D:D, B10)</f>
        <v>43</v>
      </c>
      <c r="E10" s="12">
        <f>SUMIF(Communes_HDF!D:D, B10, Communes_HDF!G:G)</f>
        <v>344.38</v>
      </c>
      <c r="F10" s="6">
        <f t="array" ref="F10">_xlfn.XLOOKUP(A10 ,INSEE_EPCI!A:A , INSEE_EPCI!D:D) </f>
        <v>122247</v>
      </c>
      <c r="G10" s="2">
        <f t="array" ref="G10">_xlfn.XLOOKUP(A10 ,INSEE_EPCI!A:A , INSEE_EPCI!E:E) </f>
        <v>20580</v>
      </c>
      <c r="H10" s="13">
        <f>(INSEE_EPCI!D10-INSEE_EPCI!C10)/INSEE_EPCI!D10</f>
        <v>-0.0278452641</v>
      </c>
      <c r="I10" s="12">
        <f t="shared" si="1"/>
        <v>34962.642</v>
      </c>
    </row>
    <row r="11">
      <c r="A11" s="10" t="str">
        <f>INSEE_EPCI!A11</f>
        <v>245901160</v>
      </c>
      <c r="B11" s="2" t="str">
        <f>INSEE_EPCI!B11</f>
        <v>CA Valenciennes Métropole</v>
      </c>
      <c r="C11" s="11">
        <f t="array" ref="C11">_xlfn.XLOOKUP(A11 ,INSEE_EPCI!A:A , INSEE_EPCI!F:F) </f>
        <v>25</v>
      </c>
      <c r="D11" s="2">
        <f>COUNTIF(Communes_HDF!D:D, B11)</f>
        <v>35</v>
      </c>
      <c r="E11" s="12">
        <f>SUMIF(Communes_HDF!D:D, B11, Communes_HDF!G:G)</f>
        <v>262.85</v>
      </c>
      <c r="F11" s="6">
        <f t="array" ref="F11">_xlfn.XLOOKUP(A11 ,INSEE_EPCI!A:A , INSEE_EPCI!D:D) </f>
        <v>191738</v>
      </c>
      <c r="G11" s="2">
        <f t="array" ref="G11">_xlfn.XLOOKUP(A11 ,INSEE_EPCI!A:A , INSEE_EPCI!E:E) </f>
        <v>22000</v>
      </c>
      <c r="H11" s="13">
        <f>(INSEE_EPCI!D11-INSEE_EPCI!C11)/INSEE_EPCI!D11</f>
        <v>-0.004464425414</v>
      </c>
      <c r="I11" s="12">
        <f t="shared" si="1"/>
        <v>47934.5</v>
      </c>
    </row>
    <row r="12">
      <c r="A12" s="10" t="str">
        <f>INSEE_EPCI!A12</f>
        <v>246200299</v>
      </c>
      <c r="B12" s="2" t="str">
        <f>INSEE_EPCI!B12</f>
        <v>CA d'Hénin-Carvin</v>
      </c>
      <c r="C12" s="11">
        <f t="array" ref="C12">_xlfn.XLOOKUP(A12 ,INSEE_EPCI!A:A , INSEE_EPCI!F:F) </f>
        <v>23.3</v>
      </c>
      <c r="D12" s="2">
        <f>COUNTIF(Communes_HDF!D:D, B12)</f>
        <v>14</v>
      </c>
      <c r="E12" s="12">
        <f>SUMIF(Communes_HDF!D:D, B12, Communes_HDF!G:G)</f>
        <v>111.99</v>
      </c>
      <c r="F12" s="6">
        <f t="array" ref="F12">_xlfn.XLOOKUP(A12 ,INSEE_EPCI!A:A , INSEE_EPCI!D:D) </f>
        <v>125793</v>
      </c>
      <c r="G12" s="2">
        <f t="array" ref="G12">_xlfn.XLOOKUP(A12 ,INSEE_EPCI!A:A , INSEE_EPCI!E:E) </f>
        <v>21790</v>
      </c>
      <c r="H12" s="13">
        <f>(INSEE_EPCI!D12-INSEE_EPCI!C12)/INSEE_EPCI!D12</f>
        <v>-0.0003338818535</v>
      </c>
      <c r="I12" s="12">
        <f t="shared" si="1"/>
        <v>29309.769</v>
      </c>
    </row>
    <row r="13">
      <c r="A13" s="10" t="str">
        <f>INSEE_EPCI!A13</f>
        <v>200072460</v>
      </c>
      <c r="B13" s="2" t="str">
        <f>INSEE_EPCI!B13</f>
        <v>CA de Béthune-Bruay, Artois-Lys Romane</v>
      </c>
      <c r="C13" s="11">
        <f t="array" ref="C13">_xlfn.XLOOKUP(A13 ,INSEE_EPCI!A:A , INSEE_EPCI!F:F) </f>
        <v>19.4</v>
      </c>
      <c r="D13" s="2">
        <f>COUNTIF(Communes_HDF!D:D, B13)</f>
        <v>100</v>
      </c>
      <c r="E13" s="12">
        <f>SUMIF(Communes_HDF!D:D, B13, Communes_HDF!G:G)</f>
        <v>646.3</v>
      </c>
      <c r="F13" s="6">
        <f t="array" ref="F13">_xlfn.XLOOKUP(A13 ,INSEE_EPCI!A:A , INSEE_EPCI!D:D) </f>
        <v>275028</v>
      </c>
      <c r="G13" s="2">
        <f t="array" ref="G13">_xlfn.XLOOKUP(A13 ,INSEE_EPCI!A:A , INSEE_EPCI!E:E) </f>
        <v>22990</v>
      </c>
      <c r="H13" s="13">
        <f>(INSEE_EPCI!D13-INSEE_EPCI!C13)/INSEE_EPCI!D13</f>
        <v>-0.006788399727</v>
      </c>
      <c r="I13" s="12">
        <f t="shared" si="1"/>
        <v>53355.432</v>
      </c>
    </row>
    <row r="14">
      <c r="A14" s="10" t="str">
        <f>INSEE_EPCI!A14</f>
        <v>200068500</v>
      </c>
      <c r="B14" s="2" t="str">
        <f>INSEE_EPCI!B14</f>
        <v>CA de Cambrai</v>
      </c>
      <c r="C14" s="11">
        <f t="array" ref="C14">_xlfn.XLOOKUP(A14 ,INSEE_EPCI!A:A , INSEE_EPCI!F:F) </f>
        <v>17.6</v>
      </c>
      <c r="D14" s="2">
        <f>COUNTIF(Communes_HDF!D:D, B14)</f>
        <v>55</v>
      </c>
      <c r="E14" s="12">
        <f>SUMIF(Communes_HDF!D:D, B14, Communes_HDF!G:G)</f>
        <v>411.74</v>
      </c>
      <c r="F14" s="6">
        <f t="array" ref="F14">_xlfn.XLOOKUP(A14 ,INSEE_EPCI!A:A , INSEE_EPCI!D:D) </f>
        <v>80120</v>
      </c>
      <c r="G14" s="2">
        <f t="array" ref="G14">_xlfn.XLOOKUP(A14 ,INSEE_EPCI!A:A , INSEE_EPCI!E:E) </f>
        <v>23780</v>
      </c>
      <c r="H14" s="13">
        <f>(INSEE_EPCI!D14-INSEE_EPCI!C14)/INSEE_EPCI!D14</f>
        <v>-0.02229156266</v>
      </c>
      <c r="I14" s="12">
        <f t="shared" si="1"/>
        <v>14101.12</v>
      </c>
    </row>
    <row r="15">
      <c r="A15" s="10" t="str">
        <f>INSEE_EPCI!A15</f>
        <v>246200364</v>
      </c>
      <c r="B15" s="2" t="str">
        <f>INSEE_EPCI!B15</f>
        <v>CA de Lens - Liévin</v>
      </c>
      <c r="C15" s="11">
        <f t="array" ref="C15">_xlfn.XLOOKUP(A15 ,INSEE_EPCI!A:A , INSEE_EPCI!F:F) </f>
        <v>25.3</v>
      </c>
      <c r="D15" s="2">
        <f>COUNTIF(Communes_HDF!D:D, B15)</f>
        <v>36</v>
      </c>
      <c r="E15" s="12">
        <f>SUMIF(Communes_HDF!D:D, B15, Communes_HDF!G:G)</f>
        <v>239.58</v>
      </c>
      <c r="F15" s="6">
        <f t="array" ref="F15">_xlfn.XLOOKUP(A15 ,INSEE_EPCI!A:A , INSEE_EPCI!D:D) </f>
        <v>242013</v>
      </c>
      <c r="G15" s="2">
        <f t="array" ref="G15">_xlfn.XLOOKUP(A15 ,INSEE_EPCI!A:A , INSEE_EPCI!E:E) </f>
        <v>21190</v>
      </c>
      <c r="H15" s="13">
        <f>(INSEE_EPCI!D15-INSEE_EPCI!C15)/INSEE_EPCI!D15</f>
        <v>0.0003264287456</v>
      </c>
      <c r="I15" s="12">
        <f t="shared" si="1"/>
        <v>61229.289</v>
      </c>
    </row>
    <row r="16">
      <c r="A16" s="10" t="str">
        <f>INSEE_EPCI!A16</f>
        <v>200070993</v>
      </c>
      <c r="B16" s="2" t="str">
        <f>INSEE_EPCI!B16</f>
        <v>CA de la Baie de Somme</v>
      </c>
      <c r="C16" s="11">
        <f t="array" ref="C16">_xlfn.XLOOKUP(A16 ,INSEE_EPCI!A:A , INSEE_EPCI!F:F) </f>
        <v>18.5</v>
      </c>
      <c r="D16" s="2">
        <f>COUNTIF(Communes_HDF!D:D, B16)</f>
        <v>43</v>
      </c>
      <c r="E16" s="12">
        <f>SUMIF(Communes_HDF!D:D, B16, Communes_HDF!G:G)</f>
        <v>398.5</v>
      </c>
      <c r="F16" s="6">
        <f t="array" ref="F16">_xlfn.XLOOKUP(A16 ,INSEE_EPCI!A:A , INSEE_EPCI!D:D) </f>
        <v>47572</v>
      </c>
      <c r="G16" s="2">
        <f t="array" ref="G16">_xlfn.XLOOKUP(A16 ,INSEE_EPCI!A:A , INSEE_EPCI!E:E) </f>
        <v>23410</v>
      </c>
      <c r="H16" s="13">
        <f>(INSEE_EPCI!D16-INSEE_EPCI!C16)/INSEE_EPCI!D16</f>
        <v>-0.03403262423</v>
      </c>
      <c r="I16" s="12">
        <f t="shared" si="1"/>
        <v>8800.82</v>
      </c>
    </row>
    <row r="17">
      <c r="A17" s="10" t="str">
        <f>INSEE_EPCI!A17</f>
        <v>200042190</v>
      </c>
      <c r="B17" s="2" t="str">
        <f>INSEE_EPCI!B17</f>
        <v>CA de la Porte du Hainaut</v>
      </c>
      <c r="C17" s="11">
        <f t="array" ref="C17">_xlfn.XLOOKUP(A17 ,INSEE_EPCI!A:A , INSEE_EPCI!F:F) </f>
        <v>23.6</v>
      </c>
      <c r="D17" s="2">
        <f>COUNTIF(Communes_HDF!D:D, B17)</f>
        <v>47</v>
      </c>
      <c r="E17" s="12">
        <f>SUMIF(Communes_HDF!D:D, B17, Communes_HDF!G:G)</f>
        <v>372.19</v>
      </c>
      <c r="F17" s="6">
        <f t="array" ref="F17">_xlfn.XLOOKUP(A17 ,INSEE_EPCI!A:A , INSEE_EPCI!D:D) </f>
        <v>158419</v>
      </c>
      <c r="G17" s="2">
        <f t="array" ref="G17">_xlfn.XLOOKUP(A17 ,INSEE_EPCI!A:A , INSEE_EPCI!E:E) </f>
        <v>21900</v>
      </c>
      <c r="H17" s="13">
        <f>(INSEE_EPCI!D17-INSEE_EPCI!C17)/INSEE_EPCI!D17</f>
        <v>-0.002114645339</v>
      </c>
      <c r="I17" s="12">
        <f t="shared" si="1"/>
        <v>37386.884</v>
      </c>
    </row>
    <row r="18">
      <c r="A18" s="10" t="str">
        <f>INSEE_EPCI!A18</f>
        <v>200072031</v>
      </c>
      <c r="B18" s="2" t="str">
        <f>INSEE_EPCI!B18</f>
        <v>CA de la Région de Château-Thierry</v>
      </c>
      <c r="C18" s="11">
        <f t="array" ref="C18">_xlfn.XLOOKUP(A18 ,INSEE_EPCI!A:A , INSEE_EPCI!F:F) </f>
        <v>17</v>
      </c>
      <c r="D18" s="2">
        <f>COUNTIF(Communes_HDF!D:D, B18)</f>
        <v>87</v>
      </c>
      <c r="E18" s="12">
        <f>SUMIF(Communes_HDF!D:D, B18, Communes_HDF!G:G)</f>
        <v>888.39</v>
      </c>
      <c r="F18" s="6">
        <f t="array" ref="F18">_xlfn.XLOOKUP(A18 ,INSEE_EPCI!A:A , INSEE_EPCI!D:D) </f>
        <v>54040</v>
      </c>
      <c r="G18" s="2">
        <f t="array" ref="G18">_xlfn.XLOOKUP(A18 ,INSEE_EPCI!A:A , INSEE_EPCI!E:E) </f>
        <v>24320</v>
      </c>
      <c r="H18" s="13">
        <f>(INSEE_EPCI!D18-INSEE_EPCI!C18)/INSEE_EPCI!D18</f>
        <v>-0.005162842339</v>
      </c>
      <c r="I18" s="12">
        <f t="shared" si="1"/>
        <v>9186.8</v>
      </c>
    </row>
    <row r="19">
      <c r="A19" s="10" t="str">
        <f>INSEE_EPCI!A19</f>
        <v>200067965</v>
      </c>
      <c r="B19" s="2" t="str">
        <f>INSEE_EPCI!B19</f>
        <v>CA de la Région de Compiègne et de la Basse Automne</v>
      </c>
      <c r="C19" s="11">
        <f t="array" ref="C19">_xlfn.XLOOKUP(A19 ,INSEE_EPCI!A:A , INSEE_EPCI!F:F) </f>
        <v>16.3</v>
      </c>
      <c r="D19" s="2">
        <f>COUNTIF(Communes_HDF!D:D, B19)</f>
        <v>22</v>
      </c>
      <c r="E19" s="12">
        <f>SUMIF(Communes_HDF!D:D, B19, Communes_HDF!G:G)</f>
        <v>264.64</v>
      </c>
      <c r="F19" s="6">
        <f t="array" ref="F19">_xlfn.XLOOKUP(A19 ,INSEE_EPCI!A:A , INSEE_EPCI!D:D) </f>
        <v>83992</v>
      </c>
      <c r="G19" s="2">
        <f t="array" ref="G19">_xlfn.XLOOKUP(A19 ,INSEE_EPCI!A:A , INSEE_EPCI!E:E) </f>
        <v>25950</v>
      </c>
      <c r="H19" s="13">
        <f>(INSEE_EPCI!D19-INSEE_EPCI!C19)/INSEE_EPCI!D19</f>
        <v>0.02037098771</v>
      </c>
      <c r="I19" s="12">
        <f t="shared" si="1"/>
        <v>13690.696</v>
      </c>
    </row>
    <row r="20">
      <c r="A20" s="10" t="str">
        <f>INSEE_EPCI!A20</f>
        <v>200069029</v>
      </c>
      <c r="B20" s="2" t="str">
        <f>INSEE_EPCI!B20</f>
        <v>CA des Deux Baies en Montreuillois</v>
      </c>
      <c r="C20" s="11">
        <f t="array" ref="C20">_xlfn.XLOOKUP(A20 ,INSEE_EPCI!A:A , INSEE_EPCI!F:F) </f>
        <v>13.7</v>
      </c>
      <c r="D20" s="2">
        <f>COUNTIF(Communes_HDF!D:D, B20)</f>
        <v>46</v>
      </c>
      <c r="E20" s="12">
        <f>SUMIF(Communes_HDF!D:D, B20, Communes_HDF!G:G)</f>
        <v>403.22</v>
      </c>
      <c r="F20" s="6">
        <f t="array" ref="F20">_xlfn.XLOOKUP(A20 ,INSEE_EPCI!A:A , INSEE_EPCI!D:D) </f>
        <v>64943</v>
      </c>
      <c r="G20" s="2">
        <f t="array" ref="G20">_xlfn.XLOOKUP(A20 ,INSEE_EPCI!A:A , INSEE_EPCI!E:E) </f>
        <v>25280</v>
      </c>
      <c r="H20" s="13">
        <f>(INSEE_EPCI!D20-INSEE_EPCI!C20)/INSEE_EPCI!D20</f>
        <v>-0.02141878262</v>
      </c>
      <c r="I20" s="12">
        <f t="shared" si="1"/>
        <v>8897.191</v>
      </c>
    </row>
    <row r="21">
      <c r="A21" s="10" t="str">
        <f>INSEE_EPCI!A21</f>
        <v>200067999</v>
      </c>
      <c r="B21" s="2" t="str">
        <f>INSEE_EPCI!B21</f>
        <v>CA du Beauvaisis</v>
      </c>
      <c r="C21" s="11">
        <f t="array" ref="C21">_xlfn.XLOOKUP(A21 ,INSEE_EPCI!A:A , INSEE_EPCI!F:F) </f>
        <v>19.2</v>
      </c>
      <c r="D21" s="2">
        <f>COUNTIF(Communes_HDF!D:D, B21)</f>
        <v>53</v>
      </c>
      <c r="E21" s="12">
        <f>SUMIF(Communes_HDF!D:D, B21, Communes_HDF!G:G)</f>
        <v>540.86</v>
      </c>
      <c r="F21" s="6">
        <f t="array" ref="F21">_xlfn.XLOOKUP(A21 ,INSEE_EPCI!A:A , INSEE_EPCI!D:D) </f>
        <v>103106</v>
      </c>
      <c r="G21" s="2">
        <f t="array" ref="G21">_xlfn.XLOOKUP(A21 ,INSEE_EPCI!A:A , INSEE_EPCI!E:E) </f>
        <v>24370</v>
      </c>
      <c r="H21" s="13">
        <f>(INSEE_EPCI!D21-INSEE_EPCI!C21)/INSEE_EPCI!D21</f>
        <v>0.004839679553</v>
      </c>
      <c r="I21" s="12">
        <f t="shared" si="1"/>
        <v>19796.352</v>
      </c>
    </row>
    <row r="22">
      <c r="A22" s="10" t="str">
        <f>INSEE_EPCI!A22</f>
        <v>246200729</v>
      </c>
      <c r="B22" s="2" t="str">
        <f>INSEE_EPCI!B22</f>
        <v>CA du Boulonnais</v>
      </c>
      <c r="C22" s="11">
        <f t="array" ref="C22">_xlfn.XLOOKUP(A22 ,INSEE_EPCI!A:A , INSEE_EPCI!F:F) </f>
        <v>20.6</v>
      </c>
      <c r="D22" s="2">
        <f>COUNTIF(Communes_HDF!D:D, B22)</f>
        <v>22</v>
      </c>
      <c r="E22" s="12">
        <f>SUMIF(Communes_HDF!D:D, B22, Communes_HDF!G:G)</f>
        <v>205.28</v>
      </c>
      <c r="F22" s="6">
        <f t="array" ref="F22">_xlfn.XLOOKUP(A22 ,INSEE_EPCI!A:A , INSEE_EPCI!D:D) </f>
        <v>111647</v>
      </c>
      <c r="G22" s="2">
        <f t="array" ref="G22">_xlfn.XLOOKUP(A22 ,INSEE_EPCI!A:A , INSEE_EPCI!E:E) </f>
        <v>22740</v>
      </c>
      <c r="H22" s="13">
        <f>(INSEE_EPCI!D22-INSEE_EPCI!C22)/INSEE_EPCI!D22</f>
        <v>-0.01400843731</v>
      </c>
      <c r="I22" s="12">
        <f t="shared" si="1"/>
        <v>22999.282</v>
      </c>
    </row>
    <row r="23">
      <c r="A23" s="10" t="str">
        <f>INSEE_EPCI!A23</f>
        <v>200030633</v>
      </c>
      <c r="B23" s="2" t="str">
        <f>INSEE_EPCI!B23</f>
        <v>CA du Caudrésis et du Catésis</v>
      </c>
      <c r="C23" s="11">
        <f t="array" ref="C23">_xlfn.XLOOKUP(A23 ,INSEE_EPCI!A:A , INSEE_EPCI!F:F) </f>
        <v>22.3</v>
      </c>
      <c r="D23" s="2">
        <f>COUNTIF(Communes_HDF!D:D, B23)</f>
        <v>46</v>
      </c>
      <c r="E23" s="12">
        <f>SUMIF(Communes_HDF!D:D, B23, Communes_HDF!G:G)</f>
        <v>373.19</v>
      </c>
      <c r="F23" s="6">
        <f t="array" ref="F23">_xlfn.XLOOKUP(A23 ,INSEE_EPCI!A:A , INSEE_EPCI!D:D) </f>
        <v>62870</v>
      </c>
      <c r="G23" s="2">
        <f t="array" ref="G23">_xlfn.XLOOKUP(A23 ,INSEE_EPCI!A:A , INSEE_EPCI!E:E) </f>
        <v>21850</v>
      </c>
      <c r="H23" s="13">
        <f>(INSEE_EPCI!D23-INSEE_EPCI!C23)/INSEE_EPCI!D23</f>
        <v>-0.0313504056</v>
      </c>
      <c r="I23" s="12">
        <f t="shared" si="1"/>
        <v>14020.01</v>
      </c>
    </row>
    <row r="24">
      <c r="A24" s="10" t="str">
        <f>INSEE_EPCI!A24</f>
        <v>200043495</v>
      </c>
      <c r="B24" s="2" t="str">
        <f>INSEE_EPCI!B24</f>
        <v>CA du Pays de Laon</v>
      </c>
      <c r="C24" s="11">
        <f t="array" ref="C24">_xlfn.XLOOKUP(A24 ,INSEE_EPCI!A:A , INSEE_EPCI!F:F) </f>
        <v>22.4</v>
      </c>
      <c r="D24" s="2">
        <f>COUNTIF(Communes_HDF!D:D, B24)</f>
        <v>38</v>
      </c>
      <c r="E24" s="12">
        <f>SUMIF(Communes_HDF!D:D, B24, Communes_HDF!G:G)</f>
        <v>318.06</v>
      </c>
      <c r="F24" s="6">
        <f t="array" ref="F24">_xlfn.XLOOKUP(A24 ,INSEE_EPCI!A:A , INSEE_EPCI!D:D) </f>
        <v>41835</v>
      </c>
      <c r="G24" s="2">
        <f t="array" ref="G24">_xlfn.XLOOKUP(A24 ,INSEE_EPCI!A:A , INSEE_EPCI!E:E) </f>
        <v>23010</v>
      </c>
      <c r="H24" s="13">
        <f>(INSEE_EPCI!D24-INSEE_EPCI!C24)/INSEE_EPCI!D24</f>
        <v>-0.02507469822</v>
      </c>
      <c r="I24" s="12">
        <f t="shared" si="1"/>
        <v>9371.04</v>
      </c>
    </row>
    <row r="25">
      <c r="A25" s="10" t="str">
        <f>INSEE_EPCI!A25</f>
        <v>200069037</v>
      </c>
      <c r="B25" s="2" t="str">
        <f>INSEE_EPCI!B25</f>
        <v>CA du Pays de Saint-Omer</v>
      </c>
      <c r="C25" s="11">
        <f t="array" ref="C25">_xlfn.XLOOKUP(A25 ,INSEE_EPCI!A:A , INSEE_EPCI!F:F) </f>
        <v>17.6</v>
      </c>
      <c r="D25" s="2">
        <f>COUNTIF(Communes_HDF!D:D, B25)</f>
        <v>53</v>
      </c>
      <c r="E25" s="12">
        <f>SUMIF(Communes_HDF!D:D, B25, Communes_HDF!G:G)</f>
        <v>544.86</v>
      </c>
      <c r="F25" s="6">
        <f t="array" ref="F25">_xlfn.XLOOKUP(A25 ,INSEE_EPCI!A:A , INSEE_EPCI!D:D) </f>
        <v>104207</v>
      </c>
      <c r="G25" s="2">
        <f t="array" ref="G25">_xlfn.XLOOKUP(A25 ,INSEE_EPCI!A:A , INSEE_EPCI!E:E) </f>
        <v>23440</v>
      </c>
      <c r="H25" s="13">
        <f>(INSEE_EPCI!D25-INSEE_EPCI!C25)/INSEE_EPCI!D25</f>
        <v>-0.01473989271</v>
      </c>
      <c r="I25" s="12">
        <f t="shared" si="1"/>
        <v>18340.432</v>
      </c>
    </row>
    <row r="26">
      <c r="A26" s="10" t="str">
        <f>INSEE_EPCI!A26</f>
        <v>200071892</v>
      </c>
      <c r="B26" s="2" t="str">
        <f>INSEE_EPCI!B26</f>
        <v>CA du Saint-Quentinois</v>
      </c>
      <c r="C26" s="11">
        <f t="array" ref="C26">_xlfn.XLOOKUP(A26 ,INSEE_EPCI!A:A , INSEE_EPCI!F:F) </f>
        <v>24</v>
      </c>
      <c r="D26" s="2">
        <f>COUNTIF(Communes_HDF!D:D, B26)</f>
        <v>39</v>
      </c>
      <c r="E26" s="12">
        <f>SUMIF(Communes_HDF!D:D, B26, Communes_HDF!G:G)</f>
        <v>294.8</v>
      </c>
      <c r="F26" s="6">
        <f t="array" ref="F26">_xlfn.XLOOKUP(A26 ,INSEE_EPCI!A:A , INSEE_EPCI!D:D) </f>
        <v>79010</v>
      </c>
      <c r="G26" s="2">
        <f t="array" ref="G26">_xlfn.XLOOKUP(A26 ,INSEE_EPCI!A:A , INSEE_EPCI!E:E) </f>
        <v>22260</v>
      </c>
      <c r="H26" s="13">
        <f>(INSEE_EPCI!D26-INSEE_EPCI!C26)/INSEE_EPCI!D26</f>
        <v>-0.02241488419</v>
      </c>
      <c r="I26" s="12">
        <f t="shared" si="1"/>
        <v>18962.4</v>
      </c>
    </row>
    <row r="27">
      <c r="A27" s="10" t="str">
        <f>INSEE_EPCI!A27</f>
        <v>200070969</v>
      </c>
      <c r="B27" s="2" t="str">
        <f>INSEE_EPCI!B27</f>
        <v>CC Avre Luce Noye</v>
      </c>
      <c r="C27" s="11">
        <f t="array" ref="C27">_xlfn.XLOOKUP(A27 ,INSEE_EPCI!A:A , INSEE_EPCI!F:F) </f>
        <v>10.3</v>
      </c>
      <c r="D27" s="2">
        <f>COUNTIF(Communes_HDF!D:D, B27)</f>
        <v>47</v>
      </c>
      <c r="E27" s="12">
        <f>SUMIF(Communes_HDF!D:D, B27, Communes_HDF!G:G)</f>
        <v>386.91</v>
      </c>
      <c r="F27" s="6">
        <f t="array" ref="F27">_xlfn.XLOOKUP(A27 ,INSEE_EPCI!A:A , INSEE_EPCI!D:D) </f>
        <v>21385</v>
      </c>
      <c r="G27" s="2">
        <f t="array" ref="G27">_xlfn.XLOOKUP(A27 ,INSEE_EPCI!A:A , INSEE_EPCI!E:E) </f>
        <v>26230</v>
      </c>
      <c r="H27" s="13">
        <f>(INSEE_EPCI!D27-INSEE_EPCI!C27)/INSEE_EPCI!D27</f>
        <v>-0.02253916296</v>
      </c>
      <c r="I27" s="12">
        <f t="shared" si="1"/>
        <v>2202.655</v>
      </c>
    </row>
    <row r="28">
      <c r="A28" s="10" t="str">
        <f>INSEE_EPCI!A28</f>
        <v>200043263</v>
      </c>
      <c r="B28" s="2" t="str">
        <f>INSEE_EPCI!B28</f>
        <v>CC Coeur de l'Avesnois</v>
      </c>
      <c r="C28" s="11">
        <f t="array" ref="C28">_xlfn.XLOOKUP(A28 ,INSEE_EPCI!A:A , INSEE_EPCI!F:F) </f>
        <v>20.9</v>
      </c>
      <c r="D28" s="2">
        <f>COUNTIF(Communes_HDF!D:D, B28)</f>
        <v>43</v>
      </c>
      <c r="E28" s="12">
        <f>SUMIF(Communes_HDF!D:D, B28, Communes_HDF!G:G)</f>
        <v>417.83</v>
      </c>
      <c r="F28" s="6">
        <f t="array" ref="F28">_xlfn.XLOOKUP(A28 ,INSEE_EPCI!A:A , INSEE_EPCI!D:D) </f>
        <v>28503</v>
      </c>
      <c r="G28" s="2">
        <f t="array" ref="G28">_xlfn.XLOOKUP(A28 ,INSEE_EPCI!A:A , INSEE_EPCI!E:E) </f>
        <v>22920</v>
      </c>
      <c r="H28" s="13">
        <f>(INSEE_EPCI!D28-INSEE_EPCI!C28)/INSEE_EPCI!D28</f>
        <v>-0.0578886433</v>
      </c>
      <c r="I28" s="12">
        <f t="shared" si="1"/>
        <v>5957.127</v>
      </c>
    </row>
    <row r="29">
      <c r="A29" s="10" t="str">
        <f>INSEE_EPCI!A29</f>
        <v>245900758</v>
      </c>
      <c r="B29" s="2" t="str">
        <f>INSEE_EPCI!B29</f>
        <v>CC Flandre Lys</v>
      </c>
      <c r="C29" s="11">
        <f t="array" ref="C29">_xlfn.XLOOKUP(A29 ,INSEE_EPCI!A:A , INSEE_EPCI!F:F) </f>
        <v>11.6</v>
      </c>
      <c r="D29" s="2">
        <f>COUNTIF(Communes_HDF!D:D, B29)</f>
        <v>8</v>
      </c>
      <c r="E29" s="12">
        <f>SUMIF(Communes_HDF!D:D, B29, Communes_HDF!G:G)</f>
        <v>127.04</v>
      </c>
      <c r="F29" s="6">
        <f t="array" ref="F29">_xlfn.XLOOKUP(A29 ,INSEE_EPCI!A:A , INSEE_EPCI!D:D) </f>
        <v>40306</v>
      </c>
      <c r="G29" s="2">
        <f t="array" ref="G29">_xlfn.XLOOKUP(A29 ,INSEE_EPCI!A:A , INSEE_EPCI!E:E) </f>
        <v>25980</v>
      </c>
      <c r="H29" s="13">
        <f>(INSEE_EPCI!D29-INSEE_EPCI!C29)/INSEE_EPCI!D29</f>
        <v>0.02250285317</v>
      </c>
      <c r="I29" s="12">
        <f t="shared" si="1"/>
        <v>4675.496</v>
      </c>
    </row>
    <row r="30">
      <c r="A30" s="10" t="str">
        <f>INSEE_EPCI!A30</f>
        <v>200069722</v>
      </c>
      <c r="B30" s="2" t="str">
        <f>INSEE_EPCI!B30</f>
        <v>CC Interrégionale Aumale - Blangy-sur-Bresle</v>
      </c>
      <c r="C30" s="11">
        <f t="array" ref="C30">_xlfn.XLOOKUP(A30 ,INSEE_EPCI!A:A , INSEE_EPCI!F:F) </f>
        <v>14</v>
      </c>
      <c r="D30" s="2">
        <f>COUNTIF(Communes_HDF!D:D, B30)</f>
        <v>10</v>
      </c>
      <c r="E30" s="12">
        <f>SUMIF(Communes_HDF!D:D, B30, Communes_HDF!G:G)</f>
        <v>86.45</v>
      </c>
      <c r="F30" s="6">
        <f t="array" ref="F30">_xlfn.XLOOKUP(A30 ,INSEE_EPCI!A:A , INSEE_EPCI!D:D) </f>
        <v>21154</v>
      </c>
      <c r="G30" s="2">
        <f t="array" ref="G30">_xlfn.XLOOKUP(A30 ,INSEE_EPCI!A:A , INSEE_EPCI!E:E) </f>
        <v>23850</v>
      </c>
      <c r="H30" s="13">
        <f>(INSEE_EPCI!D30-INSEE_EPCI!C30)/INSEE_EPCI!D30</f>
        <v>-0.02514890801</v>
      </c>
      <c r="I30" s="12">
        <f t="shared" si="1"/>
        <v>2961.56</v>
      </c>
    </row>
    <row r="31">
      <c r="A31" s="10" t="str">
        <f>INSEE_EPCI!A31</f>
        <v>200071223</v>
      </c>
      <c r="B31" s="2" t="str">
        <f>INSEE_EPCI!B31</f>
        <v>CC Nièvre et Somme</v>
      </c>
      <c r="C31" s="11">
        <f t="array" ref="C31">_xlfn.XLOOKUP(A31 ,INSEE_EPCI!A:A , INSEE_EPCI!F:F) </f>
        <v>13</v>
      </c>
      <c r="D31" s="2">
        <f>COUNTIF(Communes_HDF!D:D, B31)</f>
        <v>36</v>
      </c>
      <c r="E31" s="12">
        <f>SUMIF(Communes_HDF!D:D, B31, Communes_HDF!G:G)</f>
        <v>314.11</v>
      </c>
      <c r="F31" s="6">
        <f t="array" ref="F31">_xlfn.XLOOKUP(A31 ,INSEE_EPCI!A:A , INSEE_EPCI!D:D) </f>
        <v>27658</v>
      </c>
      <c r="G31" s="2">
        <f t="array" ref="G31">_xlfn.XLOOKUP(A31 ,INSEE_EPCI!A:A , INSEE_EPCI!E:E) </f>
        <v>24700</v>
      </c>
      <c r="H31" s="13">
        <f>(INSEE_EPCI!D31-INSEE_EPCI!C31)/INSEE_EPCI!D31</f>
        <v>-0.02147660713</v>
      </c>
      <c r="I31" s="12">
        <f t="shared" si="1"/>
        <v>3595.54</v>
      </c>
    </row>
    <row r="32">
      <c r="A32" s="10" t="str">
        <f>INSEE_EPCI!A32</f>
        <v>200044048</v>
      </c>
      <c r="B32" s="2" t="str">
        <f>INSEE_EPCI!B32</f>
        <v>CC Osartis Marquion</v>
      </c>
      <c r="C32" s="11">
        <f t="array" ref="C32">_xlfn.XLOOKUP(A32 ,INSEE_EPCI!A:A , INSEE_EPCI!F:F) </f>
        <v>10.6</v>
      </c>
      <c r="D32" s="2">
        <f>COUNTIF(Communes_HDF!D:D, B32)</f>
        <v>49</v>
      </c>
      <c r="E32" s="12">
        <f>SUMIF(Communes_HDF!D:D, B32, Communes_HDF!G:G)</f>
        <v>331.61</v>
      </c>
      <c r="F32" s="6">
        <f t="array" ref="F32">_xlfn.XLOOKUP(A32 ,INSEE_EPCI!A:A , INSEE_EPCI!D:D) </f>
        <v>42999</v>
      </c>
      <c r="G32" s="2">
        <f t="array" ref="G32">_xlfn.XLOOKUP(A32 ,INSEE_EPCI!A:A , INSEE_EPCI!E:E) </f>
        <v>25860</v>
      </c>
      <c r="H32" s="13">
        <f>(INSEE_EPCI!D32-INSEE_EPCI!C32)/INSEE_EPCI!D32</f>
        <v>0.01972138887</v>
      </c>
      <c r="I32" s="12">
        <f t="shared" si="1"/>
        <v>4557.894</v>
      </c>
    </row>
    <row r="33">
      <c r="A33" s="10" t="str">
        <f>INSEE_EPCI!A33</f>
        <v>200072478</v>
      </c>
      <c r="B33" s="2" t="str">
        <f>INSEE_EPCI!B33</f>
        <v>CC Pays d'Opale</v>
      </c>
      <c r="C33" s="11">
        <f t="array" ref="C33">_xlfn.XLOOKUP(A33 ,INSEE_EPCI!A:A , INSEE_EPCI!F:F) </f>
        <v>14.7</v>
      </c>
      <c r="D33" s="2">
        <f>COUNTIF(Communes_HDF!D:D, B33)</f>
        <v>23</v>
      </c>
      <c r="E33" s="12">
        <f>SUMIF(Communes_HDF!D:D, B33, Communes_HDF!G:G)</f>
        <v>190.63</v>
      </c>
      <c r="F33" s="6">
        <f t="array" ref="F33">_xlfn.XLOOKUP(A33 ,INSEE_EPCI!A:A , INSEE_EPCI!D:D) </f>
        <v>25148</v>
      </c>
      <c r="G33" s="2">
        <f t="array" ref="G33">_xlfn.XLOOKUP(A33 ,INSEE_EPCI!A:A , INSEE_EPCI!E:E) </f>
        <v>24080</v>
      </c>
      <c r="H33" s="13">
        <f>(INSEE_EPCI!D33-INSEE_EPCI!C33)/INSEE_EPCI!D33</f>
        <v>-0.001550819151</v>
      </c>
      <c r="I33" s="12">
        <f t="shared" si="1"/>
        <v>3696.756</v>
      </c>
    </row>
    <row r="34">
      <c r="A34" s="10" t="str">
        <f>INSEE_EPCI!A34</f>
        <v>200071769</v>
      </c>
      <c r="B34" s="2" t="str">
        <f>INSEE_EPCI!B34</f>
        <v>CC Picardie des Châteaux</v>
      </c>
      <c r="C34" s="11">
        <f t="array" ref="C34">_xlfn.XLOOKUP(A34 ,INSEE_EPCI!A:A , INSEE_EPCI!F:F) </f>
        <v>16</v>
      </c>
      <c r="D34" s="2">
        <f>COUNTIF(Communes_HDF!D:D, B34)</f>
        <v>36</v>
      </c>
      <c r="E34" s="12">
        <f>SUMIF(Communes_HDF!D:D, B34, Communes_HDF!G:G)</f>
        <v>292.57</v>
      </c>
      <c r="F34" s="6">
        <f t="array" ref="F34">_xlfn.XLOOKUP(A34 ,INSEE_EPCI!A:A , INSEE_EPCI!D:D) </f>
        <v>16523</v>
      </c>
      <c r="G34" s="2">
        <f t="array" ref="G34">_xlfn.XLOOKUP(A34 ,INSEE_EPCI!A:A , INSEE_EPCI!E:E) </f>
        <v>24100</v>
      </c>
      <c r="H34" s="13">
        <f>(INSEE_EPCI!D34-INSEE_EPCI!C34)/INSEE_EPCI!D34</f>
        <v>-0.05186709435</v>
      </c>
      <c r="I34" s="12">
        <f t="shared" si="1"/>
        <v>2643.68</v>
      </c>
    </row>
    <row r="35">
      <c r="A35" s="10" t="str">
        <f>INSEE_EPCI!A35</f>
        <v>200070936</v>
      </c>
      <c r="B35" s="2" t="str">
        <f>INSEE_EPCI!B35</f>
        <v>CC Ponthieu-Marquenterre</v>
      </c>
      <c r="C35" s="11">
        <f t="array" ref="C35">_xlfn.XLOOKUP(A35 ,INSEE_EPCI!A:A , INSEE_EPCI!F:F) </f>
        <v>14.2</v>
      </c>
      <c r="D35" s="2">
        <f>COUNTIF(Communes_HDF!D:D, B35)</f>
        <v>70</v>
      </c>
      <c r="E35" s="12">
        <f>SUMIF(Communes_HDF!D:D, B35, Communes_HDF!G:G)</f>
        <v>780</v>
      </c>
      <c r="F35" s="6">
        <f t="array" ref="F35">_xlfn.XLOOKUP(A35 ,INSEE_EPCI!A:A , INSEE_EPCI!D:D) </f>
        <v>32495</v>
      </c>
      <c r="G35" s="2">
        <f t="array" ref="G35">_xlfn.XLOOKUP(A35 ,INSEE_EPCI!A:A , INSEE_EPCI!E:E) </f>
        <v>24290</v>
      </c>
      <c r="H35" s="13">
        <f>(INSEE_EPCI!D35-INSEE_EPCI!C35)/INSEE_EPCI!D35</f>
        <v>-0.01997230343</v>
      </c>
      <c r="I35" s="12">
        <f t="shared" si="1"/>
        <v>4614.29</v>
      </c>
    </row>
    <row r="36">
      <c r="A36" s="10" t="str">
        <f>INSEE_EPCI!A36</f>
        <v>200041960</v>
      </c>
      <c r="B36" s="2" t="str">
        <f>INSEE_EPCI!B36</f>
        <v>CC Pévèle-Carembault</v>
      </c>
      <c r="C36" s="11">
        <f t="array" ref="C36">_xlfn.XLOOKUP(A36 ,INSEE_EPCI!A:A , INSEE_EPCI!F:F) </f>
        <v>8</v>
      </c>
      <c r="D36" s="2">
        <f>COUNTIF(Communes_HDF!D:D, B36)</f>
        <v>38</v>
      </c>
      <c r="E36" s="12">
        <f>SUMIF(Communes_HDF!D:D, B36, Communes_HDF!G:G)</f>
        <v>310.94</v>
      </c>
      <c r="F36" s="6">
        <f t="array" ref="F36">_xlfn.XLOOKUP(A36 ,INSEE_EPCI!A:A , INSEE_EPCI!D:D) </f>
        <v>99749</v>
      </c>
      <c r="G36" s="2">
        <f t="array" ref="G36">_xlfn.XLOOKUP(A36 ,INSEE_EPCI!A:A , INSEE_EPCI!E:E) </f>
        <v>29620</v>
      </c>
      <c r="H36" s="13">
        <f>(INSEE_EPCI!D36-INSEE_EPCI!C36)/INSEE_EPCI!D36</f>
        <v>0.04466210188</v>
      </c>
      <c r="I36" s="12">
        <f t="shared" si="1"/>
        <v>7979.92</v>
      </c>
    </row>
    <row r="37">
      <c r="A37" s="10" t="str">
        <f>INSEE_EPCI!A37</f>
        <v>200071991</v>
      </c>
      <c r="B37" s="2" t="str">
        <f>INSEE_EPCI!B37</f>
        <v>CC Retz en Valois</v>
      </c>
      <c r="C37" s="11">
        <f t="array" ref="C37">_xlfn.XLOOKUP(A37 ,INSEE_EPCI!A:A , INSEE_EPCI!F:F) </f>
        <v>13</v>
      </c>
      <c r="D37" s="2">
        <f>COUNTIF(Communes_HDF!D:D, B37)</f>
        <v>54</v>
      </c>
      <c r="E37" s="12">
        <f>SUMIF(Communes_HDF!D:D, B37, Communes_HDF!G:G)</f>
        <v>537.2</v>
      </c>
      <c r="F37" s="6">
        <f t="array" ref="F37">_xlfn.XLOOKUP(A37 ,INSEE_EPCI!A:A , INSEE_EPCI!D:D) </f>
        <v>29037</v>
      </c>
      <c r="G37" s="2">
        <f t="array" ref="G37">_xlfn.XLOOKUP(A37 ,INSEE_EPCI!A:A , INSEE_EPCI!E:E) </f>
        <v>25030</v>
      </c>
      <c r="H37" s="13">
        <f>(INSEE_EPCI!D37-INSEE_EPCI!C37)/INSEE_EPCI!D37</f>
        <v>-0.02086992458</v>
      </c>
      <c r="I37" s="12">
        <f t="shared" si="1"/>
        <v>3774.81</v>
      </c>
    </row>
    <row r="38">
      <c r="A38" s="10" t="str">
        <f>INSEE_EPCI!A38</f>
        <v>200066975</v>
      </c>
      <c r="B38" s="2" t="str">
        <f>INSEE_EPCI!B38</f>
        <v>CC Senlis Sud Oise</v>
      </c>
      <c r="C38" s="11">
        <f t="array" ref="C38">_xlfn.XLOOKUP(A38 ,INSEE_EPCI!A:A , INSEE_EPCI!F:F) </f>
        <v>8.8</v>
      </c>
      <c r="D38" s="2">
        <f>COUNTIF(Communes_HDF!D:D, B38)</f>
        <v>17</v>
      </c>
      <c r="E38" s="12">
        <f>SUMIF(Communes_HDF!D:D, B38, Communes_HDF!G:G)</f>
        <v>204.38</v>
      </c>
      <c r="F38" s="6">
        <f t="array" ref="F38">_xlfn.XLOOKUP(A38 ,INSEE_EPCI!A:A , INSEE_EPCI!D:D) </f>
        <v>24968</v>
      </c>
      <c r="G38" s="2">
        <f t="array" ref="G38">_xlfn.XLOOKUP(A38 ,INSEE_EPCI!A:A , INSEE_EPCI!E:E) </f>
        <v>31670</v>
      </c>
      <c r="H38" s="13">
        <f>(INSEE_EPCI!D38-INSEE_EPCI!C38)/INSEE_EPCI!D38</f>
        <v>0.05010413329</v>
      </c>
      <c r="I38" s="12">
        <f t="shared" si="1"/>
        <v>2197.184</v>
      </c>
    </row>
    <row r="39">
      <c r="A39" s="10" t="str">
        <f>INSEE_EPCI!A39</f>
        <v>200071181</v>
      </c>
      <c r="B39" s="2" t="str">
        <f>INSEE_EPCI!B39</f>
        <v>CC Somme Sud-Ouest</v>
      </c>
      <c r="C39" s="11">
        <f t="array" ref="C39">_xlfn.XLOOKUP(A39 ,INSEE_EPCI!A:A , INSEE_EPCI!F:F) </f>
        <v>12.5</v>
      </c>
      <c r="D39" s="2">
        <f>COUNTIF(Communes_HDF!D:D, B39)</f>
        <v>119</v>
      </c>
      <c r="E39" s="12">
        <f>SUMIF(Communes_HDF!D:D, B39, Communes_HDF!G:G)</f>
        <v>912.51</v>
      </c>
      <c r="F39" s="6">
        <f t="array" ref="F39">_xlfn.XLOOKUP(A39 ,INSEE_EPCI!A:A , INSEE_EPCI!D:D) </f>
        <v>37863</v>
      </c>
      <c r="G39" s="2">
        <f t="array" ref="G39">_xlfn.XLOOKUP(A39 ,INSEE_EPCI!A:A , INSEE_EPCI!E:E) </f>
        <v>25250</v>
      </c>
      <c r="H39" s="13">
        <f>(INSEE_EPCI!D39-INSEE_EPCI!C39)/INSEE_EPCI!D39</f>
        <v>-0.02427171645</v>
      </c>
      <c r="I39" s="12">
        <f t="shared" si="1"/>
        <v>4732.875</v>
      </c>
    </row>
    <row r="40">
      <c r="A40" s="10" t="str">
        <f>INSEE_EPCI!A40</f>
        <v>200070928</v>
      </c>
      <c r="B40" s="2" t="str">
        <f>INSEE_EPCI!B40</f>
        <v>CC Terre de Picardie</v>
      </c>
      <c r="C40" s="11">
        <f t="array" ref="C40">_xlfn.XLOOKUP(A40 ,INSEE_EPCI!A:A , INSEE_EPCI!F:F) </f>
        <v>16</v>
      </c>
      <c r="D40" s="2">
        <f>COUNTIF(Communes_HDF!D:D, B40)</f>
        <v>43</v>
      </c>
      <c r="E40" s="12">
        <f>SUMIF(Communes_HDF!D:D, B40, Communes_HDF!G:G)</f>
        <v>297.82</v>
      </c>
      <c r="F40" s="6">
        <f t="array" ref="F40">_xlfn.XLOOKUP(A40 ,INSEE_EPCI!A:A , INSEE_EPCI!D:D) </f>
        <v>17968</v>
      </c>
      <c r="G40" s="2">
        <f t="array" ref="G40">_xlfn.XLOOKUP(A40 ,INSEE_EPCI!A:A , INSEE_EPCI!E:E) </f>
        <v>23790</v>
      </c>
      <c r="H40" s="13">
        <f>(INSEE_EPCI!D40-INSEE_EPCI!C40)/INSEE_EPCI!D40</f>
        <v>-0.02242876224</v>
      </c>
      <c r="I40" s="12">
        <f t="shared" si="1"/>
        <v>2874.88</v>
      </c>
    </row>
    <row r="41">
      <c r="A41" s="10" t="str">
        <f>INSEE_EPCI!A41</f>
        <v>200067973</v>
      </c>
      <c r="B41" s="2" t="str">
        <f>INSEE_EPCI!B41</f>
        <v>CC Thelloise</v>
      </c>
      <c r="C41" s="11">
        <f t="array" ref="C41">_xlfn.XLOOKUP(A41 ,INSEE_EPCI!A:A , INSEE_EPCI!F:F) </f>
        <v>8.1</v>
      </c>
      <c r="D41" s="2">
        <f>COUNTIF(Communes_HDF!D:D, B41)</f>
        <v>41</v>
      </c>
      <c r="E41" s="12">
        <f>SUMIF(Communes_HDF!D:D, B41, Communes_HDF!G:G)</f>
        <v>315.14</v>
      </c>
      <c r="F41" s="6">
        <f t="array" ref="F41">_xlfn.XLOOKUP(A41 ,INSEE_EPCI!A:A , INSEE_EPCI!D:D) </f>
        <v>61824</v>
      </c>
      <c r="G41" s="2">
        <f t="array" ref="G41">_xlfn.XLOOKUP(A41 ,INSEE_EPCI!A:A , INSEE_EPCI!E:E) </f>
        <v>27960</v>
      </c>
      <c r="H41" s="13">
        <f>(INSEE_EPCI!D41-INSEE_EPCI!C41)/INSEE_EPCI!D41</f>
        <v>0.01709692029</v>
      </c>
      <c r="I41" s="12">
        <f t="shared" si="1"/>
        <v>5007.744</v>
      </c>
    </row>
    <row r="42">
      <c r="A42" s="10" t="str">
        <f>INSEE_EPCI!A42</f>
        <v>200071983</v>
      </c>
      <c r="B42" s="2" t="str">
        <f>INSEE_EPCI!B42</f>
        <v>CC Thiérache Sambre et Oise</v>
      </c>
      <c r="C42" s="11">
        <f t="array" ref="C42">_xlfn.XLOOKUP(A42 ,INSEE_EPCI!A:A , INSEE_EPCI!F:F) </f>
        <v>24</v>
      </c>
      <c r="D42" s="2">
        <f>COUNTIF(Communes_HDF!D:D, B42)</f>
        <v>36</v>
      </c>
      <c r="E42" s="12">
        <f>SUMIF(Communes_HDF!D:D, B42, Communes_HDF!G:G)</f>
        <v>331.98</v>
      </c>
      <c r="F42" s="6">
        <f t="array" ref="F42">_xlfn.XLOOKUP(A42 ,INSEE_EPCI!A:A , INSEE_EPCI!D:D) </f>
        <v>16257</v>
      </c>
      <c r="G42" s="2">
        <f t="array" ref="G42">_xlfn.XLOOKUP(A42 ,INSEE_EPCI!A:A , INSEE_EPCI!E:E) </f>
        <v>21700</v>
      </c>
      <c r="H42" s="13">
        <f>(INSEE_EPCI!D42-INSEE_EPCI!C42)/INSEE_EPCI!D42</f>
        <v>-0.04096696808</v>
      </c>
      <c r="I42" s="12">
        <f t="shared" si="1"/>
        <v>3901.68</v>
      </c>
    </row>
    <row r="43">
      <c r="A43" s="10" t="str">
        <f>INSEE_EPCI!A43</f>
        <v>200018083</v>
      </c>
      <c r="B43" s="2" t="str">
        <f>INSEE_EPCI!B43</f>
        <v>CC de Desvres-Samer</v>
      </c>
      <c r="C43" s="11">
        <f t="array" ref="C43">_xlfn.XLOOKUP(A43 ,INSEE_EPCI!A:A , INSEE_EPCI!F:F) </f>
        <v>14.1</v>
      </c>
      <c r="D43" s="2">
        <f>COUNTIF(Communes_HDF!D:D, B43)</f>
        <v>31</v>
      </c>
      <c r="E43" s="12">
        <f>SUMIF(Communes_HDF!D:D, B43, Communes_HDF!G:G)</f>
        <v>247.38</v>
      </c>
      <c r="F43" s="6">
        <f t="array" ref="F43">_xlfn.XLOOKUP(A43 ,INSEE_EPCI!A:A , INSEE_EPCI!D:D) </f>
        <v>23211</v>
      </c>
      <c r="G43" s="2">
        <f t="array" ref="G43">_xlfn.XLOOKUP(A43 ,INSEE_EPCI!A:A , INSEE_EPCI!E:E) </f>
        <v>24030</v>
      </c>
      <c r="H43" s="13">
        <f>(INSEE_EPCI!D43-INSEE_EPCI!C43)/INSEE_EPCI!D43</f>
        <v>0.004480634182</v>
      </c>
      <c r="I43" s="12">
        <f t="shared" si="1"/>
        <v>3272.751</v>
      </c>
    </row>
    <row r="44">
      <c r="A44" s="10" t="str">
        <f>INSEE_EPCI!A44</f>
        <v>246000764</v>
      </c>
      <c r="B44" s="2" t="str">
        <f>INSEE_EPCI!B44</f>
        <v>CC de l'Aire Cantilienne</v>
      </c>
      <c r="C44" s="11">
        <f t="array" ref="C44">_xlfn.XLOOKUP(A44 ,INSEE_EPCI!A:A , INSEE_EPCI!F:F) </f>
        <v>7.1</v>
      </c>
      <c r="D44" s="2">
        <f>COUNTIF(Communes_HDF!D:D, B44)</f>
        <v>11</v>
      </c>
      <c r="E44" s="12">
        <f>SUMIF(Communes_HDF!D:D, B44, Communes_HDF!G:G)</f>
        <v>149.9</v>
      </c>
      <c r="F44" s="6">
        <f t="array" ref="F44">_xlfn.XLOOKUP(A44 ,INSEE_EPCI!A:A , INSEE_EPCI!D:D) </f>
        <v>44610</v>
      </c>
      <c r="G44" s="2">
        <f t="array" ref="G44">_xlfn.XLOOKUP(A44 ,INSEE_EPCI!A:A , INSEE_EPCI!E:E) </f>
        <v>34810</v>
      </c>
      <c r="H44" s="13">
        <f>(INSEE_EPCI!D44-INSEE_EPCI!C44)/INSEE_EPCI!D44</f>
        <v>-0.004954046178</v>
      </c>
      <c r="I44" s="12">
        <f t="shared" si="1"/>
        <v>3167.31</v>
      </c>
    </row>
    <row r="45">
      <c r="A45" s="10" t="str">
        <f>INSEE_EPCI!A45</f>
        <v>200070985</v>
      </c>
      <c r="B45" s="2" t="str">
        <f>INSEE_EPCI!B45</f>
        <v>CC de l'Est de la Somme</v>
      </c>
      <c r="C45" s="11">
        <f t="array" ref="C45">_xlfn.XLOOKUP(A45 ,INSEE_EPCI!A:A , INSEE_EPCI!F:F) </f>
        <v>17</v>
      </c>
      <c r="D45" s="2">
        <f>COUNTIF(Communes_HDF!D:D, B45)</f>
        <v>41</v>
      </c>
      <c r="E45" s="12">
        <f>SUMIF(Communes_HDF!D:D, B45, Communes_HDF!G:G)</f>
        <v>266.22</v>
      </c>
      <c r="F45" s="6">
        <f t="array" ref="F45">_xlfn.XLOOKUP(A45 ,INSEE_EPCI!A:A , INSEE_EPCI!D:D) </f>
        <v>19637</v>
      </c>
      <c r="G45" s="2">
        <f t="array" ref="G45">_xlfn.XLOOKUP(A45 ,INSEE_EPCI!A:A , INSEE_EPCI!E:E) </f>
        <v>23140</v>
      </c>
      <c r="H45" s="13">
        <f>(INSEE_EPCI!D45-INSEE_EPCI!C45)/INSEE_EPCI!D45</f>
        <v>-0.0383969038</v>
      </c>
      <c r="I45" s="12">
        <f t="shared" si="1"/>
        <v>3338.29</v>
      </c>
    </row>
    <row r="46">
      <c r="A46" s="10" t="str">
        <f>INSEE_EPCI!A46</f>
        <v>200068005</v>
      </c>
      <c r="B46" s="2" t="str">
        <f>INSEE_EPCI!B46</f>
        <v>CC de l'Oise Picarde</v>
      </c>
      <c r="C46" s="11">
        <f t="array" ref="C46">_xlfn.XLOOKUP(A46 ,INSEE_EPCI!A:A , INSEE_EPCI!F:F) </f>
        <v>13.4</v>
      </c>
      <c r="D46" s="2">
        <f>COUNTIF(Communes_HDF!D:D, B46)</f>
        <v>52</v>
      </c>
      <c r="E46" s="12">
        <f>SUMIF(Communes_HDF!D:D, B46, Communes_HDF!G:G)</f>
        <v>397.27</v>
      </c>
      <c r="F46" s="6">
        <f t="array" ref="F46">_xlfn.XLOOKUP(A46 ,INSEE_EPCI!A:A , INSEE_EPCI!D:D) </f>
        <v>20928</v>
      </c>
      <c r="G46" s="2">
        <f t="array" ref="G46">_xlfn.XLOOKUP(A46 ,INSEE_EPCI!A:A , INSEE_EPCI!E:E) </f>
        <v>24840</v>
      </c>
      <c r="H46" s="13">
        <f>(INSEE_EPCI!D46-INSEE_EPCI!C46)/INSEE_EPCI!D46</f>
        <v>-0.01122897554</v>
      </c>
      <c r="I46" s="12">
        <f t="shared" si="1"/>
        <v>2804.352</v>
      </c>
    </row>
    <row r="47">
      <c r="A47" s="10" t="str">
        <f>INSEE_EPCI!A47</f>
        <v>240200576</v>
      </c>
      <c r="B47" s="2" t="str">
        <f>INSEE_EPCI!B47</f>
        <v>CC de la Champagne Picarde</v>
      </c>
      <c r="C47" s="11">
        <f t="array" ref="C47">_xlfn.XLOOKUP(A47 ,INSEE_EPCI!A:A , INSEE_EPCI!F:F) </f>
        <v>12.7</v>
      </c>
      <c r="D47" s="2">
        <f>COUNTIF(Communes_HDF!D:D, B47)</f>
        <v>46</v>
      </c>
      <c r="E47" s="12">
        <f>SUMIF(Communes_HDF!D:D, B47, Communes_HDF!G:G)</f>
        <v>582.76</v>
      </c>
      <c r="F47" s="6">
        <f t="array" ref="F47">_xlfn.XLOOKUP(A47 ,INSEE_EPCI!A:A , INSEE_EPCI!D:D) </f>
        <v>20865</v>
      </c>
      <c r="G47" s="2">
        <f t="array" ref="G47">_xlfn.XLOOKUP(A47 ,INSEE_EPCI!A:A , INSEE_EPCI!E:E) </f>
        <v>24780</v>
      </c>
      <c r="H47" s="13">
        <f>(INSEE_EPCI!D47-INSEE_EPCI!C47)/INSEE_EPCI!D47</f>
        <v>-0.002779774742</v>
      </c>
      <c r="I47" s="12">
        <f t="shared" si="1"/>
        <v>2649.855</v>
      </c>
    </row>
    <row r="48">
      <c r="A48" s="10" t="str">
        <f>INSEE_EPCI!A48</f>
        <v>200037059</v>
      </c>
      <c r="B48" s="2" t="str">
        <f>INSEE_EPCI!B48</f>
        <v>CC de la Haute Somme (Combles - Péronne - Roisel)</v>
      </c>
      <c r="C48" s="11">
        <f t="array" ref="C48">_xlfn.XLOOKUP(A48 ,INSEE_EPCI!A:A , INSEE_EPCI!F:F) </f>
        <v>17.2</v>
      </c>
      <c r="D48" s="2">
        <f>COUNTIF(Communes_HDF!D:D, B48)</f>
        <v>60</v>
      </c>
      <c r="E48" s="12">
        <f>SUMIF(Communes_HDF!D:D, B48, Communes_HDF!G:G)</f>
        <v>464.56</v>
      </c>
      <c r="F48" s="6">
        <f t="array" ref="F48">_xlfn.XLOOKUP(A48 ,INSEE_EPCI!A:A , INSEE_EPCI!D:D) </f>
        <v>26393</v>
      </c>
      <c r="G48" s="2">
        <f t="array" ref="G48">_xlfn.XLOOKUP(A48 ,INSEE_EPCI!A:A , INSEE_EPCI!E:E) </f>
        <v>23420</v>
      </c>
      <c r="H48" s="13">
        <f>(INSEE_EPCI!D48-INSEE_EPCI!C48)/INSEE_EPCI!D48</f>
        <v>-0.0394801652</v>
      </c>
      <c r="I48" s="12">
        <f t="shared" si="1"/>
        <v>4539.596</v>
      </c>
    </row>
    <row r="49">
      <c r="A49" s="10" t="str">
        <f>INSEE_EPCI!A49</f>
        <v>246000848</v>
      </c>
      <c r="B49" s="2" t="str">
        <f>INSEE_EPCI!B49</f>
        <v>CC de la Picardie Verte</v>
      </c>
      <c r="C49" s="11">
        <f t="array" ref="C49">_xlfn.XLOOKUP(A49 ,INSEE_EPCI!A:A , INSEE_EPCI!F:F) </f>
        <v>13.6</v>
      </c>
      <c r="D49" s="2">
        <f>COUNTIF(Communes_HDF!D:D, B49)</f>
        <v>88</v>
      </c>
      <c r="E49" s="12">
        <f>SUMIF(Communes_HDF!D:D, B49, Communes_HDF!G:G)</f>
        <v>632.98</v>
      </c>
      <c r="F49" s="6">
        <f t="array" ref="F49">_xlfn.XLOOKUP(A49 ,INSEE_EPCI!A:A , INSEE_EPCI!D:D) </f>
        <v>32039</v>
      </c>
      <c r="G49" s="2">
        <f t="array" ref="G49">_xlfn.XLOOKUP(A49 ,INSEE_EPCI!A:A , INSEE_EPCI!E:E) </f>
        <v>24540</v>
      </c>
      <c r="H49" s="13">
        <f>(INSEE_EPCI!D49-INSEE_EPCI!C49)/INSEE_EPCI!D49</f>
        <v>-0.02780985674</v>
      </c>
      <c r="I49" s="12">
        <f t="shared" si="1"/>
        <v>4357.304</v>
      </c>
    </row>
    <row r="50">
      <c r="A50" s="10" t="str">
        <f>INSEE_EPCI!A50</f>
        <v>246000897</v>
      </c>
      <c r="B50" s="2" t="str">
        <f>INSEE_EPCI!B50</f>
        <v>CC de la Plaine d'Estrées</v>
      </c>
      <c r="C50" s="11">
        <f t="array" ref="C50">_xlfn.XLOOKUP(A50 ,INSEE_EPCI!A:A , INSEE_EPCI!F:F) </f>
        <v>7</v>
      </c>
      <c r="D50" s="2">
        <f>COUNTIF(Communes_HDF!D:D, B50)</f>
        <v>19</v>
      </c>
      <c r="E50" s="12">
        <f>SUMIF(Communes_HDF!D:D, B50, Communes_HDF!G:G)</f>
        <v>166.72</v>
      </c>
      <c r="F50" s="6">
        <f t="array" ref="F50">_xlfn.XLOOKUP(A50 ,INSEE_EPCI!A:A , INSEE_EPCI!D:D) </f>
        <v>18131</v>
      </c>
      <c r="G50" s="2">
        <f t="array" ref="G50">_xlfn.XLOOKUP(A50 ,INSEE_EPCI!A:A , INSEE_EPCI!E:E) </f>
        <v>28230</v>
      </c>
      <c r="H50" s="13">
        <f>(INSEE_EPCI!D50-INSEE_EPCI!C50)/INSEE_EPCI!D50</f>
        <v>0.01555347195</v>
      </c>
      <c r="I50" s="12">
        <f t="shared" si="1"/>
        <v>1269.17</v>
      </c>
    </row>
    <row r="51">
      <c r="A51" s="10" t="str">
        <f>INSEE_EPCI!A51</f>
        <v>246200844</v>
      </c>
      <c r="B51" s="2" t="str">
        <f>INSEE_EPCI!B51</f>
        <v>CC de la Région d'Audruicq</v>
      </c>
      <c r="C51" s="11">
        <f t="array" ref="C51">_xlfn.XLOOKUP(A51 ,INSEE_EPCI!A:A , INSEE_EPCI!F:F) </f>
        <v>12</v>
      </c>
      <c r="D51" s="2">
        <f>COUNTIF(Communes_HDF!D:D, B51)</f>
        <v>15</v>
      </c>
      <c r="E51" s="12">
        <f>SUMIF(Communes_HDF!D:D, B51, Communes_HDF!G:G)</f>
        <v>220.61</v>
      </c>
      <c r="F51" s="6">
        <f t="array" ref="F51">_xlfn.XLOOKUP(A51 ,INSEE_EPCI!A:A , INSEE_EPCI!D:D) </f>
        <v>28202</v>
      </c>
      <c r="G51" s="2">
        <f t="array" ref="G51">_xlfn.XLOOKUP(A51 ,INSEE_EPCI!A:A , INSEE_EPCI!E:E) </f>
        <v>25520</v>
      </c>
      <c r="H51" s="13">
        <f>(INSEE_EPCI!D51-INSEE_EPCI!C51)/INSEE_EPCI!D51</f>
        <v>0.03091979292</v>
      </c>
      <c r="I51" s="12">
        <f t="shared" si="1"/>
        <v>3384.24</v>
      </c>
    </row>
    <row r="52">
      <c r="A52" s="10" t="str">
        <f>INSEE_EPCI!A52</f>
        <v>246200380</v>
      </c>
      <c r="B52" s="2" t="str">
        <f>INSEE_EPCI!B52</f>
        <v>CC de la Terre des Deux Caps</v>
      </c>
      <c r="C52" s="11">
        <f t="array" ref="C52">_xlfn.XLOOKUP(A52 ,INSEE_EPCI!A:A , INSEE_EPCI!F:F) </f>
        <v>13.8</v>
      </c>
      <c r="D52" s="2">
        <f>COUNTIF(Communes_HDF!D:D, B52)</f>
        <v>21</v>
      </c>
      <c r="E52" s="12">
        <f>SUMIF(Communes_HDF!D:D, B52, Communes_HDF!G:G)</f>
        <v>183.85</v>
      </c>
      <c r="F52" s="6">
        <f t="array" ref="F52">_xlfn.XLOOKUP(A52 ,INSEE_EPCI!A:A , INSEE_EPCI!D:D) </f>
        <v>22357</v>
      </c>
      <c r="G52" s="2">
        <f t="array" ref="G52">_xlfn.XLOOKUP(A52 ,INSEE_EPCI!A:A , INSEE_EPCI!E:E) </f>
        <v>24540</v>
      </c>
      <c r="H52" s="13">
        <f>(INSEE_EPCI!D52-INSEE_EPCI!C52)/INSEE_EPCI!D52</f>
        <v>0.006619850606</v>
      </c>
      <c r="I52" s="12">
        <f t="shared" si="1"/>
        <v>3085.266</v>
      </c>
    </row>
    <row r="53">
      <c r="A53" s="10" t="str">
        <f>INSEE_EPCI!A53</f>
        <v>240200444</v>
      </c>
      <c r="B53" s="2" t="str">
        <f>INSEE_EPCI!B53</f>
        <v>CC de la Thiérache du Centre</v>
      </c>
      <c r="C53" s="11">
        <f t="array" ref="C53">_xlfn.XLOOKUP(A53 ,INSEE_EPCI!A:A , INSEE_EPCI!F:F) </f>
        <v>19.3</v>
      </c>
      <c r="D53" s="2">
        <f>COUNTIF(Communes_HDF!D:D, B53)</f>
        <v>68</v>
      </c>
      <c r="E53" s="12">
        <f>SUMIF(Communes_HDF!D:D, B53, Communes_HDF!G:G)</f>
        <v>726.66</v>
      </c>
      <c r="F53" s="6">
        <f t="array" ref="F53">_xlfn.XLOOKUP(A53 ,INSEE_EPCI!A:A , INSEE_EPCI!D:D) </f>
        <v>25590</v>
      </c>
      <c r="G53" s="2">
        <f t="array" ref="G53">_xlfn.XLOOKUP(A53 ,INSEE_EPCI!A:A , INSEE_EPCI!E:E) </f>
        <v>22900</v>
      </c>
      <c r="H53" s="13">
        <f>(INSEE_EPCI!D53-INSEE_EPCI!C53)/INSEE_EPCI!D53</f>
        <v>-0.03352872216</v>
      </c>
      <c r="I53" s="12">
        <f t="shared" si="1"/>
        <v>4938.87</v>
      </c>
    </row>
    <row r="54">
      <c r="A54" s="10" t="str">
        <f>INSEE_EPCI!A54</f>
        <v>200044030</v>
      </c>
      <c r="B54" s="2" t="str">
        <f>INSEE_EPCI!B54</f>
        <v>CC des 7 Vallées</v>
      </c>
      <c r="C54" s="11">
        <f t="array" ref="C54">_xlfn.XLOOKUP(A54 ,INSEE_EPCI!A:A , INSEE_EPCI!F:F) </f>
        <v>17.9</v>
      </c>
      <c r="D54" s="2">
        <f>COUNTIF(Communes_HDF!D:D, B54)</f>
        <v>66</v>
      </c>
      <c r="E54" s="12">
        <f>SUMIF(Communes_HDF!D:D, B54, Communes_HDF!G:G)</f>
        <v>499.58</v>
      </c>
      <c r="F54" s="6">
        <f t="array" ref="F54">_xlfn.XLOOKUP(A54 ,INSEE_EPCI!A:A , INSEE_EPCI!D:D) </f>
        <v>29526</v>
      </c>
      <c r="G54" s="2">
        <f t="array" ref="G54">_xlfn.XLOOKUP(A54 ,INSEE_EPCI!A:A , INSEE_EPCI!E:E) </f>
        <v>23150</v>
      </c>
      <c r="H54" s="13">
        <f>(INSEE_EPCI!D54-INSEE_EPCI!C54)/INSEE_EPCI!D54</f>
        <v>-0.006875296349</v>
      </c>
      <c r="I54" s="12">
        <f t="shared" si="1"/>
        <v>5285.154</v>
      </c>
    </row>
    <row r="55">
      <c r="A55" s="10" t="str">
        <f>INSEE_EPCI!A55</f>
        <v>200069482</v>
      </c>
      <c r="B55" s="2" t="str">
        <f>INSEE_EPCI!B55</f>
        <v>CC des Campagnes de l'Artois</v>
      </c>
      <c r="C55" s="11">
        <f t="array" ref="C55">_xlfn.XLOOKUP(A55 ,INSEE_EPCI!A:A , INSEE_EPCI!F:F) </f>
        <v>10.1</v>
      </c>
      <c r="D55" s="2">
        <f>COUNTIF(Communes_HDF!D:D, B55)</f>
        <v>96</v>
      </c>
      <c r="E55" s="12">
        <f>SUMIF(Communes_HDF!D:D, B55, Communes_HDF!G:G)</f>
        <v>555.92</v>
      </c>
      <c r="F55" s="6">
        <f t="array" ref="F55">_xlfn.XLOOKUP(A55 ,INSEE_EPCI!A:A , INSEE_EPCI!D:D) </f>
        <v>33442</v>
      </c>
      <c r="G55" s="2">
        <f t="array" ref="G55">_xlfn.XLOOKUP(A55 ,INSEE_EPCI!A:A , INSEE_EPCI!E:E) </f>
        <v>26140</v>
      </c>
      <c r="H55" s="13">
        <f>(INSEE_EPCI!D55-INSEE_EPCI!C55)/INSEE_EPCI!D55</f>
        <v>0.001285808265</v>
      </c>
      <c r="I55" s="12">
        <f t="shared" si="1"/>
        <v>3377.642</v>
      </c>
    </row>
    <row r="56">
      <c r="A56" s="10" t="str">
        <f>INSEE_EPCI!A56</f>
        <v>246000772</v>
      </c>
      <c r="B56" s="2" t="str">
        <f>INSEE_EPCI!B56</f>
        <v>CC des Deux Vallées</v>
      </c>
      <c r="C56" s="11">
        <f t="array" ref="C56">_xlfn.XLOOKUP(A56 ,INSEE_EPCI!A:A , INSEE_EPCI!F:F) </f>
        <v>11.8</v>
      </c>
      <c r="D56" s="2">
        <f>COUNTIF(Communes_HDF!D:D, B56)</f>
        <v>16</v>
      </c>
      <c r="E56" s="12">
        <f>SUMIF(Communes_HDF!D:D, B56, Communes_HDF!G:G)</f>
        <v>114.14</v>
      </c>
      <c r="F56" s="6">
        <f t="array" ref="F56">_xlfn.XLOOKUP(A56 ,INSEE_EPCI!A:A , INSEE_EPCI!D:D) </f>
        <v>22523</v>
      </c>
      <c r="G56" s="2">
        <f t="array" ref="G56">_xlfn.XLOOKUP(A56 ,INSEE_EPCI!A:A , INSEE_EPCI!E:E) </f>
        <v>25850</v>
      </c>
      <c r="H56" s="13">
        <f>(INSEE_EPCI!D56-INSEE_EPCI!C56)/INSEE_EPCI!D56</f>
        <v>-0.01789282067</v>
      </c>
      <c r="I56" s="12">
        <f t="shared" si="1"/>
        <v>2657.714</v>
      </c>
    </row>
    <row r="57">
      <c r="A57" s="10" t="str">
        <f>INSEE_EPCI!A57</f>
        <v>200040954</v>
      </c>
      <c r="B57" s="2" t="str">
        <f>INSEE_EPCI!B57</f>
        <v>CC des Hauts de Flandre</v>
      </c>
      <c r="C57" s="11">
        <f t="array" ref="C57">_xlfn.XLOOKUP(A57 ,INSEE_EPCI!A:A , INSEE_EPCI!F:F) </f>
        <v>10.3</v>
      </c>
      <c r="D57" s="2">
        <f>COUNTIF(Communes_HDF!D:D, B57)</f>
        <v>40</v>
      </c>
      <c r="E57" s="12">
        <f>SUMIF(Communes_HDF!D:D, B57, Communes_HDF!G:G)</f>
        <v>448.54</v>
      </c>
      <c r="F57" s="6">
        <f t="array" ref="F57">_xlfn.XLOOKUP(A57 ,INSEE_EPCI!A:A , INSEE_EPCI!D:D) </f>
        <v>53437</v>
      </c>
      <c r="G57" s="2">
        <f t="array" ref="G57">_xlfn.XLOOKUP(A57 ,INSEE_EPCI!A:A , INSEE_EPCI!E:E) </f>
        <v>26130</v>
      </c>
      <c r="H57" s="13">
        <f>(INSEE_EPCI!D57-INSEE_EPCI!C57)/INSEE_EPCI!D57</f>
        <v>0.00001871362539</v>
      </c>
      <c r="I57" s="12">
        <f t="shared" si="1"/>
        <v>5504.011</v>
      </c>
    </row>
    <row r="58">
      <c r="A58" s="10" t="str">
        <f>INSEE_EPCI!A58</f>
        <v>246000749</v>
      </c>
      <c r="B58" s="2" t="str">
        <f>INSEE_EPCI!B58</f>
        <v>CC des Lisières de l'Oise</v>
      </c>
      <c r="C58" s="11">
        <f t="array" ref="C58">_xlfn.XLOOKUP(A58 ,INSEE_EPCI!A:A , INSEE_EPCI!F:F) </f>
        <v>10</v>
      </c>
      <c r="D58" s="2">
        <f>COUNTIF(Communes_HDF!D:D, B58)</f>
        <v>20</v>
      </c>
      <c r="E58" s="12">
        <f>SUMIF(Communes_HDF!D:D, B58, Communes_HDF!G:G)</f>
        <v>211.15</v>
      </c>
      <c r="F58" s="6">
        <f t="array" ref="F58">_xlfn.XLOOKUP(A58 ,INSEE_EPCI!A:A , INSEE_EPCI!D:D) </f>
        <v>15898</v>
      </c>
      <c r="G58" s="2">
        <f t="array" ref="G58">_xlfn.XLOOKUP(A58 ,INSEE_EPCI!A:A , INSEE_EPCI!E:E) </f>
        <v>26930</v>
      </c>
      <c r="H58" s="13">
        <f>(INSEE_EPCI!D58-INSEE_EPCI!C58)/INSEE_EPCI!D58</f>
        <v>-0.02415398163</v>
      </c>
      <c r="I58" s="12">
        <f t="shared" si="1"/>
        <v>1589.8</v>
      </c>
    </row>
    <row r="59">
      <c r="A59" s="10" t="str">
        <f>INSEE_EPCI!A59</f>
        <v>246000921</v>
      </c>
      <c r="B59" s="2" t="str">
        <f>INSEE_EPCI!B59</f>
        <v>CC des Pays d'Oise et d'Halatte</v>
      </c>
      <c r="C59" s="11">
        <f t="array" ref="C59">_xlfn.XLOOKUP(A59 ,INSEE_EPCI!A:A , INSEE_EPCI!F:F) </f>
        <v>11.1</v>
      </c>
      <c r="D59" s="2">
        <f>COUNTIF(Communes_HDF!D:D, B59)</f>
        <v>17</v>
      </c>
      <c r="E59" s="12">
        <f>SUMIF(Communes_HDF!D:D, B59, Communes_HDF!G:G)</f>
        <v>139.95</v>
      </c>
      <c r="F59" s="6">
        <f t="array" ref="F59">_xlfn.XLOOKUP(A59 ,INSEE_EPCI!A:A , INSEE_EPCI!D:D) </f>
        <v>34469</v>
      </c>
      <c r="G59" s="2">
        <f t="array" ref="G59">_xlfn.XLOOKUP(A59 ,INSEE_EPCI!A:A , INSEE_EPCI!E:E) </f>
        <v>27230</v>
      </c>
      <c r="H59" s="13">
        <f>(INSEE_EPCI!D59-INSEE_EPCI!C59)/INSEE_EPCI!D59</f>
        <v>0.01943775566</v>
      </c>
      <c r="I59" s="12">
        <f t="shared" si="1"/>
        <v>3826.059</v>
      </c>
    </row>
    <row r="60">
      <c r="A60" s="10" t="str">
        <f>INSEE_EPCI!A60</f>
        <v>240200634</v>
      </c>
      <c r="B60" s="2" t="str">
        <f>INSEE_EPCI!B60</f>
        <v>CC des Portes de la Thiérache</v>
      </c>
      <c r="C60" s="11">
        <f t="array" ref="C60">_xlfn.XLOOKUP(A60 ,INSEE_EPCI!A:A , INSEE_EPCI!F:F) </f>
        <v>24</v>
      </c>
      <c r="D60" s="2">
        <f>COUNTIF(Communes_HDF!D:D, B60)</f>
        <v>30</v>
      </c>
      <c r="E60" s="12">
        <f>SUMIF(Communes_HDF!D:D, B60, Communes_HDF!G:G)</f>
        <v>258.11</v>
      </c>
      <c r="F60" s="6">
        <f t="array" ref="F60">_xlfn.XLOOKUP(A60 ,INSEE_EPCI!A:A , INSEE_EPCI!D:D) </f>
        <v>6622</v>
      </c>
      <c r="G60" s="2">
        <f t="array" ref="G60">_xlfn.XLOOKUP(A60 ,INSEE_EPCI!A:A , INSEE_EPCI!E:E) </f>
        <v>21250</v>
      </c>
      <c r="H60" s="13">
        <f>(INSEE_EPCI!D60-INSEE_EPCI!C60)/INSEE_EPCI!D60</f>
        <v>-0.05693144065</v>
      </c>
      <c r="I60" s="12">
        <f t="shared" si="1"/>
        <v>1589.28</v>
      </c>
    </row>
    <row r="61">
      <c r="A61" s="10" t="str">
        <f>INSEE_EPCI!A61</f>
        <v>246000582</v>
      </c>
      <c r="B61" s="2" t="str">
        <f>INSEE_EPCI!B61</f>
        <v>CC des Sablons</v>
      </c>
      <c r="C61" s="11">
        <f t="array" ref="C61">_xlfn.XLOOKUP(A61 ,INSEE_EPCI!A:A , INSEE_EPCI!F:F) </f>
        <v>12.7</v>
      </c>
      <c r="D61" s="2">
        <f>COUNTIF(Communes_HDF!D:D, B61)</f>
        <v>21</v>
      </c>
      <c r="E61" s="12">
        <f>SUMIF(Communes_HDF!D:D, B61, Communes_HDF!G:G)</f>
        <v>226.92</v>
      </c>
      <c r="F61" s="6">
        <f t="array" ref="F61">_xlfn.XLOOKUP(A61 ,INSEE_EPCI!A:A , INSEE_EPCI!D:D) </f>
        <v>38351</v>
      </c>
      <c r="G61" s="2">
        <f t="array" ref="G61">_xlfn.XLOOKUP(A61 ,INSEE_EPCI!A:A , INSEE_EPCI!E:E) </f>
        <v>26310</v>
      </c>
      <c r="H61" s="13">
        <f>(INSEE_EPCI!D61-INSEE_EPCI!C61)/INSEE_EPCI!D61</f>
        <v>-0.0007300983025</v>
      </c>
      <c r="I61" s="12">
        <f t="shared" si="1"/>
        <v>4870.577</v>
      </c>
    </row>
    <row r="62">
      <c r="A62" s="10" t="str">
        <f>INSEE_EPCI!A62</f>
        <v>240200600</v>
      </c>
      <c r="B62" s="2" t="str">
        <f>INSEE_EPCI!B62</f>
        <v>CC des Trois Rivières</v>
      </c>
      <c r="C62" s="11">
        <f t="array" ref="C62">_xlfn.XLOOKUP(A62 ,INSEE_EPCI!A:A , INSEE_EPCI!F:F) </f>
        <v>26</v>
      </c>
      <c r="D62" s="2">
        <f>COUNTIF(Communes_HDF!D:D, B62)</f>
        <v>26</v>
      </c>
      <c r="E62" s="12">
        <f>SUMIF(Communes_HDF!D:D, B62, Communes_HDF!G:G)</f>
        <v>349.93</v>
      </c>
      <c r="F62" s="6">
        <f t="array" ref="F62">_xlfn.XLOOKUP(A62 ,INSEE_EPCI!A:A , INSEE_EPCI!D:D) </f>
        <v>20346</v>
      </c>
      <c r="G62" s="2">
        <f t="array" ref="G62">_xlfn.XLOOKUP(A62 ,INSEE_EPCI!A:A , INSEE_EPCI!E:E) </f>
        <v>20630</v>
      </c>
      <c r="H62" s="13">
        <f>(INSEE_EPCI!D62-INSEE_EPCI!C62)/INSEE_EPCI!D62</f>
        <v>-0.04546348177</v>
      </c>
      <c r="I62" s="12">
        <f t="shared" si="1"/>
        <v>5289.96</v>
      </c>
    </row>
    <row r="63">
      <c r="A63" s="10" t="str">
        <f>INSEE_EPCI!A63</f>
        <v>247600588</v>
      </c>
      <c r="B63" s="2" t="str">
        <f>INSEE_EPCI!B63</f>
        <v>CC des Villes Soeurs</v>
      </c>
      <c r="C63" s="11">
        <f t="array" ref="C63">_xlfn.XLOOKUP(A63 ,INSEE_EPCI!A:A , INSEE_EPCI!F:F) </f>
        <v>14.9</v>
      </c>
      <c r="D63" s="2">
        <f>COUNTIF(Communes_HDF!D:D, B63)</f>
        <v>13</v>
      </c>
      <c r="E63" s="12">
        <f>SUMIF(Communes_HDF!D:D, B63, Communes_HDF!G:G)</f>
        <v>84.31</v>
      </c>
      <c r="F63" s="6">
        <f t="array" ref="F63">_xlfn.XLOOKUP(A63 ,INSEE_EPCI!A:A , INSEE_EPCI!D:D) </f>
        <v>35390</v>
      </c>
      <c r="G63" s="2">
        <f t="array" ref="G63">_xlfn.XLOOKUP(A63 ,INSEE_EPCI!A:A , INSEE_EPCI!E:E) </f>
        <v>24010</v>
      </c>
      <c r="H63" s="13">
        <f>(INSEE_EPCI!D63-INSEE_EPCI!C63)/INSEE_EPCI!D63</f>
        <v>-0.06103419045</v>
      </c>
      <c r="I63" s="12">
        <f t="shared" si="1"/>
        <v>5273.11</v>
      </c>
    </row>
    <row r="64">
      <c r="A64" s="10" t="str">
        <f>INSEE_EPCI!A64</f>
        <v>240200519</v>
      </c>
      <c r="B64" s="2" t="str">
        <f>INSEE_EPCI!B64</f>
        <v>CC du Canton d'Oulchy-le-Château</v>
      </c>
      <c r="C64" s="11">
        <f t="array" ref="C64">_xlfn.XLOOKUP(A64 ,INSEE_EPCI!A:A , INSEE_EPCI!F:F) </f>
        <v>10</v>
      </c>
      <c r="D64" s="2">
        <f>COUNTIF(Communes_HDF!D:D, B64)</f>
        <v>26</v>
      </c>
      <c r="E64" s="12">
        <f>SUMIF(Communes_HDF!D:D, B64, Communes_HDF!G:G)</f>
        <v>232.1</v>
      </c>
      <c r="F64" s="6">
        <f t="array" ref="F64">_xlfn.XLOOKUP(A64 ,INSEE_EPCI!A:A , INSEE_EPCI!D:D) </f>
        <v>5512</v>
      </c>
      <c r="G64" s="2">
        <f t="array" ref="G64">_xlfn.XLOOKUP(A64 ,INSEE_EPCI!A:A , INSEE_EPCI!E:E) </f>
        <v>25290</v>
      </c>
      <c r="H64" s="13">
        <f>(INSEE_EPCI!D64-INSEE_EPCI!C64)/INSEE_EPCI!D64</f>
        <v>-0.02957184325</v>
      </c>
      <c r="I64" s="12">
        <f t="shared" si="1"/>
        <v>551.2</v>
      </c>
    </row>
    <row r="65">
      <c r="A65" s="10" t="str">
        <f>INSEE_EPCI!A65</f>
        <v>240200584</v>
      </c>
      <c r="B65" s="2" t="str">
        <f>INSEE_EPCI!B65</f>
        <v>CC du Canton de Charly-sur-Marne</v>
      </c>
      <c r="C65" s="11">
        <f t="array" ref="C65">_xlfn.XLOOKUP(A65 ,INSEE_EPCI!A:A , INSEE_EPCI!F:F) </f>
        <v>12</v>
      </c>
      <c r="D65" s="2">
        <f>COUNTIF(Communes_HDF!D:D, B65)</f>
        <v>21</v>
      </c>
      <c r="E65" s="12">
        <f>SUMIF(Communes_HDF!D:D, B65, Communes_HDF!G:G)</f>
        <v>236.52</v>
      </c>
      <c r="F65" s="6">
        <f t="array" ref="F65">_xlfn.XLOOKUP(A65 ,INSEE_EPCI!A:A , INSEE_EPCI!D:D) </f>
        <v>15224</v>
      </c>
      <c r="G65" s="2">
        <f t="array" ref="G65">_xlfn.XLOOKUP(A65 ,INSEE_EPCI!A:A , INSEE_EPCI!E:E) </f>
        <v>25680</v>
      </c>
      <c r="H65" s="13">
        <f>(INSEE_EPCI!D65-INSEE_EPCI!C65)/INSEE_EPCI!D65</f>
        <v>-0.03389385181</v>
      </c>
      <c r="I65" s="12">
        <f t="shared" si="1"/>
        <v>1826.88</v>
      </c>
    </row>
    <row r="66">
      <c r="A66" s="10" t="str">
        <f>INSEE_EPCI!A66</f>
        <v>240200592</v>
      </c>
      <c r="B66" s="2" t="str">
        <f>INSEE_EPCI!B66</f>
        <v>CC du Chemin des Dames</v>
      </c>
      <c r="C66" s="11">
        <f t="array" ref="C66">_xlfn.XLOOKUP(A66 ,INSEE_EPCI!A:A , INSEE_EPCI!F:F) </f>
        <v>13</v>
      </c>
      <c r="D66" s="2">
        <f>COUNTIF(Communes_HDF!D:D, B66)</f>
        <v>30</v>
      </c>
      <c r="E66" s="12">
        <f>SUMIF(Communes_HDF!D:D, B66, Communes_HDF!G:G)</f>
        <v>179.31</v>
      </c>
      <c r="F66" s="6">
        <f t="array" ref="F66">_xlfn.XLOOKUP(A66 ,INSEE_EPCI!A:A , INSEE_EPCI!D:D) </f>
        <v>5505</v>
      </c>
      <c r="G66" s="2">
        <f t="array" ref="G66">_xlfn.XLOOKUP(A66 ,INSEE_EPCI!A:A , INSEE_EPCI!E:E) </f>
        <v>25190</v>
      </c>
      <c r="H66" s="13">
        <f>(INSEE_EPCI!D66-INSEE_EPCI!C66)/INSEE_EPCI!D66</f>
        <v>0.003814713896</v>
      </c>
      <c r="I66" s="12">
        <f t="shared" si="1"/>
        <v>715.65</v>
      </c>
    </row>
    <row r="67">
      <c r="A67" s="10" t="str">
        <f>INSEE_EPCI!A67</f>
        <v>246000376</v>
      </c>
      <c r="B67" s="2" t="str">
        <f>INSEE_EPCI!B67</f>
        <v>CC du Clermontois</v>
      </c>
      <c r="C67" s="11">
        <f t="array" ref="C67">_xlfn.XLOOKUP(A67 ,INSEE_EPCI!A:A , INSEE_EPCI!F:F) </f>
        <v>11</v>
      </c>
      <c r="D67" s="2">
        <f>COUNTIF(Communes_HDF!D:D, B67)</f>
        <v>18</v>
      </c>
      <c r="E67" s="12">
        <f>SUMIF(Communes_HDF!D:D, B67, Communes_HDF!G:G)</f>
        <v>148.48</v>
      </c>
      <c r="F67" s="6">
        <f t="array" ref="F67">_xlfn.XLOOKUP(A67 ,INSEE_EPCI!A:A , INSEE_EPCI!D:D) </f>
        <v>37535</v>
      </c>
      <c r="G67" s="2">
        <f t="array" ref="G67">_xlfn.XLOOKUP(A67 ,INSEE_EPCI!A:A , INSEE_EPCI!E:E) </f>
        <v>26840</v>
      </c>
      <c r="H67" s="13">
        <f>(INSEE_EPCI!D67-INSEE_EPCI!C67)/INSEE_EPCI!D67</f>
        <v>0.01065672039</v>
      </c>
      <c r="I67" s="12">
        <f t="shared" si="1"/>
        <v>4128.85</v>
      </c>
    </row>
    <row r="68">
      <c r="A68" s="10" t="str">
        <f>INSEE_EPCI!A68</f>
        <v>200070977</v>
      </c>
      <c r="B68" s="2" t="str">
        <f>INSEE_EPCI!B68</f>
        <v>CC du Grand Roye</v>
      </c>
      <c r="C68" s="11">
        <f t="array" ref="C68">_xlfn.XLOOKUP(A68 ,INSEE_EPCI!A:A , INSEE_EPCI!F:F) </f>
        <v>16.9</v>
      </c>
      <c r="D68" s="2">
        <f>COUNTIF(Communes_HDF!D:D, B68)</f>
        <v>62</v>
      </c>
      <c r="E68" s="12">
        <f>SUMIF(Communes_HDF!D:D, B68, Communes_HDF!G:G)</f>
        <v>398.8</v>
      </c>
      <c r="F68" s="6">
        <f t="array" ref="F68">_xlfn.XLOOKUP(A68 ,INSEE_EPCI!A:A , INSEE_EPCI!D:D) </f>
        <v>25273</v>
      </c>
      <c r="G68" s="2">
        <f t="array" ref="G68">_xlfn.XLOOKUP(A68 ,INSEE_EPCI!A:A , INSEE_EPCI!E:E) </f>
        <v>23630</v>
      </c>
      <c r="H68" s="13">
        <f>(INSEE_EPCI!D68-INSEE_EPCI!C68)/INSEE_EPCI!D68</f>
        <v>-0.02097099672</v>
      </c>
      <c r="I68" s="12">
        <f t="shared" si="1"/>
        <v>4271.137</v>
      </c>
    </row>
    <row r="69">
      <c r="A69" s="10" t="str">
        <f>INSEE_EPCI!A69</f>
        <v>200069235</v>
      </c>
      <c r="B69" s="2" t="str">
        <f>INSEE_EPCI!B69</f>
        <v>CC du Haut Pays du Montreuillois</v>
      </c>
      <c r="C69" s="11">
        <f t="array" ref="C69">_xlfn.XLOOKUP(A69 ,INSEE_EPCI!A:A , INSEE_EPCI!F:F) </f>
        <v>17</v>
      </c>
      <c r="D69" s="2">
        <f>COUNTIF(Communes_HDF!D:D, B69)</f>
        <v>49</v>
      </c>
      <c r="E69" s="12">
        <f>SUMIF(Communes_HDF!D:D, B69, Communes_HDF!G:G)</f>
        <v>422.09</v>
      </c>
      <c r="F69" s="6">
        <f t="array" ref="F69">_xlfn.XLOOKUP(A69 ,INSEE_EPCI!A:A , INSEE_EPCI!D:D) </f>
        <v>15781</v>
      </c>
      <c r="G69" s="2">
        <f t="array" ref="G69">_xlfn.XLOOKUP(A69 ,INSEE_EPCI!A:A , INSEE_EPCI!E:E) </f>
        <v>23240</v>
      </c>
      <c r="H69" s="13">
        <f>(INSEE_EPCI!D69-INSEE_EPCI!C69)/INSEE_EPCI!D69</f>
        <v>0.002534693619</v>
      </c>
      <c r="I69" s="12">
        <f t="shared" si="1"/>
        <v>2682.77</v>
      </c>
    </row>
    <row r="70">
      <c r="A70" s="10" t="str">
        <f>INSEE_EPCI!A70</f>
        <v>246000129</v>
      </c>
      <c r="B70" s="2" t="str">
        <f>INSEE_EPCI!B70</f>
        <v>CC du Liancourtois</v>
      </c>
      <c r="C70" s="11">
        <f t="array" ref="C70">_xlfn.XLOOKUP(A70 ,INSEE_EPCI!A:A , INSEE_EPCI!F:F) </f>
        <v>13</v>
      </c>
      <c r="D70" s="2">
        <f>COUNTIF(Communes_HDF!D:D, B70)</f>
        <v>10</v>
      </c>
      <c r="E70" s="12">
        <f>SUMIF(Communes_HDF!D:D, B70, Communes_HDF!G:G)</f>
        <v>48.83</v>
      </c>
      <c r="F70" s="6">
        <f t="array" ref="F70">_xlfn.XLOOKUP(A70 ,INSEE_EPCI!A:A , INSEE_EPCI!D:D) </f>
        <v>23801</v>
      </c>
      <c r="G70" s="2">
        <f t="array" ref="G70">_xlfn.XLOOKUP(A70 ,INSEE_EPCI!A:A , INSEE_EPCI!E:E) </f>
        <v>25840</v>
      </c>
      <c r="H70" s="13">
        <f>(INSEE_EPCI!D70-INSEE_EPCI!C70)/INSEE_EPCI!D70</f>
        <v>0.005924120835</v>
      </c>
      <c r="I70" s="12">
        <f t="shared" si="1"/>
        <v>3094.13</v>
      </c>
    </row>
    <row r="71">
      <c r="A71" s="10" t="str">
        <f>INSEE_EPCI!A71</f>
        <v>246000756</v>
      </c>
      <c r="B71" s="2" t="str">
        <f>INSEE_EPCI!B71</f>
        <v>CC du Pays Noyonnais</v>
      </c>
      <c r="C71" s="11">
        <f t="array" ref="C71">_xlfn.XLOOKUP(A71 ,INSEE_EPCI!A:A , INSEE_EPCI!F:F) </f>
        <v>20.1</v>
      </c>
      <c r="D71" s="2">
        <f>COUNTIF(Communes_HDF!D:D, B71)</f>
        <v>42</v>
      </c>
      <c r="E71" s="12">
        <f>SUMIF(Communes_HDF!D:D, B71, Communes_HDF!G:G)</f>
        <v>267.53</v>
      </c>
      <c r="F71" s="6">
        <f t="array" ref="F71">_xlfn.XLOOKUP(A71 ,INSEE_EPCI!A:A , INSEE_EPCI!D:D) </f>
        <v>31901</v>
      </c>
      <c r="G71" s="2">
        <f t="array" ref="G71">_xlfn.XLOOKUP(A71 ,INSEE_EPCI!A:A , INSEE_EPCI!E:E) </f>
        <v>23240</v>
      </c>
      <c r="H71" s="13">
        <f>(INSEE_EPCI!D71-INSEE_EPCI!C71)/INSEE_EPCI!D71</f>
        <v>-0.03332183944</v>
      </c>
      <c r="I71" s="12">
        <f t="shared" si="1"/>
        <v>6412.101</v>
      </c>
    </row>
    <row r="72">
      <c r="A72" s="10" t="str">
        <f>INSEE_EPCI!A72</f>
        <v>245901038</v>
      </c>
      <c r="B72" s="2" t="str">
        <f>INSEE_EPCI!B72</f>
        <v>CC du Pays Solesmois</v>
      </c>
      <c r="C72" s="11">
        <f t="array" ref="C72">_xlfn.XLOOKUP(A72 ,INSEE_EPCI!A:A , INSEE_EPCI!F:F) </f>
        <v>15</v>
      </c>
      <c r="D72" s="2">
        <f>COUNTIF(Communes_HDF!D:D, B72)</f>
        <v>15</v>
      </c>
      <c r="E72" s="12">
        <f>SUMIF(Communes_HDF!D:D, B72, Communes_HDF!G:G)</f>
        <v>117.19</v>
      </c>
      <c r="F72" s="6">
        <f t="array" ref="F72">_xlfn.XLOOKUP(A72 ,INSEE_EPCI!A:A , INSEE_EPCI!D:D) </f>
        <v>14470</v>
      </c>
      <c r="G72" s="2">
        <f t="array" ref="G72">_xlfn.XLOOKUP(A72 ,INSEE_EPCI!A:A , INSEE_EPCI!E:E) </f>
        <v>24330</v>
      </c>
      <c r="H72" s="13">
        <f>(INSEE_EPCI!D72-INSEE_EPCI!C72)/INSEE_EPCI!D72</f>
        <v>-0.03026952315</v>
      </c>
      <c r="I72" s="12">
        <f t="shared" si="1"/>
        <v>2170.5</v>
      </c>
    </row>
    <row r="73">
      <c r="A73" s="10" t="str">
        <f>INSEE_EPCI!A73</f>
        <v>246000913</v>
      </c>
      <c r="B73" s="2" t="str">
        <f>INSEE_EPCI!B73</f>
        <v>CC du Pays de Bray</v>
      </c>
      <c r="C73" s="11">
        <f t="array" ref="C73">_xlfn.XLOOKUP(A73 ,INSEE_EPCI!A:A , INSEE_EPCI!F:F) </f>
        <v>12</v>
      </c>
      <c r="D73" s="2">
        <f>COUNTIF(Communes_HDF!D:D, B73)</f>
        <v>23</v>
      </c>
      <c r="E73" s="12">
        <f>SUMIF(Communes_HDF!D:D, B73, Communes_HDF!G:G)</f>
        <v>246.41</v>
      </c>
      <c r="F73" s="6">
        <f t="array" ref="F73">_xlfn.XLOOKUP(A73 ,INSEE_EPCI!A:A , INSEE_EPCI!D:D) </f>
        <v>18086</v>
      </c>
      <c r="G73" s="2">
        <f t="array" ref="G73">_xlfn.XLOOKUP(A73 ,INSEE_EPCI!A:A , INSEE_EPCI!E:E) </f>
        <v>25560</v>
      </c>
      <c r="H73" s="13">
        <f>(INSEE_EPCI!D73-INSEE_EPCI!C73)/INSEE_EPCI!D73</f>
        <v>-0.01166648236</v>
      </c>
      <c r="I73" s="12">
        <f t="shared" si="1"/>
        <v>2170.32</v>
      </c>
    </row>
    <row r="74">
      <c r="A74" s="10" t="str">
        <f>INSEE_EPCI!A74</f>
        <v>246201016</v>
      </c>
      <c r="B74" s="2" t="str">
        <f>INSEE_EPCI!B74</f>
        <v>CC du Pays de Lumbres</v>
      </c>
      <c r="C74" s="11">
        <f t="array" ref="C74">_xlfn.XLOOKUP(A74 ,INSEE_EPCI!A:A , INSEE_EPCI!F:F) </f>
        <v>12.8</v>
      </c>
      <c r="D74" s="2">
        <f>COUNTIF(Communes_HDF!D:D, B74)</f>
        <v>36</v>
      </c>
      <c r="E74" s="12">
        <f>SUMIF(Communes_HDF!D:D, B74, Communes_HDF!G:G)</f>
        <v>271.1</v>
      </c>
      <c r="F74" s="6">
        <f t="array" ref="F74">_xlfn.XLOOKUP(A74 ,INSEE_EPCI!A:A , INSEE_EPCI!D:D) </f>
        <v>24109</v>
      </c>
      <c r="G74" s="2">
        <f t="array" ref="G74">_xlfn.XLOOKUP(A74 ,INSEE_EPCI!A:A , INSEE_EPCI!E:E) </f>
        <v>24370</v>
      </c>
      <c r="H74" s="13">
        <f>(INSEE_EPCI!D74-INSEE_EPCI!C74)/INSEE_EPCI!D74</f>
        <v>-0.00576548177</v>
      </c>
      <c r="I74" s="12">
        <f t="shared" si="1"/>
        <v>3085.952</v>
      </c>
    </row>
    <row r="75">
      <c r="A75" s="10" t="str">
        <f>INSEE_EPCI!A75</f>
        <v>200043321</v>
      </c>
      <c r="B75" s="2" t="str">
        <f>INSEE_EPCI!B75</f>
        <v>CC du Pays de Mormal</v>
      </c>
      <c r="C75" s="11">
        <f t="array" ref="C75">_xlfn.XLOOKUP(A75 ,INSEE_EPCI!A:A , INSEE_EPCI!F:F) </f>
        <v>14.3</v>
      </c>
      <c r="D75" s="2">
        <f>COUNTIF(Communes_HDF!D:D, B75)</f>
        <v>52</v>
      </c>
      <c r="E75" s="12">
        <f>SUMIF(Communes_HDF!D:D, B75, Communes_HDF!G:G)</f>
        <v>466.44</v>
      </c>
      <c r="F75" s="6">
        <f t="array" ref="F75">_xlfn.XLOOKUP(A75 ,INSEE_EPCI!A:A , INSEE_EPCI!D:D) </f>
        <v>48048</v>
      </c>
      <c r="G75" s="2">
        <f t="array" ref="G75">_xlfn.XLOOKUP(A75 ,INSEE_EPCI!A:A , INSEE_EPCI!E:E) </f>
        <v>25710</v>
      </c>
      <c r="H75" s="13">
        <f>(INSEE_EPCI!D75-INSEE_EPCI!C75)/INSEE_EPCI!D75</f>
        <v>-0.008179320679</v>
      </c>
      <c r="I75" s="12">
        <f t="shared" si="1"/>
        <v>6870.864</v>
      </c>
    </row>
    <row r="76">
      <c r="A76" s="10" t="str">
        <f>INSEE_EPCI!A76</f>
        <v>246000871</v>
      </c>
      <c r="B76" s="2" t="str">
        <f>INSEE_EPCI!B76</f>
        <v>CC du Pays de Valois</v>
      </c>
      <c r="C76" s="11">
        <f t="array" ref="C76">_xlfn.XLOOKUP(A76 ,INSEE_EPCI!A:A , INSEE_EPCI!F:F) </f>
        <v>8</v>
      </c>
      <c r="D76" s="2">
        <f>COUNTIF(Communes_HDF!D:D, B76)</f>
        <v>62</v>
      </c>
      <c r="E76" s="12">
        <f>SUMIF(Communes_HDF!D:D, B76, Communes_HDF!G:G)</f>
        <v>617.96</v>
      </c>
      <c r="F76" s="6">
        <f t="array" ref="F76">_xlfn.XLOOKUP(A76 ,INSEE_EPCI!A:A , INSEE_EPCI!D:D) </f>
        <v>55548</v>
      </c>
      <c r="G76" s="2">
        <f t="array" ref="G76">_xlfn.XLOOKUP(A76 ,INSEE_EPCI!A:A , INSEE_EPCI!E:E) </f>
        <v>28270</v>
      </c>
      <c r="H76" s="13">
        <f>(INSEE_EPCI!D76-INSEE_EPCI!C76)/INSEE_EPCI!D76</f>
        <v>-0.003330452942</v>
      </c>
      <c r="I76" s="12">
        <f t="shared" si="1"/>
        <v>4443.84</v>
      </c>
    </row>
    <row r="77">
      <c r="A77" s="10" t="str">
        <f>INSEE_EPCI!A77</f>
        <v>240200469</v>
      </c>
      <c r="B77" s="2" t="str">
        <f>INSEE_EPCI!B77</f>
        <v>CC du Pays de la Serre</v>
      </c>
      <c r="C77" s="11">
        <f t="array" ref="C77">_xlfn.XLOOKUP(A77 ,INSEE_EPCI!A:A , INSEE_EPCI!F:F) </f>
        <v>15</v>
      </c>
      <c r="D77" s="2">
        <f>COUNTIF(Communes_HDF!D:D, B77)</f>
        <v>42</v>
      </c>
      <c r="E77" s="12">
        <f>SUMIF(Communes_HDF!D:D, B77, Communes_HDF!G:G)</f>
        <v>431.47</v>
      </c>
      <c r="F77" s="6">
        <f t="array" ref="F77">_xlfn.XLOOKUP(A77 ,INSEE_EPCI!A:A , INSEE_EPCI!D:D) </f>
        <v>14337</v>
      </c>
      <c r="G77" s="2">
        <f t="array" ref="G77">_xlfn.XLOOKUP(A77 ,INSEE_EPCI!A:A , INSEE_EPCI!E:E) </f>
        <v>23550</v>
      </c>
      <c r="H77" s="13">
        <f>(INSEE_EPCI!D77-INSEE_EPCI!C77)/INSEE_EPCI!D77</f>
        <v>-0.01590290856</v>
      </c>
      <c r="I77" s="12">
        <f t="shared" si="1"/>
        <v>2150.55</v>
      </c>
    </row>
    <row r="78">
      <c r="A78" s="10" t="str">
        <f>INSEE_EPCI!A78</f>
        <v>246000855</v>
      </c>
      <c r="B78" s="2" t="str">
        <f>INSEE_EPCI!B78</f>
        <v>CC du Pays des Sources</v>
      </c>
      <c r="C78" s="11">
        <f t="array" ref="C78">_xlfn.XLOOKUP(A78 ,INSEE_EPCI!A:A , INSEE_EPCI!F:F) </f>
        <v>9</v>
      </c>
      <c r="D78" s="2">
        <f>COUNTIF(Communes_HDF!D:D, B78)</f>
        <v>48</v>
      </c>
      <c r="E78" s="12">
        <f>SUMIF(Communes_HDF!D:D, B78, Communes_HDF!G:G)</f>
        <v>353.18</v>
      </c>
      <c r="F78" s="6">
        <f t="array" ref="F78">_xlfn.XLOOKUP(A78 ,INSEE_EPCI!A:A , INSEE_EPCI!D:D) </f>
        <v>22081</v>
      </c>
      <c r="G78" s="2">
        <f t="array" ref="G78">_xlfn.XLOOKUP(A78 ,INSEE_EPCI!A:A , INSEE_EPCI!E:E) </f>
        <v>27170</v>
      </c>
      <c r="H78" s="13">
        <f>(INSEE_EPCI!D78-INSEE_EPCI!C78)/INSEE_EPCI!D78</f>
        <v>-0.001041619492</v>
      </c>
      <c r="I78" s="12">
        <f t="shared" si="1"/>
        <v>1987.29</v>
      </c>
    </row>
    <row r="79">
      <c r="A79" s="10" t="str">
        <f>INSEE_EPCI!A79</f>
        <v>248000747</v>
      </c>
      <c r="B79" s="2" t="str">
        <f>INSEE_EPCI!B79</f>
        <v>CC du Pays du Coquelicot</v>
      </c>
      <c r="C79" s="11">
        <f t="array" ref="C79">_xlfn.XLOOKUP(A79 ,INSEE_EPCI!A:A , INSEE_EPCI!F:F) </f>
        <v>14.1</v>
      </c>
      <c r="D79" s="2">
        <f>COUNTIF(Communes_HDF!D:D, B79)</f>
        <v>65</v>
      </c>
      <c r="E79" s="12">
        <f>SUMIF(Communes_HDF!D:D, B79, Communes_HDF!G:G)</f>
        <v>466.13</v>
      </c>
      <c r="F79" s="6">
        <f t="array" ref="F79">_xlfn.XLOOKUP(A79 ,INSEE_EPCI!A:A , INSEE_EPCI!D:D) </f>
        <v>27713</v>
      </c>
      <c r="G79" s="2">
        <f t="array" ref="G79">_xlfn.XLOOKUP(A79 ,INSEE_EPCI!A:A , INSEE_EPCI!E:E) </f>
        <v>24530</v>
      </c>
      <c r="H79" s="13">
        <f>(INSEE_EPCI!D79-INSEE_EPCI!C79)/INSEE_EPCI!D79</f>
        <v>-0.02536715621</v>
      </c>
      <c r="I79" s="12">
        <f t="shared" si="1"/>
        <v>3907.533</v>
      </c>
    </row>
    <row r="80">
      <c r="A80" s="10" t="str">
        <f>INSEE_EPCI!A80</f>
        <v>240200493</v>
      </c>
      <c r="B80" s="2" t="str">
        <f>INSEE_EPCI!B80</f>
        <v>CC du Pays du Vermandois</v>
      </c>
      <c r="C80" s="11">
        <f t="array" ref="C80">_xlfn.XLOOKUP(A80 ,INSEE_EPCI!A:A , INSEE_EPCI!F:F) </f>
        <v>18.2</v>
      </c>
      <c r="D80" s="2">
        <f>COUNTIF(Communes_HDF!D:D, B80)</f>
        <v>54</v>
      </c>
      <c r="E80" s="12">
        <f>SUMIF(Communes_HDF!D:D, B80, Communes_HDF!G:G)</f>
        <v>450.17</v>
      </c>
      <c r="F80" s="6">
        <f t="array" ref="F80">_xlfn.XLOOKUP(A80 ,INSEE_EPCI!A:A , INSEE_EPCI!D:D) </f>
        <v>30577</v>
      </c>
      <c r="G80" s="2">
        <f t="array" ref="G80">_xlfn.XLOOKUP(A80 ,INSEE_EPCI!A:A , INSEE_EPCI!E:E) </f>
        <v>23320</v>
      </c>
      <c r="H80" s="13">
        <f>(INSEE_EPCI!D80-INSEE_EPCI!C80)/INSEE_EPCI!D80</f>
        <v>-0.02060372175</v>
      </c>
      <c r="I80" s="12">
        <f t="shared" si="1"/>
        <v>5565.014</v>
      </c>
    </row>
    <row r="81">
      <c r="A81" s="10" t="str">
        <f>INSEE_EPCI!A81</f>
        <v>246000566</v>
      </c>
      <c r="B81" s="2" t="str">
        <f>INSEE_EPCI!B81</f>
        <v>CC du Plateau Picard</v>
      </c>
      <c r="C81" s="11">
        <f t="array" ref="C81">_xlfn.XLOOKUP(A81 ,INSEE_EPCI!A:A , INSEE_EPCI!F:F) </f>
        <v>11.5</v>
      </c>
      <c r="D81" s="2">
        <f>COUNTIF(Communes_HDF!D:D, B81)</f>
        <v>52</v>
      </c>
      <c r="E81" s="12">
        <f>SUMIF(Communes_HDF!D:D, B81, Communes_HDF!G:G)</f>
        <v>440.41</v>
      </c>
      <c r="F81" s="6">
        <f t="array" ref="F81">_xlfn.XLOOKUP(A81 ,INSEE_EPCI!A:A , INSEE_EPCI!D:D) </f>
        <v>29412</v>
      </c>
      <c r="G81" s="2">
        <f t="array" ref="G81">_xlfn.XLOOKUP(A81 ,INSEE_EPCI!A:A , INSEE_EPCI!E:E) </f>
        <v>25350</v>
      </c>
      <c r="H81" s="13">
        <f>(INSEE_EPCI!D81-INSEE_EPCI!C81)/INSEE_EPCI!D81</f>
        <v>-0.02845777234</v>
      </c>
      <c r="I81" s="12">
        <f t="shared" si="1"/>
        <v>3382.38</v>
      </c>
    </row>
    <row r="82">
      <c r="A82" s="10" t="str">
        <f>INSEE_EPCI!A82</f>
        <v>200035442</v>
      </c>
      <c r="B82" s="2" t="str">
        <f>INSEE_EPCI!B82</f>
        <v>CC du Sud Artois</v>
      </c>
      <c r="C82" s="11">
        <f t="array" ref="C82">_xlfn.XLOOKUP(A82 ,INSEE_EPCI!A:A , INSEE_EPCI!F:F) </f>
        <v>13.5</v>
      </c>
      <c r="D82" s="2">
        <f>COUNTIF(Communes_HDF!D:D, B82)</f>
        <v>64</v>
      </c>
      <c r="E82" s="12">
        <f>SUMIF(Communes_HDF!D:D, B82, Communes_HDF!G:G)</f>
        <v>426.2</v>
      </c>
      <c r="F82" s="6">
        <f t="array" ref="F82">_xlfn.XLOOKUP(A82 ,INSEE_EPCI!A:A , INSEE_EPCI!D:D) </f>
        <v>26962</v>
      </c>
      <c r="G82" s="2">
        <f t="array" ref="G82">_xlfn.XLOOKUP(A82 ,INSEE_EPCI!A:A , INSEE_EPCI!E:E) </f>
        <v>24390</v>
      </c>
      <c r="H82" s="13">
        <f>(INSEE_EPCI!D82-INSEE_EPCI!C82)/INSEE_EPCI!D82</f>
        <v>-0.01832208293</v>
      </c>
      <c r="I82" s="12">
        <f t="shared" si="1"/>
        <v>3639.87</v>
      </c>
    </row>
    <row r="83">
      <c r="A83" s="10" t="str">
        <f>INSEE_EPCI!A83</f>
        <v>200043404</v>
      </c>
      <c r="B83" s="2" t="str">
        <f>INSEE_EPCI!B83</f>
        <v>CC du Sud Avesnois</v>
      </c>
      <c r="C83" s="11">
        <f t="array" ref="C83">_xlfn.XLOOKUP(A83 ,INSEE_EPCI!A:A , INSEE_EPCI!F:F) </f>
        <v>29.7</v>
      </c>
      <c r="D83" s="2">
        <f>COUNTIF(Communes_HDF!D:D, B83)</f>
        <v>12</v>
      </c>
      <c r="E83" s="12">
        <f>SUMIF(Communes_HDF!D:D, B83, Communes_HDF!G:G)</f>
        <v>179.04</v>
      </c>
      <c r="F83" s="6">
        <f t="array" ref="F83">_xlfn.XLOOKUP(A83 ,INSEE_EPCI!A:A , INSEE_EPCI!D:D) </f>
        <v>24208</v>
      </c>
      <c r="G83" s="2">
        <f t="array" ref="G83">_xlfn.XLOOKUP(A83 ,INSEE_EPCI!A:A , INSEE_EPCI!E:E) </f>
        <v>20100</v>
      </c>
      <c r="H83" s="13">
        <f>(INSEE_EPCI!D83-INSEE_EPCI!C83)/INSEE_EPCI!D83</f>
        <v>-0.04122604098</v>
      </c>
      <c r="I83" s="12">
        <f t="shared" si="1"/>
        <v>7189.776</v>
      </c>
    </row>
    <row r="84">
      <c r="A84" s="10" t="str">
        <f>INSEE_EPCI!A84</f>
        <v>200069672</v>
      </c>
      <c r="B84" s="2" t="str">
        <f>INSEE_EPCI!B84</f>
        <v>CC du Ternois</v>
      </c>
      <c r="C84" s="11">
        <f t="array" ref="C84">_xlfn.XLOOKUP(A84 ,INSEE_EPCI!A:A , INSEE_EPCI!F:F) </f>
        <v>18.9</v>
      </c>
      <c r="D84" s="2">
        <f>COUNTIF(Communes_HDF!D:D, B84)</f>
        <v>103</v>
      </c>
      <c r="E84" s="12">
        <f>SUMIF(Communes_HDF!D:D, B84, Communes_HDF!G:G)</f>
        <v>635.48</v>
      </c>
      <c r="F84" s="6">
        <f t="array" ref="F84">_xlfn.XLOOKUP(A84 ,INSEE_EPCI!A:A , INSEE_EPCI!D:D) </f>
        <v>36913</v>
      </c>
      <c r="G84" s="2">
        <f t="array" ref="G84">_xlfn.XLOOKUP(A84 ,INSEE_EPCI!A:A , INSEE_EPCI!E:E) </f>
        <v>23180</v>
      </c>
      <c r="H84" s="13">
        <f>(INSEE_EPCI!D84-INSEE_EPCI!C84)/INSEE_EPCI!D84</f>
        <v>-0.03930864465</v>
      </c>
      <c r="I84" s="12">
        <f t="shared" si="1"/>
        <v>6976.557</v>
      </c>
    </row>
    <row r="85">
      <c r="A85" s="10" t="str">
        <f>INSEE_EPCI!A85</f>
        <v>200070951</v>
      </c>
      <c r="B85" s="2" t="str">
        <f>INSEE_EPCI!B85</f>
        <v>CC du Territoire Nord Picardie</v>
      </c>
      <c r="C85" s="11">
        <f t="array" ref="C85">_xlfn.XLOOKUP(A85 ,INSEE_EPCI!A:A , INSEE_EPCI!F:F) </f>
        <v>13.9</v>
      </c>
      <c r="D85" s="2">
        <f>COUNTIF(Communes_HDF!D:D, B85)</f>
        <v>65</v>
      </c>
      <c r="E85" s="12">
        <f>SUMIF(Communes_HDF!D:D, B85, Communes_HDF!G:G)</f>
        <v>539.74</v>
      </c>
      <c r="F85" s="6">
        <f t="array" ref="F85">_xlfn.XLOOKUP(A85 ,INSEE_EPCI!A:A , INSEE_EPCI!D:D) </f>
        <v>30685</v>
      </c>
      <c r="G85" s="2">
        <f t="array" ref="G85">_xlfn.XLOOKUP(A85 ,INSEE_EPCI!A:A , INSEE_EPCI!E:E) </f>
        <v>24940</v>
      </c>
      <c r="H85" s="13">
        <f>(INSEE_EPCI!D85-INSEE_EPCI!C85)/INSEE_EPCI!D85</f>
        <v>-0.02493074792</v>
      </c>
      <c r="I85" s="12">
        <f t="shared" si="1"/>
        <v>4265.215</v>
      </c>
    </row>
    <row r="86">
      <c r="A86" s="10" t="str">
        <f>INSEE_EPCI!A86</f>
        <v>248000499</v>
      </c>
      <c r="B86" s="2" t="str">
        <f>INSEE_EPCI!B86</f>
        <v>CC du Val de Somme</v>
      </c>
      <c r="C86" s="11">
        <f t="array" ref="C86">_xlfn.XLOOKUP(A86 ,INSEE_EPCI!A:A , INSEE_EPCI!F:F) </f>
        <v>9.6</v>
      </c>
      <c r="D86" s="2">
        <f>COUNTIF(Communes_HDF!D:D, B86)</f>
        <v>33</v>
      </c>
      <c r="E86" s="12">
        <f>SUMIF(Communes_HDF!D:D, B86, Communes_HDF!G:G)</f>
        <v>247.08</v>
      </c>
      <c r="F86" s="6">
        <f t="array" ref="F86">_xlfn.XLOOKUP(A86 ,INSEE_EPCI!A:A , INSEE_EPCI!D:D) </f>
        <v>26314</v>
      </c>
      <c r="G86" s="2">
        <f t="array" ref="G86">_xlfn.XLOOKUP(A86 ,INSEE_EPCI!A:A , INSEE_EPCI!E:E) </f>
        <v>26250</v>
      </c>
      <c r="H86" s="13">
        <f>(INSEE_EPCI!D86-INSEE_EPCI!C86)/INSEE_EPCI!D86</f>
        <v>-0.011058752</v>
      </c>
      <c r="I86" s="12">
        <f t="shared" si="1"/>
        <v>2526.144</v>
      </c>
    </row>
    <row r="87">
      <c r="A87" s="10" t="str">
        <f>INSEE_EPCI!A87</f>
        <v>240200501</v>
      </c>
      <c r="B87" s="2" t="str">
        <f>INSEE_EPCI!B87</f>
        <v>CC du Val de l'Aisne</v>
      </c>
      <c r="C87" s="11">
        <f t="array" ref="C87">_xlfn.XLOOKUP(A87 ,INSEE_EPCI!A:A , INSEE_EPCI!F:F) </f>
        <v>12</v>
      </c>
      <c r="D87" s="2">
        <f>COUNTIF(Communes_HDF!D:D, B87)</f>
        <v>56</v>
      </c>
      <c r="E87" s="12">
        <f>SUMIF(Communes_HDF!D:D, B87, Communes_HDF!G:G)</f>
        <v>396.56</v>
      </c>
      <c r="F87" s="6">
        <f t="array" ref="F87">_xlfn.XLOOKUP(A87 ,INSEE_EPCI!A:A , INSEE_EPCI!D:D) </f>
        <v>20310</v>
      </c>
      <c r="G87" s="2">
        <f t="array" ref="G87">_xlfn.XLOOKUP(A87 ,INSEE_EPCI!A:A , INSEE_EPCI!E:E) </f>
        <v>25120</v>
      </c>
      <c r="H87" s="13">
        <f>(INSEE_EPCI!D87-INSEE_EPCI!C87)/INSEE_EPCI!D87</f>
        <v>0.001280157558</v>
      </c>
      <c r="I87" s="12">
        <f t="shared" si="1"/>
        <v>2437.2</v>
      </c>
    </row>
    <row r="88">
      <c r="A88" s="10" t="str">
        <f>INSEE_EPCI!A88</f>
        <v>200040426</v>
      </c>
      <c r="B88" s="2" t="str">
        <f>INSEE_EPCI!B88</f>
        <v>CC du Val de l'Oise</v>
      </c>
      <c r="C88" s="11">
        <f t="array" ref="C88">_xlfn.XLOOKUP(A88 ,INSEE_EPCI!A:A , INSEE_EPCI!F:F) </f>
        <v>14</v>
      </c>
      <c r="D88" s="2">
        <f>COUNTIF(Communes_HDF!D:D, B88)</f>
        <v>32</v>
      </c>
      <c r="E88" s="12">
        <f>SUMIF(Communes_HDF!D:D, B88, Communes_HDF!G:G)</f>
        <v>328.37</v>
      </c>
      <c r="F88" s="6">
        <f t="array" ref="F88">_xlfn.XLOOKUP(A88 ,INSEE_EPCI!A:A , INSEE_EPCI!D:D) </f>
        <v>15838</v>
      </c>
      <c r="G88" s="2">
        <f t="array" ref="G88">_xlfn.XLOOKUP(A88 ,INSEE_EPCI!A:A , INSEE_EPCI!E:E) </f>
        <v>24580</v>
      </c>
      <c r="H88" s="13">
        <f>(INSEE_EPCI!D88-INSEE_EPCI!C88)/INSEE_EPCI!D88</f>
        <v>-0.01546912489</v>
      </c>
      <c r="I88" s="12">
        <f t="shared" si="1"/>
        <v>2217.32</v>
      </c>
    </row>
    <row r="89">
      <c r="A89" s="10" t="str">
        <f>INSEE_EPCI!A89</f>
        <v>246000707</v>
      </c>
      <c r="B89" s="2" t="str">
        <f>INSEE_EPCI!B89</f>
        <v>CC du Vexin-Thelle</v>
      </c>
      <c r="C89" s="11">
        <f t="array" ref="C89">_xlfn.XLOOKUP(A89 ,INSEE_EPCI!A:A , INSEE_EPCI!F:F) </f>
        <v>7</v>
      </c>
      <c r="D89" s="2">
        <f>COUNTIF(Communes_HDF!D:D, B89)</f>
        <v>37</v>
      </c>
      <c r="E89" s="12">
        <f>SUMIF(Communes_HDF!D:D, B89, Communes_HDF!G:G)</f>
        <v>314.69</v>
      </c>
      <c r="F89" s="6">
        <f t="array" ref="F89">_xlfn.XLOOKUP(A89 ,INSEE_EPCI!A:A , INSEE_EPCI!D:D) </f>
        <v>20462</v>
      </c>
      <c r="G89" s="2">
        <f t="array" ref="G89">_xlfn.XLOOKUP(A89 ,INSEE_EPCI!A:A , INSEE_EPCI!E:E) </f>
        <v>28390</v>
      </c>
      <c r="H89" s="13">
        <f>(INSEE_EPCI!D89-INSEE_EPCI!C89)/INSEE_EPCI!D89</f>
        <v>0.007037435246</v>
      </c>
      <c r="I89" s="12">
        <f t="shared" si="1"/>
        <v>1432.34</v>
      </c>
    </row>
    <row r="90">
      <c r="A90" s="10" t="str">
        <f>INSEE_EPCI!A90</f>
        <v>200070944</v>
      </c>
      <c r="B90" s="2" t="str">
        <f>INSEE_EPCI!B90</f>
        <v>CC du Vimeu</v>
      </c>
      <c r="C90" s="11">
        <f t="array" ref="C90">_xlfn.XLOOKUP(A90 ,INSEE_EPCI!A:A , INSEE_EPCI!F:F) </f>
        <v>14.1</v>
      </c>
      <c r="D90" s="2">
        <f>COUNTIF(Communes_HDF!D:D, B90)</f>
        <v>25</v>
      </c>
      <c r="E90" s="12">
        <f>SUMIF(Communes_HDF!D:D, B90, Communes_HDF!G:G)</f>
        <v>189.66</v>
      </c>
      <c r="F90" s="6">
        <f t="array" ref="F90">_xlfn.XLOOKUP(A90 ,INSEE_EPCI!A:A , INSEE_EPCI!D:D) </f>
        <v>22072</v>
      </c>
      <c r="G90" s="2">
        <f t="array" ref="G90">_xlfn.XLOOKUP(A90 ,INSEE_EPCI!A:A , INSEE_EPCI!E:E) </f>
        <v>23690</v>
      </c>
      <c r="H90" s="13">
        <f>(INSEE_EPCI!D90-INSEE_EPCI!C90)/INSEE_EPCI!D90</f>
        <v>-0.03320949619</v>
      </c>
      <c r="I90" s="12">
        <f t="shared" si="1"/>
        <v>3112.152</v>
      </c>
    </row>
    <row r="91">
      <c r="A91" s="10" t="str">
        <f>INSEE_EPCI!A91</f>
        <v>200033579</v>
      </c>
      <c r="B91" s="2" t="str">
        <f>INSEE_EPCI!B91</f>
        <v>CU d'Arras</v>
      </c>
      <c r="C91" s="11">
        <f t="array" ref="C91">_xlfn.XLOOKUP(A91 ,INSEE_EPCI!A:A , INSEE_EPCI!F:F) </f>
        <v>16.5</v>
      </c>
      <c r="D91" s="2">
        <f>COUNTIF(Communes_HDF!D:D, B91)</f>
        <v>46</v>
      </c>
      <c r="E91" s="12">
        <f>SUMIF(Communes_HDF!D:D, B91, Communes_HDF!G:G)</f>
        <v>306.66</v>
      </c>
      <c r="F91" s="6">
        <f t="array" ref="F91">_xlfn.XLOOKUP(A91 ,INSEE_EPCI!A:A , INSEE_EPCI!D:D) </f>
        <v>109884</v>
      </c>
      <c r="G91" s="2">
        <f t="array" ref="G91">_xlfn.XLOOKUP(A91 ,INSEE_EPCI!A:A , INSEE_EPCI!E:E) </f>
        <v>25670</v>
      </c>
      <c r="H91" s="13">
        <f>(INSEE_EPCI!D91-INSEE_EPCI!C91)/INSEE_EPCI!D91</f>
        <v>0.0193021732</v>
      </c>
      <c r="I91" s="12">
        <f t="shared" si="1"/>
        <v>18130.86</v>
      </c>
    </row>
    <row r="92">
      <c r="A92" s="10" t="str">
        <f>INSEE_EPCI!A92</f>
        <v>245900428</v>
      </c>
      <c r="B92" s="2" t="str">
        <f>INSEE_EPCI!B92</f>
        <v>CU de Dunkerque</v>
      </c>
      <c r="C92" s="11">
        <f t="array" ref="C92">_xlfn.XLOOKUP(A92 ,INSEE_EPCI!A:A , INSEE_EPCI!F:F) </f>
        <v>20.3</v>
      </c>
      <c r="D92" s="2">
        <f>COUNTIF(Communes_HDF!D:D, B92)</f>
        <v>17</v>
      </c>
      <c r="E92" s="12">
        <f>SUMIF(Communes_HDF!D:D, B92, Communes_HDF!G:G)</f>
        <v>300.98</v>
      </c>
      <c r="F92" s="6">
        <f t="array" ref="F92">_xlfn.XLOOKUP(A92 ,INSEE_EPCI!A:A , INSEE_EPCI!D:D) </f>
        <v>191478</v>
      </c>
      <c r="G92" s="2">
        <f t="array" ref="G92">_xlfn.XLOOKUP(A92 ,INSEE_EPCI!A:A , INSEE_EPCI!E:E) </f>
        <v>23270</v>
      </c>
      <c r="H92" s="13">
        <f>(INSEE_EPCI!D92-INSEE_EPCI!C92)/INSEE_EPCI!D92</f>
        <v>-0.02832179154</v>
      </c>
      <c r="I92" s="12">
        <f t="shared" si="1"/>
        <v>38870.034</v>
      </c>
    </row>
    <row r="93">
      <c r="A93" s="10" t="str">
        <f>INSEE_EPCI!A93</f>
        <v>200093201</v>
      </c>
      <c r="B93" s="2" t="str">
        <f>INSEE_EPCI!B93</f>
        <v>Métropole Européenne de Lille</v>
      </c>
      <c r="C93" s="11">
        <f t="array" ref="C93">_xlfn.XLOOKUP(A93 ,INSEE_EPCI!A:A , INSEE_EPCI!F:F) </f>
        <v>21.4</v>
      </c>
      <c r="D93" s="2">
        <f>COUNTIF(Communes_HDF!D:D, B93)</f>
        <v>95</v>
      </c>
      <c r="E93" s="12">
        <f>SUMIF(Communes_HDF!D:D, B93, Communes_HDF!G:G)</f>
        <v>672.78</v>
      </c>
      <c r="F93" s="6">
        <f t="array" ref="F93">_xlfn.XLOOKUP(A93 ,INSEE_EPCI!A:A , INSEE_EPCI!D:D) </f>
        <v>1195234</v>
      </c>
      <c r="G93" s="2">
        <f t="array" ref="G93">_xlfn.XLOOKUP(A93 ,INSEE_EPCI!A:A , INSEE_EPCI!E:E) </f>
        <v>24430</v>
      </c>
      <c r="H93" s="13">
        <f>(INSEE_EPCI!D93-INSEE_EPCI!C93)/INSEE_EPCI!D93</f>
        <v>0.02058509045</v>
      </c>
      <c r="I93" s="12">
        <f t="shared" si="1"/>
        <v>255780.076</v>
      </c>
    </row>
    <row r="94">
      <c r="A94" s="2" t="str">
        <f>INSEE_EPCI!A94</f>
        <v/>
      </c>
      <c r="B94" s="2" t="str">
        <f>INSEE_EPCI!B94</f>
        <v/>
      </c>
      <c r="C94" s="11"/>
      <c r="E94" s="12"/>
      <c r="H94" s="13"/>
    </row>
    <row r="95">
      <c r="C95" s="11"/>
      <c r="E95" s="12"/>
      <c r="H95" s="13"/>
    </row>
    <row r="96">
      <c r="C96" s="11"/>
      <c r="E96" s="12"/>
      <c r="H96" s="13"/>
    </row>
    <row r="97">
      <c r="C97" s="11"/>
      <c r="E97" s="12"/>
      <c r="H97" s="13"/>
    </row>
    <row r="98">
      <c r="C98" s="11"/>
      <c r="E98" s="12"/>
      <c r="H98" s="13"/>
    </row>
    <row r="99">
      <c r="C99" s="11"/>
      <c r="E99" s="12"/>
      <c r="H99" s="13"/>
    </row>
    <row r="100">
      <c r="C100" s="11"/>
      <c r="E100" s="12"/>
      <c r="H100" s="13"/>
    </row>
    <row r="101">
      <c r="C101" s="11"/>
      <c r="E101" s="12"/>
      <c r="H101" s="13"/>
    </row>
    <row r="102">
      <c r="C102" s="11"/>
      <c r="E102" s="12"/>
      <c r="H102" s="13"/>
    </row>
    <row r="103">
      <c r="C103" s="11"/>
      <c r="E103" s="12"/>
      <c r="H103" s="13"/>
    </row>
    <row r="104">
      <c r="C104" s="11"/>
      <c r="E104" s="12"/>
      <c r="H104" s="13"/>
    </row>
    <row r="105">
      <c r="C105" s="11"/>
      <c r="E105" s="12"/>
      <c r="H105" s="13"/>
    </row>
    <row r="106">
      <c r="C106" s="11"/>
      <c r="E106" s="12"/>
      <c r="H106" s="13"/>
    </row>
    <row r="107">
      <c r="C107" s="11"/>
      <c r="E107" s="12"/>
      <c r="H107" s="13"/>
    </row>
    <row r="108">
      <c r="C108" s="11"/>
      <c r="E108" s="12"/>
      <c r="H108" s="13"/>
    </row>
    <row r="109">
      <c r="C109" s="11"/>
      <c r="E109" s="12"/>
      <c r="H109" s="13"/>
    </row>
    <row r="110">
      <c r="C110" s="11"/>
      <c r="E110" s="12"/>
      <c r="H110" s="13"/>
    </row>
    <row r="111">
      <c r="C111" s="11"/>
      <c r="E111" s="12"/>
      <c r="H111" s="13"/>
    </row>
    <row r="112">
      <c r="C112" s="11"/>
      <c r="E112" s="12"/>
      <c r="H112" s="13"/>
    </row>
    <row r="113">
      <c r="C113" s="11"/>
      <c r="E113" s="12"/>
      <c r="H113" s="13"/>
    </row>
    <row r="114">
      <c r="C114" s="11"/>
      <c r="E114" s="12"/>
      <c r="H114" s="13"/>
    </row>
    <row r="115">
      <c r="C115" s="11"/>
      <c r="E115" s="12"/>
      <c r="H115" s="13"/>
    </row>
    <row r="116">
      <c r="C116" s="11"/>
      <c r="E116" s="12"/>
      <c r="H116" s="13"/>
    </row>
    <row r="117">
      <c r="C117" s="11"/>
      <c r="E117" s="12"/>
      <c r="H117" s="13"/>
    </row>
    <row r="118">
      <c r="C118" s="11"/>
      <c r="E118" s="12"/>
      <c r="H118" s="13"/>
    </row>
    <row r="119">
      <c r="C119" s="11"/>
      <c r="E119" s="12"/>
      <c r="H119" s="13"/>
    </row>
    <row r="120">
      <c r="C120" s="11"/>
      <c r="E120" s="12"/>
      <c r="H120" s="13"/>
    </row>
    <row r="121">
      <c r="C121" s="11"/>
      <c r="E121" s="12"/>
      <c r="H121" s="13"/>
    </row>
    <row r="122">
      <c r="C122" s="11"/>
      <c r="E122" s="12"/>
      <c r="H122" s="13"/>
    </row>
    <row r="123">
      <c r="C123" s="11"/>
      <c r="E123" s="12"/>
      <c r="H123" s="13"/>
    </row>
    <row r="124">
      <c r="C124" s="11"/>
      <c r="E124" s="12"/>
      <c r="H124" s="13"/>
    </row>
    <row r="125">
      <c r="C125" s="11"/>
      <c r="E125" s="12"/>
      <c r="H125" s="13"/>
    </row>
    <row r="126">
      <c r="C126" s="11"/>
      <c r="E126" s="12"/>
      <c r="H126" s="13"/>
    </row>
    <row r="127">
      <c r="C127" s="11"/>
      <c r="E127" s="12"/>
      <c r="H127" s="13"/>
    </row>
    <row r="128">
      <c r="C128" s="11"/>
      <c r="E128" s="12"/>
      <c r="H128" s="13"/>
    </row>
    <row r="129">
      <c r="C129" s="11"/>
      <c r="E129" s="12"/>
      <c r="H129" s="13"/>
    </row>
    <row r="130">
      <c r="C130" s="11"/>
      <c r="E130" s="12"/>
      <c r="H130" s="13"/>
    </row>
    <row r="131">
      <c r="C131" s="11"/>
      <c r="E131" s="12"/>
      <c r="H131" s="13"/>
    </row>
    <row r="132">
      <c r="C132" s="11"/>
      <c r="E132" s="12"/>
      <c r="H132" s="13"/>
    </row>
    <row r="133">
      <c r="C133" s="11"/>
      <c r="E133" s="12"/>
      <c r="H133" s="13"/>
    </row>
    <row r="134">
      <c r="C134" s="11"/>
      <c r="E134" s="12"/>
      <c r="H134" s="13"/>
    </row>
    <row r="135">
      <c r="C135" s="11"/>
      <c r="E135" s="12"/>
      <c r="H135" s="13"/>
    </row>
    <row r="136">
      <c r="C136" s="11"/>
      <c r="E136" s="12"/>
      <c r="H136" s="13"/>
    </row>
    <row r="137">
      <c r="C137" s="11"/>
      <c r="E137" s="12"/>
      <c r="H137" s="13"/>
    </row>
    <row r="138">
      <c r="C138" s="11"/>
      <c r="E138" s="12"/>
      <c r="H138" s="13"/>
    </row>
    <row r="139">
      <c r="C139" s="11"/>
      <c r="E139" s="12"/>
      <c r="H139" s="13"/>
    </row>
    <row r="140">
      <c r="C140" s="11"/>
      <c r="E140" s="12"/>
      <c r="H140" s="13"/>
    </row>
    <row r="141">
      <c r="C141" s="11"/>
      <c r="E141" s="12"/>
      <c r="H141" s="13"/>
    </row>
    <row r="142">
      <c r="C142" s="11"/>
      <c r="E142" s="12"/>
      <c r="H142" s="13"/>
    </row>
    <row r="143">
      <c r="C143" s="11"/>
      <c r="E143" s="12"/>
      <c r="H143" s="13"/>
    </row>
    <row r="144">
      <c r="C144" s="11"/>
      <c r="E144" s="12"/>
      <c r="H144" s="13"/>
    </row>
    <row r="145">
      <c r="C145" s="11"/>
      <c r="E145" s="12"/>
      <c r="H145" s="13"/>
    </row>
    <row r="146">
      <c r="C146" s="11"/>
      <c r="E146" s="12"/>
      <c r="H146" s="13"/>
    </row>
    <row r="147">
      <c r="C147" s="11"/>
      <c r="E147" s="12"/>
      <c r="H147" s="13"/>
    </row>
    <row r="148">
      <c r="C148" s="11"/>
      <c r="E148" s="12"/>
      <c r="H148" s="13"/>
    </row>
    <row r="149">
      <c r="C149" s="11"/>
      <c r="E149" s="12"/>
      <c r="H149" s="13"/>
    </row>
    <row r="150">
      <c r="C150" s="11"/>
      <c r="E150" s="12"/>
      <c r="H150" s="13"/>
    </row>
    <row r="151">
      <c r="C151" s="11"/>
      <c r="E151" s="12"/>
      <c r="H151" s="13"/>
    </row>
    <row r="152">
      <c r="C152" s="11"/>
      <c r="E152" s="12"/>
      <c r="H152" s="13"/>
    </row>
    <row r="153">
      <c r="C153" s="11"/>
      <c r="E153" s="12"/>
      <c r="H153" s="13"/>
    </row>
    <row r="154">
      <c r="C154" s="11"/>
      <c r="E154" s="12"/>
      <c r="H154" s="13"/>
    </row>
    <row r="155">
      <c r="C155" s="11"/>
      <c r="E155" s="12"/>
      <c r="H155" s="13"/>
    </row>
    <row r="156">
      <c r="C156" s="11"/>
      <c r="E156" s="12"/>
      <c r="H156" s="13"/>
    </row>
    <row r="157">
      <c r="C157" s="11"/>
      <c r="E157" s="12"/>
      <c r="H157" s="13"/>
    </row>
    <row r="158">
      <c r="C158" s="11"/>
      <c r="E158" s="12"/>
      <c r="H158" s="13"/>
    </row>
    <row r="159">
      <c r="C159" s="11"/>
      <c r="E159" s="12"/>
      <c r="H159" s="13"/>
    </row>
    <row r="160">
      <c r="C160" s="11"/>
      <c r="E160" s="12"/>
      <c r="H160" s="13"/>
    </row>
    <row r="161">
      <c r="C161" s="11"/>
      <c r="E161" s="12"/>
      <c r="H161" s="13"/>
    </row>
    <row r="162">
      <c r="C162" s="11"/>
      <c r="E162" s="12"/>
      <c r="H162" s="13"/>
    </row>
    <row r="163">
      <c r="C163" s="11"/>
      <c r="E163" s="12"/>
      <c r="H163" s="13"/>
    </row>
    <row r="164">
      <c r="C164" s="11"/>
      <c r="E164" s="12"/>
      <c r="H164" s="13"/>
    </row>
    <row r="165">
      <c r="C165" s="11"/>
      <c r="E165" s="12"/>
      <c r="H165" s="13"/>
    </row>
    <row r="166">
      <c r="C166" s="11"/>
      <c r="E166" s="12"/>
      <c r="H166" s="13"/>
    </row>
    <row r="167">
      <c r="C167" s="11"/>
      <c r="E167" s="12"/>
      <c r="H167" s="13"/>
    </row>
    <row r="168">
      <c r="C168" s="11"/>
      <c r="E168" s="12"/>
      <c r="H168" s="13"/>
    </row>
    <row r="169">
      <c r="C169" s="11"/>
      <c r="E169" s="12"/>
      <c r="H169" s="13"/>
    </row>
    <row r="170">
      <c r="C170" s="11"/>
      <c r="E170" s="12"/>
      <c r="H170" s="13"/>
    </row>
    <row r="171">
      <c r="C171" s="11"/>
      <c r="E171" s="12"/>
      <c r="H171" s="13"/>
    </row>
    <row r="172">
      <c r="C172" s="11"/>
      <c r="E172" s="12"/>
      <c r="H172" s="13"/>
    </row>
    <row r="173">
      <c r="C173" s="11"/>
      <c r="E173" s="12"/>
      <c r="H173" s="13"/>
    </row>
    <row r="174">
      <c r="C174" s="11"/>
      <c r="E174" s="12"/>
      <c r="H174" s="13"/>
    </row>
    <row r="175">
      <c r="C175" s="11"/>
      <c r="E175" s="12"/>
      <c r="H175" s="13"/>
    </row>
    <row r="176">
      <c r="C176" s="11"/>
      <c r="E176" s="12"/>
      <c r="H176" s="13"/>
    </row>
    <row r="177">
      <c r="C177" s="11"/>
      <c r="E177" s="12"/>
      <c r="H177" s="13"/>
    </row>
    <row r="178">
      <c r="C178" s="11"/>
      <c r="E178" s="12"/>
      <c r="H178" s="13"/>
    </row>
    <row r="179">
      <c r="C179" s="11"/>
      <c r="E179" s="12"/>
      <c r="H179" s="13"/>
    </row>
    <row r="180">
      <c r="C180" s="11"/>
      <c r="E180" s="12"/>
      <c r="H180" s="13"/>
    </row>
    <row r="181">
      <c r="C181" s="11"/>
      <c r="E181" s="12"/>
      <c r="H181" s="13"/>
    </row>
    <row r="182">
      <c r="C182" s="11"/>
      <c r="E182" s="12"/>
      <c r="H182" s="13"/>
    </row>
    <row r="183">
      <c r="C183" s="11"/>
      <c r="E183" s="12"/>
      <c r="H183" s="13"/>
    </row>
    <row r="184">
      <c r="C184" s="11"/>
      <c r="E184" s="12"/>
      <c r="H184" s="13"/>
    </row>
    <row r="185">
      <c r="C185" s="11"/>
      <c r="E185" s="12"/>
      <c r="H185" s="13"/>
    </row>
    <row r="186">
      <c r="C186" s="11"/>
      <c r="E186" s="12"/>
      <c r="H186" s="13"/>
    </row>
    <row r="187">
      <c r="C187" s="11"/>
      <c r="E187" s="12"/>
      <c r="H187" s="13"/>
    </row>
    <row r="188">
      <c r="C188" s="11"/>
      <c r="E188" s="12"/>
      <c r="H188" s="13"/>
    </row>
    <row r="189">
      <c r="C189" s="11"/>
      <c r="E189" s="12"/>
      <c r="H189" s="13"/>
    </row>
    <row r="190">
      <c r="C190" s="11"/>
      <c r="E190" s="12"/>
      <c r="H190" s="13"/>
    </row>
    <row r="191">
      <c r="C191" s="11"/>
      <c r="E191" s="12"/>
      <c r="H191" s="13"/>
    </row>
    <row r="192">
      <c r="C192" s="11"/>
      <c r="E192" s="12"/>
      <c r="H192" s="13"/>
    </row>
    <row r="193">
      <c r="C193" s="11"/>
      <c r="E193" s="12"/>
      <c r="H193" s="13"/>
    </row>
    <row r="194">
      <c r="C194" s="11"/>
      <c r="E194" s="12"/>
      <c r="H194" s="13"/>
    </row>
    <row r="195">
      <c r="C195" s="11"/>
      <c r="E195" s="12"/>
      <c r="H195" s="13"/>
    </row>
    <row r="196">
      <c r="C196" s="11"/>
      <c r="E196" s="12"/>
      <c r="H196" s="13"/>
    </row>
    <row r="197">
      <c r="C197" s="11"/>
      <c r="E197" s="12"/>
      <c r="H197" s="13"/>
    </row>
    <row r="198">
      <c r="C198" s="11"/>
      <c r="E198" s="12"/>
      <c r="H198" s="13"/>
    </row>
    <row r="199">
      <c r="C199" s="11"/>
      <c r="E199" s="12"/>
      <c r="H199" s="13"/>
    </row>
    <row r="200">
      <c r="C200" s="11"/>
      <c r="E200" s="12"/>
      <c r="H200" s="13"/>
    </row>
    <row r="201">
      <c r="C201" s="11"/>
      <c r="E201" s="12"/>
      <c r="H201" s="13"/>
    </row>
    <row r="202">
      <c r="C202" s="11"/>
      <c r="E202" s="12"/>
      <c r="H202" s="13"/>
    </row>
    <row r="203">
      <c r="C203" s="11"/>
      <c r="E203" s="12"/>
      <c r="H203" s="13"/>
    </row>
    <row r="204">
      <c r="C204" s="11"/>
      <c r="E204" s="12"/>
      <c r="H204" s="13"/>
    </row>
    <row r="205">
      <c r="C205" s="11"/>
      <c r="E205" s="12"/>
      <c r="H205" s="13"/>
    </row>
    <row r="206">
      <c r="C206" s="11"/>
      <c r="E206" s="12"/>
      <c r="H206" s="13"/>
    </row>
    <row r="207">
      <c r="C207" s="11"/>
      <c r="E207" s="12"/>
      <c r="H207" s="13"/>
    </row>
    <row r="208">
      <c r="C208" s="11"/>
      <c r="E208" s="12"/>
      <c r="H208" s="13"/>
    </row>
    <row r="209">
      <c r="C209" s="11"/>
      <c r="E209" s="12"/>
      <c r="H209" s="13"/>
    </row>
    <row r="210">
      <c r="C210" s="11"/>
      <c r="E210" s="12"/>
      <c r="H210" s="13"/>
    </row>
    <row r="211">
      <c r="C211" s="11"/>
      <c r="E211" s="12"/>
      <c r="H211" s="13"/>
    </row>
    <row r="212">
      <c r="C212" s="11"/>
      <c r="E212" s="12"/>
      <c r="H212" s="13"/>
    </row>
    <row r="213">
      <c r="C213" s="11"/>
      <c r="E213" s="12"/>
      <c r="H213" s="13"/>
    </row>
    <row r="214">
      <c r="C214" s="11"/>
      <c r="E214" s="12"/>
      <c r="H214" s="13"/>
    </row>
    <row r="215">
      <c r="C215" s="11"/>
      <c r="E215" s="12"/>
      <c r="H215" s="13"/>
    </row>
    <row r="216">
      <c r="C216" s="11"/>
      <c r="E216" s="12"/>
      <c r="H216" s="13"/>
    </row>
    <row r="217">
      <c r="C217" s="11"/>
      <c r="E217" s="12"/>
      <c r="H217" s="13"/>
    </row>
    <row r="218">
      <c r="C218" s="11"/>
      <c r="E218" s="12"/>
      <c r="H218" s="13"/>
    </row>
    <row r="219">
      <c r="C219" s="11"/>
      <c r="E219" s="12"/>
      <c r="H219" s="13"/>
    </row>
    <row r="220">
      <c r="C220" s="11"/>
      <c r="E220" s="12"/>
      <c r="H220" s="13"/>
    </row>
    <row r="221">
      <c r="C221" s="11"/>
      <c r="E221" s="12"/>
      <c r="H221" s="13"/>
    </row>
    <row r="222">
      <c r="C222" s="11"/>
      <c r="E222" s="12"/>
      <c r="H222" s="13"/>
    </row>
    <row r="223">
      <c r="C223" s="11"/>
      <c r="E223" s="12"/>
      <c r="H223" s="13"/>
    </row>
    <row r="224">
      <c r="C224" s="11"/>
      <c r="E224" s="12"/>
      <c r="H224" s="13"/>
    </row>
    <row r="225">
      <c r="C225" s="11"/>
      <c r="E225" s="12"/>
      <c r="H225" s="13"/>
    </row>
    <row r="226">
      <c r="C226" s="11"/>
      <c r="E226" s="12"/>
      <c r="H226" s="13"/>
    </row>
    <row r="227">
      <c r="C227" s="11"/>
      <c r="E227" s="12"/>
      <c r="H227" s="13"/>
    </row>
    <row r="228">
      <c r="C228" s="11"/>
      <c r="E228" s="12"/>
      <c r="H228" s="13"/>
    </row>
    <row r="229">
      <c r="C229" s="11"/>
      <c r="E229" s="12"/>
      <c r="H229" s="13"/>
    </row>
    <row r="230">
      <c r="C230" s="11"/>
      <c r="E230" s="12"/>
      <c r="H230" s="13"/>
    </row>
    <row r="231">
      <c r="C231" s="11"/>
      <c r="E231" s="12"/>
      <c r="H231" s="13"/>
    </row>
    <row r="232">
      <c r="C232" s="11"/>
      <c r="E232" s="12"/>
      <c r="H232" s="13"/>
    </row>
    <row r="233">
      <c r="C233" s="11"/>
      <c r="E233" s="12"/>
      <c r="H233" s="13"/>
    </row>
    <row r="234">
      <c r="C234" s="11"/>
      <c r="E234" s="12"/>
      <c r="H234" s="13"/>
    </row>
    <row r="235">
      <c r="C235" s="11"/>
      <c r="E235" s="12"/>
      <c r="H235" s="13"/>
    </row>
    <row r="236">
      <c r="C236" s="11"/>
      <c r="E236" s="12"/>
      <c r="H236" s="13"/>
    </row>
    <row r="237">
      <c r="C237" s="11"/>
      <c r="E237" s="12"/>
      <c r="H237" s="13"/>
    </row>
    <row r="238">
      <c r="C238" s="11"/>
      <c r="E238" s="12"/>
      <c r="H238" s="13"/>
    </row>
    <row r="239">
      <c r="C239" s="11"/>
      <c r="E239" s="12"/>
      <c r="H239" s="13"/>
    </row>
    <row r="240">
      <c r="C240" s="11"/>
      <c r="E240" s="12"/>
      <c r="H240" s="13"/>
    </row>
    <row r="241">
      <c r="C241" s="11"/>
      <c r="E241" s="12"/>
      <c r="H241" s="13"/>
    </row>
    <row r="242">
      <c r="C242" s="11"/>
      <c r="E242" s="12"/>
      <c r="H242" s="13"/>
    </row>
    <row r="243">
      <c r="C243" s="11"/>
      <c r="E243" s="12"/>
      <c r="H243" s="13"/>
    </row>
    <row r="244">
      <c r="C244" s="11"/>
      <c r="E244" s="12"/>
      <c r="H244" s="13"/>
    </row>
    <row r="245">
      <c r="C245" s="11"/>
      <c r="E245" s="12"/>
      <c r="H245" s="13"/>
    </row>
    <row r="246">
      <c r="C246" s="11"/>
      <c r="E246" s="12"/>
      <c r="H246" s="13"/>
    </row>
    <row r="247">
      <c r="C247" s="11"/>
      <c r="E247" s="12"/>
      <c r="H247" s="13"/>
    </row>
    <row r="248">
      <c r="C248" s="11"/>
      <c r="E248" s="12"/>
      <c r="H248" s="13"/>
    </row>
    <row r="249">
      <c r="C249" s="11"/>
      <c r="E249" s="12"/>
      <c r="H249" s="13"/>
    </row>
    <row r="250">
      <c r="C250" s="11"/>
      <c r="E250" s="12"/>
      <c r="H250" s="13"/>
    </row>
    <row r="251">
      <c r="C251" s="11"/>
      <c r="E251" s="12"/>
      <c r="H251" s="13"/>
    </row>
    <row r="252">
      <c r="C252" s="11"/>
      <c r="E252" s="12"/>
      <c r="H252" s="13"/>
    </row>
    <row r="253">
      <c r="C253" s="11"/>
      <c r="E253" s="12"/>
      <c r="H253" s="13"/>
    </row>
    <row r="254">
      <c r="C254" s="11"/>
      <c r="E254" s="12"/>
      <c r="H254" s="13"/>
    </row>
    <row r="255">
      <c r="C255" s="11"/>
      <c r="E255" s="12"/>
      <c r="H255" s="13"/>
    </row>
    <row r="256">
      <c r="C256" s="11"/>
      <c r="E256" s="12"/>
      <c r="H256" s="13"/>
    </row>
    <row r="257">
      <c r="C257" s="11"/>
      <c r="E257" s="12"/>
      <c r="H257" s="13"/>
    </row>
    <row r="258">
      <c r="C258" s="11"/>
      <c r="E258" s="12"/>
      <c r="H258" s="13"/>
    </row>
    <row r="259">
      <c r="C259" s="11"/>
      <c r="E259" s="12"/>
      <c r="H259" s="13"/>
    </row>
    <row r="260">
      <c r="C260" s="11"/>
      <c r="E260" s="12"/>
      <c r="H260" s="13"/>
    </row>
    <row r="261">
      <c r="C261" s="11"/>
      <c r="E261" s="12"/>
      <c r="H261" s="13"/>
    </row>
    <row r="262">
      <c r="C262" s="11"/>
      <c r="E262" s="12"/>
      <c r="H262" s="13"/>
    </row>
    <row r="263">
      <c r="C263" s="11"/>
      <c r="E263" s="12"/>
      <c r="H263" s="13"/>
    </row>
    <row r="264">
      <c r="C264" s="11"/>
      <c r="E264" s="12"/>
      <c r="H264" s="13"/>
    </row>
    <row r="265">
      <c r="C265" s="11"/>
      <c r="E265" s="12"/>
      <c r="H265" s="13"/>
    </row>
    <row r="266">
      <c r="C266" s="11"/>
      <c r="E266" s="12"/>
      <c r="H266" s="13"/>
    </row>
    <row r="267">
      <c r="C267" s="11"/>
      <c r="E267" s="12"/>
      <c r="H267" s="13"/>
    </row>
    <row r="268">
      <c r="C268" s="11"/>
      <c r="E268" s="12"/>
      <c r="H268" s="13"/>
    </row>
    <row r="269">
      <c r="C269" s="11"/>
      <c r="E269" s="12"/>
      <c r="H269" s="13"/>
    </row>
    <row r="270">
      <c r="C270" s="11"/>
      <c r="E270" s="12"/>
      <c r="H270" s="13"/>
    </row>
    <row r="271">
      <c r="C271" s="11"/>
      <c r="E271" s="12"/>
      <c r="H271" s="13"/>
    </row>
    <row r="272">
      <c r="C272" s="11"/>
      <c r="E272" s="12"/>
      <c r="H272" s="13"/>
    </row>
    <row r="273">
      <c r="C273" s="11"/>
      <c r="E273" s="12"/>
      <c r="H273" s="13"/>
    </row>
    <row r="274">
      <c r="C274" s="11"/>
      <c r="E274" s="12"/>
      <c r="H274" s="13"/>
    </row>
    <row r="275">
      <c r="C275" s="11"/>
      <c r="E275" s="12"/>
      <c r="H275" s="13"/>
    </row>
    <row r="276">
      <c r="C276" s="11"/>
      <c r="E276" s="12"/>
      <c r="H276" s="13"/>
    </row>
    <row r="277">
      <c r="C277" s="11"/>
      <c r="E277" s="12"/>
      <c r="H277" s="13"/>
    </row>
    <row r="278">
      <c r="C278" s="11"/>
      <c r="E278" s="12"/>
      <c r="H278" s="13"/>
    </row>
    <row r="279">
      <c r="C279" s="11"/>
      <c r="E279" s="12"/>
      <c r="H279" s="13"/>
    </row>
    <row r="280">
      <c r="C280" s="11"/>
      <c r="E280" s="12"/>
      <c r="H280" s="13"/>
    </row>
    <row r="281">
      <c r="C281" s="11"/>
      <c r="E281" s="12"/>
      <c r="H281" s="13"/>
    </row>
    <row r="282">
      <c r="C282" s="11"/>
      <c r="E282" s="12"/>
      <c r="H282" s="13"/>
    </row>
    <row r="283">
      <c r="C283" s="11"/>
      <c r="E283" s="12"/>
      <c r="H283" s="13"/>
    </row>
    <row r="284">
      <c r="C284" s="11"/>
      <c r="E284" s="12"/>
      <c r="H284" s="13"/>
    </row>
    <row r="285">
      <c r="C285" s="11"/>
      <c r="E285" s="12"/>
      <c r="H285" s="13"/>
    </row>
    <row r="286">
      <c r="C286" s="11"/>
      <c r="E286" s="12"/>
      <c r="H286" s="13"/>
    </row>
    <row r="287">
      <c r="C287" s="11"/>
      <c r="E287" s="12"/>
      <c r="H287" s="13"/>
    </row>
    <row r="288">
      <c r="C288" s="11"/>
      <c r="E288" s="12"/>
      <c r="H288" s="13"/>
    </row>
    <row r="289">
      <c r="C289" s="11"/>
      <c r="E289" s="12"/>
      <c r="H289" s="13"/>
    </row>
    <row r="290">
      <c r="C290" s="11"/>
      <c r="E290" s="12"/>
      <c r="H290" s="13"/>
    </row>
    <row r="291">
      <c r="C291" s="11"/>
      <c r="E291" s="12"/>
      <c r="H291" s="13"/>
    </row>
    <row r="292">
      <c r="C292" s="11"/>
      <c r="E292" s="12"/>
      <c r="H292" s="13"/>
    </row>
    <row r="293">
      <c r="C293" s="11"/>
      <c r="E293" s="12"/>
      <c r="H293" s="13"/>
    </row>
    <row r="294">
      <c r="C294" s="11"/>
      <c r="E294" s="12"/>
      <c r="H294" s="13"/>
    </row>
    <row r="295">
      <c r="C295" s="11"/>
      <c r="E295" s="12"/>
      <c r="H295" s="13"/>
    </row>
    <row r="296">
      <c r="C296" s="11"/>
      <c r="E296" s="12"/>
      <c r="H296" s="13"/>
    </row>
    <row r="297">
      <c r="C297" s="11"/>
      <c r="E297" s="12"/>
      <c r="H297" s="13"/>
    </row>
    <row r="298">
      <c r="C298" s="11"/>
      <c r="E298" s="12"/>
      <c r="H298" s="13"/>
    </row>
    <row r="299">
      <c r="C299" s="11"/>
      <c r="E299" s="12"/>
      <c r="H299" s="13"/>
    </row>
    <row r="300">
      <c r="C300" s="11"/>
      <c r="E300" s="12"/>
      <c r="H300" s="13"/>
    </row>
    <row r="301">
      <c r="C301" s="11"/>
      <c r="E301" s="12"/>
      <c r="H301" s="13"/>
    </row>
    <row r="302">
      <c r="C302" s="11"/>
      <c r="E302" s="12"/>
      <c r="H302" s="13"/>
    </row>
    <row r="303">
      <c r="C303" s="11"/>
      <c r="E303" s="12"/>
      <c r="H303" s="13"/>
    </row>
    <row r="304">
      <c r="C304" s="11"/>
      <c r="E304" s="12"/>
      <c r="H304" s="13"/>
    </row>
    <row r="305">
      <c r="C305" s="11"/>
      <c r="E305" s="12"/>
      <c r="H305" s="13"/>
    </row>
    <row r="306">
      <c r="C306" s="11"/>
      <c r="E306" s="12"/>
      <c r="H306" s="13"/>
    </row>
    <row r="307">
      <c r="C307" s="11"/>
      <c r="E307" s="12"/>
      <c r="H307" s="13"/>
    </row>
    <row r="308">
      <c r="C308" s="11"/>
      <c r="E308" s="12"/>
      <c r="H308" s="13"/>
    </row>
    <row r="309">
      <c r="C309" s="11"/>
      <c r="E309" s="12"/>
      <c r="H309" s="13"/>
    </row>
    <row r="310">
      <c r="C310" s="11"/>
      <c r="E310" s="12"/>
      <c r="H310" s="13"/>
    </row>
    <row r="311">
      <c r="C311" s="11"/>
      <c r="E311" s="12"/>
      <c r="H311" s="13"/>
    </row>
    <row r="312">
      <c r="C312" s="11"/>
      <c r="E312" s="12"/>
      <c r="H312" s="13"/>
    </row>
    <row r="313">
      <c r="C313" s="11"/>
      <c r="E313" s="12"/>
      <c r="H313" s="13"/>
    </row>
    <row r="314">
      <c r="C314" s="11"/>
      <c r="E314" s="12"/>
      <c r="H314" s="13"/>
    </row>
    <row r="315">
      <c r="C315" s="11"/>
      <c r="E315" s="12"/>
      <c r="H315" s="13"/>
    </row>
    <row r="316">
      <c r="C316" s="11"/>
      <c r="E316" s="12"/>
      <c r="H316" s="13"/>
    </row>
    <row r="317">
      <c r="C317" s="11"/>
      <c r="E317" s="12"/>
      <c r="H317" s="13"/>
    </row>
    <row r="318">
      <c r="C318" s="11"/>
      <c r="E318" s="12"/>
      <c r="H318" s="13"/>
    </row>
    <row r="319">
      <c r="C319" s="11"/>
      <c r="E319" s="12"/>
      <c r="H319" s="13"/>
    </row>
    <row r="320">
      <c r="C320" s="11"/>
      <c r="E320" s="12"/>
      <c r="H320" s="13"/>
    </row>
    <row r="321">
      <c r="C321" s="11"/>
      <c r="E321" s="12"/>
      <c r="H321" s="13"/>
    </row>
    <row r="322">
      <c r="C322" s="11"/>
      <c r="E322" s="12"/>
      <c r="H322" s="13"/>
    </row>
    <row r="323">
      <c r="C323" s="11"/>
      <c r="E323" s="12"/>
      <c r="H323" s="13"/>
    </row>
    <row r="324">
      <c r="C324" s="11"/>
      <c r="E324" s="12"/>
      <c r="H324" s="13"/>
    </row>
    <row r="325">
      <c r="C325" s="11"/>
      <c r="E325" s="12"/>
      <c r="H325" s="13"/>
    </row>
    <row r="326">
      <c r="C326" s="11"/>
      <c r="E326" s="12"/>
      <c r="H326" s="13"/>
    </row>
    <row r="327">
      <c r="C327" s="11"/>
      <c r="E327" s="12"/>
      <c r="H327" s="13"/>
    </row>
    <row r="328">
      <c r="C328" s="11"/>
      <c r="E328" s="12"/>
      <c r="H328" s="13"/>
    </row>
    <row r="329">
      <c r="C329" s="11"/>
      <c r="E329" s="12"/>
      <c r="H329" s="13"/>
    </row>
    <row r="330">
      <c r="C330" s="11"/>
      <c r="E330" s="12"/>
      <c r="H330" s="13"/>
    </row>
    <row r="331">
      <c r="C331" s="11"/>
      <c r="E331" s="12"/>
      <c r="H331" s="13"/>
    </row>
    <row r="332">
      <c r="C332" s="11"/>
      <c r="E332" s="12"/>
      <c r="H332" s="13"/>
    </row>
    <row r="333">
      <c r="C333" s="11"/>
      <c r="E333" s="12"/>
      <c r="H333" s="13"/>
    </row>
    <row r="334">
      <c r="C334" s="11"/>
      <c r="E334" s="12"/>
      <c r="H334" s="13"/>
    </row>
    <row r="335">
      <c r="C335" s="11"/>
      <c r="E335" s="12"/>
      <c r="H335" s="13"/>
    </row>
    <row r="336">
      <c r="C336" s="11"/>
      <c r="E336" s="12"/>
      <c r="H336" s="13"/>
    </row>
    <row r="337">
      <c r="C337" s="11"/>
      <c r="E337" s="12"/>
      <c r="H337" s="13"/>
    </row>
    <row r="338">
      <c r="C338" s="11"/>
      <c r="E338" s="12"/>
      <c r="H338" s="13"/>
    </row>
    <row r="339">
      <c r="C339" s="11"/>
      <c r="E339" s="12"/>
      <c r="H339" s="13"/>
    </row>
    <row r="340">
      <c r="C340" s="11"/>
      <c r="E340" s="12"/>
      <c r="H340" s="13"/>
    </row>
    <row r="341">
      <c r="C341" s="11"/>
      <c r="E341" s="12"/>
      <c r="H341" s="13"/>
    </row>
    <row r="342">
      <c r="C342" s="11"/>
      <c r="E342" s="12"/>
      <c r="H342" s="13"/>
    </row>
    <row r="343">
      <c r="C343" s="11"/>
      <c r="E343" s="12"/>
      <c r="H343" s="13"/>
    </row>
    <row r="344">
      <c r="C344" s="11"/>
      <c r="E344" s="12"/>
      <c r="H344" s="13"/>
    </row>
    <row r="345">
      <c r="C345" s="11"/>
      <c r="E345" s="12"/>
      <c r="H345" s="13"/>
    </row>
    <row r="346">
      <c r="C346" s="11"/>
      <c r="E346" s="12"/>
      <c r="H346" s="13"/>
    </row>
    <row r="347">
      <c r="C347" s="11"/>
      <c r="E347" s="12"/>
      <c r="H347" s="13"/>
    </row>
    <row r="348">
      <c r="C348" s="11"/>
      <c r="E348" s="12"/>
      <c r="H348" s="13"/>
    </row>
    <row r="349">
      <c r="C349" s="11"/>
      <c r="E349" s="12"/>
      <c r="H349" s="13"/>
    </row>
    <row r="350">
      <c r="C350" s="11"/>
      <c r="E350" s="12"/>
      <c r="H350" s="13"/>
    </row>
    <row r="351">
      <c r="C351" s="11"/>
      <c r="E351" s="12"/>
      <c r="H351" s="13"/>
    </row>
    <row r="352">
      <c r="C352" s="11"/>
      <c r="E352" s="12"/>
      <c r="H352" s="13"/>
    </row>
    <row r="353">
      <c r="C353" s="11"/>
      <c r="E353" s="12"/>
      <c r="H353" s="13"/>
    </row>
    <row r="354">
      <c r="C354" s="11"/>
      <c r="E354" s="12"/>
      <c r="H354" s="13"/>
    </row>
    <row r="355">
      <c r="C355" s="11"/>
      <c r="E355" s="12"/>
      <c r="H355" s="13"/>
    </row>
    <row r="356">
      <c r="C356" s="11"/>
      <c r="E356" s="12"/>
      <c r="H356" s="13"/>
    </row>
    <row r="357">
      <c r="C357" s="11"/>
      <c r="E357" s="12"/>
      <c r="H357" s="13"/>
    </row>
    <row r="358">
      <c r="C358" s="11"/>
      <c r="E358" s="12"/>
      <c r="H358" s="13"/>
    </row>
    <row r="359">
      <c r="C359" s="11"/>
      <c r="E359" s="12"/>
      <c r="H359" s="13"/>
    </row>
    <row r="360">
      <c r="C360" s="11"/>
      <c r="E360" s="12"/>
      <c r="H360" s="13"/>
    </row>
    <row r="361">
      <c r="C361" s="11"/>
      <c r="E361" s="12"/>
      <c r="H361" s="13"/>
    </row>
    <row r="362">
      <c r="C362" s="11"/>
      <c r="E362" s="12"/>
      <c r="H362" s="13"/>
    </row>
    <row r="363">
      <c r="C363" s="11"/>
      <c r="E363" s="12"/>
      <c r="H363" s="13"/>
    </row>
    <row r="364">
      <c r="C364" s="11"/>
      <c r="E364" s="12"/>
      <c r="H364" s="13"/>
    </row>
    <row r="365">
      <c r="C365" s="11"/>
      <c r="E365" s="12"/>
      <c r="H365" s="13"/>
    </row>
    <row r="366">
      <c r="C366" s="11"/>
      <c r="E366" s="12"/>
      <c r="H366" s="13"/>
    </row>
    <row r="367">
      <c r="C367" s="11"/>
      <c r="E367" s="12"/>
      <c r="H367" s="13"/>
    </row>
    <row r="368">
      <c r="C368" s="11"/>
      <c r="E368" s="12"/>
      <c r="H368" s="13"/>
    </row>
    <row r="369">
      <c r="C369" s="11"/>
      <c r="E369" s="12"/>
      <c r="H369" s="13"/>
    </row>
    <row r="370">
      <c r="C370" s="11"/>
      <c r="E370" s="12"/>
      <c r="H370" s="13"/>
    </row>
    <row r="371">
      <c r="C371" s="11"/>
      <c r="E371" s="12"/>
      <c r="H371" s="13"/>
    </row>
    <row r="372">
      <c r="C372" s="11"/>
      <c r="E372" s="12"/>
      <c r="H372" s="13"/>
    </row>
    <row r="373">
      <c r="C373" s="11"/>
      <c r="E373" s="12"/>
      <c r="H373" s="13"/>
    </row>
    <row r="374">
      <c r="C374" s="11"/>
      <c r="E374" s="12"/>
      <c r="H374" s="13"/>
    </row>
    <row r="375">
      <c r="C375" s="11"/>
      <c r="E375" s="12"/>
      <c r="H375" s="13"/>
    </row>
    <row r="376">
      <c r="C376" s="11"/>
      <c r="E376" s="12"/>
      <c r="H376" s="13"/>
    </row>
    <row r="377">
      <c r="C377" s="11"/>
      <c r="E377" s="12"/>
      <c r="H377" s="13"/>
    </row>
    <row r="378">
      <c r="C378" s="11"/>
      <c r="E378" s="12"/>
      <c r="H378" s="13"/>
    </row>
    <row r="379">
      <c r="C379" s="11"/>
      <c r="E379" s="12"/>
      <c r="H379" s="13"/>
    </row>
    <row r="380">
      <c r="C380" s="11"/>
      <c r="E380" s="12"/>
      <c r="H380" s="13"/>
    </row>
    <row r="381">
      <c r="C381" s="11"/>
      <c r="E381" s="12"/>
      <c r="H381" s="13"/>
    </row>
    <row r="382">
      <c r="C382" s="11"/>
      <c r="E382" s="12"/>
      <c r="H382" s="13"/>
    </row>
    <row r="383">
      <c r="C383" s="11"/>
      <c r="E383" s="12"/>
      <c r="H383" s="13"/>
    </row>
    <row r="384">
      <c r="C384" s="11"/>
      <c r="E384" s="12"/>
      <c r="H384" s="13"/>
    </row>
    <row r="385">
      <c r="C385" s="11"/>
      <c r="E385" s="12"/>
      <c r="H385" s="13"/>
    </row>
    <row r="386">
      <c r="C386" s="11"/>
      <c r="E386" s="12"/>
      <c r="H386" s="13"/>
    </row>
    <row r="387">
      <c r="C387" s="11"/>
      <c r="E387" s="12"/>
      <c r="H387" s="13"/>
    </row>
    <row r="388">
      <c r="C388" s="11"/>
      <c r="E388" s="12"/>
      <c r="H388" s="13"/>
    </row>
    <row r="389">
      <c r="C389" s="11"/>
      <c r="E389" s="12"/>
      <c r="H389" s="13"/>
    </row>
    <row r="390">
      <c r="C390" s="11"/>
      <c r="E390" s="12"/>
      <c r="H390" s="13"/>
    </row>
    <row r="391">
      <c r="C391" s="11"/>
      <c r="E391" s="12"/>
      <c r="H391" s="13"/>
    </row>
    <row r="392">
      <c r="C392" s="11"/>
      <c r="E392" s="12"/>
      <c r="H392" s="13"/>
    </row>
    <row r="393">
      <c r="C393" s="11"/>
      <c r="E393" s="12"/>
      <c r="H393" s="13"/>
    </row>
    <row r="394">
      <c r="C394" s="11"/>
      <c r="E394" s="12"/>
      <c r="H394" s="13"/>
    </row>
    <row r="395">
      <c r="C395" s="11"/>
      <c r="E395" s="12"/>
      <c r="H395" s="13"/>
    </row>
    <row r="396">
      <c r="C396" s="11"/>
      <c r="E396" s="12"/>
      <c r="H396" s="13"/>
    </row>
    <row r="397">
      <c r="C397" s="11"/>
      <c r="E397" s="12"/>
      <c r="H397" s="13"/>
    </row>
    <row r="398">
      <c r="C398" s="11"/>
      <c r="E398" s="12"/>
      <c r="H398" s="13"/>
    </row>
    <row r="399">
      <c r="C399" s="11"/>
      <c r="E399" s="12"/>
      <c r="H399" s="13"/>
    </row>
    <row r="400">
      <c r="C400" s="11"/>
      <c r="E400" s="12"/>
      <c r="H400" s="13"/>
    </row>
    <row r="401">
      <c r="C401" s="11"/>
      <c r="E401" s="12"/>
      <c r="H401" s="13"/>
    </row>
    <row r="402">
      <c r="C402" s="11"/>
      <c r="E402" s="12"/>
      <c r="H402" s="13"/>
    </row>
    <row r="403">
      <c r="C403" s="11"/>
      <c r="E403" s="12"/>
      <c r="H403" s="13"/>
    </row>
    <row r="404">
      <c r="C404" s="11"/>
      <c r="E404" s="12"/>
      <c r="H404" s="13"/>
    </row>
    <row r="405">
      <c r="C405" s="11"/>
      <c r="E405" s="12"/>
      <c r="H405" s="13"/>
    </row>
    <row r="406">
      <c r="C406" s="11"/>
      <c r="E406" s="12"/>
      <c r="H406" s="13"/>
    </row>
    <row r="407">
      <c r="C407" s="11"/>
      <c r="E407" s="12"/>
      <c r="H407" s="13"/>
    </row>
    <row r="408">
      <c r="C408" s="11"/>
      <c r="E408" s="12"/>
      <c r="H408" s="13"/>
    </row>
    <row r="409">
      <c r="C409" s="11"/>
      <c r="E409" s="12"/>
      <c r="H409" s="13"/>
    </row>
    <row r="410">
      <c r="C410" s="11"/>
      <c r="E410" s="12"/>
      <c r="H410" s="13"/>
    </row>
    <row r="411">
      <c r="C411" s="11"/>
      <c r="E411" s="12"/>
      <c r="H411" s="13"/>
    </row>
    <row r="412">
      <c r="C412" s="11"/>
      <c r="E412" s="12"/>
      <c r="H412" s="13"/>
    </row>
    <row r="413">
      <c r="C413" s="11"/>
      <c r="E413" s="12"/>
      <c r="H413" s="13"/>
    </row>
    <row r="414">
      <c r="C414" s="11"/>
      <c r="E414" s="12"/>
      <c r="H414" s="13"/>
    </row>
    <row r="415">
      <c r="C415" s="11"/>
      <c r="E415" s="12"/>
      <c r="H415" s="13"/>
    </row>
    <row r="416">
      <c r="C416" s="11"/>
      <c r="E416" s="12"/>
      <c r="H416" s="13"/>
    </row>
    <row r="417">
      <c r="C417" s="11"/>
      <c r="E417" s="12"/>
      <c r="H417" s="13"/>
    </row>
    <row r="418">
      <c r="C418" s="11"/>
      <c r="E418" s="12"/>
      <c r="H418" s="13"/>
    </row>
    <row r="419">
      <c r="C419" s="11"/>
      <c r="E419" s="12"/>
      <c r="H419" s="13"/>
    </row>
    <row r="420">
      <c r="C420" s="11"/>
      <c r="E420" s="12"/>
      <c r="H420" s="13"/>
    </row>
    <row r="421">
      <c r="C421" s="11"/>
      <c r="E421" s="12"/>
      <c r="H421" s="13"/>
    </row>
    <row r="422">
      <c r="C422" s="11"/>
      <c r="E422" s="12"/>
      <c r="H422" s="13"/>
    </row>
    <row r="423">
      <c r="C423" s="11"/>
      <c r="E423" s="12"/>
      <c r="H423" s="13"/>
    </row>
    <row r="424">
      <c r="C424" s="11"/>
      <c r="E424" s="12"/>
      <c r="H424" s="13"/>
    </row>
    <row r="425">
      <c r="C425" s="11"/>
      <c r="E425" s="12"/>
      <c r="H425" s="13"/>
    </row>
    <row r="426">
      <c r="C426" s="11"/>
      <c r="E426" s="12"/>
      <c r="H426" s="13"/>
    </row>
    <row r="427">
      <c r="C427" s="11"/>
      <c r="E427" s="12"/>
      <c r="H427" s="13"/>
    </row>
    <row r="428">
      <c r="C428" s="11"/>
      <c r="E428" s="12"/>
      <c r="H428" s="13"/>
    </row>
    <row r="429">
      <c r="C429" s="11"/>
      <c r="E429" s="12"/>
      <c r="H429" s="13"/>
    </row>
    <row r="430">
      <c r="C430" s="11"/>
      <c r="E430" s="12"/>
      <c r="H430" s="13"/>
    </row>
    <row r="431">
      <c r="C431" s="11"/>
      <c r="E431" s="12"/>
      <c r="H431" s="13"/>
    </row>
    <row r="432">
      <c r="C432" s="11"/>
      <c r="E432" s="12"/>
      <c r="H432" s="13"/>
    </row>
    <row r="433">
      <c r="C433" s="11"/>
      <c r="E433" s="12"/>
      <c r="H433" s="13"/>
    </row>
    <row r="434">
      <c r="C434" s="11"/>
      <c r="E434" s="12"/>
      <c r="H434" s="13"/>
    </row>
    <row r="435">
      <c r="C435" s="11"/>
      <c r="E435" s="12"/>
      <c r="H435" s="13"/>
    </row>
    <row r="436">
      <c r="C436" s="11"/>
      <c r="E436" s="12"/>
      <c r="H436" s="13"/>
    </row>
    <row r="437">
      <c r="C437" s="11"/>
      <c r="E437" s="12"/>
      <c r="H437" s="13"/>
    </row>
    <row r="438">
      <c r="C438" s="11"/>
      <c r="E438" s="12"/>
      <c r="H438" s="13"/>
    </row>
    <row r="439">
      <c r="C439" s="11"/>
      <c r="E439" s="12"/>
      <c r="H439" s="13"/>
    </row>
    <row r="440">
      <c r="C440" s="11"/>
      <c r="E440" s="12"/>
      <c r="H440" s="13"/>
    </row>
    <row r="441">
      <c r="C441" s="11"/>
      <c r="E441" s="12"/>
      <c r="H441" s="13"/>
    </row>
    <row r="442">
      <c r="C442" s="11"/>
      <c r="E442" s="12"/>
      <c r="H442" s="13"/>
    </row>
    <row r="443">
      <c r="C443" s="11"/>
      <c r="E443" s="12"/>
      <c r="H443" s="13"/>
    </row>
    <row r="444">
      <c r="C444" s="11"/>
      <c r="E444" s="12"/>
      <c r="H444" s="13"/>
    </row>
    <row r="445">
      <c r="C445" s="11"/>
      <c r="E445" s="12"/>
      <c r="H445" s="13"/>
    </row>
    <row r="446">
      <c r="C446" s="11"/>
      <c r="E446" s="12"/>
      <c r="H446" s="13"/>
    </row>
    <row r="447">
      <c r="C447" s="11"/>
      <c r="E447" s="12"/>
      <c r="H447" s="13"/>
    </row>
    <row r="448">
      <c r="C448" s="11"/>
      <c r="E448" s="12"/>
      <c r="H448" s="13"/>
    </row>
    <row r="449">
      <c r="C449" s="11"/>
      <c r="E449" s="12"/>
      <c r="H449" s="13"/>
    </row>
    <row r="450">
      <c r="C450" s="11"/>
      <c r="E450" s="12"/>
      <c r="H450" s="13"/>
    </row>
    <row r="451">
      <c r="C451" s="11"/>
      <c r="E451" s="12"/>
      <c r="H451" s="13"/>
    </row>
    <row r="452">
      <c r="C452" s="11"/>
      <c r="E452" s="12"/>
      <c r="H452" s="13"/>
    </row>
    <row r="453">
      <c r="C453" s="11"/>
      <c r="E453" s="12"/>
      <c r="H453" s="13"/>
    </row>
    <row r="454">
      <c r="C454" s="11"/>
      <c r="E454" s="12"/>
      <c r="H454" s="13"/>
    </row>
    <row r="455">
      <c r="C455" s="11"/>
      <c r="E455" s="12"/>
      <c r="H455" s="13"/>
    </row>
    <row r="456">
      <c r="C456" s="11"/>
      <c r="E456" s="12"/>
      <c r="H456" s="13"/>
    </row>
    <row r="457">
      <c r="C457" s="11"/>
      <c r="E457" s="12"/>
      <c r="H457" s="13"/>
    </row>
    <row r="458">
      <c r="C458" s="11"/>
      <c r="E458" s="12"/>
      <c r="H458" s="13"/>
    </row>
    <row r="459">
      <c r="C459" s="11"/>
      <c r="E459" s="12"/>
      <c r="H459" s="13"/>
    </row>
    <row r="460">
      <c r="C460" s="11"/>
      <c r="E460" s="12"/>
      <c r="H460" s="13"/>
    </row>
    <row r="461">
      <c r="C461" s="11"/>
      <c r="E461" s="12"/>
      <c r="H461" s="13"/>
    </row>
    <row r="462">
      <c r="C462" s="11"/>
      <c r="E462" s="12"/>
      <c r="H462" s="13"/>
    </row>
    <row r="463">
      <c r="C463" s="11"/>
      <c r="E463" s="12"/>
      <c r="H463" s="13"/>
    </row>
    <row r="464">
      <c r="C464" s="11"/>
      <c r="E464" s="12"/>
      <c r="H464" s="13"/>
    </row>
    <row r="465">
      <c r="C465" s="11"/>
      <c r="E465" s="12"/>
      <c r="H465" s="13"/>
    </row>
    <row r="466">
      <c r="C466" s="11"/>
      <c r="E466" s="12"/>
      <c r="H466" s="13"/>
    </row>
    <row r="467">
      <c r="C467" s="11"/>
      <c r="E467" s="12"/>
      <c r="H467" s="13"/>
    </row>
    <row r="468">
      <c r="C468" s="11"/>
      <c r="E468" s="12"/>
      <c r="H468" s="13"/>
    </row>
    <row r="469">
      <c r="C469" s="11"/>
      <c r="E469" s="12"/>
      <c r="H469" s="13"/>
    </row>
    <row r="470">
      <c r="C470" s="11"/>
      <c r="E470" s="12"/>
      <c r="H470" s="13"/>
    </row>
    <row r="471">
      <c r="C471" s="11"/>
      <c r="E471" s="12"/>
      <c r="H471" s="13"/>
    </row>
    <row r="472">
      <c r="C472" s="11"/>
      <c r="E472" s="12"/>
      <c r="H472" s="13"/>
    </row>
    <row r="473">
      <c r="C473" s="11"/>
      <c r="E473" s="12"/>
      <c r="H473" s="13"/>
    </row>
    <row r="474">
      <c r="C474" s="11"/>
      <c r="E474" s="12"/>
      <c r="H474" s="13"/>
    </row>
    <row r="475">
      <c r="C475" s="11"/>
      <c r="E475" s="12"/>
      <c r="H475" s="13"/>
    </row>
    <row r="476">
      <c r="C476" s="11"/>
      <c r="E476" s="12"/>
      <c r="H476" s="13"/>
    </row>
    <row r="477">
      <c r="C477" s="11"/>
      <c r="E477" s="12"/>
      <c r="H477" s="13"/>
    </row>
    <row r="478">
      <c r="C478" s="11"/>
      <c r="E478" s="12"/>
      <c r="H478" s="13"/>
    </row>
    <row r="479">
      <c r="C479" s="11"/>
      <c r="E479" s="12"/>
      <c r="H479" s="13"/>
    </row>
    <row r="480">
      <c r="C480" s="11"/>
      <c r="E480" s="12"/>
      <c r="H480" s="13"/>
    </row>
    <row r="481">
      <c r="C481" s="11"/>
      <c r="E481" s="12"/>
      <c r="H481" s="13"/>
    </row>
    <row r="482">
      <c r="C482" s="11"/>
      <c r="E482" s="12"/>
      <c r="H482" s="13"/>
    </row>
    <row r="483">
      <c r="C483" s="11"/>
      <c r="E483" s="12"/>
      <c r="H483" s="13"/>
    </row>
    <row r="484">
      <c r="C484" s="11"/>
      <c r="E484" s="12"/>
      <c r="H484" s="13"/>
    </row>
    <row r="485">
      <c r="C485" s="11"/>
      <c r="E485" s="12"/>
      <c r="H485" s="13"/>
    </row>
    <row r="486">
      <c r="C486" s="11"/>
      <c r="E486" s="12"/>
      <c r="H486" s="13"/>
    </row>
    <row r="487">
      <c r="C487" s="11"/>
      <c r="E487" s="12"/>
      <c r="H487" s="13"/>
    </row>
    <row r="488">
      <c r="C488" s="11"/>
      <c r="E488" s="12"/>
      <c r="H488" s="13"/>
    </row>
    <row r="489">
      <c r="C489" s="11"/>
      <c r="E489" s="12"/>
      <c r="H489" s="13"/>
    </row>
    <row r="490">
      <c r="C490" s="11"/>
      <c r="E490" s="12"/>
      <c r="H490" s="13"/>
    </row>
    <row r="491">
      <c r="C491" s="11"/>
      <c r="E491" s="12"/>
      <c r="H491" s="13"/>
    </row>
    <row r="492">
      <c r="C492" s="11"/>
      <c r="E492" s="12"/>
      <c r="H492" s="13"/>
    </row>
    <row r="493">
      <c r="C493" s="11"/>
      <c r="E493" s="12"/>
      <c r="H493" s="13"/>
    </row>
    <row r="494">
      <c r="C494" s="11"/>
      <c r="E494" s="12"/>
      <c r="H494" s="13"/>
    </row>
    <row r="495">
      <c r="C495" s="11"/>
      <c r="E495" s="12"/>
      <c r="H495" s="13"/>
    </row>
    <row r="496">
      <c r="C496" s="11"/>
      <c r="E496" s="12"/>
      <c r="H496" s="13"/>
    </row>
    <row r="497">
      <c r="C497" s="11"/>
      <c r="E497" s="12"/>
      <c r="H497" s="13"/>
    </row>
    <row r="498">
      <c r="C498" s="11"/>
      <c r="E498" s="12"/>
      <c r="H498" s="13"/>
    </row>
    <row r="499">
      <c r="C499" s="11"/>
      <c r="E499" s="12"/>
      <c r="H499" s="13"/>
    </row>
    <row r="500">
      <c r="C500" s="11"/>
      <c r="E500" s="12"/>
      <c r="H500" s="13"/>
    </row>
    <row r="501">
      <c r="C501" s="11"/>
      <c r="E501" s="12"/>
      <c r="H501" s="13"/>
    </row>
    <row r="502">
      <c r="C502" s="11"/>
      <c r="E502" s="12"/>
      <c r="H502" s="13"/>
    </row>
    <row r="503">
      <c r="C503" s="11"/>
      <c r="E503" s="12"/>
      <c r="H503" s="13"/>
    </row>
    <row r="504">
      <c r="C504" s="11"/>
      <c r="E504" s="12"/>
      <c r="H504" s="13"/>
    </row>
    <row r="505">
      <c r="C505" s="11"/>
      <c r="E505" s="12"/>
      <c r="H505" s="13"/>
    </row>
    <row r="506">
      <c r="C506" s="11"/>
      <c r="E506" s="12"/>
      <c r="H506" s="13"/>
    </row>
    <row r="507">
      <c r="C507" s="11"/>
      <c r="E507" s="12"/>
      <c r="H507" s="13"/>
    </row>
    <row r="508">
      <c r="C508" s="11"/>
      <c r="E508" s="12"/>
      <c r="H508" s="13"/>
    </row>
    <row r="509">
      <c r="C509" s="11"/>
      <c r="E509" s="12"/>
      <c r="H509" s="13"/>
    </row>
    <row r="510">
      <c r="C510" s="11"/>
      <c r="E510" s="12"/>
      <c r="H510" s="13"/>
    </row>
    <row r="511">
      <c r="C511" s="11"/>
      <c r="E511" s="12"/>
      <c r="H511" s="13"/>
    </row>
    <row r="512">
      <c r="C512" s="11"/>
      <c r="E512" s="12"/>
      <c r="H512" s="13"/>
    </row>
    <row r="513">
      <c r="C513" s="11"/>
      <c r="E513" s="12"/>
      <c r="H513" s="13"/>
    </row>
    <row r="514">
      <c r="C514" s="11"/>
      <c r="E514" s="12"/>
      <c r="H514" s="13"/>
    </row>
    <row r="515">
      <c r="C515" s="11"/>
      <c r="E515" s="12"/>
      <c r="H515" s="13"/>
    </row>
    <row r="516">
      <c r="C516" s="11"/>
      <c r="E516" s="12"/>
      <c r="H516" s="13"/>
    </row>
    <row r="517">
      <c r="C517" s="11"/>
      <c r="E517" s="12"/>
      <c r="H517" s="13"/>
    </row>
    <row r="518">
      <c r="C518" s="11"/>
      <c r="E518" s="12"/>
      <c r="H518" s="13"/>
    </row>
    <row r="519">
      <c r="C519" s="11"/>
      <c r="E519" s="12"/>
      <c r="H519" s="13"/>
    </row>
    <row r="520">
      <c r="C520" s="11"/>
      <c r="E520" s="12"/>
      <c r="H520" s="13"/>
    </row>
    <row r="521">
      <c r="C521" s="11"/>
      <c r="E521" s="12"/>
      <c r="H521" s="13"/>
    </row>
    <row r="522">
      <c r="C522" s="11"/>
      <c r="E522" s="12"/>
      <c r="H522" s="13"/>
    </row>
    <row r="523">
      <c r="C523" s="11"/>
      <c r="E523" s="12"/>
      <c r="H523" s="13"/>
    </row>
    <row r="524">
      <c r="C524" s="11"/>
      <c r="E524" s="12"/>
      <c r="H524" s="13"/>
    </row>
    <row r="525">
      <c r="C525" s="11"/>
      <c r="E525" s="12"/>
      <c r="H525" s="13"/>
    </row>
    <row r="526">
      <c r="C526" s="11"/>
      <c r="E526" s="12"/>
      <c r="H526" s="13"/>
    </row>
    <row r="527">
      <c r="C527" s="11"/>
      <c r="E527" s="12"/>
      <c r="H527" s="13"/>
    </row>
    <row r="528">
      <c r="C528" s="11"/>
      <c r="E528" s="12"/>
      <c r="H528" s="13"/>
    </row>
    <row r="529">
      <c r="C529" s="11"/>
      <c r="E529" s="12"/>
      <c r="H529" s="13"/>
    </row>
    <row r="530">
      <c r="C530" s="11"/>
      <c r="E530" s="12"/>
      <c r="H530" s="13"/>
    </row>
    <row r="531">
      <c r="C531" s="11"/>
      <c r="E531" s="12"/>
      <c r="H531" s="13"/>
    </row>
    <row r="532">
      <c r="C532" s="11"/>
      <c r="E532" s="12"/>
      <c r="H532" s="13"/>
    </row>
    <row r="533">
      <c r="C533" s="11"/>
      <c r="E533" s="12"/>
      <c r="H533" s="13"/>
    </row>
    <row r="534">
      <c r="C534" s="11"/>
      <c r="E534" s="12"/>
      <c r="H534" s="13"/>
    </row>
    <row r="535">
      <c r="C535" s="11"/>
      <c r="E535" s="12"/>
      <c r="H535" s="13"/>
    </row>
    <row r="536">
      <c r="C536" s="11"/>
      <c r="E536" s="12"/>
      <c r="H536" s="13"/>
    </row>
    <row r="537">
      <c r="C537" s="11"/>
      <c r="E537" s="12"/>
      <c r="H537" s="13"/>
    </row>
    <row r="538">
      <c r="C538" s="11"/>
      <c r="E538" s="12"/>
      <c r="H538" s="13"/>
    </row>
    <row r="539">
      <c r="C539" s="11"/>
      <c r="E539" s="12"/>
      <c r="H539" s="13"/>
    </row>
    <row r="540">
      <c r="C540" s="11"/>
      <c r="E540" s="12"/>
      <c r="H540" s="13"/>
    </row>
    <row r="541">
      <c r="C541" s="11"/>
      <c r="E541" s="12"/>
      <c r="H541" s="13"/>
    </row>
    <row r="542">
      <c r="C542" s="11"/>
      <c r="E542" s="12"/>
      <c r="H542" s="13"/>
    </row>
    <row r="543">
      <c r="C543" s="11"/>
      <c r="E543" s="12"/>
      <c r="H543" s="13"/>
    </row>
    <row r="544">
      <c r="C544" s="11"/>
      <c r="E544" s="12"/>
      <c r="H544" s="13"/>
    </row>
    <row r="545">
      <c r="C545" s="11"/>
      <c r="E545" s="12"/>
      <c r="H545" s="13"/>
    </row>
    <row r="546">
      <c r="C546" s="11"/>
      <c r="E546" s="12"/>
      <c r="H546" s="13"/>
    </row>
    <row r="547">
      <c r="C547" s="11"/>
      <c r="E547" s="12"/>
      <c r="H547" s="13"/>
    </row>
    <row r="548">
      <c r="C548" s="11"/>
      <c r="E548" s="12"/>
      <c r="H548" s="13"/>
    </row>
    <row r="549">
      <c r="C549" s="11"/>
      <c r="E549" s="12"/>
      <c r="H549" s="13"/>
    </row>
    <row r="550">
      <c r="C550" s="11"/>
      <c r="E550" s="12"/>
      <c r="H550" s="13"/>
    </row>
    <row r="551">
      <c r="C551" s="11"/>
      <c r="E551" s="12"/>
      <c r="H551" s="13"/>
    </row>
    <row r="552">
      <c r="C552" s="11"/>
      <c r="E552" s="12"/>
      <c r="H552" s="13"/>
    </row>
    <row r="553">
      <c r="C553" s="11"/>
      <c r="E553" s="12"/>
      <c r="H553" s="13"/>
    </row>
    <row r="554">
      <c r="C554" s="11"/>
      <c r="E554" s="12"/>
      <c r="H554" s="13"/>
    </row>
    <row r="555">
      <c r="C555" s="11"/>
      <c r="E555" s="12"/>
      <c r="H555" s="13"/>
    </row>
    <row r="556">
      <c r="C556" s="11"/>
      <c r="E556" s="12"/>
      <c r="H556" s="13"/>
    </row>
    <row r="557">
      <c r="C557" s="11"/>
      <c r="E557" s="12"/>
      <c r="H557" s="13"/>
    </row>
    <row r="558">
      <c r="C558" s="11"/>
      <c r="E558" s="12"/>
      <c r="H558" s="13"/>
    </row>
    <row r="559">
      <c r="C559" s="11"/>
      <c r="E559" s="12"/>
      <c r="H559" s="13"/>
    </row>
    <row r="560">
      <c r="C560" s="11"/>
      <c r="E560" s="12"/>
      <c r="H560" s="13"/>
    </row>
    <row r="561">
      <c r="C561" s="11"/>
      <c r="E561" s="12"/>
      <c r="H561" s="13"/>
    </row>
    <row r="562">
      <c r="C562" s="11"/>
      <c r="E562" s="12"/>
      <c r="H562" s="13"/>
    </row>
    <row r="563">
      <c r="C563" s="11"/>
      <c r="E563" s="12"/>
      <c r="H563" s="13"/>
    </row>
    <row r="564">
      <c r="C564" s="11"/>
      <c r="E564" s="12"/>
      <c r="H564" s="13"/>
    </row>
    <row r="565">
      <c r="C565" s="11"/>
      <c r="E565" s="12"/>
      <c r="H565" s="13"/>
    </row>
    <row r="566">
      <c r="C566" s="11"/>
      <c r="E566" s="12"/>
      <c r="H566" s="13"/>
    </row>
    <row r="567">
      <c r="C567" s="11"/>
      <c r="E567" s="12"/>
      <c r="H567" s="13"/>
    </row>
    <row r="568">
      <c r="C568" s="11"/>
      <c r="E568" s="12"/>
      <c r="H568" s="13"/>
    </row>
    <row r="569">
      <c r="C569" s="11"/>
      <c r="E569" s="12"/>
      <c r="H569" s="13"/>
    </row>
    <row r="570">
      <c r="C570" s="11"/>
      <c r="E570" s="12"/>
      <c r="H570" s="13"/>
    </row>
    <row r="571">
      <c r="C571" s="11"/>
      <c r="E571" s="12"/>
      <c r="H571" s="13"/>
    </row>
    <row r="572">
      <c r="C572" s="11"/>
      <c r="E572" s="12"/>
      <c r="H572" s="13"/>
    </row>
    <row r="573">
      <c r="C573" s="11"/>
      <c r="E573" s="12"/>
      <c r="H573" s="13"/>
    </row>
    <row r="574">
      <c r="C574" s="11"/>
      <c r="E574" s="12"/>
      <c r="H574" s="13"/>
    </row>
    <row r="575">
      <c r="C575" s="11"/>
      <c r="E575" s="12"/>
      <c r="H575" s="13"/>
    </row>
    <row r="576">
      <c r="C576" s="11"/>
      <c r="E576" s="12"/>
      <c r="H576" s="13"/>
    </row>
    <row r="577">
      <c r="C577" s="11"/>
      <c r="E577" s="12"/>
      <c r="H577" s="13"/>
    </row>
    <row r="578">
      <c r="C578" s="11"/>
      <c r="E578" s="12"/>
      <c r="H578" s="13"/>
    </row>
    <row r="579">
      <c r="C579" s="11"/>
      <c r="E579" s="12"/>
      <c r="H579" s="13"/>
    </row>
    <row r="580">
      <c r="C580" s="11"/>
      <c r="E580" s="12"/>
      <c r="H580" s="13"/>
    </row>
    <row r="581">
      <c r="C581" s="11"/>
      <c r="E581" s="12"/>
      <c r="H581" s="13"/>
    </row>
    <row r="582">
      <c r="C582" s="11"/>
      <c r="E582" s="12"/>
      <c r="H582" s="13"/>
    </row>
    <row r="583">
      <c r="C583" s="11"/>
      <c r="E583" s="12"/>
      <c r="H583" s="13"/>
    </row>
    <row r="584">
      <c r="C584" s="11"/>
      <c r="E584" s="12"/>
      <c r="H584" s="13"/>
    </row>
    <row r="585">
      <c r="C585" s="11"/>
      <c r="E585" s="12"/>
      <c r="H585" s="13"/>
    </row>
    <row r="586">
      <c r="C586" s="11"/>
      <c r="E586" s="12"/>
      <c r="H586" s="13"/>
    </row>
    <row r="587">
      <c r="C587" s="11"/>
      <c r="E587" s="12"/>
      <c r="H587" s="13"/>
    </row>
    <row r="588">
      <c r="C588" s="11"/>
      <c r="E588" s="12"/>
      <c r="H588" s="13"/>
    </row>
    <row r="589">
      <c r="C589" s="11"/>
      <c r="E589" s="12"/>
      <c r="H589" s="13"/>
    </row>
    <row r="590">
      <c r="C590" s="11"/>
      <c r="E590" s="12"/>
      <c r="H590" s="13"/>
    </row>
    <row r="591">
      <c r="C591" s="11"/>
      <c r="E591" s="12"/>
      <c r="H591" s="13"/>
    </row>
    <row r="592">
      <c r="C592" s="11"/>
      <c r="E592" s="12"/>
      <c r="H592" s="13"/>
    </row>
    <row r="593">
      <c r="C593" s="11"/>
      <c r="E593" s="12"/>
      <c r="H593" s="13"/>
    </row>
    <row r="594">
      <c r="C594" s="11"/>
      <c r="E594" s="12"/>
      <c r="H594" s="13"/>
    </row>
    <row r="595">
      <c r="C595" s="11"/>
      <c r="E595" s="12"/>
      <c r="H595" s="13"/>
    </row>
    <row r="596">
      <c r="C596" s="11"/>
      <c r="E596" s="12"/>
      <c r="H596" s="13"/>
    </row>
    <row r="597">
      <c r="C597" s="11"/>
      <c r="E597" s="12"/>
      <c r="H597" s="13"/>
    </row>
    <row r="598">
      <c r="C598" s="11"/>
      <c r="E598" s="12"/>
      <c r="H598" s="13"/>
    </row>
    <row r="599">
      <c r="C599" s="11"/>
      <c r="E599" s="12"/>
      <c r="H599" s="13"/>
    </row>
    <row r="600">
      <c r="C600" s="11"/>
      <c r="E600" s="12"/>
      <c r="H600" s="13"/>
    </row>
    <row r="601">
      <c r="C601" s="11"/>
      <c r="E601" s="12"/>
      <c r="H601" s="13"/>
    </row>
    <row r="602">
      <c r="C602" s="11"/>
      <c r="E602" s="12"/>
      <c r="H602" s="13"/>
    </row>
    <row r="603">
      <c r="C603" s="11"/>
      <c r="E603" s="12"/>
      <c r="H603" s="13"/>
    </row>
    <row r="604">
      <c r="C604" s="11"/>
      <c r="E604" s="12"/>
      <c r="H604" s="13"/>
    </row>
    <row r="605">
      <c r="C605" s="11"/>
      <c r="E605" s="12"/>
      <c r="H605" s="13"/>
    </row>
    <row r="606">
      <c r="C606" s="11"/>
      <c r="E606" s="12"/>
      <c r="H606" s="13"/>
    </row>
    <row r="607">
      <c r="C607" s="11"/>
      <c r="E607" s="12"/>
      <c r="H607" s="13"/>
    </row>
    <row r="608">
      <c r="C608" s="11"/>
      <c r="E608" s="12"/>
      <c r="H608" s="13"/>
    </row>
    <row r="609">
      <c r="C609" s="11"/>
      <c r="E609" s="12"/>
      <c r="H609" s="13"/>
    </row>
    <row r="610">
      <c r="C610" s="11"/>
      <c r="E610" s="12"/>
      <c r="H610" s="13"/>
    </row>
    <row r="611">
      <c r="C611" s="11"/>
      <c r="E611" s="12"/>
      <c r="H611" s="13"/>
    </row>
    <row r="612">
      <c r="C612" s="11"/>
      <c r="E612" s="12"/>
      <c r="H612" s="13"/>
    </row>
    <row r="613">
      <c r="C613" s="11"/>
      <c r="E613" s="12"/>
      <c r="H613" s="13"/>
    </row>
    <row r="614">
      <c r="C614" s="11"/>
      <c r="E614" s="12"/>
      <c r="H614" s="13"/>
    </row>
    <row r="615">
      <c r="C615" s="11"/>
      <c r="E615" s="12"/>
      <c r="H615" s="13"/>
    </row>
    <row r="616">
      <c r="C616" s="11"/>
      <c r="E616" s="12"/>
      <c r="H616" s="13"/>
    </row>
    <row r="617">
      <c r="C617" s="11"/>
      <c r="E617" s="12"/>
      <c r="H617" s="13"/>
    </row>
    <row r="618">
      <c r="C618" s="11"/>
      <c r="E618" s="12"/>
      <c r="H618" s="13"/>
    </row>
    <row r="619">
      <c r="C619" s="11"/>
      <c r="E619" s="12"/>
      <c r="H619" s="13"/>
    </row>
    <row r="620">
      <c r="C620" s="11"/>
      <c r="E620" s="12"/>
      <c r="H620" s="13"/>
    </row>
    <row r="621">
      <c r="C621" s="11"/>
      <c r="E621" s="12"/>
      <c r="H621" s="13"/>
    </row>
    <row r="622">
      <c r="C622" s="11"/>
      <c r="E622" s="12"/>
      <c r="H622" s="13"/>
    </row>
    <row r="623">
      <c r="C623" s="11"/>
      <c r="E623" s="12"/>
      <c r="H623" s="13"/>
    </row>
    <row r="624">
      <c r="C624" s="11"/>
      <c r="E624" s="12"/>
      <c r="H624" s="13"/>
    </row>
    <row r="625">
      <c r="C625" s="11"/>
      <c r="E625" s="12"/>
      <c r="H625" s="13"/>
    </row>
    <row r="626">
      <c r="C626" s="11"/>
      <c r="E626" s="12"/>
      <c r="H626" s="13"/>
    </row>
    <row r="627">
      <c r="C627" s="11"/>
      <c r="E627" s="12"/>
      <c r="H627" s="13"/>
    </row>
    <row r="628">
      <c r="C628" s="11"/>
      <c r="E628" s="12"/>
      <c r="H628" s="13"/>
    </row>
    <row r="629">
      <c r="C629" s="11"/>
      <c r="E629" s="12"/>
      <c r="H629" s="13"/>
    </row>
    <row r="630">
      <c r="C630" s="11"/>
      <c r="E630" s="12"/>
      <c r="H630" s="13"/>
    </row>
    <row r="631">
      <c r="C631" s="11"/>
      <c r="E631" s="12"/>
      <c r="H631" s="13"/>
    </row>
    <row r="632">
      <c r="C632" s="11"/>
      <c r="E632" s="12"/>
      <c r="H632" s="13"/>
    </row>
    <row r="633">
      <c r="C633" s="11"/>
      <c r="E633" s="12"/>
      <c r="H633" s="13"/>
    </row>
    <row r="634">
      <c r="C634" s="11"/>
      <c r="E634" s="12"/>
      <c r="H634" s="13"/>
    </row>
    <row r="635">
      <c r="C635" s="11"/>
      <c r="E635" s="12"/>
      <c r="H635" s="13"/>
    </row>
    <row r="636">
      <c r="C636" s="11"/>
      <c r="E636" s="12"/>
      <c r="H636" s="13"/>
    </row>
    <row r="637">
      <c r="C637" s="11"/>
      <c r="E637" s="12"/>
      <c r="H637" s="13"/>
    </row>
    <row r="638">
      <c r="C638" s="11"/>
      <c r="E638" s="12"/>
      <c r="H638" s="13"/>
    </row>
    <row r="639">
      <c r="C639" s="11"/>
      <c r="E639" s="12"/>
      <c r="H639" s="13"/>
    </row>
    <row r="640">
      <c r="C640" s="11"/>
      <c r="E640" s="12"/>
      <c r="H640" s="13"/>
    </row>
    <row r="641">
      <c r="C641" s="11"/>
      <c r="E641" s="12"/>
      <c r="H641" s="13"/>
    </row>
    <row r="642">
      <c r="C642" s="11"/>
      <c r="E642" s="12"/>
      <c r="H642" s="13"/>
    </row>
    <row r="643">
      <c r="C643" s="11"/>
      <c r="E643" s="12"/>
      <c r="H643" s="13"/>
    </row>
    <row r="644">
      <c r="C644" s="11"/>
      <c r="E644" s="12"/>
      <c r="H644" s="13"/>
    </row>
    <row r="645">
      <c r="C645" s="11"/>
      <c r="E645" s="12"/>
      <c r="H645" s="13"/>
    </row>
    <row r="646">
      <c r="C646" s="11"/>
      <c r="E646" s="12"/>
      <c r="H646" s="13"/>
    </row>
    <row r="647">
      <c r="C647" s="11"/>
      <c r="E647" s="12"/>
      <c r="H647" s="13"/>
    </row>
    <row r="648">
      <c r="C648" s="11"/>
      <c r="E648" s="12"/>
      <c r="H648" s="13"/>
    </row>
    <row r="649">
      <c r="C649" s="11"/>
      <c r="E649" s="12"/>
      <c r="H649" s="13"/>
    </row>
    <row r="650">
      <c r="C650" s="11"/>
      <c r="E650" s="12"/>
      <c r="H650" s="13"/>
    </row>
    <row r="651">
      <c r="C651" s="11"/>
      <c r="E651" s="12"/>
      <c r="H651" s="13"/>
    </row>
    <row r="652">
      <c r="C652" s="11"/>
      <c r="E652" s="12"/>
      <c r="H652" s="13"/>
    </row>
    <row r="653">
      <c r="C653" s="11"/>
      <c r="E653" s="12"/>
      <c r="H653" s="13"/>
    </row>
    <row r="654">
      <c r="C654" s="11"/>
      <c r="E654" s="12"/>
      <c r="H654" s="13"/>
    </row>
    <row r="655">
      <c r="C655" s="11"/>
      <c r="E655" s="12"/>
      <c r="H655" s="13"/>
    </row>
    <row r="656">
      <c r="C656" s="11"/>
      <c r="E656" s="12"/>
      <c r="H656" s="13"/>
    </row>
    <row r="657">
      <c r="C657" s="11"/>
      <c r="E657" s="12"/>
      <c r="H657" s="13"/>
    </row>
    <row r="658">
      <c r="C658" s="11"/>
      <c r="E658" s="12"/>
      <c r="H658" s="13"/>
    </row>
    <row r="659">
      <c r="C659" s="11"/>
      <c r="E659" s="12"/>
      <c r="H659" s="13"/>
    </row>
    <row r="660">
      <c r="C660" s="11"/>
      <c r="E660" s="12"/>
      <c r="H660" s="13"/>
    </row>
    <row r="661">
      <c r="C661" s="11"/>
      <c r="E661" s="12"/>
      <c r="H661" s="13"/>
    </row>
    <row r="662">
      <c r="C662" s="11"/>
      <c r="E662" s="12"/>
      <c r="H662" s="13"/>
    </row>
    <row r="663">
      <c r="C663" s="11"/>
      <c r="E663" s="12"/>
      <c r="H663" s="13"/>
    </row>
    <row r="664">
      <c r="C664" s="11"/>
      <c r="E664" s="12"/>
      <c r="H664" s="13"/>
    </row>
    <row r="665">
      <c r="C665" s="11"/>
      <c r="E665" s="12"/>
      <c r="H665" s="13"/>
    </row>
    <row r="666">
      <c r="C666" s="11"/>
      <c r="E666" s="12"/>
      <c r="H666" s="13"/>
    </row>
    <row r="667">
      <c r="C667" s="11"/>
      <c r="E667" s="12"/>
      <c r="H667" s="13"/>
    </row>
    <row r="668">
      <c r="C668" s="11"/>
      <c r="E668" s="12"/>
      <c r="H668" s="13"/>
    </row>
    <row r="669">
      <c r="C669" s="11"/>
      <c r="E669" s="12"/>
      <c r="H669" s="13"/>
    </row>
    <row r="670">
      <c r="C670" s="11"/>
      <c r="E670" s="12"/>
      <c r="H670" s="13"/>
    </row>
    <row r="671">
      <c r="C671" s="11"/>
      <c r="E671" s="12"/>
      <c r="H671" s="13"/>
    </row>
    <row r="672">
      <c r="C672" s="11"/>
      <c r="E672" s="12"/>
      <c r="H672" s="13"/>
    </row>
    <row r="673">
      <c r="C673" s="11"/>
      <c r="E673" s="12"/>
      <c r="H673" s="13"/>
    </row>
    <row r="674">
      <c r="C674" s="11"/>
      <c r="E674" s="12"/>
      <c r="H674" s="13"/>
    </row>
    <row r="675">
      <c r="C675" s="11"/>
      <c r="E675" s="12"/>
      <c r="H675" s="13"/>
    </row>
    <row r="676">
      <c r="C676" s="11"/>
      <c r="E676" s="12"/>
      <c r="H676" s="13"/>
    </row>
    <row r="677">
      <c r="C677" s="11"/>
      <c r="E677" s="12"/>
      <c r="H677" s="13"/>
    </row>
    <row r="678">
      <c r="C678" s="11"/>
      <c r="E678" s="12"/>
      <c r="H678" s="13"/>
    </row>
    <row r="679">
      <c r="C679" s="11"/>
      <c r="E679" s="12"/>
      <c r="H679" s="13"/>
    </row>
    <row r="680">
      <c r="C680" s="11"/>
      <c r="E680" s="12"/>
      <c r="H680" s="13"/>
    </row>
    <row r="681">
      <c r="C681" s="11"/>
      <c r="E681" s="12"/>
      <c r="H681" s="13"/>
    </row>
    <row r="682">
      <c r="C682" s="11"/>
      <c r="E682" s="12"/>
      <c r="H682" s="13"/>
    </row>
    <row r="683">
      <c r="C683" s="11"/>
      <c r="E683" s="12"/>
      <c r="H683" s="13"/>
    </row>
    <row r="684">
      <c r="C684" s="11"/>
      <c r="E684" s="12"/>
      <c r="H684" s="13"/>
    </row>
    <row r="685">
      <c r="C685" s="11"/>
      <c r="E685" s="12"/>
      <c r="H685" s="13"/>
    </row>
    <row r="686">
      <c r="C686" s="11"/>
      <c r="E686" s="12"/>
      <c r="H686" s="13"/>
    </row>
    <row r="687">
      <c r="C687" s="11"/>
      <c r="E687" s="12"/>
      <c r="H687" s="13"/>
    </row>
    <row r="688">
      <c r="C688" s="11"/>
      <c r="E688" s="12"/>
      <c r="H688" s="13"/>
    </row>
    <row r="689">
      <c r="C689" s="11"/>
      <c r="E689" s="12"/>
      <c r="H689" s="13"/>
    </row>
    <row r="690">
      <c r="C690" s="11"/>
      <c r="E690" s="12"/>
      <c r="H690" s="13"/>
    </row>
    <row r="691">
      <c r="C691" s="11"/>
      <c r="E691" s="12"/>
      <c r="H691" s="13"/>
    </row>
    <row r="692">
      <c r="C692" s="11"/>
      <c r="E692" s="12"/>
      <c r="H692" s="13"/>
    </row>
    <row r="693">
      <c r="C693" s="11"/>
      <c r="E693" s="12"/>
      <c r="H693" s="13"/>
    </row>
    <row r="694">
      <c r="C694" s="11"/>
      <c r="E694" s="12"/>
      <c r="H694" s="13"/>
    </row>
    <row r="695">
      <c r="C695" s="11"/>
      <c r="E695" s="12"/>
      <c r="H695" s="13"/>
    </row>
    <row r="696">
      <c r="C696" s="11"/>
      <c r="E696" s="12"/>
      <c r="H696" s="13"/>
    </row>
    <row r="697">
      <c r="C697" s="11"/>
      <c r="E697" s="12"/>
      <c r="H697" s="13"/>
    </row>
    <row r="698">
      <c r="C698" s="11"/>
      <c r="E698" s="12"/>
      <c r="H698" s="13"/>
    </row>
    <row r="699">
      <c r="C699" s="11"/>
      <c r="E699" s="12"/>
      <c r="H699" s="13"/>
    </row>
    <row r="700">
      <c r="C700" s="11"/>
      <c r="E700" s="12"/>
      <c r="H700" s="13"/>
    </row>
    <row r="701">
      <c r="C701" s="11"/>
      <c r="E701" s="12"/>
      <c r="H701" s="13"/>
    </row>
    <row r="702">
      <c r="C702" s="11"/>
      <c r="E702" s="12"/>
      <c r="H702" s="13"/>
    </row>
    <row r="703">
      <c r="C703" s="11"/>
      <c r="E703" s="12"/>
      <c r="H703" s="13"/>
    </row>
    <row r="704">
      <c r="C704" s="11"/>
      <c r="E704" s="12"/>
      <c r="H704" s="13"/>
    </row>
    <row r="705">
      <c r="C705" s="11"/>
      <c r="E705" s="12"/>
      <c r="H705" s="13"/>
    </row>
    <row r="706">
      <c r="C706" s="11"/>
      <c r="E706" s="12"/>
      <c r="H706" s="13"/>
    </row>
    <row r="707">
      <c r="C707" s="11"/>
      <c r="E707" s="12"/>
      <c r="H707" s="13"/>
    </row>
    <row r="708">
      <c r="C708" s="11"/>
      <c r="E708" s="12"/>
      <c r="H708" s="13"/>
    </row>
    <row r="709">
      <c r="C709" s="11"/>
      <c r="E709" s="12"/>
      <c r="H709" s="13"/>
    </row>
    <row r="710">
      <c r="C710" s="11"/>
      <c r="E710" s="12"/>
      <c r="H710" s="13"/>
    </row>
    <row r="711">
      <c r="C711" s="11"/>
      <c r="E711" s="12"/>
      <c r="H711" s="13"/>
    </row>
    <row r="712">
      <c r="C712" s="11"/>
      <c r="E712" s="12"/>
      <c r="H712" s="13"/>
    </row>
    <row r="713">
      <c r="C713" s="11"/>
      <c r="E713" s="12"/>
      <c r="H713" s="13"/>
    </row>
    <row r="714">
      <c r="C714" s="11"/>
      <c r="E714" s="12"/>
      <c r="H714" s="13"/>
    </row>
    <row r="715">
      <c r="C715" s="11"/>
      <c r="E715" s="12"/>
      <c r="H715" s="13"/>
    </row>
    <row r="716">
      <c r="C716" s="11"/>
      <c r="E716" s="12"/>
      <c r="H716" s="13"/>
    </row>
    <row r="717">
      <c r="C717" s="11"/>
      <c r="E717" s="12"/>
      <c r="H717" s="13"/>
    </row>
    <row r="718">
      <c r="C718" s="11"/>
      <c r="E718" s="12"/>
      <c r="H718" s="13"/>
    </row>
    <row r="719">
      <c r="C719" s="11"/>
      <c r="E719" s="12"/>
      <c r="H719" s="13"/>
    </row>
    <row r="720">
      <c r="C720" s="11"/>
      <c r="E720" s="12"/>
      <c r="H720" s="13"/>
    </row>
    <row r="721">
      <c r="C721" s="11"/>
      <c r="E721" s="12"/>
      <c r="H721" s="13"/>
    </row>
    <row r="722">
      <c r="C722" s="11"/>
      <c r="E722" s="12"/>
      <c r="H722" s="13"/>
    </row>
    <row r="723">
      <c r="C723" s="11"/>
      <c r="E723" s="12"/>
      <c r="H723" s="13"/>
    </row>
    <row r="724">
      <c r="C724" s="11"/>
      <c r="E724" s="12"/>
      <c r="H724" s="13"/>
    </row>
    <row r="725">
      <c r="C725" s="11"/>
      <c r="E725" s="12"/>
      <c r="H725" s="13"/>
    </row>
    <row r="726">
      <c r="C726" s="11"/>
      <c r="E726" s="12"/>
      <c r="H726" s="13"/>
    </row>
    <row r="727">
      <c r="C727" s="11"/>
      <c r="E727" s="12"/>
      <c r="H727" s="13"/>
    </row>
    <row r="728">
      <c r="C728" s="11"/>
      <c r="E728" s="12"/>
      <c r="H728" s="13"/>
    </row>
    <row r="729">
      <c r="C729" s="11"/>
      <c r="E729" s="12"/>
      <c r="H729" s="13"/>
    </row>
    <row r="730">
      <c r="C730" s="11"/>
      <c r="E730" s="12"/>
      <c r="H730" s="13"/>
    </row>
    <row r="731">
      <c r="C731" s="11"/>
      <c r="E731" s="12"/>
      <c r="H731" s="13"/>
    </row>
    <row r="732">
      <c r="C732" s="11"/>
      <c r="E732" s="12"/>
      <c r="H732" s="13"/>
    </row>
    <row r="733">
      <c r="C733" s="11"/>
      <c r="E733" s="12"/>
      <c r="H733" s="13"/>
    </row>
    <row r="734">
      <c r="C734" s="11"/>
      <c r="E734" s="12"/>
      <c r="H734" s="13"/>
    </row>
    <row r="735">
      <c r="C735" s="11"/>
      <c r="E735" s="12"/>
      <c r="H735" s="13"/>
    </row>
    <row r="736">
      <c r="C736" s="11"/>
      <c r="E736" s="12"/>
      <c r="H736" s="13"/>
    </row>
    <row r="737">
      <c r="C737" s="11"/>
      <c r="E737" s="12"/>
      <c r="H737" s="13"/>
    </row>
    <row r="738">
      <c r="C738" s="11"/>
      <c r="E738" s="12"/>
      <c r="H738" s="13"/>
    </row>
    <row r="739">
      <c r="C739" s="11"/>
      <c r="E739" s="12"/>
      <c r="H739" s="13"/>
    </row>
    <row r="740">
      <c r="C740" s="11"/>
      <c r="E740" s="12"/>
      <c r="H740" s="13"/>
    </row>
    <row r="741">
      <c r="C741" s="11"/>
      <c r="E741" s="12"/>
      <c r="H741" s="13"/>
    </row>
    <row r="742">
      <c r="C742" s="11"/>
      <c r="E742" s="12"/>
      <c r="H742" s="13"/>
    </row>
    <row r="743">
      <c r="C743" s="11"/>
      <c r="E743" s="12"/>
      <c r="H743" s="13"/>
    </row>
    <row r="744">
      <c r="C744" s="11"/>
      <c r="E744" s="12"/>
      <c r="H744" s="13"/>
    </row>
    <row r="745">
      <c r="C745" s="11"/>
      <c r="E745" s="12"/>
      <c r="H745" s="13"/>
    </row>
    <row r="746">
      <c r="C746" s="11"/>
      <c r="E746" s="12"/>
      <c r="H746" s="13"/>
    </row>
    <row r="747">
      <c r="C747" s="11"/>
      <c r="E747" s="12"/>
      <c r="H747" s="13"/>
    </row>
    <row r="748">
      <c r="C748" s="11"/>
      <c r="E748" s="12"/>
      <c r="H748" s="13"/>
    </row>
    <row r="749">
      <c r="C749" s="11"/>
      <c r="E749" s="12"/>
      <c r="H749" s="13"/>
    </row>
    <row r="750">
      <c r="C750" s="11"/>
      <c r="E750" s="12"/>
      <c r="H750" s="13"/>
    </row>
    <row r="751">
      <c r="C751" s="11"/>
      <c r="E751" s="12"/>
      <c r="H751" s="13"/>
    </row>
    <row r="752">
      <c r="C752" s="11"/>
      <c r="E752" s="12"/>
      <c r="H752" s="13"/>
    </row>
    <row r="753">
      <c r="C753" s="11"/>
      <c r="E753" s="12"/>
      <c r="H753" s="13"/>
    </row>
    <row r="754">
      <c r="C754" s="11"/>
      <c r="E754" s="12"/>
      <c r="H754" s="13"/>
    </row>
    <row r="755">
      <c r="C755" s="11"/>
      <c r="E755" s="12"/>
      <c r="H755" s="13"/>
    </row>
    <row r="756">
      <c r="C756" s="11"/>
      <c r="E756" s="12"/>
      <c r="H756" s="13"/>
    </row>
    <row r="757">
      <c r="C757" s="11"/>
      <c r="E757" s="12"/>
      <c r="H757" s="13"/>
    </row>
    <row r="758">
      <c r="C758" s="11"/>
      <c r="E758" s="12"/>
      <c r="H758" s="13"/>
    </row>
    <row r="759">
      <c r="C759" s="11"/>
      <c r="E759" s="12"/>
      <c r="H759" s="13"/>
    </row>
    <row r="760">
      <c r="C760" s="11"/>
      <c r="E760" s="12"/>
      <c r="H760" s="13"/>
    </row>
    <row r="761">
      <c r="C761" s="11"/>
      <c r="E761" s="12"/>
      <c r="H761" s="13"/>
    </row>
    <row r="762">
      <c r="C762" s="11"/>
      <c r="E762" s="12"/>
      <c r="H762" s="13"/>
    </row>
    <row r="763">
      <c r="C763" s="11"/>
      <c r="E763" s="12"/>
      <c r="H763" s="13"/>
    </row>
    <row r="764">
      <c r="C764" s="11"/>
      <c r="E764" s="12"/>
      <c r="H764" s="13"/>
    </row>
    <row r="765">
      <c r="C765" s="11"/>
      <c r="E765" s="12"/>
      <c r="H765" s="13"/>
    </row>
    <row r="766">
      <c r="C766" s="11"/>
      <c r="E766" s="12"/>
      <c r="H766" s="13"/>
    </row>
    <row r="767">
      <c r="C767" s="11"/>
      <c r="E767" s="12"/>
      <c r="H767" s="13"/>
    </row>
    <row r="768">
      <c r="C768" s="11"/>
      <c r="E768" s="12"/>
      <c r="H768" s="13"/>
    </row>
    <row r="769">
      <c r="C769" s="11"/>
      <c r="E769" s="12"/>
      <c r="H769" s="13"/>
    </row>
    <row r="770">
      <c r="C770" s="11"/>
      <c r="E770" s="12"/>
      <c r="H770" s="13"/>
    </row>
    <row r="771">
      <c r="C771" s="11"/>
      <c r="E771" s="12"/>
      <c r="H771" s="13"/>
    </row>
    <row r="772">
      <c r="C772" s="11"/>
      <c r="E772" s="12"/>
      <c r="H772" s="13"/>
    </row>
    <row r="773">
      <c r="C773" s="11"/>
      <c r="E773" s="12"/>
      <c r="H773" s="13"/>
    </row>
    <row r="774">
      <c r="C774" s="11"/>
      <c r="E774" s="12"/>
      <c r="H774" s="13"/>
    </row>
    <row r="775">
      <c r="C775" s="11"/>
      <c r="E775" s="12"/>
      <c r="H775" s="13"/>
    </row>
    <row r="776">
      <c r="C776" s="11"/>
      <c r="E776" s="12"/>
      <c r="H776" s="13"/>
    </row>
    <row r="777">
      <c r="C777" s="11"/>
      <c r="E777" s="12"/>
      <c r="H777" s="13"/>
    </row>
    <row r="778">
      <c r="C778" s="11"/>
      <c r="E778" s="12"/>
      <c r="H778" s="13"/>
    </row>
    <row r="779">
      <c r="C779" s="11"/>
      <c r="E779" s="12"/>
      <c r="H779" s="13"/>
    </row>
    <row r="780">
      <c r="C780" s="11"/>
      <c r="E780" s="12"/>
      <c r="H780" s="13"/>
    </row>
    <row r="781">
      <c r="C781" s="11"/>
      <c r="E781" s="12"/>
      <c r="H781" s="13"/>
    </row>
    <row r="782">
      <c r="C782" s="11"/>
      <c r="E782" s="12"/>
      <c r="H782" s="13"/>
    </row>
    <row r="783">
      <c r="C783" s="11"/>
      <c r="E783" s="12"/>
      <c r="H783" s="13"/>
    </row>
    <row r="784">
      <c r="C784" s="11"/>
      <c r="E784" s="12"/>
      <c r="H784" s="13"/>
    </row>
    <row r="785">
      <c r="C785" s="11"/>
      <c r="E785" s="12"/>
      <c r="H785" s="13"/>
    </row>
    <row r="786">
      <c r="C786" s="11"/>
      <c r="E786" s="12"/>
      <c r="H786" s="13"/>
    </row>
    <row r="787">
      <c r="C787" s="11"/>
      <c r="E787" s="12"/>
      <c r="H787" s="13"/>
    </row>
    <row r="788">
      <c r="C788" s="11"/>
      <c r="E788" s="12"/>
      <c r="H788" s="13"/>
    </row>
    <row r="789">
      <c r="C789" s="11"/>
      <c r="E789" s="12"/>
      <c r="H789" s="13"/>
    </row>
    <row r="790">
      <c r="C790" s="11"/>
      <c r="E790" s="12"/>
      <c r="H790" s="13"/>
    </row>
    <row r="791">
      <c r="C791" s="11"/>
      <c r="E791" s="12"/>
      <c r="H791" s="13"/>
    </row>
    <row r="792">
      <c r="C792" s="11"/>
      <c r="E792" s="12"/>
      <c r="H792" s="13"/>
    </row>
    <row r="793">
      <c r="C793" s="11"/>
      <c r="E793" s="12"/>
      <c r="H793" s="13"/>
    </row>
    <row r="794">
      <c r="C794" s="11"/>
      <c r="E794" s="12"/>
      <c r="H794" s="13"/>
    </row>
    <row r="795">
      <c r="C795" s="11"/>
      <c r="E795" s="12"/>
      <c r="H795" s="13"/>
    </row>
    <row r="796">
      <c r="C796" s="11"/>
      <c r="E796" s="12"/>
      <c r="H796" s="13"/>
    </row>
    <row r="797">
      <c r="C797" s="11"/>
      <c r="E797" s="12"/>
      <c r="H797" s="13"/>
    </row>
    <row r="798">
      <c r="C798" s="11"/>
      <c r="E798" s="12"/>
      <c r="H798" s="13"/>
    </row>
    <row r="799">
      <c r="C799" s="11"/>
      <c r="E799" s="12"/>
      <c r="H799" s="13"/>
    </row>
    <row r="800">
      <c r="C800" s="11"/>
      <c r="E800" s="12"/>
      <c r="H800" s="13"/>
    </row>
    <row r="801">
      <c r="C801" s="11"/>
      <c r="E801" s="12"/>
      <c r="H801" s="13"/>
    </row>
    <row r="802">
      <c r="C802" s="11"/>
      <c r="E802" s="12"/>
      <c r="H802" s="13"/>
    </row>
    <row r="803">
      <c r="C803" s="11"/>
      <c r="E803" s="12"/>
      <c r="H803" s="13"/>
    </row>
    <row r="804">
      <c r="C804" s="11"/>
      <c r="E804" s="12"/>
      <c r="H804" s="13"/>
    </row>
    <row r="805">
      <c r="C805" s="11"/>
      <c r="E805" s="12"/>
      <c r="H805" s="13"/>
    </row>
    <row r="806">
      <c r="C806" s="11"/>
      <c r="E806" s="12"/>
      <c r="H806" s="13"/>
    </row>
    <row r="807">
      <c r="C807" s="11"/>
      <c r="E807" s="12"/>
      <c r="H807" s="13"/>
    </row>
    <row r="808">
      <c r="C808" s="11"/>
      <c r="E808" s="12"/>
      <c r="H808" s="13"/>
    </row>
    <row r="809">
      <c r="C809" s="11"/>
      <c r="E809" s="12"/>
      <c r="H809" s="13"/>
    </row>
    <row r="810">
      <c r="C810" s="11"/>
      <c r="E810" s="12"/>
      <c r="H810" s="13"/>
    </row>
    <row r="811">
      <c r="C811" s="11"/>
      <c r="E811" s="12"/>
      <c r="H811" s="13"/>
    </row>
    <row r="812">
      <c r="C812" s="11"/>
      <c r="E812" s="12"/>
      <c r="H812" s="13"/>
    </row>
    <row r="813">
      <c r="C813" s="11"/>
      <c r="E813" s="12"/>
      <c r="H813" s="13"/>
    </row>
    <row r="814">
      <c r="C814" s="11"/>
      <c r="E814" s="12"/>
      <c r="H814" s="13"/>
    </row>
    <row r="815">
      <c r="C815" s="11"/>
      <c r="E815" s="12"/>
      <c r="H815" s="13"/>
    </row>
    <row r="816">
      <c r="C816" s="11"/>
      <c r="E816" s="12"/>
      <c r="H816" s="13"/>
    </row>
    <row r="817">
      <c r="C817" s="11"/>
      <c r="E817" s="12"/>
      <c r="H817" s="13"/>
    </row>
    <row r="818">
      <c r="C818" s="11"/>
      <c r="E818" s="12"/>
      <c r="H818" s="13"/>
    </row>
    <row r="819">
      <c r="C819" s="11"/>
      <c r="E819" s="12"/>
      <c r="H819" s="13"/>
    </row>
    <row r="820">
      <c r="C820" s="11"/>
      <c r="E820" s="12"/>
      <c r="H820" s="13"/>
    </row>
    <row r="821">
      <c r="C821" s="11"/>
      <c r="E821" s="12"/>
      <c r="H821" s="13"/>
    </row>
    <row r="822">
      <c r="C822" s="11"/>
      <c r="E822" s="12"/>
      <c r="H822" s="13"/>
    </row>
    <row r="823">
      <c r="C823" s="11"/>
      <c r="E823" s="12"/>
      <c r="H823" s="13"/>
    </row>
    <row r="824">
      <c r="C824" s="11"/>
      <c r="E824" s="12"/>
      <c r="H824" s="13"/>
    </row>
    <row r="825">
      <c r="C825" s="11"/>
      <c r="E825" s="12"/>
      <c r="H825" s="13"/>
    </row>
    <row r="826">
      <c r="C826" s="11"/>
      <c r="E826" s="12"/>
      <c r="H826" s="13"/>
    </row>
    <row r="827">
      <c r="C827" s="11"/>
      <c r="E827" s="12"/>
      <c r="H827" s="13"/>
    </row>
    <row r="828">
      <c r="C828" s="11"/>
      <c r="E828" s="12"/>
      <c r="H828" s="13"/>
    </row>
    <row r="829">
      <c r="C829" s="11"/>
      <c r="E829" s="12"/>
      <c r="H829" s="13"/>
    </row>
    <row r="830">
      <c r="C830" s="11"/>
      <c r="E830" s="12"/>
      <c r="H830" s="13"/>
    </row>
    <row r="831">
      <c r="C831" s="11"/>
      <c r="E831" s="12"/>
      <c r="H831" s="13"/>
    </row>
    <row r="832">
      <c r="C832" s="11"/>
      <c r="E832" s="12"/>
      <c r="H832" s="13"/>
    </row>
    <row r="833">
      <c r="C833" s="11"/>
      <c r="E833" s="12"/>
      <c r="H833" s="13"/>
    </row>
    <row r="834">
      <c r="C834" s="11"/>
      <c r="E834" s="12"/>
      <c r="H834" s="13"/>
    </row>
    <row r="835">
      <c r="C835" s="11"/>
      <c r="E835" s="12"/>
      <c r="H835" s="13"/>
    </row>
    <row r="836">
      <c r="C836" s="11"/>
      <c r="E836" s="12"/>
      <c r="H836" s="13"/>
    </row>
    <row r="837">
      <c r="C837" s="11"/>
      <c r="E837" s="12"/>
      <c r="H837" s="13"/>
    </row>
    <row r="838">
      <c r="C838" s="11"/>
      <c r="E838" s="12"/>
      <c r="H838" s="13"/>
    </row>
    <row r="839">
      <c r="C839" s="11"/>
      <c r="E839" s="12"/>
      <c r="H839" s="13"/>
    </row>
    <row r="840">
      <c r="C840" s="11"/>
      <c r="E840" s="12"/>
      <c r="H840" s="13"/>
    </row>
    <row r="841">
      <c r="C841" s="11"/>
      <c r="E841" s="12"/>
      <c r="H841" s="13"/>
    </row>
    <row r="842">
      <c r="C842" s="11"/>
      <c r="E842" s="12"/>
      <c r="H842" s="13"/>
    </row>
    <row r="843">
      <c r="C843" s="11"/>
      <c r="E843" s="12"/>
      <c r="H843" s="13"/>
    </row>
    <row r="844">
      <c r="C844" s="11"/>
      <c r="E844" s="12"/>
      <c r="H844" s="13"/>
    </row>
    <row r="845">
      <c r="C845" s="11"/>
      <c r="E845" s="12"/>
      <c r="H845" s="13"/>
    </row>
    <row r="846">
      <c r="C846" s="11"/>
      <c r="E846" s="12"/>
      <c r="H846" s="13"/>
    </row>
    <row r="847">
      <c r="C847" s="11"/>
      <c r="E847" s="12"/>
      <c r="H847" s="13"/>
    </row>
    <row r="848">
      <c r="C848" s="11"/>
      <c r="E848" s="12"/>
      <c r="H848" s="13"/>
    </row>
    <row r="849">
      <c r="C849" s="11"/>
      <c r="E849" s="12"/>
      <c r="H849" s="13"/>
    </row>
    <row r="850">
      <c r="C850" s="11"/>
      <c r="E850" s="12"/>
      <c r="H850" s="13"/>
    </row>
    <row r="851">
      <c r="C851" s="11"/>
      <c r="E851" s="12"/>
      <c r="H851" s="13"/>
    </row>
    <row r="852">
      <c r="C852" s="11"/>
      <c r="E852" s="12"/>
      <c r="H852" s="13"/>
    </row>
    <row r="853">
      <c r="C853" s="11"/>
      <c r="E853" s="12"/>
      <c r="H853" s="13"/>
    </row>
    <row r="854">
      <c r="C854" s="11"/>
      <c r="E854" s="12"/>
      <c r="H854" s="13"/>
    </row>
    <row r="855">
      <c r="C855" s="11"/>
      <c r="E855" s="12"/>
      <c r="H855" s="13"/>
    </row>
    <row r="856">
      <c r="C856" s="11"/>
      <c r="E856" s="12"/>
      <c r="H856" s="13"/>
    </row>
    <row r="857">
      <c r="C857" s="11"/>
      <c r="E857" s="12"/>
      <c r="H857" s="13"/>
    </row>
    <row r="858">
      <c r="C858" s="11"/>
      <c r="E858" s="12"/>
      <c r="H858" s="13"/>
    </row>
    <row r="859">
      <c r="C859" s="11"/>
      <c r="E859" s="12"/>
      <c r="H859" s="13"/>
    </row>
    <row r="860">
      <c r="C860" s="11"/>
      <c r="E860" s="12"/>
      <c r="H860" s="13"/>
    </row>
    <row r="861">
      <c r="C861" s="11"/>
      <c r="E861" s="12"/>
      <c r="H861" s="13"/>
    </row>
    <row r="862">
      <c r="C862" s="11"/>
      <c r="E862" s="12"/>
      <c r="H862" s="13"/>
    </row>
    <row r="863">
      <c r="C863" s="11"/>
      <c r="E863" s="12"/>
      <c r="H863" s="13"/>
    </row>
    <row r="864">
      <c r="C864" s="11"/>
      <c r="E864" s="12"/>
      <c r="H864" s="13"/>
    </row>
    <row r="865">
      <c r="C865" s="11"/>
      <c r="E865" s="12"/>
      <c r="H865" s="13"/>
    </row>
    <row r="866">
      <c r="C866" s="11"/>
      <c r="E866" s="12"/>
      <c r="H866" s="13"/>
    </row>
    <row r="867">
      <c r="C867" s="11"/>
      <c r="E867" s="12"/>
      <c r="H867" s="13"/>
    </row>
    <row r="868">
      <c r="C868" s="11"/>
      <c r="E868" s="12"/>
      <c r="H868" s="13"/>
    </row>
    <row r="869">
      <c r="C869" s="11"/>
      <c r="E869" s="12"/>
      <c r="H869" s="13"/>
    </row>
    <row r="870">
      <c r="C870" s="11"/>
      <c r="E870" s="12"/>
      <c r="H870" s="13"/>
    </row>
    <row r="871">
      <c r="C871" s="11"/>
      <c r="E871" s="12"/>
      <c r="H871" s="13"/>
    </row>
    <row r="872">
      <c r="C872" s="11"/>
      <c r="E872" s="12"/>
      <c r="H872" s="13"/>
    </row>
    <row r="873">
      <c r="C873" s="11"/>
      <c r="E873" s="12"/>
      <c r="H873" s="13"/>
    </row>
    <row r="874">
      <c r="C874" s="11"/>
      <c r="E874" s="12"/>
      <c r="H874" s="13"/>
    </row>
    <row r="875">
      <c r="C875" s="11"/>
      <c r="E875" s="12"/>
      <c r="H875" s="13"/>
    </row>
    <row r="876">
      <c r="C876" s="11"/>
      <c r="E876" s="12"/>
      <c r="H876" s="13"/>
    </row>
    <row r="877">
      <c r="C877" s="11"/>
      <c r="E877" s="12"/>
      <c r="H877" s="13"/>
    </row>
    <row r="878">
      <c r="C878" s="11"/>
      <c r="E878" s="12"/>
      <c r="H878" s="13"/>
    </row>
    <row r="879">
      <c r="C879" s="11"/>
      <c r="E879" s="12"/>
      <c r="H879" s="13"/>
    </row>
    <row r="880">
      <c r="C880" s="11"/>
      <c r="E880" s="12"/>
      <c r="H880" s="13"/>
    </row>
    <row r="881">
      <c r="C881" s="11"/>
      <c r="E881" s="12"/>
      <c r="H881" s="13"/>
    </row>
    <row r="882">
      <c r="C882" s="11"/>
      <c r="E882" s="12"/>
      <c r="H882" s="13"/>
    </row>
    <row r="883">
      <c r="C883" s="11"/>
      <c r="E883" s="12"/>
      <c r="H883" s="13"/>
    </row>
    <row r="884">
      <c r="C884" s="11"/>
      <c r="E884" s="12"/>
      <c r="H884" s="13"/>
    </row>
    <row r="885">
      <c r="C885" s="11"/>
      <c r="E885" s="12"/>
      <c r="H885" s="13"/>
    </row>
    <row r="886">
      <c r="C886" s="11"/>
      <c r="E886" s="12"/>
      <c r="H886" s="13"/>
    </row>
    <row r="887">
      <c r="C887" s="11"/>
      <c r="E887" s="12"/>
      <c r="H887" s="13"/>
    </row>
    <row r="888">
      <c r="C888" s="11"/>
      <c r="E888" s="12"/>
      <c r="H888" s="13"/>
    </row>
    <row r="889">
      <c r="C889" s="11"/>
      <c r="E889" s="12"/>
      <c r="H889" s="13"/>
    </row>
    <row r="890">
      <c r="C890" s="11"/>
      <c r="E890" s="12"/>
      <c r="H890" s="13"/>
    </row>
    <row r="891">
      <c r="C891" s="11"/>
      <c r="E891" s="12"/>
      <c r="H891" s="13"/>
    </row>
    <row r="892">
      <c r="C892" s="11"/>
      <c r="E892" s="12"/>
      <c r="H892" s="13"/>
    </row>
    <row r="893">
      <c r="C893" s="11"/>
      <c r="E893" s="12"/>
      <c r="H893" s="13"/>
    </row>
    <row r="894">
      <c r="C894" s="11"/>
      <c r="E894" s="12"/>
      <c r="H894" s="13"/>
    </row>
    <row r="895">
      <c r="C895" s="11"/>
      <c r="E895" s="12"/>
      <c r="H895" s="13"/>
    </row>
    <row r="896">
      <c r="C896" s="11"/>
      <c r="E896" s="12"/>
      <c r="H896" s="13"/>
    </row>
    <row r="897">
      <c r="C897" s="11"/>
      <c r="E897" s="12"/>
      <c r="H897" s="13"/>
    </row>
    <row r="898">
      <c r="C898" s="11"/>
      <c r="E898" s="12"/>
      <c r="H898" s="13"/>
    </row>
    <row r="899">
      <c r="C899" s="11"/>
      <c r="E899" s="12"/>
      <c r="H899" s="13"/>
    </row>
    <row r="900">
      <c r="C900" s="11"/>
      <c r="E900" s="12"/>
      <c r="H900" s="13"/>
    </row>
    <row r="901">
      <c r="C901" s="11"/>
      <c r="E901" s="12"/>
      <c r="H901" s="13"/>
    </row>
    <row r="902">
      <c r="C902" s="11"/>
      <c r="E902" s="12"/>
      <c r="H902" s="13"/>
    </row>
    <row r="903">
      <c r="C903" s="11"/>
      <c r="E903" s="12"/>
      <c r="H903" s="13"/>
    </row>
    <row r="904">
      <c r="C904" s="11"/>
      <c r="E904" s="12"/>
      <c r="H904" s="13"/>
    </row>
    <row r="905">
      <c r="C905" s="11"/>
      <c r="E905" s="12"/>
      <c r="H905" s="13"/>
    </row>
    <row r="906">
      <c r="C906" s="11"/>
      <c r="E906" s="12"/>
      <c r="H906" s="13"/>
    </row>
    <row r="907">
      <c r="C907" s="11"/>
      <c r="E907" s="12"/>
      <c r="H907" s="13"/>
    </row>
    <row r="908">
      <c r="C908" s="11"/>
      <c r="E908" s="12"/>
      <c r="H908" s="13"/>
    </row>
    <row r="909">
      <c r="C909" s="11"/>
      <c r="E909" s="12"/>
      <c r="H909" s="13"/>
    </row>
    <row r="910">
      <c r="C910" s="11"/>
      <c r="E910" s="12"/>
      <c r="H910" s="13"/>
    </row>
    <row r="911">
      <c r="C911" s="11"/>
      <c r="E911" s="12"/>
      <c r="H911" s="13"/>
    </row>
    <row r="912">
      <c r="C912" s="11"/>
      <c r="E912" s="12"/>
      <c r="H912" s="13"/>
    </row>
    <row r="913">
      <c r="C913" s="11"/>
      <c r="E913" s="12"/>
      <c r="H913" s="13"/>
    </row>
    <row r="914">
      <c r="C914" s="11"/>
      <c r="E914" s="12"/>
      <c r="H914" s="13"/>
    </row>
    <row r="915">
      <c r="C915" s="11"/>
      <c r="E915" s="12"/>
      <c r="H915" s="13"/>
    </row>
    <row r="916">
      <c r="C916" s="11"/>
      <c r="E916" s="12"/>
      <c r="H916" s="13"/>
    </row>
    <row r="917">
      <c r="C917" s="11"/>
      <c r="E917" s="12"/>
      <c r="H917" s="13"/>
    </row>
    <row r="918">
      <c r="C918" s="11"/>
      <c r="E918" s="12"/>
      <c r="H918" s="13"/>
    </row>
    <row r="919">
      <c r="C919" s="11"/>
      <c r="E919" s="12"/>
      <c r="H919" s="13"/>
    </row>
    <row r="920">
      <c r="C920" s="11"/>
      <c r="E920" s="12"/>
      <c r="H920" s="13"/>
    </row>
    <row r="921">
      <c r="C921" s="11"/>
      <c r="E921" s="12"/>
      <c r="H921" s="13"/>
    </row>
    <row r="922">
      <c r="C922" s="11"/>
      <c r="E922" s="12"/>
      <c r="H922" s="13"/>
    </row>
    <row r="923">
      <c r="C923" s="11"/>
      <c r="E923" s="12"/>
      <c r="H923" s="13"/>
    </row>
    <row r="924">
      <c r="C924" s="11"/>
      <c r="E924" s="12"/>
      <c r="H924" s="13"/>
    </row>
    <row r="925">
      <c r="C925" s="11"/>
      <c r="E925" s="12"/>
      <c r="H925" s="13"/>
    </row>
    <row r="926">
      <c r="C926" s="11"/>
      <c r="E926" s="12"/>
      <c r="H926" s="13"/>
    </row>
    <row r="927">
      <c r="C927" s="11"/>
      <c r="E927" s="12"/>
      <c r="H927" s="13"/>
    </row>
    <row r="928">
      <c r="C928" s="11"/>
      <c r="E928" s="12"/>
      <c r="H928" s="13"/>
    </row>
    <row r="929">
      <c r="C929" s="11"/>
      <c r="E929" s="12"/>
      <c r="H929" s="13"/>
    </row>
    <row r="930">
      <c r="C930" s="11"/>
      <c r="E930" s="12"/>
      <c r="H930" s="13"/>
    </row>
    <row r="931">
      <c r="C931" s="11"/>
      <c r="E931" s="12"/>
      <c r="H931" s="13"/>
    </row>
    <row r="932">
      <c r="C932" s="11"/>
      <c r="E932" s="12"/>
      <c r="H932" s="13"/>
    </row>
    <row r="933">
      <c r="C933" s="11"/>
      <c r="E933" s="12"/>
      <c r="H933" s="13"/>
    </row>
    <row r="934">
      <c r="C934" s="11"/>
      <c r="E934" s="12"/>
      <c r="H934" s="13"/>
    </row>
    <row r="935">
      <c r="C935" s="11"/>
      <c r="E935" s="12"/>
      <c r="H935" s="13"/>
    </row>
    <row r="936">
      <c r="C936" s="11"/>
      <c r="E936" s="12"/>
      <c r="H936" s="13"/>
    </row>
    <row r="937">
      <c r="C937" s="11"/>
      <c r="E937" s="12"/>
      <c r="H937" s="13"/>
    </row>
    <row r="938">
      <c r="C938" s="11"/>
      <c r="E938" s="12"/>
      <c r="H938" s="13"/>
    </row>
    <row r="939">
      <c r="C939" s="11"/>
      <c r="E939" s="12"/>
      <c r="H939" s="13"/>
    </row>
    <row r="940">
      <c r="C940" s="11"/>
      <c r="E940" s="12"/>
      <c r="H940" s="13"/>
    </row>
    <row r="941">
      <c r="C941" s="11"/>
      <c r="E941" s="12"/>
      <c r="H941" s="13"/>
    </row>
    <row r="942">
      <c r="C942" s="11"/>
      <c r="E942" s="12"/>
      <c r="H942" s="13"/>
    </row>
    <row r="943">
      <c r="C943" s="11"/>
      <c r="E943" s="12"/>
      <c r="H943" s="13"/>
    </row>
    <row r="944">
      <c r="C944" s="11"/>
      <c r="E944" s="12"/>
      <c r="H944" s="13"/>
    </row>
    <row r="945">
      <c r="C945" s="11"/>
      <c r="E945" s="12"/>
      <c r="H945" s="13"/>
    </row>
    <row r="946">
      <c r="C946" s="11"/>
      <c r="E946" s="12"/>
      <c r="H946" s="13"/>
    </row>
    <row r="947">
      <c r="C947" s="11"/>
      <c r="E947" s="12"/>
      <c r="H947" s="13"/>
    </row>
    <row r="948">
      <c r="C948" s="11"/>
      <c r="E948" s="12"/>
      <c r="H948" s="13"/>
    </row>
    <row r="949">
      <c r="C949" s="11"/>
      <c r="E949" s="12"/>
      <c r="H949" s="13"/>
    </row>
    <row r="950">
      <c r="C950" s="11"/>
      <c r="E950" s="12"/>
      <c r="H950" s="13"/>
    </row>
    <row r="951">
      <c r="C951" s="11"/>
      <c r="E951" s="12"/>
      <c r="H951" s="13"/>
    </row>
    <row r="952">
      <c r="C952" s="11"/>
      <c r="E952" s="12"/>
      <c r="H952" s="13"/>
    </row>
    <row r="953">
      <c r="C953" s="11"/>
      <c r="E953" s="12"/>
      <c r="H953" s="13"/>
    </row>
    <row r="954">
      <c r="C954" s="11"/>
      <c r="E954" s="12"/>
      <c r="H954" s="13"/>
    </row>
    <row r="955">
      <c r="C955" s="11"/>
      <c r="E955" s="12"/>
      <c r="H955" s="13"/>
    </row>
    <row r="956">
      <c r="C956" s="11"/>
      <c r="E956" s="12"/>
      <c r="H956" s="13"/>
    </row>
    <row r="957">
      <c r="C957" s="11"/>
      <c r="E957" s="12"/>
      <c r="H957" s="13"/>
    </row>
    <row r="958">
      <c r="C958" s="11"/>
      <c r="E958" s="12"/>
      <c r="H958" s="13"/>
    </row>
    <row r="959">
      <c r="C959" s="11"/>
      <c r="E959" s="12"/>
      <c r="H959" s="13"/>
    </row>
    <row r="960">
      <c r="C960" s="11"/>
      <c r="E960" s="12"/>
      <c r="H960" s="13"/>
    </row>
    <row r="961">
      <c r="C961" s="11"/>
      <c r="E961" s="12"/>
      <c r="H961" s="13"/>
    </row>
    <row r="962">
      <c r="C962" s="11"/>
      <c r="E962" s="12"/>
      <c r="H962" s="13"/>
    </row>
    <row r="963">
      <c r="C963" s="11"/>
      <c r="E963" s="12"/>
      <c r="H963" s="13"/>
    </row>
    <row r="964">
      <c r="C964" s="11"/>
      <c r="E964" s="12"/>
      <c r="H964" s="13"/>
    </row>
    <row r="965">
      <c r="C965" s="11"/>
      <c r="E965" s="12"/>
      <c r="H965" s="13"/>
    </row>
    <row r="966">
      <c r="C966" s="11"/>
      <c r="E966" s="12"/>
      <c r="H966" s="13"/>
    </row>
    <row r="967">
      <c r="C967" s="11"/>
      <c r="E967" s="12"/>
      <c r="H967" s="13"/>
    </row>
    <row r="968">
      <c r="C968" s="11"/>
      <c r="E968" s="12"/>
      <c r="H968" s="13"/>
    </row>
    <row r="969">
      <c r="C969" s="11"/>
      <c r="E969" s="12"/>
      <c r="H969" s="13"/>
    </row>
    <row r="970">
      <c r="C970" s="11"/>
      <c r="E970" s="12"/>
      <c r="H970" s="13"/>
    </row>
    <row r="971">
      <c r="C971" s="11"/>
      <c r="E971" s="12"/>
      <c r="H971" s="13"/>
    </row>
    <row r="972">
      <c r="C972" s="11"/>
      <c r="E972" s="12"/>
      <c r="H972" s="13"/>
    </row>
    <row r="973">
      <c r="C973" s="11"/>
      <c r="E973" s="12"/>
      <c r="H973" s="13"/>
    </row>
    <row r="974">
      <c r="C974" s="11"/>
      <c r="E974" s="12"/>
      <c r="H974" s="13"/>
    </row>
    <row r="975">
      <c r="C975" s="11"/>
      <c r="E975" s="12"/>
      <c r="H975" s="13"/>
    </row>
    <row r="976">
      <c r="C976" s="11"/>
      <c r="E976" s="12"/>
      <c r="H976" s="13"/>
    </row>
    <row r="977">
      <c r="C977" s="11"/>
      <c r="E977" s="12"/>
      <c r="H977" s="13"/>
    </row>
    <row r="978">
      <c r="C978" s="11"/>
      <c r="E978" s="12"/>
      <c r="H978" s="13"/>
    </row>
    <row r="979">
      <c r="C979" s="11"/>
      <c r="E979" s="12"/>
      <c r="H979" s="13"/>
    </row>
    <row r="980">
      <c r="C980" s="11"/>
      <c r="E980" s="12"/>
      <c r="H980" s="13"/>
    </row>
    <row r="981">
      <c r="C981" s="11"/>
      <c r="E981" s="12"/>
      <c r="H981" s="13"/>
    </row>
    <row r="982">
      <c r="C982" s="11"/>
      <c r="E982" s="12"/>
      <c r="H982" s="13"/>
    </row>
    <row r="983">
      <c r="C983" s="11"/>
      <c r="E983" s="12"/>
      <c r="H983" s="13"/>
    </row>
    <row r="984">
      <c r="C984" s="11"/>
      <c r="E984" s="12"/>
      <c r="H984" s="13"/>
    </row>
    <row r="985">
      <c r="C985" s="11"/>
      <c r="E985" s="12"/>
      <c r="H985" s="13"/>
    </row>
    <row r="986">
      <c r="C986" s="11"/>
      <c r="E986" s="12"/>
      <c r="H986" s="13"/>
    </row>
    <row r="987">
      <c r="C987" s="11"/>
      <c r="E987" s="12"/>
      <c r="H987" s="13"/>
    </row>
    <row r="988">
      <c r="C988" s="11"/>
      <c r="E988" s="12"/>
      <c r="H988" s="13"/>
    </row>
    <row r="989">
      <c r="C989" s="11"/>
      <c r="E989" s="12"/>
      <c r="H989" s="13"/>
    </row>
    <row r="990">
      <c r="C990" s="11"/>
      <c r="E990" s="12"/>
      <c r="H990" s="13"/>
    </row>
    <row r="991">
      <c r="C991" s="11"/>
      <c r="E991" s="12"/>
      <c r="H991" s="13"/>
    </row>
    <row r="992">
      <c r="C992" s="11"/>
      <c r="E992" s="12"/>
      <c r="H992" s="13"/>
    </row>
    <row r="993">
      <c r="C993" s="11"/>
      <c r="E993" s="12"/>
      <c r="H993" s="13"/>
    </row>
    <row r="994">
      <c r="C994" s="11"/>
      <c r="E994" s="12"/>
      <c r="H994" s="13"/>
    </row>
    <row r="995">
      <c r="C995" s="11"/>
      <c r="E995" s="12"/>
      <c r="H995" s="13"/>
    </row>
    <row r="996">
      <c r="C996" s="11"/>
      <c r="E996" s="12"/>
      <c r="H996" s="13"/>
    </row>
    <row r="997">
      <c r="C997" s="11"/>
      <c r="E997" s="12"/>
      <c r="H997" s="13"/>
    </row>
    <row r="998">
      <c r="C998" s="11"/>
      <c r="E998" s="12"/>
      <c r="H998" s="13"/>
    </row>
    <row r="999">
      <c r="C999" s="11"/>
      <c r="E999" s="12"/>
      <c r="H999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7.38"/>
    <col customWidth="1" min="2" max="2" width="30.13"/>
    <col customWidth="1" min="3" max="3" width="28.13"/>
  </cols>
  <sheetData>
    <row r="1">
      <c r="A1" s="2" t="s">
        <v>4316</v>
      </c>
      <c r="B1" s="2" t="s">
        <v>7732</v>
      </c>
      <c r="C1" s="2" t="s">
        <v>7733</v>
      </c>
    </row>
    <row r="2">
      <c r="A2" s="2" t="s">
        <v>774</v>
      </c>
      <c r="B2" s="2">
        <v>23.5</v>
      </c>
      <c r="C2" s="2">
        <v>184392.0</v>
      </c>
    </row>
    <row r="3">
      <c r="A3" s="2" t="s">
        <v>780</v>
      </c>
      <c r="B3" s="2">
        <v>11.1</v>
      </c>
      <c r="C3" s="2">
        <v>102743.0</v>
      </c>
    </row>
    <row r="4">
      <c r="A4" s="2" t="s">
        <v>789</v>
      </c>
      <c r="B4" s="2">
        <v>23.3</v>
      </c>
      <c r="C4" s="2">
        <v>125793.0</v>
      </c>
    </row>
    <row r="5">
      <c r="A5" s="2" t="s">
        <v>792</v>
      </c>
      <c r="B5" s="2">
        <v>19.4</v>
      </c>
      <c r="C5" s="2">
        <v>275028.0</v>
      </c>
    </row>
    <row r="6">
      <c r="A6" s="2" t="s">
        <v>800</v>
      </c>
      <c r="B6" s="2">
        <v>23.6</v>
      </c>
      <c r="C6" s="2">
        <v>158419.0</v>
      </c>
    </row>
    <row r="7">
      <c r="A7" s="2" t="s">
        <v>813</v>
      </c>
      <c r="B7" s="2">
        <v>22.4</v>
      </c>
      <c r="C7" s="2">
        <v>149282.0</v>
      </c>
    </row>
    <row r="8">
      <c r="A8" s="2" t="s">
        <v>817</v>
      </c>
      <c r="B8" s="2">
        <v>19.2</v>
      </c>
      <c r="C8" s="2">
        <v>103106.0</v>
      </c>
    </row>
    <row r="9">
      <c r="A9" s="2" t="s">
        <v>823</v>
      </c>
      <c r="B9" s="2">
        <v>20.6</v>
      </c>
      <c r="C9" s="2">
        <v>111647.0</v>
      </c>
    </row>
    <row r="10">
      <c r="A10" s="2" t="s">
        <v>833</v>
      </c>
      <c r="B10" s="2">
        <v>17.6</v>
      </c>
      <c r="C10" s="2">
        <v>104207.0</v>
      </c>
    </row>
    <row r="11">
      <c r="A11" s="2" t="s">
        <v>840</v>
      </c>
      <c r="B11" s="2">
        <v>23.0</v>
      </c>
      <c r="C11" s="2">
        <v>98895.0</v>
      </c>
    </row>
    <row r="12">
      <c r="A12" s="2" t="s">
        <v>850</v>
      </c>
      <c r="B12" s="2">
        <v>25.0</v>
      </c>
      <c r="C12" s="2">
        <v>191738.0</v>
      </c>
    </row>
    <row r="13">
      <c r="A13" s="2" t="s">
        <v>1045</v>
      </c>
      <c r="B13" s="2">
        <v>8.0</v>
      </c>
      <c r="C13" s="2">
        <v>99749.0</v>
      </c>
    </row>
    <row r="14">
      <c r="A14" s="2" t="s">
        <v>1082</v>
      </c>
      <c r="B14" s="2">
        <v>16.5</v>
      </c>
      <c r="C14" s="2">
        <v>109884.0</v>
      </c>
    </row>
    <row r="15">
      <c r="A15" s="2" t="s">
        <v>1086</v>
      </c>
      <c r="B15" s="2">
        <v>20.3</v>
      </c>
      <c r="C15" s="2">
        <v>191478.0</v>
      </c>
    </row>
    <row r="16">
      <c r="A16" s="2" t="s">
        <v>1092</v>
      </c>
      <c r="B16" s="2">
        <v>21.4</v>
      </c>
      <c r="C16" s="2">
        <v>1195234.0</v>
      </c>
    </row>
    <row r="17">
      <c r="A17" s="2" t="s">
        <v>1096</v>
      </c>
      <c r="B17" s="2">
        <v>20.6</v>
      </c>
      <c r="C17" s="2">
        <v>3201595.0</v>
      </c>
    </row>
  </sheetData>
  <autoFilter ref="$B$1:$B$16">
    <sortState ref="B1:B16">
      <sortCondition ref="B1:B16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13"/>
    <col customWidth="1" min="2" max="2" width="14.5"/>
    <col customWidth="1" min="4" max="4" width="29.88"/>
    <col customWidth="1" min="5" max="5" width="18.88"/>
    <col customWidth="1" min="6" max="6" width="15.25"/>
  </cols>
  <sheetData>
    <row r="1">
      <c r="A1" s="6" t="s">
        <v>5410</v>
      </c>
      <c r="B1" s="6" t="s">
        <v>5402</v>
      </c>
    </row>
    <row r="2">
      <c r="A2" s="2">
        <f>Analyse!G2</f>
        <v>23640</v>
      </c>
      <c r="B2" s="2">
        <f>Analyse!C2</f>
        <v>23.5</v>
      </c>
    </row>
    <row r="3">
      <c r="A3" s="2">
        <f>Analyse!G3</f>
        <v>22590</v>
      </c>
      <c r="B3" s="2">
        <f>Analyse!C3</f>
        <v>21.6</v>
      </c>
      <c r="E3" s="6" t="s">
        <v>5410</v>
      </c>
      <c r="F3" s="6" t="s">
        <v>5402</v>
      </c>
    </row>
    <row r="4">
      <c r="A4" s="2">
        <f>Analyse!G4</f>
        <v>22340</v>
      </c>
      <c r="B4" s="2">
        <f>Analyse!C4</f>
        <v>21.1</v>
      </c>
      <c r="D4" s="6" t="s">
        <v>7734</v>
      </c>
      <c r="E4" s="2">
        <f t="shared" ref="E4:F4" si="1">Min(A2:A93)</f>
        <v>19250</v>
      </c>
      <c r="F4" s="2">
        <f t="shared" si="1"/>
        <v>7</v>
      </c>
    </row>
    <row r="5">
      <c r="A5" s="2">
        <f>Analyse!G5</f>
        <v>25990</v>
      </c>
      <c r="B5" s="2">
        <f>Analyse!C5</f>
        <v>11.1</v>
      </c>
      <c r="D5" s="6" t="s">
        <v>7735</v>
      </c>
      <c r="E5" s="2">
        <f t="shared" ref="E5:F5" si="2">QUARTILE(A2:A93, 1)</f>
        <v>23147.5</v>
      </c>
      <c r="F5" s="2">
        <f t="shared" si="2"/>
        <v>12</v>
      </c>
    </row>
    <row r="6">
      <c r="A6" s="2">
        <f>Analyse!G6</f>
        <v>19250</v>
      </c>
      <c r="B6" s="2">
        <f>Analyse!C6</f>
        <v>33.5</v>
      </c>
      <c r="D6" s="6" t="s">
        <v>7736</v>
      </c>
      <c r="E6" s="2">
        <f t="shared" ref="E6:F6" si="3">MEDIAN(A2:A93)</f>
        <v>24350</v>
      </c>
      <c r="F6" s="2">
        <f t="shared" si="3"/>
        <v>14.5</v>
      </c>
    </row>
    <row r="7">
      <c r="A7" s="2">
        <f>Analyse!G7</f>
        <v>22540</v>
      </c>
      <c r="B7" s="2">
        <f>Analyse!C7</f>
        <v>22.4</v>
      </c>
      <c r="D7" s="6" t="s">
        <v>7737</v>
      </c>
      <c r="E7" s="2">
        <f t="shared" ref="E7:F7" si="4">QUARTILE(A2:A93, 3)</f>
        <v>25687.5</v>
      </c>
      <c r="F7" s="2">
        <f t="shared" si="4"/>
        <v>20.15</v>
      </c>
    </row>
    <row r="8">
      <c r="A8" s="2">
        <f>Analyse!G8</f>
        <v>22150</v>
      </c>
      <c r="B8" s="2">
        <f>Analyse!C8</f>
        <v>23</v>
      </c>
      <c r="D8" s="6" t="s">
        <v>4758</v>
      </c>
      <c r="E8" s="12">
        <f t="shared" ref="E8:F8" si="5">AVERAGE(A2:A93)</f>
        <v>24483.15217</v>
      </c>
      <c r="F8" s="12">
        <f t="shared" si="5"/>
        <v>16.08695652</v>
      </c>
    </row>
    <row r="9">
      <c r="A9" s="2">
        <f>Analyse!G9</f>
        <v>22560</v>
      </c>
      <c r="B9" s="2">
        <f>Analyse!C9</f>
        <v>23.9</v>
      </c>
      <c r="D9" s="6" t="s">
        <v>7738</v>
      </c>
      <c r="E9" s="12">
        <f>IFERROR(__xludf.DUMMYFUNCTION("AVERAGE.WEIGHTED(A2:A93 , Analyse!F2:F93 )"),23978.56939780656)</f>
        <v>23978.5694</v>
      </c>
      <c r="F9" s="14">
        <f>IFERROR(__xludf.DUMMYFUNCTION("AVERAGE.WEIGHTED(B2:B93 , Analyse!F2:F93 )"),19.063895040179556)</f>
        <v>19.06389504</v>
      </c>
    </row>
    <row r="10">
      <c r="A10" s="2">
        <f>Analyse!G10</f>
        <v>20580</v>
      </c>
      <c r="B10" s="2">
        <f>Analyse!C10</f>
        <v>28.6</v>
      </c>
      <c r="D10" s="6" t="s">
        <v>7739</v>
      </c>
      <c r="E10" s="2">
        <f t="shared" ref="E10:F10" si="6">Min(A8:A99)</f>
        <v>20100</v>
      </c>
      <c r="F10" s="2">
        <f t="shared" si="6"/>
        <v>7</v>
      </c>
    </row>
    <row r="11">
      <c r="A11" s="2">
        <f>Analyse!G11</f>
        <v>22000</v>
      </c>
      <c r="B11" s="2">
        <f>Analyse!C11</f>
        <v>25</v>
      </c>
    </row>
    <row r="12">
      <c r="A12" s="2">
        <f>Analyse!G12</f>
        <v>21790</v>
      </c>
      <c r="B12" s="2">
        <f>Analyse!C12</f>
        <v>23.3</v>
      </c>
      <c r="E12" s="15"/>
    </row>
    <row r="13">
      <c r="A13" s="2">
        <f>Analyse!G13</f>
        <v>22990</v>
      </c>
      <c r="B13" s="2">
        <f>Analyse!C13</f>
        <v>19.4</v>
      </c>
      <c r="D13" s="6" t="s">
        <v>7740</v>
      </c>
    </row>
    <row r="14">
      <c r="A14" s="2">
        <f>Analyse!G14</f>
        <v>23780</v>
      </c>
      <c r="B14" s="2">
        <f>Analyse!C14</f>
        <v>17.6</v>
      </c>
    </row>
    <row r="15">
      <c r="A15" s="2">
        <f>Analyse!G15</f>
        <v>21190</v>
      </c>
      <c r="B15" s="2">
        <f>Analyse!C15</f>
        <v>25.3</v>
      </c>
      <c r="D15" s="6" t="s">
        <v>7741</v>
      </c>
    </row>
    <row r="16">
      <c r="A16" s="2">
        <f>Analyse!G16</f>
        <v>23410</v>
      </c>
      <c r="B16" s="2">
        <f>Analyse!C16</f>
        <v>18.5</v>
      </c>
      <c r="D16" s="6" t="s">
        <v>7742</v>
      </c>
    </row>
    <row r="17">
      <c r="A17" s="2">
        <f>Analyse!G17</f>
        <v>21900</v>
      </c>
      <c r="B17" s="2">
        <f>Analyse!C17</f>
        <v>23.6</v>
      </c>
      <c r="D17" s="6" t="s">
        <v>7743</v>
      </c>
    </row>
    <row r="18">
      <c r="A18" s="2">
        <f>Analyse!G18</f>
        <v>24320</v>
      </c>
      <c r="B18" s="2">
        <f>Analyse!C18</f>
        <v>17</v>
      </c>
    </row>
    <row r="19">
      <c r="A19" s="2">
        <f>Analyse!G19</f>
        <v>25950</v>
      </c>
      <c r="B19" s="2">
        <f>Analyse!C19</f>
        <v>16.3</v>
      </c>
    </row>
    <row r="20">
      <c r="A20" s="2">
        <f>Analyse!G20</f>
        <v>25280</v>
      </c>
      <c r="B20" s="2">
        <f>Analyse!C20</f>
        <v>13.7</v>
      </c>
    </row>
    <row r="21">
      <c r="A21" s="2">
        <f>Analyse!G21</f>
        <v>24370</v>
      </c>
      <c r="B21" s="2">
        <f>Analyse!C21</f>
        <v>19.2</v>
      </c>
    </row>
    <row r="22">
      <c r="A22" s="2">
        <f>Analyse!G22</f>
        <v>22740</v>
      </c>
      <c r="B22" s="2">
        <f>Analyse!C22</f>
        <v>20.6</v>
      </c>
    </row>
    <row r="23">
      <c r="A23" s="2">
        <f>Analyse!G23</f>
        <v>21850</v>
      </c>
      <c r="B23" s="2">
        <f>Analyse!C23</f>
        <v>22.3</v>
      </c>
    </row>
    <row r="24">
      <c r="A24" s="2">
        <f>Analyse!G24</f>
        <v>23010</v>
      </c>
      <c r="B24" s="2">
        <f>Analyse!C24</f>
        <v>22.4</v>
      </c>
    </row>
    <row r="25">
      <c r="A25" s="2">
        <f>Analyse!G25</f>
        <v>23440</v>
      </c>
      <c r="B25" s="2">
        <f>Analyse!C25</f>
        <v>17.6</v>
      </c>
    </row>
    <row r="26">
      <c r="A26" s="2">
        <f>Analyse!G26</f>
        <v>22260</v>
      </c>
      <c r="B26" s="2">
        <f>Analyse!C26</f>
        <v>24</v>
      </c>
    </row>
    <row r="27">
      <c r="A27" s="2">
        <f>Analyse!G27</f>
        <v>26230</v>
      </c>
      <c r="B27" s="2">
        <f>Analyse!C27</f>
        <v>10.3</v>
      </c>
    </row>
    <row r="28">
      <c r="A28" s="2">
        <f>Analyse!G28</f>
        <v>22920</v>
      </c>
      <c r="B28" s="2">
        <f>Analyse!C28</f>
        <v>20.9</v>
      </c>
    </row>
    <row r="29">
      <c r="A29" s="2">
        <f>Analyse!G29</f>
        <v>25980</v>
      </c>
      <c r="B29" s="2">
        <f>Analyse!C29</f>
        <v>11.6</v>
      </c>
    </row>
    <row r="30">
      <c r="A30" s="2">
        <f>Analyse!G30</f>
        <v>23850</v>
      </c>
      <c r="B30" s="2">
        <f>Analyse!C30</f>
        <v>14</v>
      </c>
    </row>
    <row r="31">
      <c r="A31" s="2">
        <f>Analyse!G31</f>
        <v>24700</v>
      </c>
      <c r="B31" s="2">
        <f>Analyse!C31</f>
        <v>13</v>
      </c>
    </row>
    <row r="32">
      <c r="A32" s="2">
        <f>Analyse!G32</f>
        <v>25860</v>
      </c>
      <c r="B32" s="2">
        <f>Analyse!C32</f>
        <v>10.6</v>
      </c>
    </row>
    <row r="33">
      <c r="A33" s="2">
        <f>Analyse!G33</f>
        <v>24080</v>
      </c>
      <c r="B33" s="2">
        <f>Analyse!C33</f>
        <v>14.7</v>
      </c>
    </row>
    <row r="34">
      <c r="A34" s="2">
        <f>Analyse!G34</f>
        <v>24100</v>
      </c>
      <c r="B34" s="2">
        <f>Analyse!C34</f>
        <v>16</v>
      </c>
    </row>
    <row r="35">
      <c r="A35" s="2">
        <f>Analyse!G35</f>
        <v>24290</v>
      </c>
      <c r="B35" s="2">
        <f>Analyse!C35</f>
        <v>14.2</v>
      </c>
    </row>
    <row r="36">
      <c r="A36" s="2">
        <f>Analyse!G36</f>
        <v>29620</v>
      </c>
      <c r="B36" s="2">
        <f>Analyse!C36</f>
        <v>8</v>
      </c>
    </row>
    <row r="37">
      <c r="A37" s="2">
        <f>Analyse!G37</f>
        <v>25030</v>
      </c>
      <c r="B37" s="2">
        <f>Analyse!C37</f>
        <v>13</v>
      </c>
    </row>
    <row r="38">
      <c r="A38" s="2">
        <f>Analyse!G38</f>
        <v>31670</v>
      </c>
      <c r="B38" s="2">
        <f>Analyse!C38</f>
        <v>8.8</v>
      </c>
    </row>
    <row r="39">
      <c r="A39" s="2">
        <f>Analyse!G39</f>
        <v>25250</v>
      </c>
      <c r="B39" s="2">
        <f>Analyse!C39</f>
        <v>12.5</v>
      </c>
    </row>
    <row r="40">
      <c r="A40" s="2">
        <f>Analyse!G40</f>
        <v>23790</v>
      </c>
      <c r="B40" s="2">
        <f>Analyse!C40</f>
        <v>16</v>
      </c>
    </row>
    <row r="41">
      <c r="A41" s="2">
        <f>Analyse!G41</f>
        <v>27960</v>
      </c>
      <c r="B41" s="2">
        <f>Analyse!C41</f>
        <v>8.1</v>
      </c>
    </row>
    <row r="42">
      <c r="A42" s="2">
        <f>Analyse!G42</f>
        <v>21700</v>
      </c>
      <c r="B42" s="2">
        <f>Analyse!C42</f>
        <v>24</v>
      </c>
    </row>
    <row r="43">
      <c r="A43" s="2">
        <f>Analyse!G43</f>
        <v>24030</v>
      </c>
      <c r="B43" s="2">
        <f>Analyse!C43</f>
        <v>14.1</v>
      </c>
    </row>
    <row r="44">
      <c r="A44" s="2">
        <f>Analyse!G44</f>
        <v>34810</v>
      </c>
      <c r="B44" s="2">
        <f>Analyse!C44</f>
        <v>7.1</v>
      </c>
    </row>
    <row r="45">
      <c r="A45" s="2">
        <f>Analyse!G45</f>
        <v>23140</v>
      </c>
      <c r="B45" s="2">
        <f>Analyse!C45</f>
        <v>17</v>
      </c>
    </row>
    <row r="46">
      <c r="A46" s="2">
        <f>Analyse!G46</f>
        <v>24840</v>
      </c>
      <c r="B46" s="2">
        <f>Analyse!C46</f>
        <v>13.4</v>
      </c>
    </row>
    <row r="47">
      <c r="A47" s="2">
        <f>Analyse!G47</f>
        <v>24780</v>
      </c>
      <c r="B47" s="2">
        <f>Analyse!C47</f>
        <v>12.7</v>
      </c>
    </row>
    <row r="48">
      <c r="A48" s="2">
        <f>Analyse!G48</f>
        <v>23420</v>
      </c>
      <c r="B48" s="2">
        <f>Analyse!C48</f>
        <v>17.2</v>
      </c>
    </row>
    <row r="49">
      <c r="A49" s="2">
        <f>Analyse!G49</f>
        <v>24540</v>
      </c>
      <c r="B49" s="2">
        <f>Analyse!C49</f>
        <v>13.6</v>
      </c>
      <c r="D49" s="6" t="s">
        <v>5413</v>
      </c>
    </row>
    <row r="50">
      <c r="A50" s="2">
        <f>Analyse!G50</f>
        <v>28230</v>
      </c>
      <c r="B50" s="2">
        <f>Analyse!C50</f>
        <v>7</v>
      </c>
    </row>
    <row r="51">
      <c r="A51" s="2">
        <f>Analyse!G51</f>
        <v>25520</v>
      </c>
      <c r="B51" s="2">
        <f>Analyse!C51</f>
        <v>12</v>
      </c>
    </row>
    <row r="52">
      <c r="A52" s="2">
        <f>Analyse!G52</f>
        <v>24540</v>
      </c>
      <c r="B52" s="2">
        <f>Analyse!C52</f>
        <v>13.8</v>
      </c>
    </row>
    <row r="53">
      <c r="A53" s="2">
        <f>Analyse!G53</f>
        <v>22900</v>
      </c>
      <c r="B53" s="2">
        <f>Analyse!C53</f>
        <v>19.3</v>
      </c>
    </row>
    <row r="54">
      <c r="A54" s="2">
        <f>Analyse!G54</f>
        <v>23150</v>
      </c>
      <c r="B54" s="2">
        <f>Analyse!C54</f>
        <v>17.9</v>
      </c>
    </row>
    <row r="55">
      <c r="A55" s="2">
        <f>Analyse!G55</f>
        <v>26140</v>
      </c>
      <c r="B55" s="2">
        <f>Analyse!C55</f>
        <v>10.1</v>
      </c>
    </row>
    <row r="56">
      <c r="A56" s="2">
        <f>Analyse!G56</f>
        <v>25850</v>
      </c>
      <c r="B56" s="2">
        <f>Analyse!C56</f>
        <v>11.8</v>
      </c>
    </row>
    <row r="57">
      <c r="A57" s="2">
        <f>Analyse!G57</f>
        <v>26130</v>
      </c>
      <c r="B57" s="2">
        <f>Analyse!C57</f>
        <v>10.3</v>
      </c>
    </row>
    <row r="58">
      <c r="A58" s="2">
        <f>Analyse!G58</f>
        <v>26930</v>
      </c>
      <c r="B58" s="2">
        <f>Analyse!C58</f>
        <v>10</v>
      </c>
    </row>
    <row r="59">
      <c r="A59" s="2">
        <f>Analyse!G59</f>
        <v>27230</v>
      </c>
      <c r="B59" s="2">
        <f>Analyse!C59</f>
        <v>11.1</v>
      </c>
    </row>
    <row r="60">
      <c r="A60" s="2">
        <f>Analyse!G60</f>
        <v>21250</v>
      </c>
      <c r="B60" s="2">
        <f>Analyse!C60</f>
        <v>24</v>
      </c>
    </row>
    <row r="61">
      <c r="A61" s="2">
        <f>Analyse!G61</f>
        <v>26310</v>
      </c>
      <c r="B61" s="2">
        <f>Analyse!C61</f>
        <v>12.7</v>
      </c>
    </row>
    <row r="62">
      <c r="A62" s="2">
        <f>Analyse!G62</f>
        <v>20630</v>
      </c>
      <c r="B62" s="2">
        <f>Analyse!C62</f>
        <v>26</v>
      </c>
    </row>
    <row r="63">
      <c r="A63" s="2">
        <f>Analyse!G63</f>
        <v>24010</v>
      </c>
      <c r="B63" s="2">
        <f>Analyse!C63</f>
        <v>14.9</v>
      </c>
    </row>
    <row r="64">
      <c r="A64" s="2">
        <f>Analyse!G64</f>
        <v>25290</v>
      </c>
      <c r="B64" s="2">
        <f>Analyse!C64</f>
        <v>10</v>
      </c>
    </row>
    <row r="65">
      <c r="A65" s="2">
        <f>Analyse!G65</f>
        <v>25680</v>
      </c>
      <c r="B65" s="2">
        <f>Analyse!C65</f>
        <v>12</v>
      </c>
    </row>
    <row r="66">
      <c r="A66" s="2">
        <f>Analyse!G66</f>
        <v>25190</v>
      </c>
      <c r="B66" s="2">
        <f>Analyse!C66</f>
        <v>13</v>
      </c>
    </row>
    <row r="67">
      <c r="A67" s="2">
        <f>Analyse!G67</f>
        <v>26840</v>
      </c>
      <c r="B67" s="2">
        <f>Analyse!C67</f>
        <v>11</v>
      </c>
    </row>
    <row r="68">
      <c r="A68" s="2">
        <f>Analyse!G68</f>
        <v>23630</v>
      </c>
      <c r="B68" s="2">
        <f>Analyse!C68</f>
        <v>16.9</v>
      </c>
    </row>
    <row r="69">
      <c r="A69" s="2">
        <f>Analyse!G69</f>
        <v>23240</v>
      </c>
      <c r="B69" s="2">
        <f>Analyse!C69</f>
        <v>17</v>
      </c>
    </row>
    <row r="70">
      <c r="A70" s="2">
        <f>Analyse!G70</f>
        <v>25840</v>
      </c>
      <c r="B70" s="2">
        <f>Analyse!C70</f>
        <v>13</v>
      </c>
    </row>
    <row r="71">
      <c r="A71" s="2">
        <f>Analyse!G71</f>
        <v>23240</v>
      </c>
      <c r="B71" s="2">
        <f>Analyse!C71</f>
        <v>20.1</v>
      </c>
    </row>
    <row r="72">
      <c r="A72" s="2">
        <f>Analyse!G72</f>
        <v>24330</v>
      </c>
      <c r="B72" s="2">
        <f>Analyse!C72</f>
        <v>15</v>
      </c>
    </row>
    <row r="73">
      <c r="A73" s="2">
        <f>Analyse!G73</f>
        <v>25560</v>
      </c>
      <c r="B73" s="2">
        <f>Analyse!C73</f>
        <v>12</v>
      </c>
    </row>
    <row r="74">
      <c r="A74" s="2">
        <f>Analyse!G74</f>
        <v>24370</v>
      </c>
      <c r="B74" s="2">
        <f>Analyse!C74</f>
        <v>12.8</v>
      </c>
    </row>
    <row r="75">
      <c r="A75" s="2">
        <f>Analyse!G75</f>
        <v>25710</v>
      </c>
      <c r="B75" s="2">
        <f>Analyse!C75</f>
        <v>14.3</v>
      </c>
    </row>
    <row r="76">
      <c r="A76" s="2">
        <f>Analyse!G76</f>
        <v>28270</v>
      </c>
      <c r="B76" s="2">
        <f>Analyse!C76</f>
        <v>8</v>
      </c>
    </row>
    <row r="77">
      <c r="A77" s="2">
        <f>Analyse!G77</f>
        <v>23550</v>
      </c>
      <c r="B77" s="2">
        <f>Analyse!C77</f>
        <v>15</v>
      </c>
    </row>
    <row r="78">
      <c r="A78" s="2">
        <f>Analyse!G78</f>
        <v>27170</v>
      </c>
      <c r="B78" s="2">
        <f>Analyse!C78</f>
        <v>9</v>
      </c>
    </row>
    <row r="79">
      <c r="A79" s="2">
        <f>Analyse!G79</f>
        <v>24530</v>
      </c>
      <c r="B79" s="2">
        <f>Analyse!C79</f>
        <v>14.1</v>
      </c>
    </row>
    <row r="80">
      <c r="A80" s="2">
        <f>Analyse!G80</f>
        <v>23320</v>
      </c>
      <c r="B80" s="2">
        <f>Analyse!C80</f>
        <v>18.2</v>
      </c>
    </row>
    <row r="81">
      <c r="A81" s="2">
        <f>Analyse!G81</f>
        <v>25350</v>
      </c>
      <c r="B81" s="2">
        <f>Analyse!C81</f>
        <v>11.5</v>
      </c>
    </row>
    <row r="82">
      <c r="A82" s="2">
        <f>Analyse!G82</f>
        <v>24390</v>
      </c>
      <c r="B82" s="2">
        <f>Analyse!C82</f>
        <v>13.5</v>
      </c>
    </row>
    <row r="83">
      <c r="A83" s="2">
        <f>Analyse!G83</f>
        <v>20100</v>
      </c>
      <c r="B83" s="2">
        <f>Analyse!C83</f>
        <v>29.7</v>
      </c>
    </row>
    <row r="84">
      <c r="A84" s="2">
        <f>Analyse!G84</f>
        <v>23180</v>
      </c>
      <c r="B84" s="2">
        <f>Analyse!C84</f>
        <v>18.9</v>
      </c>
    </row>
    <row r="85">
      <c r="A85" s="2">
        <f>Analyse!G85</f>
        <v>24940</v>
      </c>
      <c r="B85" s="2">
        <f>Analyse!C85</f>
        <v>13.9</v>
      </c>
    </row>
    <row r="86">
      <c r="A86" s="2">
        <f>Analyse!G86</f>
        <v>26250</v>
      </c>
      <c r="B86" s="2">
        <f>Analyse!C86</f>
        <v>9.6</v>
      </c>
    </row>
    <row r="87">
      <c r="A87" s="2">
        <f>Analyse!G87</f>
        <v>25120</v>
      </c>
      <c r="B87" s="2">
        <f>Analyse!C87</f>
        <v>12</v>
      </c>
    </row>
    <row r="88">
      <c r="A88" s="2">
        <f>Analyse!G88</f>
        <v>24580</v>
      </c>
      <c r="B88" s="2">
        <f>Analyse!C88</f>
        <v>14</v>
      </c>
    </row>
    <row r="89">
      <c r="A89" s="2">
        <f>Analyse!G89</f>
        <v>28390</v>
      </c>
      <c r="B89" s="2">
        <f>Analyse!C89</f>
        <v>7</v>
      </c>
    </row>
    <row r="90">
      <c r="A90" s="2">
        <f>Analyse!G90</f>
        <v>23690</v>
      </c>
      <c r="B90" s="2">
        <f>Analyse!C90</f>
        <v>14.1</v>
      </c>
    </row>
    <row r="91">
      <c r="A91" s="2">
        <f>Analyse!G91</f>
        <v>25670</v>
      </c>
      <c r="B91" s="2">
        <f>Analyse!C91</f>
        <v>16.5</v>
      </c>
    </row>
    <row r="92">
      <c r="A92" s="2">
        <f>Analyse!G92</f>
        <v>23270</v>
      </c>
      <c r="B92" s="2">
        <f>Analyse!C92</f>
        <v>20.3</v>
      </c>
    </row>
    <row r="93">
      <c r="A93" s="2">
        <f>Analyse!G93</f>
        <v>24430</v>
      </c>
      <c r="B93" s="2">
        <f>Analyse!C93</f>
        <v>21.4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" t="s">
        <v>7744</v>
      </c>
    </row>
    <row r="3">
      <c r="A3" s="6" t="s">
        <v>7745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sheetData>
    <row r="1">
      <c r="A1" s="6" t="s">
        <v>7818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1.88"/>
    <col customWidth="1" min="2" max="4" width="40.25"/>
    <col customWidth="1" min="5" max="5" width="19.25"/>
    <col customWidth="1" min="6" max="26" width="7.63"/>
  </cols>
  <sheetData>
    <row r="1">
      <c r="A1" s="1" t="s">
        <v>7746</v>
      </c>
      <c r="B1" s="1" t="s">
        <v>7747</v>
      </c>
      <c r="C1" s="1" t="s">
        <v>7748</v>
      </c>
      <c r="D1" s="1" t="s">
        <v>7749</v>
      </c>
      <c r="E1" s="1" t="s">
        <v>7750</v>
      </c>
    </row>
    <row r="2">
      <c r="A2" s="2" t="s">
        <v>7751</v>
      </c>
      <c r="B2" s="2" t="s">
        <v>7752</v>
      </c>
      <c r="C2" s="2" t="s">
        <v>7753</v>
      </c>
      <c r="D2" s="2" t="s">
        <v>7754</v>
      </c>
      <c r="E2" s="2" t="s">
        <v>7755</v>
      </c>
    </row>
    <row r="3">
      <c r="A3" s="2" t="s">
        <v>7756</v>
      </c>
      <c r="B3" s="2" t="s">
        <v>7757</v>
      </c>
      <c r="C3" s="2" t="s">
        <v>7758</v>
      </c>
      <c r="D3" s="2" t="s">
        <v>7759</v>
      </c>
      <c r="E3" s="2" t="s">
        <v>7755</v>
      </c>
    </row>
    <row r="4">
      <c r="A4" s="2" t="s">
        <v>7760</v>
      </c>
      <c r="B4" s="2" t="s">
        <v>7761</v>
      </c>
      <c r="C4" s="2" t="s">
        <v>7762</v>
      </c>
      <c r="D4" s="2" t="s">
        <v>7763</v>
      </c>
      <c r="E4" s="2" t="s">
        <v>7764</v>
      </c>
    </row>
    <row r="5">
      <c r="A5" s="2" t="s">
        <v>7760</v>
      </c>
      <c r="B5" s="2" t="s">
        <v>7765</v>
      </c>
      <c r="C5" s="2" t="s">
        <v>7766</v>
      </c>
      <c r="D5" s="2" t="s">
        <v>7767</v>
      </c>
      <c r="E5" s="2" t="s">
        <v>7764</v>
      </c>
    </row>
    <row r="6">
      <c r="A6" s="2" t="s">
        <v>7760</v>
      </c>
      <c r="B6" s="2" t="s">
        <v>7768</v>
      </c>
      <c r="C6" s="2" t="s">
        <v>7769</v>
      </c>
      <c r="D6" s="2" t="s">
        <v>7770</v>
      </c>
      <c r="E6" s="2" t="s">
        <v>7764</v>
      </c>
    </row>
    <row r="7">
      <c r="A7" s="2" t="s">
        <v>7760</v>
      </c>
      <c r="B7" s="2" t="s">
        <v>7771</v>
      </c>
      <c r="C7" s="2" t="s">
        <v>7772</v>
      </c>
      <c r="D7" s="2" t="s">
        <v>7773</v>
      </c>
      <c r="E7" s="2" t="s">
        <v>7774</v>
      </c>
    </row>
    <row r="8">
      <c r="A8" s="2" t="s">
        <v>7760</v>
      </c>
      <c r="B8" s="2" t="s">
        <v>7775</v>
      </c>
      <c r="C8" s="2" t="s">
        <v>7776</v>
      </c>
      <c r="D8" s="2" t="s">
        <v>7777</v>
      </c>
      <c r="E8" s="2" t="s">
        <v>7764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8"/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105.0"/>
    <col customWidth="1" min="3" max="26" width="7.63"/>
  </cols>
  <sheetData>
    <row r="1">
      <c r="A1" s="2" t="s">
        <v>7778</v>
      </c>
      <c r="B1" s="2" t="s">
        <v>7779</v>
      </c>
    </row>
    <row r="2">
      <c r="A2" s="2" t="s">
        <v>7748</v>
      </c>
      <c r="B2" s="2" t="s">
        <v>7780</v>
      </c>
    </row>
    <row r="3">
      <c r="A3" s="2" t="s">
        <v>7781</v>
      </c>
      <c r="B3" s="2" t="s">
        <v>7782</v>
      </c>
    </row>
    <row r="4">
      <c r="A4" s="2" t="s">
        <v>7783</v>
      </c>
      <c r="B4" s="2" t="s">
        <v>7784</v>
      </c>
    </row>
    <row r="5">
      <c r="A5" s="2" t="s">
        <v>7785</v>
      </c>
      <c r="B5" s="2" t="s">
        <v>7786</v>
      </c>
    </row>
    <row r="6">
      <c r="A6" s="2" t="s">
        <v>7750</v>
      </c>
      <c r="B6" s="2" t="s">
        <v>7787</v>
      </c>
    </row>
    <row r="7">
      <c r="A7" s="2" t="s">
        <v>7788</v>
      </c>
      <c r="B7" s="2" t="s">
        <v>7789</v>
      </c>
    </row>
    <row r="8">
      <c r="A8" s="2" t="s">
        <v>7790</v>
      </c>
      <c r="B8" s="2" t="s">
        <v>7791</v>
      </c>
    </row>
    <row r="9">
      <c r="A9" s="2" t="s">
        <v>7792</v>
      </c>
      <c r="B9" s="2" t="s">
        <v>7793</v>
      </c>
    </row>
    <row r="10">
      <c r="A10" s="2" t="s">
        <v>7794</v>
      </c>
      <c r="B10" s="2" t="s">
        <v>7795</v>
      </c>
    </row>
    <row r="11">
      <c r="A11" s="2" t="s">
        <v>7796</v>
      </c>
      <c r="B11" s="2" t="s">
        <v>7797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5"/>
    <col customWidth="1" min="2" max="2" width="14.0"/>
    <col customWidth="1" min="3" max="3" width="40.25"/>
    <col customWidth="1" min="4" max="26" width="7.63"/>
  </cols>
  <sheetData>
    <row r="1">
      <c r="A1" s="1" t="s">
        <v>7798</v>
      </c>
      <c r="B1" s="1" t="s">
        <v>7799</v>
      </c>
      <c r="C1" s="1" t="s">
        <v>7800</v>
      </c>
    </row>
    <row r="2">
      <c r="A2" s="2" t="s">
        <v>0</v>
      </c>
      <c r="B2" s="2" t="s">
        <v>7801</v>
      </c>
      <c r="C2" s="2" t="s">
        <v>7802</v>
      </c>
    </row>
    <row r="3">
      <c r="A3" s="2" t="s">
        <v>1</v>
      </c>
      <c r="B3" s="2" t="s">
        <v>7801</v>
      </c>
      <c r="C3" s="2" t="s">
        <v>7803</v>
      </c>
    </row>
    <row r="4">
      <c r="A4" s="2" t="s">
        <v>2</v>
      </c>
      <c r="B4" s="2" t="s">
        <v>7801</v>
      </c>
      <c r="C4" s="2" t="s">
        <v>7804</v>
      </c>
    </row>
    <row r="5">
      <c r="A5" s="2" t="s">
        <v>5</v>
      </c>
      <c r="B5" s="2" t="s">
        <v>7801</v>
      </c>
      <c r="C5" s="2" t="s">
        <v>7805</v>
      </c>
    </row>
    <row r="6">
      <c r="A6" s="2" t="s">
        <v>8</v>
      </c>
      <c r="B6" s="2" t="s">
        <v>7801</v>
      </c>
      <c r="C6" s="2" t="s">
        <v>7806</v>
      </c>
    </row>
    <row r="7">
      <c r="A7" s="2" t="s">
        <v>10</v>
      </c>
      <c r="B7" s="2" t="s">
        <v>7807</v>
      </c>
      <c r="C7" s="2" t="s">
        <v>7808</v>
      </c>
    </row>
    <row r="8">
      <c r="A8" s="2" t="s">
        <v>13</v>
      </c>
      <c r="B8" s="2" t="s">
        <v>7809</v>
      </c>
      <c r="C8" s="2" t="s">
        <v>7810</v>
      </c>
    </row>
    <row r="9">
      <c r="A9" s="2" t="s">
        <v>16</v>
      </c>
      <c r="B9" s="2" t="s">
        <v>7809</v>
      </c>
      <c r="C9" s="2" t="s">
        <v>7811</v>
      </c>
    </row>
    <row r="10">
      <c r="A10" s="2" t="s">
        <v>18</v>
      </c>
      <c r="B10" s="2" t="s">
        <v>7801</v>
      </c>
      <c r="C10" s="2" t="s">
        <v>7812</v>
      </c>
    </row>
    <row r="11">
      <c r="A11" s="2" t="s">
        <v>3</v>
      </c>
      <c r="B11" s="2" t="s">
        <v>7807</v>
      </c>
      <c r="C11" s="2" t="s">
        <v>7813</v>
      </c>
    </row>
    <row r="12">
      <c r="A12" s="2" t="s">
        <v>4</v>
      </c>
      <c r="B12" s="2" t="s">
        <v>7814</v>
      </c>
      <c r="C12" s="2" t="s">
        <v>7815</v>
      </c>
    </row>
    <row r="13">
      <c r="A13" s="2" t="s">
        <v>6</v>
      </c>
      <c r="B13" s="2" t="s">
        <v>7814</v>
      </c>
      <c r="C13" s="2" t="s">
        <v>7816</v>
      </c>
    </row>
    <row r="14">
      <c r="A14" s="2" t="s">
        <v>7</v>
      </c>
      <c r="B14" s="2" t="s">
        <v>7814</v>
      </c>
      <c r="C14" s="2" t="s">
        <v>7817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C$14"/>
  <printOptions/>
  <pageMargins bottom="1.0" footer="0.0" header="0.0" left="0.75" right="0.75" top="1.0"/>
  <pageSetup orientation="landscape"/>
  <drawing r:id="rId1"/>
</worksheet>
</file>